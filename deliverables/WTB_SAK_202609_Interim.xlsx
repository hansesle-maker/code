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BS_KO" sheetId="1" state="visible" r:id="rId3"/>
    <sheet name="P&amp;L_KO" sheetId="2" state="visible" r:id="rId4"/>
    <sheet name="FS_map" sheetId="3" state="visible" r:id="rId5"/>
    <sheet name="statutory adj_2026 조정분개" sheetId="4" state="visible" r:id="rId6"/>
    <sheet name="BSPL2026" sheetId="5" state="visible" r:id="rId7"/>
    <sheet name="BS_DEC 2026" sheetId="6" state="visible" r:id="rId8"/>
    <sheet name="PL_DEC.2026" sheetId="7" state="visible" r:id="rId9"/>
    <sheet name="WBS_2025YE" sheetId="8" state="visible" r:id="rId10"/>
    <sheet name="WPL_2025YE" sheetId="9" state="visible" r:id="rId11"/>
  </sheets>
  <definedNames>
    <definedName function="false" hidden="true" localSheetId="2" name="_xlnm._FilterDatabase" vbProcedure="false">FS_map!$D$2:$T$447</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D19" authorId="0">
      <text>
        <r>
          <rPr>
            <sz val="10"/>
            <rFont val="Arial"/>
            <family val="2"/>
          </rPr>
          <t xml:space="preserve">YM Choi:
</t>
        </r>
        <r>
          <rPr>
            <sz val="10"/>
            <rFont val="맑은 고딕"/>
            <family val="2"/>
          </rPr>
          <t xml:space="preserve">반품충당전입액</t>
        </r>
        <r>
          <rPr>
            <sz val="10"/>
            <rFont val="Arial"/>
            <family val="2"/>
          </rPr>
          <t xml:space="preserve">/</t>
        </r>
        <r>
          <rPr>
            <sz val="10"/>
            <rFont val="맑은 고딕"/>
            <family val="2"/>
          </rPr>
          <t xml:space="preserve">불만재고</t>
        </r>
      </text>
    </comment>
    <comment ref="D21" authorId="0">
      <text>
        <r>
          <rPr>
            <sz val="10"/>
            <rFont val="Arial"/>
            <family val="2"/>
          </rPr>
          <t xml:space="preserve">YM Choi:
</t>
        </r>
        <r>
          <rPr>
            <sz val="10"/>
            <rFont val="맑은 고딕"/>
            <family val="2"/>
          </rPr>
          <t xml:space="preserve">기부금</t>
        </r>
        <r>
          <rPr>
            <sz val="10"/>
            <rFont val="Arial"/>
            <family val="2"/>
          </rPr>
          <t xml:space="preserve">/</t>
        </r>
        <r>
          <rPr>
            <sz val="10"/>
            <rFont val="맑은 고딕"/>
            <family val="2"/>
          </rPr>
          <t xml:space="preserve">견본품</t>
        </r>
      </text>
    </comment>
    <comment ref="R16" authorId="0">
      <text>
        <r>
          <rPr>
            <sz val="10"/>
            <rFont val="Arial"/>
            <family val="2"/>
          </rPr>
          <t xml:space="preserve">Kim, Ranyoung /MY:
</t>
        </r>
        <r>
          <rPr>
            <sz val="10"/>
            <rFont val="맑은 고딕"/>
            <family val="2"/>
          </rPr>
          <t xml:space="preserve">상품수불부</t>
        </r>
        <r>
          <rPr>
            <sz val="10"/>
            <rFont val="Arial"/>
            <family val="2"/>
          </rPr>
          <t xml:space="preserve">.
</t>
        </r>
        <r>
          <rPr>
            <sz val="10"/>
            <rFont val="맑은 고딕"/>
            <family val="2"/>
          </rPr>
          <t xml:space="preserve">기초</t>
        </r>
        <r>
          <rPr>
            <sz val="10"/>
            <rFont val="Arial"/>
            <family val="2"/>
          </rPr>
          <t xml:space="preserve">: Opening-Amount total
</t>
        </r>
        <r>
          <rPr>
            <sz val="10"/>
            <rFont val="맑은 고딕"/>
            <family val="2"/>
          </rPr>
          <t xml:space="preserve">상품매입</t>
        </r>
        <r>
          <rPr>
            <sz val="10"/>
            <rFont val="Arial"/>
            <family val="2"/>
          </rPr>
          <t xml:space="preserve">:Incoming-Amount total
</t>
        </r>
        <r>
          <rPr>
            <sz val="10"/>
            <rFont val="맑은 고딕"/>
            <family val="2"/>
          </rPr>
          <t xml:space="preserve">타계정</t>
        </r>
        <r>
          <rPr>
            <sz val="10"/>
            <rFont val="Arial"/>
            <family val="2"/>
          </rPr>
          <t xml:space="preserve">:Incoming Transfer-Amount(WAM)
</t>
        </r>
        <r>
          <rPr>
            <sz val="10"/>
            <rFont val="맑은 고딕"/>
            <family val="2"/>
          </rPr>
          <t xml:space="preserve">매출원가</t>
        </r>
        <r>
          <rPr>
            <sz val="10"/>
            <rFont val="Arial"/>
            <family val="2"/>
          </rPr>
          <t xml:space="preserve">:Outgoing-Amount(WAM)
</t>
        </r>
        <r>
          <rPr>
            <sz val="10"/>
            <rFont val="맑은 고딕"/>
            <family val="2"/>
          </rPr>
          <t xml:space="preserve">타계정</t>
        </r>
        <r>
          <rPr>
            <sz val="10"/>
            <rFont val="Arial"/>
            <family val="2"/>
          </rPr>
          <t xml:space="preserve">:Outgoing Transfer-Amount(WAM)
</t>
        </r>
        <r>
          <rPr>
            <sz val="10"/>
            <rFont val="맑은 고딕"/>
            <family val="2"/>
          </rPr>
          <t xml:space="preserve">기말</t>
        </r>
        <r>
          <rPr>
            <sz val="10"/>
            <rFont val="Arial"/>
            <family val="2"/>
          </rPr>
          <t xml:space="preserve">:Ending-Amount(WAM)
</t>
        </r>
        <r>
          <rPr>
            <sz val="10"/>
            <rFont val="맑은 고딕"/>
            <family val="2"/>
          </rPr>
          <t xml:space="preserve">만약 상품수불부랑 금액 차이가 나는 경우 차이분은 타계정에서 조정해준다</t>
        </r>
        <r>
          <rPr>
            <sz val="10"/>
            <rFont val="Arial"/>
            <family val="2"/>
          </rPr>
          <t xml:space="preserve">. </t>
        </r>
        <r>
          <rPr>
            <sz val="10"/>
            <rFont val="맑은 고딕"/>
            <family val="2"/>
          </rPr>
          <t xml:space="preserve">기초</t>
        </r>
        <r>
          <rPr>
            <sz val="10"/>
            <rFont val="Arial"/>
            <family val="2"/>
          </rPr>
          <t xml:space="preserve">/</t>
        </r>
        <r>
          <rPr>
            <sz val="10"/>
            <rFont val="맑은 고딕"/>
            <family val="2"/>
          </rPr>
          <t xml:space="preserve">매입</t>
        </r>
        <r>
          <rPr>
            <sz val="10"/>
            <rFont val="Arial"/>
            <family val="2"/>
          </rPr>
          <t xml:space="preserve">/</t>
        </r>
        <r>
          <rPr>
            <sz val="10"/>
            <rFont val="맑은 고딕"/>
            <family val="2"/>
          </rPr>
          <t xml:space="preserve">매출</t>
        </r>
        <r>
          <rPr>
            <sz val="10"/>
            <rFont val="Arial"/>
            <family val="2"/>
          </rPr>
          <t xml:space="preserve">/</t>
        </r>
        <r>
          <rPr>
            <sz val="10"/>
            <rFont val="맑은 고딕"/>
            <family val="2"/>
          </rPr>
          <t xml:space="preserve">기말재고들은 절대 건드리면 안됨</t>
        </r>
      </text>
    </comment>
  </commentList>
</comments>
</file>

<file path=xl/sharedStrings.xml><?xml version="1.0" encoding="utf-8"?>
<sst xmlns="http://schemas.openxmlformats.org/spreadsheetml/2006/main" count="10716" uniqueCount="2563">
  <si>
    <t xml:space="preserve">대차대조표</t>
  </si>
  <si>
    <t xml:space="preserve">제 37(당) 기 2026년 12월 31일 현재</t>
  </si>
  <si>
    <t xml:space="preserve">OM</t>
  </si>
  <si>
    <t xml:space="preserve">제 36(전) 기 2025년 12월 31일 현재</t>
  </si>
  <si>
    <t xml:space="preserve">PM</t>
  </si>
  <si>
    <t xml:space="preserve">CTT</t>
  </si>
  <si>
    <t xml:space="preserve">주식회사 사노피-아벤티스코리아</t>
  </si>
  <si>
    <t xml:space="preserve">과목</t>
  </si>
  <si>
    <t xml:space="preserve">회사 F/S 대사 (BS_DEC 2026)</t>
  </si>
  <si>
    <t xml:space="preserve">수정전</t>
  </si>
  <si>
    <t xml:space="preserve">수정후</t>
  </si>
  <si>
    <t xml:space="preserve">금액</t>
  </si>
  <si>
    <t xml:space="preserve">Var. </t>
  </si>
  <si>
    <t xml:space="preserve">Var. %</t>
  </si>
  <si>
    <t xml:space="preserve">증감분석여부?</t>
  </si>
  <si>
    <t xml:space="preserve">증감분석</t>
  </si>
  <si>
    <t xml:space="preserve">회사 SAP(E열)</t>
  </si>
  <si>
    <t xml:space="preserve">Diff (E-N)</t>
  </si>
  <si>
    <t xml:space="preserve">회사 Statutory(K열)</t>
  </si>
  <si>
    <t xml:space="preserve">Diff (F-P)</t>
  </si>
  <si>
    <t xml:space="preserve">자    산</t>
  </si>
  <si>
    <t xml:space="preserve">I. Current assets.</t>
  </si>
  <si>
    <t xml:space="preserve">I. 유동자산</t>
  </si>
  <si>
    <t xml:space="preserve">(1) Current assets.</t>
  </si>
  <si>
    <t xml:space="preserve">(1) 당좌자산</t>
  </si>
  <si>
    <t xml:space="preserve">1. Cash and cash equivalents.</t>
  </si>
  <si>
    <t xml:space="preserve">1.</t>
  </si>
  <si>
    <t xml:space="preserve">현금및현금등가물</t>
  </si>
  <si>
    <t xml:space="preserve">전기말 111억원 → 당기 9월말 83억원 (−28억원, HSBC 원화예금 단일계좌)
1. 당기 배당금 520억원 지급 (SAP 3월 기표, 회사 자료상 2분기 지급)
2. 그룹 현금 최적화 정책에 따라 관계사 채무를 연중 조기 결제
※ 회사는 기말에 관계사 채무를 대량 결제하여 기말 예금잔액을 낮게 유지하는 경향이 있으므로, 기말 잔액 및 관계사 채무 결제 시점 확인 필요</t>
  </si>
  <si>
    <t xml:space="preserve">2. Accounts receivable.</t>
  </si>
  <si>
    <t xml:space="preserve">2.</t>
  </si>
  <si>
    <t xml:space="preserve">매출채권</t>
  </si>
  <si>
    <t xml:space="preserve">총 매출채권(SAP) 전기말 1,739억원 → 9월말 2,276억원(+537억원), 매출에누리 미지급분 직접차감(statutory #5) 124억원(전기말 72억원) 반영 후 2,152억원
1. 증가 요인: 매출 증가(9월 누적 매출 5,323억원, 전년 동기 대비 +333억원) 및 9월 매출 증가
 - 주요 거래처: 비아다빈치 152억 → 197억원, 부림약품(대구) 95억 → 134억원, 지오영 106억 → 134억원, 기타 Pharma 1,194억 → 1,281억원
2. 백신 도매 매출채권은 192억 → 102억원으로 감소: 9월부터 독감백신 성수기 주문이 시작되어 4분기 증가 예상
3. 연체채권: 신광약품 69백만원 1건(12월 회수 예정, 회사 평가 low risk). 쥴릭파마는 25년 4월 계약 종료 후 유효기간 반품에 따른 credit note 정산 진행 중
4. 매출채권 회전일수(연환산 매출 기준) 111일로 전기말 94일 대비 증가 → 기간후 회수 확인 필요
(출처: 회사 BS 분석적검토 – CI2C AR 분석)</t>
  </si>
  <si>
    <t xml:space="preserve">3. Provision for bad debts.</t>
  </si>
  <si>
    <t xml:space="preserve">3.</t>
  </si>
  <si>
    <t xml:space="preserve">대손충당금</t>
  </si>
  <si>
    <t xml:space="preserve">클리닉 매출채권에 대한 대손충당금 118백만원(전기말 122백만원). 당기 4백만원 환입(대손상각비 음수 표시). 금액 중요하지 않음</t>
  </si>
  <si>
    <t xml:space="preserve">4. Unpaid money.</t>
  </si>
  <si>
    <t xml:space="preserve">4.</t>
  </si>
  <si>
    <t xml:space="preserve">미수금</t>
  </si>
  <si>
    <t xml:space="preserve">전기말 193억원 → 9월말 120억원 (−73억원)
1. 관계사 미수금(26050000) 167억 → 116억원(−51억원)
 - Sanofi SA 165억 → 114억원: 3분기 R&amp;D(CRU) 비용 recharge 미수분
 - Sanofi Winthrop Industrie 1.2억원(9월 rebilling), Sanofi Pasteur Inc 1.0억원(3분기 R&amp;D)
2. 전기말 statutory 조정으로 인식한 CRU true-up 미수금 22.6억원(86260033)은 당기 2월 확정·기표되어 잔액 0
3. 기타: 임직원 우리사주(Action Share) 공제분 4.2억원(전기말 3.1억원)</t>
  </si>
  <si>
    <t xml:space="preserve">5. Value-added tax not collected.</t>
  </si>
  <si>
    <t xml:space="preserve">5.</t>
  </si>
  <si>
    <t xml:space="preserve">부가가치세미수금</t>
  </si>
  <si>
    <t xml:space="preserve">6. Minus profit.</t>
  </si>
  <si>
    <t xml:space="preserve">6.</t>
  </si>
  <si>
    <t xml:space="preserve">미수수익</t>
  </si>
  <si>
    <t xml:space="preserve">로열티 수익 미수분: Aprovasc(한독) 955백만원, 디트로반(동화약품) 26백만원 – 9월 누적 accrual. 전기말 로열티 미수 971백만원은 당기 수령 완료</t>
  </si>
  <si>
    <t xml:space="preserve">7. Advance payment.</t>
  </si>
  <si>
    <t xml:space="preserve">7.</t>
  </si>
  <si>
    <t xml:space="preserve">선급금</t>
  </si>
  <si>
    <t xml:space="preserve">전기말 94백만원 → 9월말 1,159백만원
1. 임직원 선급(Payroll deductions) 810백만원: 급여시스템 오류로 인한 일회성 원천세 조정 809.6백만원 – 10월 원천세 납부 시 정산 예정(예수금 증가와 대응)
2. 공급업체 선급금 415백만원: 협회 후원금 334백만원 신규, CSU 연구비·IRB 심사비 66백만원. 30일 초과 8건(90일 초과 3건) → 비용처리 시기 및 회수가능성 확인 필요</t>
  </si>
  <si>
    <t xml:space="preserve">8. Provisional payment.</t>
  </si>
  <si>
    <t xml:space="preserve">8.</t>
  </si>
  <si>
    <t xml:space="preserve">가지급금</t>
  </si>
  <si>
    <t xml:space="preserve">9. Loan.</t>
  </si>
  <si>
    <t xml:space="preserve">9.</t>
  </si>
  <si>
    <t xml:space="preserve">대여금</t>
  </si>
  <si>
    <t xml:space="preserve">10. Advance payment.</t>
  </si>
  <si>
    <t xml:space="preserve">10.</t>
  </si>
  <si>
    <t xml:space="preserve">선급비용</t>
  </si>
  <si>
    <t xml:space="preserve">전기말 308백만원 → 9월말 1,050백만원
1. OneCASA 임상 선급비용 657백만원 신규 (R&amp;D non-PO)
2. 연회비(26.1~12월) 358백만원, 단체보험(26.7~27.6) 236백만원 등을 신규로 선급하고 월할 상각
 - 신규 선급 +742백만원, 상각 −657백만원 (2026 단체보험 −170, 연회비 −268, 사이버보험 −55, 운송보험 −53백만원 등)</t>
  </si>
  <si>
    <t xml:space="preserve">11. Liquidity Annual Tax Assets</t>
  </si>
  <si>
    <t xml:space="preserve">11.</t>
  </si>
  <si>
    <t xml:space="preserve">유동성이연법인세자산</t>
  </si>
  <si>
    <t xml:space="preserve">전기말 242억원 → 9월말 195억원 (−47억원)
1. 3분기 법인세 추정에 따른 이연법인세 감소 −5,791백만원
2. 법인세율 변경(23.1% → 24.2%)에 따른 기초 이연법인세자산 재측정 +1,163백만원 (244억 → 256억원)
3. 로컬 조정(86291000) −317백만원
※ 중간기간 이연법인세는 회사 추정치이므로 기말 세무조정 후 재검토 필요</t>
  </si>
  <si>
    <t xml:space="preserve">12. National Pension Conversion Assets</t>
  </si>
  <si>
    <t xml:space="preserve">12.</t>
  </si>
  <si>
    <t xml:space="preserve">국민연금전환금자산</t>
  </si>
  <si>
    <t xml:space="preserve">13</t>
  </si>
  <si>
    <t xml:space="preserve">유동성보증금</t>
  </si>
  <si>
    <t xml:space="preserve">(2) Inventory assets.</t>
  </si>
  <si>
    <t xml:space="preserve">(2) 재고자산</t>
  </si>
  <si>
    <t xml:space="preserve">재고회전일수(연환산 매출원가 기준) 131일(전기말 128일). 세부 내역은 상품·평가충당금·미착품 코멘트 참조</t>
  </si>
  <si>
    <t xml:space="preserve">1. Prize.</t>
  </si>
  <si>
    <t xml:space="preserve">상품</t>
  </si>
  <si>
    <t xml:space="preserve">전기말 1,606억원 → 9월말 1,801억원 (+195억원)
1. Pharma 1,166억 → 1,263억원(+97억원): Taxotere MA 이전 프로젝트에 대비한 재고 선확보(stock piling) +90억원
2. Vaccines 440억 → 538억원(+98억원): Pentaxim → Hexaxim 전환에 따른 Hexaxim 재고 +70억원, Beyfortus 시즌 재고 +80억원
3. 원가차이 자본화(20000030) −17억 → −9억원
(출처: 회사 BS 분석적검토 – 상품수불부 기준)</t>
  </si>
  <si>
    <t xml:space="preserve">Evaluation allowance - product</t>
  </si>
  <si>
    <t xml:space="preserve">평가충당금-상품</t>
  </si>
  <si>
    <t xml:space="preserve">전기말 48.2억원 → 9월말 24.2억원 (24억원 감소)
1. Pharma 1.6억 → 8.6억원: Dupixent(2억원) 등 유효기간 반품 및 단종 품목에 대한 충당금 증가
2. Vaccines 46.1억 → 15.1억원: Pentaxim 수요 증가로 기존 충당 재고 소진, Efluelda 유효기간 반품 감소
※ 전기말 충당 재고의 당기 폐기·판매 내역 확인 필요</t>
  </si>
  <si>
    <t xml:space="preserve">2. Product.</t>
  </si>
  <si>
    <t xml:space="preserve">제품</t>
  </si>
  <si>
    <t xml:space="preserve">평가충당금-제품</t>
  </si>
  <si>
    <t xml:space="preserve">3. Reproduct.</t>
  </si>
  <si>
    <t xml:space="preserve">재공품</t>
  </si>
  <si>
    <t xml:space="preserve">4. Raw materials.</t>
  </si>
  <si>
    <t xml:space="preserve">원재료</t>
  </si>
  <si>
    <t xml:space="preserve">Evaluation allowance - raw material.</t>
  </si>
  <si>
    <t xml:space="preserve">평가충당금-원재료</t>
  </si>
  <si>
    <t xml:space="preserve">5. Packaging ingredients.</t>
  </si>
  <si>
    <t xml:space="preserve">포장재료</t>
  </si>
  <si>
    <t xml:space="preserve">Evaluation allowance - Packaging material</t>
  </si>
  <si>
    <t xml:space="preserve">평가충당금-포장재료</t>
  </si>
  <si>
    <t xml:space="preserve">6. Not received.</t>
  </si>
  <si>
    <t xml:space="preserve">미착품</t>
  </si>
  <si>
    <t xml:space="preserve">전기말 207억원 → 9월말 178억원 (−29억원, GR/IR 40500001 기준)
1. Pharma 미착품 203억 → 147억원: Multaq(−40억원), Toujeo(−20억원) 선적 시점 차이
2. Vaccines 미착품 4억 → 32억원: Adacel 선적 진행분
※ 기말 cut-off 검토 시 선적조건(인도기준) 확인 필요</t>
  </si>
  <si>
    <t xml:space="preserve">II. Fixed assets.</t>
  </si>
  <si>
    <t xml:space="preserve">II. 고정자산</t>
  </si>
  <si>
    <t xml:space="preserve">(1) Investment assets.</t>
  </si>
  <si>
    <t xml:space="preserve">(1) 투자자산</t>
  </si>
  <si>
    <t xml:space="preserve">1. Long-term financial instruments.</t>
  </si>
  <si>
    <t xml:space="preserve">장기금융상품</t>
  </si>
  <si>
    <t xml:space="preserve">지분법적용투자주식</t>
  </si>
  <si>
    <t xml:space="preserve">2. Other investment assets.</t>
  </si>
  <si>
    <t xml:space="preserve">기타의 투자자산</t>
  </si>
  <si>
    <t xml:space="preserve">서울클럽회원권 30,000,000원</t>
  </si>
  <si>
    <t xml:space="preserve">(2) Tangible assets.</t>
  </si>
  <si>
    <t xml:space="preserve">(2) 유형자산</t>
  </si>
  <si>
    <t xml:space="preserve">1. 취득: IT장비 등 집기비품 86백만원, 건설중인자산 43백만원 증가(서울 사무실 이전 관련 – 회사 자료상 AUC 74백만원: 사무실 이전 51.5백만원, 기타 22.5백만원)
2. 감가상각: 494백만원 (K-GAAP 기준, 사용권자산 상각 제외)
3. 처분 및 대체 없음</t>
  </si>
  <si>
    <t xml:space="preserve">1. Land.</t>
  </si>
  <si>
    <t xml:space="preserve">토지</t>
  </si>
  <si>
    <t xml:space="preserve">2. Building.</t>
  </si>
  <si>
    <t xml:space="preserve">건물</t>
  </si>
  <si>
    <t xml:space="preserve">Accumulated depreciation - Building</t>
  </si>
  <si>
    <t xml:space="preserve">감가상각누계액-건물</t>
  </si>
  <si>
    <t xml:space="preserve">3. Construction.</t>
  </si>
  <si>
    <t xml:space="preserve">구축물</t>
  </si>
  <si>
    <t xml:space="preserve">Accumulated depreciation - Construction</t>
  </si>
  <si>
    <t xml:space="preserve">감가상각누계액-구축물</t>
  </si>
  <si>
    <t xml:space="preserve">4. Mechanical equipment.</t>
  </si>
  <si>
    <t xml:space="preserve">기계장치</t>
  </si>
  <si>
    <t xml:space="preserve">Accumulated depreciation - Machinery</t>
  </si>
  <si>
    <t xml:space="preserve">감가상각누계액-기계장치</t>
  </si>
  <si>
    <t xml:space="preserve">5. Carrier.</t>
  </si>
  <si>
    <t xml:space="preserve">차량운반구</t>
  </si>
  <si>
    <t xml:space="preserve">Accumulated Depreciation Amount - Carrier</t>
  </si>
  <si>
    <t xml:space="preserve">감가상각누계액-차량운반구</t>
  </si>
  <si>
    <t xml:space="preserve">6. Tools and equipment.</t>
  </si>
  <si>
    <t xml:space="preserve">공구와기구</t>
  </si>
  <si>
    <t xml:space="preserve">Accumulated depreciation - tools and equipment</t>
  </si>
  <si>
    <t xml:space="preserve">감가상각누계액-공구와기구</t>
  </si>
  <si>
    <t xml:space="preserve">7. Furniture.</t>
  </si>
  <si>
    <t xml:space="preserve">집기비품</t>
  </si>
  <si>
    <t xml:space="preserve">Accumulated Depreciation Amount - Furniture Equipment</t>
  </si>
  <si>
    <t xml:space="preserve">감가상각누계액-집기비품</t>
  </si>
  <si>
    <t xml:space="preserve">(3) Intangible assets.</t>
  </si>
  <si>
    <t xml:space="preserve">(3) 무형자산</t>
  </si>
  <si>
    <t xml:space="preserve">1. 상표권: 취득원가 10억원과 해당 상각누계액·손상충당금(404백만원·596백만원)을 전액 제거하여 순장부금액 0 → 손익 영향 없음. 제거 사유(Taxotere 글로벌 divestment 관련 여부) 확인 필요
2. 소프트웨어 22백만원 신규 취득(10550400)</t>
  </si>
  <si>
    <t xml:space="preserve">1. Software.</t>
  </si>
  <si>
    <t xml:space="preserve">소프트웨어</t>
  </si>
  <si>
    <t xml:space="preserve">Accumulated depreciation - Software</t>
  </si>
  <si>
    <t xml:space="preserve">감가상각누계액-소프트웨어</t>
  </si>
  <si>
    <t xml:space="preserve">2. Trademark rights.</t>
  </si>
  <si>
    <t xml:space="preserve">상표권</t>
  </si>
  <si>
    <t xml:space="preserve">Accumulated amortization of trademark rights.</t>
  </si>
  <si>
    <t xml:space="preserve">상표권상각누계액</t>
  </si>
  <si>
    <t xml:space="preserve">Provision for loss reduction of intangible assets</t>
  </si>
  <si>
    <t xml:space="preserve">무형자산감액손실충당금</t>
  </si>
  <si>
    <t xml:space="preserve">3. Business right.</t>
  </si>
  <si>
    <t xml:space="preserve">영업권</t>
  </si>
  <si>
    <t xml:space="preserve">Accumulated amortization of goodwill.</t>
  </si>
  <si>
    <t xml:space="preserve">영업권상각누계액</t>
  </si>
  <si>
    <t xml:space="preserve">(4) Other non-current assets.</t>
  </si>
  <si>
    <t xml:space="preserve">(4) 기타의 비유동자산</t>
  </si>
  <si>
    <t xml:space="preserve">1. Deposit.</t>
  </si>
  <si>
    <t xml:space="preserve">보증금</t>
  </si>
  <si>
    <t xml:space="preserve">전기말 1,181백만원 → 9월말 1,902백만원 (+721백만원)
1. 반포 본사 임차보증금 1,181백만원 (계약기간 22.1.1~26.11.30)
2. 신규 사무실(센터필드) 임차보증금 30% 선지급 721백만원 → 26년 11월 반포 계약 만료에 따라 사무실 이전 예정
3. 서울클럽 회원권 30백만원은 기타의 투자자산으로 재분류 (statutory #1)
※ 이전 시 반포 사무실 복구충당부채(912백만원) 정산 및 신규 임차계약 조건 검토 필요</t>
  </si>
  <si>
    <t xml:space="preserve">2. Long-term advance payment cost.</t>
  </si>
  <si>
    <t xml:space="preserve">장기선급비용</t>
  </si>
  <si>
    <t xml:space="preserve">3. Deferred corporate tax assets.</t>
  </si>
  <si>
    <t xml:space="preserve">이연법인세자산</t>
  </si>
  <si>
    <t xml:space="preserve">4. Prepaid corporate tax.</t>
  </si>
  <si>
    <t xml:space="preserve">선급법인세</t>
  </si>
  <si>
    <t xml:space="preserve">5</t>
  </si>
  <si>
    <t xml:space="preserve">장기미수금</t>
  </si>
  <si>
    <t xml:space="preserve">6</t>
  </si>
  <si>
    <t xml:space="preserve">대손충당금(비유동)</t>
  </si>
  <si>
    <t xml:space="preserve">(5) Assets under construction.</t>
  </si>
  <si>
    <t xml:space="preserve">(5)</t>
  </si>
  <si>
    <t xml:space="preserve">건설중인자산</t>
  </si>
  <si>
    <t xml:space="preserve">서울 사무실 이전 관련 건설중인자산 43백만원 증가 (회사 자료상 AUC 74백만원과 차이 → 확인 필요)</t>
  </si>
  <si>
    <t xml:space="preserve">Total assets.</t>
  </si>
  <si>
    <t xml:space="preserve">자산총계</t>
  </si>
  <si>
    <t xml:space="preserve">부채</t>
  </si>
  <si>
    <t xml:space="preserve">I. Current liabilities.</t>
  </si>
  <si>
    <t xml:space="preserve">I. 유동부채</t>
  </si>
  <si>
    <t xml:space="preserve">주요 증가 원인은 관계사 매입채무 875억원 증가임 (매입채무 코멘트 참조)</t>
  </si>
  <si>
    <t xml:space="preserve">1. Purchase obligation.</t>
  </si>
  <si>
    <t xml:space="preserve">매입채무</t>
  </si>
  <si>
    <t xml:space="preserve">전기말 137억원 → 9월말 906억원 (+769억원)
1. 관계사 매입채무(40100000) 0 → 875억원: Sanofi-Aventis Singapore 874억원
 - 9월 매입 trade invoice 미결제분 (VAXIGRIP 21%, ELOXATIN 13%, TAXOTERE 11%, FABRAZYME 11%)
 - 지급조건에 따라 12월 지급 예정 (114백만원은 9월 결제분이 treasury 조정으로 연체됨)
 - 전기말에는 그룹 현금 최적화 정책에 따라 관계사 채무를 조기 결제하여 잔액 0
2. 제3자 상품 매입채무(40000000) 135억 → 27억원: 한독 117억 → 15억원(상품 매입 102억원 감소), 한미약품 18억 → 12억원(Rovelito 매입 감소)
3. 매입채무 회전일수(연환산 매입액 기준) 59일 (전기말 10일)
※ 회사 2026 매핑에 따라 OneCASA 임상 미지급(40000850, 131억원)은 미지급비용으로 분류 (전기 FS_map: 매입채무)</t>
  </si>
  <si>
    <t xml:space="preserve">2. Short-term loans.</t>
  </si>
  <si>
    <t xml:space="preserve">단기차입금</t>
  </si>
  <si>
    <t xml:space="preserve">3. Outstanding payments.</t>
  </si>
  <si>
    <t xml:space="preserve">미지급금</t>
  </si>
  <si>
    <t xml:space="preserve">전기말 141억원 → 9월말 114억원 (−28억원)
1. 비상품 매입채무(AP Trade non-COGS, 40000012) 128억 → 77억원(−51억원): 상위 5개 거래처가 −32억원 기여
 - 마콜컨설팅 −9.1억, ICON CRO −8.8억, LG화학 −7.6억, 쉥커코리아 −3.9억, 엠투컴 −2.7억원
2. 관계사 미지급금(42050000) Sanofi Pasteur Inc 25억원 신규 (Beyfortus trade invoice, 12월 지급 예정)
3. GR/IR(비재고) 19억 → 18억원
4. statutory #8: 사회보험 관련 그룹리포팅/SAP 매핑차이 612백만원을 미지급비용으로 대체</t>
  </si>
  <si>
    <t xml:space="preserve">4. Advance payment.</t>
  </si>
  <si>
    <t xml:space="preserve">선수금</t>
  </si>
  <si>
    <t xml:space="preserve">5. Deposit.</t>
  </si>
  <si>
    <t xml:space="preserve">예수금</t>
  </si>
  <si>
    <t xml:space="preserve">전기말 12억원 → 9월말 22억원 (+10억원)
1. 임직원 원천세 예수금 561백만원 → 1,404백만원: 급여시스템 오류로 인한 일회성 원천세 조정 810백만원 포함(10월 원천세 납부 시 정산 예정). 이를 제외한 9월분은 595백만원으로 예년 수준
2. 로열티 원천세 214백만원 (Rezurock 로열티 관련)
3. 사회보험 예수금 609백만원 (전기말 616백만원)</t>
  </si>
  <si>
    <t xml:space="preserve">6. Outstanding expenses.</t>
  </si>
  <si>
    <t xml:space="preserve">미지급비용</t>
  </si>
  <si>
    <t xml:space="preserve">전기말 939억원 → 9월말 826억원 (−113억원)
1. 구조조정충당부채(38160000) 169억 → 45억원: 2025년 Drive 구조조정 충당금 정산 −134억원, 2026년 신규 설정 10억원
2. 매출 리베이트·장려금
 - Provision for rebate 522억 → 500억원: 24년분 23억원 정리 (잔액 Dupixent 426억원, Rezurock 75억원; 25년분 160억원은 27년까지 월별 정리 예정)
 - Partner incentive(42910852) 51억 → 105억원: 26년부터 백신 장려금 계상 25억원, 한독 24/25년분 24억원 미정산(시장자료 지연·분쟁, 10월 정리 예정) 및 당기 27억원
 - 백신 판매장려금(42910854) 50억원 → 0 (2분기 전액 정산)
 - 이 중 매출채권 직접차감 대상(42910850/852/853) 124억원은 statutory #5로 매출채권과 상계
3. 신규 accrual: OneCASA 임상비용 131억원(40000850), Non-PO 비용(SPC Medical, Diabetes, Transplant, CV-EP 등) 50억원, Rezurock 로열티 18억원(+16억원)
4. AP trade 기타 accrual(42910000) 116억 → 15억원: 25년말 accrual 정리
5. 상여충당금 59억 → 46억원 (25년 STI 45억원 지급·환입, 26년 STI 35억원·영업인센티브 11억원 누적), 연차충당금 12억 → 11억원
6. statutory #8: 미지급금에서 612백만원 대체
※ IFRS16 리스부채의 K-GAAP 제거 조정 후 순액 333백만원(42911100 −232, 86911100 +131, 86200800 −232)이 미지급비용에 남아 있음(전기말 0) → 제거 조정 적정성 확인 필요</t>
  </si>
  <si>
    <t xml:space="preserve">7. Value-added tax deposit.</t>
  </si>
  <si>
    <t xml:space="preserve">부가가치세예수금</t>
  </si>
  <si>
    <t xml:space="preserve">매출세액 178억 → 223억원(+44억원, 매출 증가), 매입세액 135억 → 184억원(+49억원, 인천공항세관 수입부가세 +36억원 등)으로 순액 5억원 감소</t>
  </si>
  <si>
    <t xml:space="preserve">9. Unpaid corporate tax.</t>
  </si>
  <si>
    <t xml:space="preserve">미지급법인세</t>
  </si>
  <si>
    <t xml:space="preserve">전기말 66억원 → 9월말 15억원 (−51억원)
1. SAP 당기 미지급법인세(42930000) 110억 → 35억원
 - 25년 법인세 신고·납부 −110억원, 26년 9월 누적 법인세 추정 88억원 계상
 - 중간예납 50억원 상계 (회사: A25000 → L45005 netting −45억원), Taxotere 처분손실 관련 −3억원 등
2. 로컬 조정(86429307): 전기말 statutory 법인세 조정 잔액 35.9억원은 당기 P16에서 정리(0)
3. statutory #15(잉여금 차이 조정) 11.3억원 차변 반영 → 상대계정 및 근거 확인 필요
4. Local PCoA(84429300) 7.8억원은 전기 이전부터 변동 없는 잔액 → 실재성 확인 필요</t>
  </si>
  <si>
    <t xml:space="preserve">10. The unpaid currency line.</t>
  </si>
  <si>
    <t xml:space="preserve">미지급통화선도</t>
  </si>
  <si>
    <t xml:space="preserve">11. Liquidity bonds.</t>
  </si>
  <si>
    <t xml:space="preserve">유동성사채</t>
  </si>
  <si>
    <t xml:space="preserve">12. Rental deposit.</t>
  </si>
  <si>
    <t xml:space="preserve">임대보증금</t>
  </si>
  <si>
    <t xml:space="preserve">13.</t>
  </si>
  <si>
    <t xml:space="preserve">반품충당금유동</t>
  </si>
  <si>
    <t xml:space="preserve">반품충당부채(유동+비유동) 전기말 77억원 → 9월말 69억원 (−7억원)
1. 백신 −6.8억원: 2025년분 대부분 정산. 9월말 잔액 44.5억원 (25년분 26억원(Vaxigrip 23억원) – 10월 정산 예정, 26년분 18억원)
2. Pharma −0.5억원: 24/25년분을 매월 정액 환입 중. 9월말 잔액 24.8억원 (24년분 3억원 – 26년 중 정리, 25년분 9억원 – 27년 정리, 26년분 12억원)
3. statutory #3: Pharma 반품충당부채 중 비유동분 646백만원(전기말 780백만원)을 비유동으로 대체</t>
  </si>
  <si>
    <t xml:space="preserve">II. Fixed debt.</t>
  </si>
  <si>
    <t xml:space="preserve">II. 고 정 부 채</t>
  </si>
  <si>
    <t xml:space="preserve">1. Allowance for retirement benefits.</t>
  </si>
  <si>
    <t xml:space="preserve">퇴직급여충당금</t>
  </si>
  <si>
    <t xml:space="preserve">Retirement insurance deposit.</t>
  </si>
  <si>
    <t xml:space="preserve">퇴직보험예치금</t>
  </si>
  <si>
    <t xml:space="preserve">National pension conversion fund.</t>
  </si>
  <si>
    <t xml:space="preserve">국민연금전환금</t>
  </si>
  <si>
    <t xml:space="preserve">2. Allowance for returns.</t>
  </si>
  <si>
    <t xml:space="preserve">반품충당금</t>
  </si>
  <si>
    <t xml:space="preserve">반품충당금유동 코멘트 참조 (Pharma 반품충당부채의 50%를 비유동으로 분류)</t>
  </si>
  <si>
    <t xml:space="preserve">복구충당부채</t>
  </si>
  <si>
    <t xml:space="preserve">반포 사무실 복구충당부채 912백만원, 할인액 상각 11백만원. 26년 11월 임차계약 만료 및 이전 예정 → 복구의무 이행 및 정산 여부 확인 필요</t>
  </si>
  <si>
    <t xml:space="preserve">이연법인세부채</t>
  </si>
  <si>
    <t xml:space="preserve">소송충당부채</t>
  </si>
  <si>
    <t xml:space="preserve">Total amount of fans.</t>
  </si>
  <si>
    <t xml:space="preserve">부채총계</t>
  </si>
  <si>
    <t xml:space="preserve">주요 증가 원인은 관계사 매입채무 875억원 증가임 (매입채무·미지급비용 코멘트 참조)</t>
  </si>
  <si>
    <t xml:space="preserve">negative debt</t>
  </si>
  <si>
    <t xml:space="preserve">자본</t>
  </si>
  <si>
    <t xml:space="preserve">I. Capital gold.</t>
  </si>
  <si>
    <t xml:space="preserve">I. 자 본 금</t>
  </si>
  <si>
    <t xml:space="preserve">1. Capital of common stock.</t>
  </si>
  <si>
    <t xml:space="preserve">보통주자본금</t>
  </si>
  <si>
    <t xml:space="preserve">II. Capital surplus.</t>
  </si>
  <si>
    <t xml:space="preserve">II. 자본잉여금</t>
  </si>
  <si>
    <t xml:space="preserve">Stock issuance surcharge.</t>
  </si>
  <si>
    <t xml:space="preserve">주식발행초과금</t>
  </si>
  <si>
    <t xml:space="preserve">Other capital surplus.</t>
  </si>
  <si>
    <t xml:space="preserve">기타자본잉여금</t>
  </si>
  <si>
    <t xml:space="preserve">III. 기타포괄손익</t>
  </si>
  <si>
    <t xml:space="preserve">지분법자본변동</t>
  </si>
  <si>
    <t xml:space="preserve">III. Retained earnings (or deficits)</t>
  </si>
  <si>
    <t xml:space="preserve">Ⅳ. 이익잉여금(또는 결손금)</t>
  </si>
  <si>
    <t xml:space="preserve">1. Profit reserves.</t>
  </si>
  <si>
    <t xml:space="preserve">이익준비금</t>
  </si>
  <si>
    <t xml:space="preserve">상법상 이익준비금 282백만원 적립 → 잔액 2,144백만원으로 자본금(4,287백만원)의 1/2 한도 도달 (그래서 520억원 배당의 1/10에 미달하게 적립됨)</t>
  </si>
  <si>
    <t xml:space="preserve">2. Retained earnings before disposal.</t>
  </si>
  <si>
    <t xml:space="preserve">처분전 이익잉여금</t>
  </si>
  <si>
    <t xml:space="preserve">Retained earnings.</t>
  </si>
  <si>
    <t xml:space="preserve">이익잉여금</t>
  </si>
  <si>
    <t xml:space="preserve">전기말 810억원 → 9월말 667억원 (−143억원)
1. 전기순이익 대체 +380억원
2. 배당금 지급 −520억원 (26년 3월 결의, SAP 32200001)
3. 이익준비금 적립 −2.8억원
4. statutory #15: SAP(P16) 이월 기초잉여금이 전기말 확정 잉여금보다 11.3억원 작게 이월되어(86322000 당기 증가) 조정 반영 → 원인(전기 법인세 관련 P16 이월분개로 추정) 확인 필요
→ 기초 810억 + 380억 − 520억 − 2.8억 = 667억원으로 정산표 금액과 일치</t>
  </si>
  <si>
    <t xml:space="preserve">Net profit for the term.</t>
  </si>
  <si>
    <t xml:space="preserve">당기순이익</t>
  </si>
  <si>
    <t xml:space="preserve">9월 누적 493억원 (연환산 657억원). 손익계산서 참조. statutory 조정분개는 손익 중립</t>
  </si>
  <si>
    <t xml:space="preserve">자본총계</t>
  </si>
  <si>
    <t xml:space="preserve">부채와자본총계</t>
  </si>
  <si>
    <t xml:space="preserve">손익계산서</t>
  </si>
  <si>
    <t xml:space="preserve">벤치마크: 매출액</t>
  </si>
  <si>
    <t xml:space="preserve">회사 F/S 대사 (PL_DEC.2026)</t>
  </si>
  <si>
    <t xml:space="preserve">연환산</t>
  </si>
  <si>
    <t xml:space="preserve">Var.</t>
  </si>
  <si>
    <t xml:space="preserve">Diff (E-U)</t>
  </si>
  <si>
    <t xml:space="preserve">회사 Statutory(L열)</t>
  </si>
  <si>
    <t xml:space="preserve">Diff (F-W)</t>
  </si>
  <si>
    <t xml:space="preserve">I. 매출액</t>
  </si>
  <si>
    <t xml:space="preserve">매출액</t>
  </si>
  <si>
    <t xml:space="preserve">9월 누적 5,323억원 (전년 동기 4,991억원 대비 +333억원, +6.7%), 연환산 7,098억원 (전기 6,458억원 대비 +640억원, +9.9%)
1. 총매출 +475억원 (회사 IFRS 분석 기준)
 1) Pharma +368억원: Dupixent +160억원(AS 적응증 급여, COPD 출시, 환자 수 증가), Rezurock +145억원(급여 출시), Plavix +75억원(의료파업 영향)
 2) Vaccines −3억원: Beyfortus +273억원, Hexaxim +122억원(Pentaxim 전환 및 출생아 증가), Menquadfi +68억원(군납 조기주문) vs Vaxigrip −299억원(공급 제약), 기타 제품 믹스 −166억원
 3) 글로벌 divestment 품목은 MA 이전 완료 전까지 매출에 포함: Taxotere 94억원, Carprelsa 16억원
2. 매출차감
 - 시장접근(MA) 약정 546억원 (전년 동기 412억원, Dupixent·Rezurock 증가)
 - 입찰/가격조정 115억원 (전년 동기 193억원, Vaxigrip 공급 제약)
 - 판매장려금 658억원 (전년 동기 562억원, Eloxatin·Plavix 판매 증가)
 - 반품 30억원 (Taxotere 품질이슈 회수 등)
3. 관계사 수출 매출 8.4억원 (Sanofi Winthrop, Menquadfi QC 실패 관련 수출)
(출처: 회사 PL 분석적검토 – YTD Sep'26 vs YTD Sep'25)</t>
  </si>
  <si>
    <t xml:space="preserve">용역수익</t>
  </si>
  <si>
    <t xml:space="preserve">II. 매출원가</t>
  </si>
  <si>
    <t xml:space="preserve">(1)</t>
  </si>
  <si>
    <t xml:space="preserve">상품매출원가</t>
  </si>
  <si>
    <t xml:space="preserve">9월 누적 4,014억원 (전년 동기 3,748억원 대비 +266억원). 매출원가율 75.4% (전년 동기 75.1%, 전기 77.7%)
1. 매출 증가에 따른 원가 증가가 주요인. 회사 IFRS 기준 매출원가 +293억원이며, 회사는 매출총이익률을 그룹 TP 정책에 따라 월별로 관리함
2. 수불부 대사: 수불부 매출원가 4,018억원과 GL 상품매출원가의 차이 −4.1억원은 86000800(P16, 전기 TP조정 408백만원 reversal)으로 설명됨 (N14 = 0)
3. 관계사 전기 TP조정 비용 30.2억원과 백신 TP credit note −26.2억원은 잡손실로 분류됨 → 매출원가 해당 여부 검토 필요
4. 수불부 타계정(매입가격차이) 산식에 회사가 확인한 오류 −5.2억원 포함 (10월 수정 예정)</t>
  </si>
  <si>
    <t xml:space="preserve">← 0이어야 함 (SAP 상품매출원가 = 수불부 매출원가 + 86000800 P16 reversal)</t>
  </si>
  <si>
    <t xml:space="preserve">기초상품재고액</t>
  </si>
  <si>
    <t xml:space="preserve">&lt;상품수불부&gt;</t>
  </si>
  <si>
    <t xml:space="preserve">합병으로인한전입액</t>
  </si>
  <si>
    <t xml:space="preserve">구분</t>
  </si>
  <si>
    <t xml:space="preserve">&lt;'26년9월말&gt;</t>
  </si>
  <si>
    <t xml:space="preserve">당기상품매입액</t>
  </si>
  <si>
    <t xml:space="preserve">9월 누적 4,237억원 (전년 동기 3,664억원 대비 +573억원), 연환산 5,649억원 (전기 4,970억원)
1. 매출 증가 및 재고 증가(기말상품 +219억원: Taxotere MA 이전 대비 선확보 90억원, Hexaxim·Beyfortus 시즌재고 150억원)에 따른 매입 증가
2. 관계사 매입채무(Sanofi-Aventis Singapore) 874억원 증가와 일관됨
3. 매입가격차이(타계정) −10.5억원 포함</t>
  </si>
  <si>
    <t xml:space="preserve">기초</t>
  </si>
  <si>
    <t xml:space="preserve">관세환급금</t>
  </si>
  <si>
    <t xml:space="preserve">입고</t>
  </si>
  <si>
    <t xml:space="preserve">타계정에서대체-상품</t>
  </si>
  <si>
    <t xml:space="preserve">   상품매입</t>
  </si>
  <si>
    <t xml:space="preserve">Q</t>
  </si>
  <si>
    <t xml:space="preserve">계</t>
  </si>
  <si>
    <t xml:space="preserve">   타계정(매입가격차이)</t>
  </si>
  <si>
    <t xml:space="preserve">T</t>
  </si>
  <si>
    <t xml:space="preserve">타계정으로대체-상품</t>
  </si>
  <si>
    <t xml:space="preserve">견본품 등 타계정 대체 32백만원 (전년 동기 260백만원, 전기 연간 298백만원)</t>
  </si>
  <si>
    <t xml:space="preserve">출고</t>
  </si>
  <si>
    <t xml:space="preserve">기말상품재고액</t>
  </si>
  <si>
    <t xml:space="preserve">기말상품(평가충당금 차감 후) 1,776억원. BS 재고자산 코멘트 참조</t>
  </si>
  <si>
    <t xml:space="preserve">   매출원가</t>
  </si>
  <si>
    <t xml:space="preserve">AA</t>
  </si>
  <si>
    <t xml:space="preserve">(2) 제품매출원가</t>
  </si>
  <si>
    <t xml:space="preserve">   타계정</t>
  </si>
  <si>
    <t xml:space="preserve">AD -sampling</t>
  </si>
  <si>
    <t xml:space="preserve">기초제품재고액</t>
  </si>
  <si>
    <t xml:space="preserve">기말</t>
  </si>
  <si>
    <t xml:space="preserve">당기제품제조원가</t>
  </si>
  <si>
    <t xml:space="preserve">타계정에서대체-제품</t>
  </si>
  <si>
    <t xml:space="preserve">타계정으로대체-제품</t>
  </si>
  <si>
    <t xml:space="preserve">기말제품재고액</t>
  </si>
  <si>
    <t xml:space="preserve">(3)</t>
  </si>
  <si>
    <t xml:space="preserve">용역원가</t>
  </si>
  <si>
    <t xml:space="preserve">III. 매출총이익</t>
  </si>
  <si>
    <t xml:space="preserve">IV. 판매비와일반관리비</t>
  </si>
  <si>
    <t xml:space="preserve">(1) 판매직접비</t>
  </si>
  <si>
    <t xml:space="preserve">판매수당</t>
  </si>
  <si>
    <t xml:space="preserve">9월 누적 33.5억원 (전년 동기 32.4억원)
1. 영업 인센티브 지급 41.6억원 (전기 연간 41.7억원)
2. 충당금 −8.1억원: 24년분 영업인센티브 3.8억원(3월)과 25년분 8억원(7월)을 손익으로 환입</t>
  </si>
  <si>
    <t xml:space="preserve">판매촉진비</t>
  </si>
  <si>
    <t xml:space="preserve">하조및운임</t>
  </si>
  <si>
    <t xml:space="preserve">9월 누적 16.4억원 (전년 동기 18.7억원). 운송비 8.8억원 (전기 연간 18.2억원), 외부보관료 7.6억원 (전기 연간 12.2억원)</t>
  </si>
  <si>
    <t xml:space="preserve">시장개척비</t>
  </si>
  <si>
    <t xml:space="preserve">광고선전비</t>
  </si>
  <si>
    <t xml:space="preserve">9월 누적 110억원 (전년 동기 122억원 대비 −12억원)
1. Pharma A&amp;P 감소: EP·희귀질환 판촉활동 축소, 항암 사업 divestment, 활동 지연
2. 백신은 전년 RSV 출시 관련 조기 집행 효과가 소멸
3. 주요 계정 (전기 연간 → 당기 9월 누적): PR비 42억 → 22억원, 후원비 26억 → 14억원, 외부행사 34억 → 23억원</t>
  </si>
  <si>
    <t xml:space="preserve">(2) 인건비</t>
  </si>
  <si>
    <t xml:space="preserve">임원급여</t>
  </si>
  <si>
    <t xml:space="preserve">급여</t>
  </si>
  <si>
    <t xml:space="preserve">9월 누적 247억원 (전년 동기 273억원), 연환산 329억원으로 전기 514억원 대비 −185억원
1. 전기 급여에는 Drive 구조조정 관련 명예퇴직 충당금 166억원(70051000)이 포함됨. 당기는 −14억원 순환입 (전기 Drive 구조조정 충당금 초과분 환입, GSF 구조조정(Argo·DD&amp;O 등) 신규 비용 반영)
2. 경상 급여(62000300) 9월 누적 276억원 (연환산 368억원, 전기 372억원): 영업인력 감소(전년 대비 −20명) 효과로 소폭 감소
3. CRU rebilling 비용차감 조정(statutory #2): 당기 23.7억원, 전기 연간 42.4억원 → 배분 기준 일관성 확인 필요</t>
  </si>
  <si>
    <t xml:space="preserve">상여와수당</t>
  </si>
  <si>
    <t xml:space="preserve">9월 누적 25.1억원 (전년 동기 28.0억원): 26년 미사용연차 충당 11.3억원(62000717), 종업원 경비 9.1억원, 기타 수당 2.8억원, 연차수당 지급 2.0억원 등</t>
  </si>
  <si>
    <t xml:space="preserve">성과급여</t>
  </si>
  <si>
    <t xml:space="preserve">SAP 성과급여 342백만원 중 333백만원이 CRU rebilling 비용차감 조정으로 대체되어 9백만원 남음 (전기 연간 대체 687백만원) → 배분 기준 확인 필요</t>
  </si>
  <si>
    <t xml:space="preserve">퇴직급여</t>
  </si>
  <si>
    <t xml:space="preserve">확정기여형(DC) 퇴직급여 46.6억원 (연환산 62억원, 전기 SAP 58억원). CRU 대체 3.5억원 차감 후 43.1억원</t>
  </si>
  <si>
    <t xml:space="preserve">명예퇴직금</t>
  </si>
  <si>
    <t xml:space="preserve">잡급</t>
  </si>
  <si>
    <t xml:space="preserve">(3) 경비</t>
  </si>
  <si>
    <t xml:space="preserve">복리후생비</t>
  </si>
  <si>
    <t xml:space="preserve">9월 누적 24.8억원 (전년 동기 25.5억원). CRU rebilling 대체 1.6억원 차감 후 금액</t>
  </si>
  <si>
    <t xml:space="preserve">여비교통비</t>
  </si>
  <si>
    <t xml:space="preserve">9월 누적 30.5억원 (전년 동기 34.7억원 대비 −4.2억원). 영업인력 감소에 따른 국내 교통비·식대 감소</t>
  </si>
  <si>
    <t xml:space="preserve">통신비</t>
  </si>
  <si>
    <t xml:space="preserve">소모품비</t>
  </si>
  <si>
    <t xml:space="preserve">도서인쇄비</t>
  </si>
  <si>
    <t xml:space="preserve">인쇄용역(66000650) 9월 누적 4.5억원 (전기 연간 3.0억원) 증가</t>
  </si>
  <si>
    <t xml:space="preserve">임차료</t>
  </si>
  <si>
    <t xml:space="preserve">9월 누적 16.0억원 (전년 동기 9.8억원 대비 +6.2억원)
1. 구성: K-GAAP 리스료(86132000) 11.5억원 + 부동산 임차료 12.4억원 − IFRS16 clearing 8.1억원
2. 부동산 임차료 9월 누적 12.4억원 (전기 연간 13.4억원) → 연환산 시 증가
※ 반포 계약 만료(26.11) 및 신규 사무실 이전에 따른 이중 임차 여부와 임차료 기간귀속 확인 필요</t>
  </si>
  <si>
    <t xml:space="preserve">리스료</t>
  </si>
  <si>
    <t xml:space="preserve">수선비</t>
  </si>
  <si>
    <t xml:space="preserve">수도광열비</t>
  </si>
  <si>
    <t xml:space="preserve">회의비</t>
  </si>
  <si>
    <t xml:space="preserve">지급수수료</t>
  </si>
  <si>
    <t xml:space="preserve">9월 누적 139.9억원 (전년 동기 70.7억원 대비 +69.2억원), 연환산 186.5억원 (전기 108.8억원)
1. 주요 원인은 CRU rebilling 비용차감 조정(statutory #2)의 배분 차이: 지급수수료 차감액이 당기 0.6억원, 전기 연간 79.7억원(전년 동기 62.7억원). 조정 전 SAP 기준으로는 9월 누적 140.5억원(연환산 187억원)으로 전기 SAP 188.5억원과 비슷한 수준
2. 3rd party 로열티(55150000, Rezurock) 28.2억원 신규 증가 (전기 연간 4.4억원)
3. 외부 협업 인소싱(68075100) 46.8억원 (전기 연간 67.3억원), 한미약품 profit sharing(Rovelito) 14.4억원 (전기 연간 26.9억원)
※ CRU 대체 배분 기준(지급수수료 0.6억원 vs 보험료 39.8억원)이 적정한지 회사 확인 필요</t>
  </si>
  <si>
    <t xml:space="preserve">제세공과</t>
  </si>
  <si>
    <t xml:space="preserve">9월 누적 16.1억원 (전년 동기 16.2억원). 전기 연간에는 SMIP → SA 주식양도 관련 증권거래세 포함</t>
  </si>
  <si>
    <t xml:space="preserve">접대비</t>
  </si>
  <si>
    <t xml:space="preserve">9월 누적 4.1억원 (전년 동기 5.7억원). CRU 대체 0.07억원 차감</t>
  </si>
  <si>
    <t xml:space="preserve">14.</t>
  </si>
  <si>
    <t xml:space="preserve">운반및보관료</t>
  </si>
  <si>
    <t xml:space="preserve">15.</t>
  </si>
  <si>
    <t xml:space="preserve">차량비</t>
  </si>
  <si>
    <t xml:space="preserve">16.</t>
  </si>
  <si>
    <t xml:space="preserve">임상증례조사비</t>
  </si>
  <si>
    <t xml:space="preserve">SAP 기준 9월 누적 136.4억원 (연환산 181.9억원, 전기 SAP 102.5억원)으로 증가
1. OneCASA 연구비 accrual(63450101) 68.9억원, amlitelimab 등 임상 예산 증가 (회사 IFRS: R&amp;D 비용 +65억원)
2. CRU rebilling 비용차감 133.1억원 (전기 연간 78.9억원) 반영 후 3.2억원</t>
  </si>
  <si>
    <t xml:space="preserve">17.</t>
  </si>
  <si>
    <t xml:space="preserve">감가상각비</t>
  </si>
  <si>
    <t xml:space="preserve">K-GAAP 감가상각비 4.9억원 (사용권자산 상각 11.3억원은 제외). 일부 자산의 상각 완료로 감소</t>
  </si>
  <si>
    <t xml:space="preserve">18.</t>
  </si>
  <si>
    <t xml:space="preserve">보험료</t>
  </si>
  <si>
    <t xml:space="preserve">수정후 보험료 −30.3억원 (음수)
1. SAP 보험료 9.4억원에 CRU rebilling 비용차감 39.8억원이 배분되어 음수 발생 (전기 연간 배분 3.3억원)
2. 배분 오류 가능성이 있으므로 회사 확인 및 재분류 필요 (지급수수료 코멘트 참조)</t>
  </si>
  <si>
    <t xml:space="preserve">19.</t>
  </si>
  <si>
    <t xml:space="preserve">교육훈련비</t>
  </si>
  <si>
    <t xml:space="preserve">20.</t>
  </si>
  <si>
    <t xml:space="preserve">학술비</t>
  </si>
  <si>
    <t xml:space="preserve">21.</t>
  </si>
  <si>
    <t xml:space="preserve">무형자산상각비</t>
  </si>
  <si>
    <t xml:space="preserve">22.</t>
  </si>
  <si>
    <t xml:space="preserve">품질관리비</t>
  </si>
  <si>
    <t xml:space="preserve">23.</t>
  </si>
  <si>
    <t xml:space="preserve">인력채용비</t>
  </si>
  <si>
    <t xml:space="preserve">24.</t>
  </si>
  <si>
    <t xml:space="preserve">대손상각비</t>
  </si>
  <si>
    <t xml:space="preserve">클리닉 매출채권 대손충당금 환입 4백만원 → 대손충당금환입(판관비 차감) 표시 검토</t>
  </si>
  <si>
    <t xml:space="preserve">25.</t>
  </si>
  <si>
    <t xml:space="preserve">잡비</t>
  </si>
  <si>
    <t xml:space="preserve">(5) 판매관리비타계정대체</t>
  </si>
  <si>
    <t xml:space="preserve">V. 영업이익</t>
  </si>
  <si>
    <t xml:space="preserve">VI. 영업외수익</t>
  </si>
  <si>
    <t xml:space="preserve">잡이익 코멘트 참조. 그 외 외화환산이익 1.2억원, 이자수익 2.0억원</t>
  </si>
  <si>
    <t xml:space="preserve">이자수익</t>
  </si>
  <si>
    <t xml:space="preserve">외환차익</t>
  </si>
  <si>
    <t xml:space="preserve">외화환산이익</t>
  </si>
  <si>
    <t xml:space="preserve">외화 채무 환산이익 1.2억원 (9월말 환율 기준)</t>
  </si>
  <si>
    <t xml:space="preserve">투자자산처분이익</t>
  </si>
  <si>
    <t xml:space="preserve">유형자산처분이익</t>
  </si>
  <si>
    <t xml:space="preserve">통화선도거래이익</t>
  </si>
  <si>
    <t xml:space="preserve">기타수입수수료</t>
  </si>
  <si>
    <t xml:space="preserve">대손충당금환입</t>
  </si>
  <si>
    <t xml:space="preserve">법인세환급액</t>
  </si>
  <si>
    <t xml:space="preserve">마케팅지원금</t>
  </si>
  <si>
    <t xml:space="preserve">잡이익</t>
  </si>
  <si>
    <t xml:space="preserve">9월 누적 7.3억원 (전년 동기 85.6억원 대비 −78.3억원), 전기 연간 189.5억원
1. 전기에는 제미글로 소송 승소에 따른 소송충당부채 환입(법원공탁금 회수) 84억원 등 일회성 이익이 포함됨. 당기 해당 없음
2. CRU(R&amp;D 임상) rebilling 관계사 수익(74250001) 9월 누적 230.5억원 (전년 동기 145.9억원, +84.6억원) 중 207.9억원은 statutory 조정(#2)으로 관련 비용과 상계
 → 잡이익 잔액은 로열티수익 9.8억원(Aprovasc·디트로반) 등
3. P16 잡이익 조정(86200400) 차변 25.1억원은 전기말 CRU true-up 미수금(22.6억원)의 역분개 성격으로 추정됨 → 차이 2.5억원 확인 필요
4. 회사 PL_DEC.2026의 statutory 잡이익은 산식 오류로 101백만원 과소 (정산표는 조정분개 기준으로 반영)</t>
  </si>
  <si>
    <t xml:space="preserve">지분법이익</t>
  </si>
  <si>
    <t xml:space="preserve">복구공사이익</t>
  </si>
  <si>
    <t xml:space="preserve">14</t>
  </si>
  <si>
    <t xml:space="preserve">배당금수익</t>
  </si>
  <si>
    <t xml:space="preserve">VII. 영업외비용</t>
  </si>
  <si>
    <t xml:space="preserve">이자비용</t>
  </si>
  <si>
    <t xml:space="preserve">신용한도(credit line) 이자 1.4억원 등. 9월 누적 1.5억원 (전년 동기 1.2억원)</t>
  </si>
  <si>
    <t xml:space="preserve">매출채권매각손실</t>
  </si>
  <si>
    <t xml:space="preserve">외환차손</t>
  </si>
  <si>
    <t xml:space="preserve">외환차익(74100000) 7.9억원과 외환차손(74110000) 7.5억원의 순액이 이익 0.4억원이어서 외환차손이 음수로 표시됨 → 전기처럼 외환차익으로 재분류 검토</t>
  </si>
  <si>
    <t xml:space="preserve">외화환산손실</t>
  </si>
  <si>
    <t xml:space="preserve">기부금</t>
  </si>
  <si>
    <t xml:space="preserve">9월 누적 2.9억원 (전년 동기 2.1억원)</t>
  </si>
  <si>
    <t xml:space="preserve">퇴직위로금</t>
  </si>
  <si>
    <t xml:space="preserve">투자자산처분손실</t>
  </si>
  <si>
    <t xml:space="preserve">Taxotere 글로벌 divestment에 따른 처분손실 13.7억원 (회사: EUR 797천)
1. 처분대가 18.7억원 (EUR 1,088천) − 양도 재고자산 장부가 32.5억원 (EUR 1,885천)
2. 관련 법인세 효과 −3.3억원
3. 재고자산(사업) 양도에 따른 손실이므로 K-GAAP 계정분류(투자자산처분손실 → 사업양도손실 등) 검토 필요
※ 전년 동기 −74.3억원은 SMIP 주식 처분이익(SMIP → SA 합병)</t>
  </si>
  <si>
    <t xml:space="preserve">유형자산처분손실</t>
  </si>
  <si>
    <t xml:space="preserve">무형자산감액손실</t>
  </si>
  <si>
    <t xml:space="preserve">무형자산처분손실</t>
  </si>
  <si>
    <t xml:space="preserve">법인세추납액</t>
  </si>
  <si>
    <t xml:space="preserve">통화선도거래손실</t>
  </si>
  <si>
    <t xml:space="preserve">수익조정보전손실</t>
  </si>
  <si>
    <t xml:space="preserve">통화선도평가손실</t>
  </si>
  <si>
    <t xml:space="preserve">지분법손실</t>
  </si>
  <si>
    <t xml:space="preserve">잡손실</t>
  </si>
  <si>
    <t xml:space="preserve">9월 누적 4.0억원
1. 관계사 전기 TP조정 비용(74260026) 30.2억원
2. 백신 TP 관련 credit note(74260024) −26.2억원: SAS credit note가 SAS → SAK 관계사 매출을 초과하지 않도록 하는 그룹 정책에 따라 발행
※ TP조정의 성격상 매출원가 반영 여부 검토 필요</t>
  </si>
  <si>
    <t xml:space="preserve">VIII. 경상이익</t>
  </si>
  <si>
    <t xml:space="preserve">IX. </t>
  </si>
  <si>
    <t xml:space="preserve">특별이익</t>
  </si>
  <si>
    <t xml:space="preserve">X. </t>
  </si>
  <si>
    <t xml:space="preserve">특별손실</t>
  </si>
  <si>
    <t xml:space="preserve">XI.  법인세차감전순이익</t>
  </si>
  <si>
    <t xml:space="preserve">XII.</t>
  </si>
  <si>
    <t xml:space="preserve">법인세비용</t>
  </si>
  <si>
    <t xml:space="preserve">9월 누적 111.9억원 (유효세율 18.5%, 전기 21.3%)
1. 당기법인세 88.5억원, 이연법인세 46.3억원 (법인세율 23.1% → 24.2% 변경에 따른 기초 이연법인세자산 재측정 효과 −11.6억원 포함)
2. Taxotere 처분손실 관련 법인세 −3.3억원
3. P16 로컬 조정(86000000) −20.1억원 → 내역 확인 필요
※ 기말 세무조정 후 확정 예정</t>
  </si>
  <si>
    <t xml:space="preserve">XIII. 당기순이익</t>
  </si>
  <si>
    <t xml:space="preserve">9월 누적 492.9억원 (전년 동기 515.0억원 대비 −22.1억원)
1. 영업이익 +101.9억원 (매출총이익 +67억원, 판관비 −35억원)
2. 영업외손익: 전기 SMIP 주식처분이익 74억원과 제미글로 소송충당부채 환입 84억원이 소멸했고, 당기 Taxotere 처분손실 13.7억원 발생</t>
  </si>
  <si>
    <t xml:space="preserve">SAP GL</t>
  </si>
  <si>
    <t xml:space="preserve">Description</t>
  </si>
  <si>
    <t xml:space="preserve">Type</t>
  </si>
  <si>
    <t xml:space="preserve">Local Class(결산보고서)</t>
  </si>
  <si>
    <t xml:space="preserve">English</t>
  </si>
  <si>
    <t xml:space="preserve">(01.2026-09.2026)
SAP</t>
  </si>
  <si>
    <t xml:space="preserve">Debit</t>
  </si>
  <si>
    <t xml:space="preserve">Credit</t>
  </si>
  <si>
    <t xml:space="preserve">2025.12
SAP(YTD)</t>
  </si>
  <si>
    <t xml:space="preserve">Source</t>
  </si>
  <si>
    <t xml:space="preserve">회사 매핑
(BSPL2026 M열)</t>
  </si>
  <si>
    <t xml:space="preserve">매핑 check</t>
  </si>
  <si>
    <t xml:space="preserve">10100082</t>
  </si>
  <si>
    <t xml:space="preserve">Lands and Buildings -Right of Use -Man</t>
  </si>
  <si>
    <t xml:space="preserve">BS</t>
  </si>
  <si>
    <t xml:space="preserve">자산</t>
  </si>
  <si>
    <t xml:space="preserve">Lands and Buildings -Right of use (Man)</t>
  </si>
  <si>
    <t xml:space="preserve">from BSPL2026</t>
  </si>
  <si>
    <t xml:space="preserve">10100083</t>
  </si>
  <si>
    <t xml:space="preserve">Depreciation Land and Build -Right of Use -Man</t>
  </si>
  <si>
    <t xml:space="preserve">Acc.dep.Land and Build.-Right (Man)</t>
  </si>
  <si>
    <t xml:space="preserve">10100850</t>
  </si>
  <si>
    <t xml:space="preserve">Buildings -(A) Rec</t>
  </si>
  <si>
    <t xml:space="preserve">Structures</t>
  </si>
  <si>
    <t xml:space="preserve">10150000</t>
  </si>
  <si>
    <t xml:space="preserve">Buildings -Leasehold Improvements -(A) Rec</t>
  </si>
  <si>
    <t xml:space="preserve">Depreciation Buildings -Leasehold Improve -(A) Rec</t>
  </si>
  <si>
    <t xml:space="preserve">10200000</t>
  </si>
  <si>
    <t xml:space="preserve">Machinery and Equipment -(A) Rec</t>
  </si>
  <si>
    <t xml:space="preserve">Plant &amp; Machinery</t>
  </si>
  <si>
    <t xml:space="preserve">10200921</t>
  </si>
  <si>
    <t xml:space="preserve">Samples -Manual</t>
  </si>
  <si>
    <t xml:space="preserve">10300000</t>
  </si>
  <si>
    <t xml:space="preserve">Other FA -Furniture Fixtures &amp; Office Equ -(A) Rec</t>
  </si>
  <si>
    <t xml:space="preserve">Furniture/Fittings/Office Equipment</t>
  </si>
  <si>
    <t xml:space="preserve">10300850</t>
  </si>
  <si>
    <t xml:space="preserve">Other Fixed Assets -(A) Rec</t>
  </si>
  <si>
    <t xml:space="preserve">Other Tools and Furniture</t>
  </si>
  <si>
    <t xml:space="preserve">10350000</t>
  </si>
  <si>
    <t xml:space="preserve">Other FA -IT Equipment -(A) Rec</t>
  </si>
  <si>
    <t xml:space="preserve">EDP Equipment</t>
  </si>
  <si>
    <t xml:space="preserve">10350303</t>
  </si>
  <si>
    <t xml:space="preserve">Depreciation Other Fixed Assets -(A) Rec</t>
  </si>
  <si>
    <t xml:space="preserve">10550400</t>
  </si>
  <si>
    <t xml:space="preserve">In Progress -Other -IT Equipment -(A)</t>
  </si>
  <si>
    <t xml:space="preserve">10550900</t>
  </si>
  <si>
    <t xml:space="preserve">In Progress -Buildings -(A) Rec</t>
  </si>
  <si>
    <t xml:space="preserve">Const.in Process</t>
  </si>
  <si>
    <t xml:space="preserve">11100850</t>
  </si>
  <si>
    <t xml:space="preserve">Depreciation Buildings -(A) Rec</t>
  </si>
  <si>
    <t xml:space="preserve">Accumulated depreciation-structures</t>
  </si>
  <si>
    <t xml:space="preserve">11150000</t>
  </si>
  <si>
    <t xml:space="preserve">11200000</t>
  </si>
  <si>
    <t xml:space="preserve">Depreciation Machinery &amp; Equip-(A) Rec</t>
  </si>
  <si>
    <t xml:space="preserve">Acc.Depn.Plant/Machinery</t>
  </si>
  <si>
    <t xml:space="preserve">11300000</t>
  </si>
  <si>
    <t xml:space="preserve">Depreciation Other FA -Furn Fixture Off Equ-(A)Rec</t>
  </si>
  <si>
    <t xml:space="preserve">Acc.Depr.Furn/Fittings/Office Equipment</t>
  </si>
  <si>
    <t xml:space="preserve">11300850</t>
  </si>
  <si>
    <t xml:space="preserve">Depreciation Other FA -IT Equipment -(A) Rec</t>
  </si>
  <si>
    <t xml:space="preserve">Accum.depreciation Oth.Tools &amp; Furniture</t>
  </si>
  <si>
    <t xml:space="preserve">11350000</t>
  </si>
  <si>
    <t xml:space="preserve">Acc.Depr.EDP Equipment</t>
  </si>
  <si>
    <t xml:space="preserve">11350303</t>
  </si>
  <si>
    <t xml:space="preserve">Samples - Non stocked purchases</t>
  </si>
  <si>
    <t xml:space="preserve">13100000</t>
  </si>
  <si>
    <t xml:space="preserve">Intangibles -Software Bought -(A) Rec</t>
  </si>
  <si>
    <t xml:space="preserve">Software At Cost</t>
  </si>
  <si>
    <t xml:space="preserve">13600000</t>
  </si>
  <si>
    <t xml:space="preserve">Intang Asset Acq in CA Asset Deal-TradeN -(A) Rec</t>
  </si>
  <si>
    <t xml:space="preserve">Intang Acquired in CA &amp; R&amp;D Asset deals-Trademarks</t>
  </si>
  <si>
    <t xml:space="preserve">14000000</t>
  </si>
  <si>
    <t xml:space="preserve">Amortization Intang -Software Bought -(A) Rec</t>
  </si>
  <si>
    <t xml:space="preserve">Accum.Amortis.Software</t>
  </si>
  <si>
    <t xml:space="preserve">14300000</t>
  </si>
  <si>
    <t xml:space="preserve">Amortization Intang Acq CA -Tradenames-(A) Rec</t>
  </si>
  <si>
    <t xml:space="preserve">Acc.Am.IntangibleAcq.CA-AD-Tra (Auto)</t>
  </si>
  <si>
    <t xml:space="preserve">14300701</t>
  </si>
  <si>
    <t xml:space="preserve">Impair -Intangibles Acq in CA -Other -Man</t>
  </si>
  <si>
    <t xml:space="preserve">Impairment of intangible asset-Co-Promotion</t>
  </si>
  <si>
    <t xml:space="preserve">14400030</t>
  </si>
  <si>
    <t xml:space="preserve">Amortization Intang Acq CA -Other -Man</t>
  </si>
  <si>
    <t xml:space="preserve">Acc.Am.IntangibleAcq.CA-AD-Oth (Auto)</t>
  </si>
  <si>
    <t xml:space="preserve">15800853</t>
  </si>
  <si>
    <t xml:space="preserve">SPPI amortized cost-NC-all but collateral given</t>
  </si>
  <si>
    <t xml:space="preserve">16350702</t>
  </si>
  <si>
    <t xml:space="preserve">Other receivables for employees</t>
  </si>
  <si>
    <t xml:space="preserve">16750000</t>
  </si>
  <si>
    <t xml:space="preserve">Long Term Deposits -Manual</t>
  </si>
  <si>
    <t xml:space="preserve">20000001</t>
  </si>
  <si>
    <t xml:space="preserve">Trading Goods -(MM)</t>
  </si>
  <si>
    <t xml:space="preserve">Trading Goods</t>
  </si>
  <si>
    <t xml:space="preserve">20000002</t>
  </si>
  <si>
    <t xml:space="preserve">Samples -(MM)</t>
  </si>
  <si>
    <t xml:space="preserve">Trading Goods - Samples</t>
  </si>
  <si>
    <t xml:space="preserve">20000030</t>
  </si>
  <si>
    <t xml:space="preserve">Capitalisation of Variances -Trading Goods -Manual</t>
  </si>
  <si>
    <t xml:space="preserve">20000851</t>
  </si>
  <si>
    <t xml:space="preserve">Trading Goods -Manual</t>
  </si>
  <si>
    <t xml:space="preserve">Trading goods Manual</t>
  </si>
  <si>
    <t xml:space="preserve">20100003</t>
  </si>
  <si>
    <t xml:space="preserve">Provision on Trading Goods</t>
  </si>
  <si>
    <t xml:space="preserve">Allowance on Trading goods</t>
  </si>
  <si>
    <t xml:space="preserve">22150702</t>
  </si>
  <si>
    <t xml:space="preserve">Finished Goods -Stock in Transit  -Manual</t>
  </si>
  <si>
    <t xml:space="preserve">22500000</t>
  </si>
  <si>
    <t xml:space="preserve">Capitalisation of Variances -Finished Goods-Manual</t>
  </si>
  <si>
    <t xml:space="preserve">24000000</t>
  </si>
  <si>
    <t xml:space="preserve">Accts Rec. Trade. S/Term.</t>
  </si>
  <si>
    <t xml:space="preserve">24000001</t>
  </si>
  <si>
    <t xml:space="preserve">Exch.Rate Adj Trade Debts.</t>
  </si>
  <si>
    <t xml:space="preserve">24000004</t>
  </si>
  <si>
    <t xml:space="preserve">AR-D Trade 3rd ST</t>
  </si>
  <si>
    <t xml:space="preserve">24000009</t>
  </si>
  <si>
    <t xml:space="preserve">AR Provision Trade 3rd Party -Manual</t>
  </si>
  <si>
    <t xml:space="preserve">24000030</t>
  </si>
  <si>
    <t xml:space="preserve">Accts Rec. Trade. S/Term for Clinic</t>
  </si>
  <si>
    <t xml:space="preserve">24000812</t>
  </si>
  <si>
    <t xml:space="preserve">AR( D) Receivable on fixed assets</t>
  </si>
  <si>
    <t xml:space="preserve">24050000</t>
  </si>
  <si>
    <t xml:space="preserve">AR-D Trade ICO</t>
  </si>
  <si>
    <t xml:space="preserve"> AR-D Trade ICO</t>
  </si>
  <si>
    <t xml:space="preserve">24050051</t>
  </si>
  <si>
    <t xml:space="preserve">AR Trade ICO  MANUAL</t>
  </si>
  <si>
    <t xml:space="preserve">24100002</t>
  </si>
  <si>
    <t xml:space="preserve">AR (D) SGLI -Provision Bad Debt Trade 3rd Party</t>
  </si>
  <si>
    <t xml:space="preserve">26000000</t>
  </si>
  <si>
    <t xml:space="preserve">Other receivable</t>
  </si>
  <si>
    <t xml:space="preserve">26000015</t>
  </si>
  <si>
    <t xml:space="preserve">Other Receivables - manual</t>
  </si>
  <si>
    <t xml:space="preserve">26000033</t>
  </si>
  <si>
    <t xml:space="preserve">Other partners relationship - Assets</t>
  </si>
  <si>
    <t xml:space="preserve">26000200</t>
  </si>
  <si>
    <t xml:space="preserve">AP Prepaid OneCASA Clinical Studies -Man</t>
  </si>
  <si>
    <t xml:space="preserve">26000810</t>
  </si>
  <si>
    <t xml:space="preserve">Payroll deductions</t>
  </si>
  <si>
    <t xml:space="preserve">26030000</t>
  </si>
  <si>
    <t xml:space="preserve">Allowances on other accounts receivable</t>
  </si>
  <si>
    <t xml:space="preserve">26050000</t>
  </si>
  <si>
    <t xml:space="preserve">AR-D Other non-trade ICO</t>
  </si>
  <si>
    <t xml:space="preserve">26220000</t>
  </si>
  <si>
    <t xml:space="preserve">S/T Loans Rec Group.Comp</t>
  </si>
  <si>
    <t xml:space="preserve">26220101</t>
  </si>
  <si>
    <t xml:space="preserve">Other accrued liabilities - ICO - Manual</t>
  </si>
  <si>
    <t xml:space="preserve">26530000</t>
  </si>
  <si>
    <t xml:space="preserve">GST/VAT paid to Vendors</t>
  </si>
  <si>
    <t xml:space="preserve">26550000</t>
  </si>
  <si>
    <t xml:space="preserve">Prepaid - Expenses</t>
  </si>
  <si>
    <t xml:space="preserve">26550001</t>
  </si>
  <si>
    <t xml:space="preserve">Prep.Exp.Insurance Premiums</t>
  </si>
  <si>
    <t xml:space="preserve">26550002</t>
  </si>
  <si>
    <t xml:space="preserve">Prepaid Rental</t>
  </si>
  <si>
    <t xml:space="preserve">26550303</t>
  </si>
  <si>
    <t xml:space="preserve">Prepaid expenses / Other</t>
  </si>
  <si>
    <t xml:space="preserve">26550450</t>
  </si>
  <si>
    <t xml:space="preserve">SPPI amortized costs-curr-all but collateral given</t>
  </si>
  <si>
    <t xml:space="preserve">26650000</t>
  </si>
  <si>
    <t xml:space="preserve">Advance payments</t>
  </si>
  <si>
    <t xml:space="preserve">26650851</t>
  </si>
  <si>
    <t xml:space="preserve">Advance Payments-Foreign currency adj. acct.</t>
  </si>
  <si>
    <t xml:space="preserve">26650852</t>
  </si>
  <si>
    <t xml:space="preserve">Sundry - Ot</t>
  </si>
  <si>
    <t xml:space="preserve">26650854</t>
  </si>
  <si>
    <t xml:space="preserve">Local VAT Refund  asked</t>
  </si>
  <si>
    <t xml:space="preserve">28100821</t>
  </si>
  <si>
    <t xml:space="preserve">Deutsche Bank Money Market Deposit Account</t>
  </si>
  <si>
    <t xml:space="preserve">28100861</t>
  </si>
  <si>
    <t xml:space="preserve">KEB HANA Bank SA KRW Main</t>
  </si>
  <si>
    <t xml:space="preserve">28101193</t>
  </si>
  <si>
    <t xml:space="preserve">Bank of Tokyo - Mitsubishi UFJ KRW Main</t>
  </si>
  <si>
    <t xml:space="preserve">28330000</t>
  </si>
  <si>
    <t xml:space="preserve">HSBC - Main Bank Account EUR</t>
  </si>
  <si>
    <t xml:space="preserve">28330001</t>
  </si>
  <si>
    <t xml:space="preserve">HSBC - Automatic Payment Clearing EUR</t>
  </si>
  <si>
    <t xml:space="preserve">28330002</t>
  </si>
  <si>
    <t xml:space="preserve">HSBC - Automatic Receipt Clearing EUR</t>
  </si>
  <si>
    <t xml:space="preserve">28330010</t>
  </si>
  <si>
    <t xml:space="preserve">HSBC - Main Bank Account USD</t>
  </si>
  <si>
    <t xml:space="preserve">28330011</t>
  </si>
  <si>
    <t xml:space="preserve">HSBC - Automatic Payment Clearing USD</t>
  </si>
  <si>
    <t xml:space="preserve">28330990</t>
  </si>
  <si>
    <t xml:space="preserve">HSBC - Main Bank GL Code - Local Curr</t>
  </si>
  <si>
    <t xml:space="preserve">29100000</t>
  </si>
  <si>
    <t xml:space="preserve">Def.Tax Asset(due&lt;=1 year) - If Net Asset</t>
  </si>
  <si>
    <t xml:space="preserve">29150000</t>
  </si>
  <si>
    <t xml:space="preserve">Deferred Tax Asset - Gross</t>
  </si>
  <si>
    <t xml:space="preserve">30000000</t>
  </si>
  <si>
    <t xml:space="preserve">Ordinary shares issued and uncalled</t>
  </si>
  <si>
    <t xml:space="preserve">30000100</t>
  </si>
  <si>
    <t xml:space="preserve">Share premium Equity sec</t>
  </si>
  <si>
    <t xml:space="preserve">31000001</t>
  </si>
  <si>
    <t xml:space="preserve">Capital contribution premium</t>
  </si>
  <si>
    <t xml:space="preserve">Capital contribution premium </t>
  </si>
  <si>
    <t xml:space="preserve">32100000</t>
  </si>
  <si>
    <t xml:space="preserve">Revaluation reserve</t>
  </si>
  <si>
    <t xml:space="preserve">32200000</t>
  </si>
  <si>
    <t xml:space="preserve">Retained earnings (R/E)</t>
  </si>
  <si>
    <t xml:space="preserve">32200001</t>
  </si>
  <si>
    <t xml:space="preserve">Dividends paid to subsidiaries</t>
  </si>
  <si>
    <t xml:space="preserve">32300000</t>
  </si>
  <si>
    <t xml:space="preserve">Surplus from merger operations</t>
  </si>
  <si>
    <t xml:space="preserve">32900000</t>
  </si>
  <si>
    <t xml:space="preserve">Pensions -  Actuarial  gain &amp; losses</t>
  </si>
  <si>
    <t xml:space="preserve">32910000</t>
  </si>
  <si>
    <t xml:space="preserve">Deferred tax on pensions - Actuarial  gain &amp; losse</t>
  </si>
  <si>
    <t xml:space="preserve">38010000</t>
  </si>
  <si>
    <t xml:space="preserve">Provision for Sales Returns -Manual</t>
  </si>
  <si>
    <t xml:space="preserve">Provision for sales return</t>
  </si>
  <si>
    <t xml:space="preserve">38100001</t>
  </si>
  <si>
    <t xml:space="preserve">Provision for settl./damages of litigation &gt;1 year</t>
  </si>
  <si>
    <t xml:space="preserve">38160000</t>
  </si>
  <si>
    <t xml:space="preserve">Prov.restr.costs  -  term.benefits ST</t>
  </si>
  <si>
    <t xml:space="preserve">38170010</t>
  </si>
  <si>
    <t xml:space="preserve">Provision for vacation</t>
  </si>
  <si>
    <t xml:space="preserve">39070851</t>
  </si>
  <si>
    <t xml:space="preserve">LT tranfert titres</t>
  </si>
  <si>
    <t xml:space="preserve">39200800</t>
  </si>
  <si>
    <t xml:space="preserve">Long Term lease liability</t>
  </si>
  <si>
    <t xml:space="preserve">40000000</t>
  </si>
  <si>
    <t xml:space="preserve">Accts.Pay.Trade Short term</t>
  </si>
  <si>
    <t xml:space="preserve">40000001</t>
  </si>
  <si>
    <t xml:space="preserve">AP Trade 3rd ST Reeval.</t>
  </si>
  <si>
    <t xml:space="preserve">AP Trade 3rd ST Reeval</t>
  </si>
  <si>
    <t xml:space="preserve">40000003</t>
  </si>
  <si>
    <t xml:space="preserve">Exch.Rate adj.Non-Trade Creditors</t>
  </si>
  <si>
    <t xml:space="preserve">40000004</t>
  </si>
  <si>
    <t xml:space="preserve">AP Trade ICO ST Reeval.</t>
  </si>
  <si>
    <t xml:space="preserve">40000005</t>
  </si>
  <si>
    <t xml:space="preserve">Exch.Rate adj.NonTrade Creditors Group</t>
  </si>
  <si>
    <t xml:space="preserve">40000012</t>
  </si>
  <si>
    <t xml:space="preserve">AP Trade other</t>
  </si>
  <si>
    <t xml:space="preserve">40000850</t>
  </si>
  <si>
    <t xml:space="preserve">AP Accrual OneCASA Clinical Studies -Man</t>
  </si>
  <si>
    <t xml:space="preserve">AP Trade 3rd ST Reclass.</t>
  </si>
  <si>
    <t xml:space="preserve">40000851</t>
  </si>
  <si>
    <t xml:space="preserve">AP Royalties 3rd Party Accrued Liabilities -Manual</t>
  </si>
  <si>
    <t xml:space="preserve">40000852</t>
  </si>
  <si>
    <t xml:space="preserve">A/P Trade (Manual Adjust)</t>
  </si>
  <si>
    <t xml:space="preserve">40100000</t>
  </si>
  <si>
    <t xml:space="preserve">AP-K Trade ICO Import Short Term</t>
  </si>
  <si>
    <t xml:space="preserve">40100856</t>
  </si>
  <si>
    <t xml:space="preserve">Exch.Rate adj.Trade Creditors-Group</t>
  </si>
  <si>
    <t xml:space="preserve">40500000</t>
  </si>
  <si>
    <t xml:space="preserve">GR/IR A/C Inventory</t>
  </si>
  <si>
    <t xml:space="preserve">가계정</t>
  </si>
  <si>
    <t xml:space="preserve">40500001</t>
  </si>
  <si>
    <t xml:space="preserve">GR/IR Invoice Clearing Inventory</t>
  </si>
  <si>
    <t xml:space="preserve">40500002</t>
  </si>
  <si>
    <t xml:space="preserve">GR/IR Delivery Clearing Inventory</t>
  </si>
  <si>
    <t xml:space="preserve">40500003</t>
  </si>
  <si>
    <t xml:space="preserve">GR/IR Analysis Account Inventory</t>
  </si>
  <si>
    <t xml:space="preserve">40500004</t>
  </si>
  <si>
    <t xml:space="preserve">Plan Delv Csts</t>
  </si>
  <si>
    <t xml:space="preserve">40500005</t>
  </si>
  <si>
    <t xml:space="preserve">GR/IR A/C Non-Inventory</t>
  </si>
  <si>
    <t xml:space="preserve">40500006</t>
  </si>
  <si>
    <t xml:space="preserve">GR/IR Invoice Clearing Non-Inventory</t>
  </si>
  <si>
    <t xml:space="preserve">40500007</t>
  </si>
  <si>
    <t xml:space="preserve">GR/IR Delivery Clearing Non-Inventory</t>
  </si>
  <si>
    <t xml:space="preserve">40500008</t>
  </si>
  <si>
    <t xml:space="preserve">GR/IR Analysis Account Non-Inventory</t>
  </si>
  <si>
    <t xml:space="preserve">40500009</t>
  </si>
  <si>
    <t xml:space="preserve">Plan Delv Csts - Freight</t>
  </si>
  <si>
    <t xml:space="preserve">40500017</t>
  </si>
  <si>
    <t xml:space="preserve">Goods Received or Invoice Rec -GR/IR -COGS -Manual</t>
  </si>
  <si>
    <t xml:space="preserve"> Goods Received or Invoice Rec -GR/IR -COGS -Manual</t>
  </si>
  <si>
    <t xml:space="preserve">40500018</t>
  </si>
  <si>
    <t xml:space="preserve">Goods Rec or Invoice Rec -GR/IR -COGS ICO -Manual</t>
  </si>
  <si>
    <t xml:space="preserve">42000007</t>
  </si>
  <si>
    <t xml:space="preserve">Other partners relationship – Liabilities</t>
  </si>
  <si>
    <t xml:space="preserve">42000705</t>
  </si>
  <si>
    <t xml:space="preserve">Other Accrued Liabilities</t>
  </si>
  <si>
    <t xml:space="preserve">42000851</t>
  </si>
  <si>
    <t xml:space="preserve">Other A/P in foreign currency-tangible assets adj.</t>
  </si>
  <si>
    <t xml:space="preserve">42000852</t>
  </si>
  <si>
    <t xml:space="preserve">AP-K Employee expenses</t>
  </si>
  <si>
    <t xml:space="preserve">42000856</t>
  </si>
  <si>
    <t xml:space="preserve">AP-K Rec Royalties &amp; research ICO</t>
  </si>
  <si>
    <t xml:space="preserve">42050000</t>
  </si>
  <si>
    <t xml:space="preserve">Liabilities due to customers - ICO</t>
  </si>
  <si>
    <t xml:space="preserve">42400000</t>
  </si>
  <si>
    <t xml:space="preserve">Liab. from Payroll Accounting</t>
  </si>
  <si>
    <t xml:space="preserve">42400700</t>
  </si>
  <si>
    <t xml:space="preserve">Liabilities from payroll due to employees</t>
  </si>
  <si>
    <t xml:space="preserve">42400702</t>
  </si>
  <si>
    <t xml:space="preserve">Provision for bonus</t>
  </si>
  <si>
    <t xml:space="preserve">42400800</t>
  </si>
  <si>
    <t xml:space="preserve">Provision for Ots charges</t>
  </si>
  <si>
    <t xml:space="preserve">Provision for Ots charges </t>
  </si>
  <si>
    <t xml:space="preserve">42420000</t>
  </si>
  <si>
    <t xml:space="preserve">Social Security Liabilities</t>
  </si>
  <si>
    <t xml:space="preserve">42420851</t>
  </si>
  <si>
    <t xml:space="preserve">Withholding tax-medical insurance</t>
  </si>
  <si>
    <t xml:space="preserve">42420852</t>
  </si>
  <si>
    <t xml:space="preserve">Withholding tax-vocational training tax</t>
  </si>
  <si>
    <t xml:space="preserve">42440000</t>
  </si>
  <si>
    <t xml:space="preserve">Accr.Incentive Compensation</t>
  </si>
  <si>
    <t xml:space="preserve">42490000</t>
  </si>
  <si>
    <t xml:space="preserve">Accrued interest payable</t>
  </si>
  <si>
    <t xml:space="preserve">42490100</t>
  </si>
  <si>
    <t xml:space="preserve">Accrued interest on I/C borrowings</t>
  </si>
  <si>
    <t xml:space="preserve">42490240</t>
  </si>
  <si>
    <t xml:space="preserve">Payroll taxes withheld and deduction on salary</t>
  </si>
  <si>
    <t xml:space="preserve">42490336</t>
  </si>
  <si>
    <t xml:space="preserve">Accrual for extraordinary salaries to pay</t>
  </si>
  <si>
    <t xml:space="preserve">42570000</t>
  </si>
  <si>
    <t xml:space="preserve">Dividends Payable 3rd</t>
  </si>
  <si>
    <t xml:space="preserve">42910000</t>
  </si>
  <si>
    <t xml:space="preserve">42910012</t>
  </si>
  <si>
    <t xml:space="preserve">Municipal and Other taxes</t>
  </si>
  <si>
    <t xml:space="preserve">42910018</t>
  </si>
  <si>
    <t xml:space="preserve">42910102</t>
  </si>
  <si>
    <t xml:space="preserve">Provision for Rebate</t>
  </si>
  <si>
    <t xml:space="preserve">42910311</t>
  </si>
  <si>
    <t xml:space="preserve">Prov.restr.pers.costs w/o term.ben.&lt;= 1 year</t>
  </si>
  <si>
    <t xml:space="preserve">42910850</t>
  </si>
  <si>
    <t xml:space="preserve">Accrued Rebate</t>
  </si>
  <si>
    <t xml:space="preserve">42910851</t>
  </si>
  <si>
    <t xml:space="preserve">AP Non COGS Non-PO Accrual</t>
  </si>
  <si>
    <t xml:space="preserve">42910852</t>
  </si>
  <si>
    <t xml:space="preserve">Sales deduction- accrual for Pharma</t>
  </si>
  <si>
    <t xml:space="preserve">42910853</t>
  </si>
  <si>
    <t xml:space="preserve">Accrued Expenses-accrued rebate</t>
  </si>
  <si>
    <t xml:space="preserve">42910854</t>
  </si>
  <si>
    <t xml:space="preserve">Sales deduction- accrual for CHC</t>
  </si>
  <si>
    <t xml:space="preserve">42910909</t>
  </si>
  <si>
    <t xml:space="preserve">Other deductions</t>
  </si>
  <si>
    <t xml:space="preserve">42911000</t>
  </si>
  <si>
    <t xml:space="preserve">AR-D Advance payments rec 3rd</t>
  </si>
  <si>
    <t xml:space="preserve">42911100</t>
  </si>
  <si>
    <t xml:space="preserve">Short-term lease liability</t>
  </si>
  <si>
    <t xml:space="preserve">42911101</t>
  </si>
  <si>
    <t xml:space="preserve">Accrued interest - Short-term lease liability</t>
  </si>
  <si>
    <t xml:space="preserve">42920000</t>
  </si>
  <si>
    <t xml:space="preserve">GST/VAT Billed to Customers</t>
  </si>
  <si>
    <t xml:space="preserve">42930000</t>
  </si>
  <si>
    <t xml:space="preserve">Income Tax payable - current year (Federal)</t>
  </si>
  <si>
    <t xml:space="preserve">42930850</t>
  </si>
  <si>
    <t xml:space="preserve">Advance payment of Income Tax</t>
  </si>
  <si>
    <t xml:space="preserve">42930851</t>
  </si>
  <si>
    <t xml:space="preserve">Prepaid Income tax-withholdings</t>
  </si>
  <si>
    <t xml:space="preserve">42940003</t>
  </si>
  <si>
    <t xml:space="preserve">Withholding tax - Royalties</t>
  </si>
  <si>
    <t xml:space="preserve">42940854</t>
  </si>
  <si>
    <t xml:space="preserve">Withholding tax-dividend income(resident tax)</t>
  </si>
  <si>
    <t xml:space="preserve">42940855</t>
  </si>
  <si>
    <t xml:space="preserve">Withholding tax-business income</t>
  </si>
  <si>
    <t xml:space="preserve">42940856</t>
  </si>
  <si>
    <t xml:space="preserve">Withholding tax-other income</t>
  </si>
  <si>
    <t xml:space="preserve">42940857</t>
  </si>
  <si>
    <t xml:space="preserve">Withholding tax-corporate interest income</t>
  </si>
  <si>
    <t xml:space="preserve">42940861</t>
  </si>
  <si>
    <t xml:space="preserve">Withholding tax-other income(resident)</t>
  </si>
  <si>
    <t xml:space="preserve">42940863</t>
  </si>
  <si>
    <t xml:space="preserve">Withholding tax-dividend income</t>
  </si>
  <si>
    <t xml:space="preserve">42980000</t>
  </si>
  <si>
    <t xml:space="preserve">Provision for reinstatement cost</t>
  </si>
  <si>
    <t xml:space="preserve">50000000</t>
  </si>
  <si>
    <t xml:space="preserve">Gross Product Sales Local</t>
  </si>
  <si>
    <t xml:space="preserve">PL</t>
  </si>
  <si>
    <t xml:space="preserve">매출</t>
  </si>
  <si>
    <t xml:space="preserve">50000102</t>
  </si>
  <si>
    <t xml:space="preserve">Gross sales - FG Man Adj 3rd P</t>
  </si>
  <si>
    <t xml:space="preserve">50000851</t>
  </si>
  <si>
    <t xml:space="preserve">Sales of Merchandise-domestic</t>
  </si>
  <si>
    <t xml:space="preserve">50000854</t>
  </si>
  <si>
    <t xml:space="preserve">Other Commercial Incentives</t>
  </si>
  <si>
    <t xml:space="preserve">50100799</t>
  </si>
  <si>
    <t xml:space="preserve">Gross Sales - FG Man adj - ICO</t>
  </si>
  <si>
    <t xml:space="preserve">50200001</t>
  </si>
  <si>
    <t xml:space="preserve">Pharma Cont - TG Man Adj 3rd P</t>
  </si>
  <si>
    <t xml:space="preserve">51000850</t>
  </si>
  <si>
    <t xml:space="preserve">Sales of merchandise returned</t>
  </si>
  <si>
    <t xml:space="preserve">51300011</t>
  </si>
  <si>
    <t xml:space="preserve">Price Red./Reb.Loc Sales (manual posting)</t>
  </si>
  <si>
    <t xml:space="preserve">51300015</t>
  </si>
  <si>
    <t xml:space="preserve">Returns &amp; corr.- FG Man Adj 3rd P</t>
  </si>
  <si>
    <t xml:space="preserve">51300026</t>
  </si>
  <si>
    <t xml:space="preserve">Sales Discount-Negotiated terms-TG Domestic 3P 1</t>
  </si>
  <si>
    <t xml:space="preserve">51300450</t>
  </si>
  <si>
    <t xml:space="preserve">Price Red./Reb.Local Sales - Trading Goods</t>
  </si>
  <si>
    <t xml:space="preserve">51300502</t>
  </si>
  <si>
    <t xml:space="preserve">Discount - Accrual 3rd P</t>
  </si>
  <si>
    <t xml:space="preserve">51300799</t>
  </si>
  <si>
    <t xml:space="preserve">Sales Discount-Negotiated terms-Man Adj 3rd P</t>
  </si>
  <si>
    <t xml:space="preserve">51650053</t>
  </si>
  <si>
    <t xml:space="preserve">Institut Price equaliz (Tender) post-inv-TG D 3P</t>
  </si>
  <si>
    <t xml:space="preserve">51650102</t>
  </si>
  <si>
    <t xml:space="preserve">Price Equalization - TG Man Adj 3rd P.</t>
  </si>
  <si>
    <t xml:space="preserve">51660001</t>
  </si>
  <si>
    <t xml:space="preserve">53000005</t>
  </si>
  <si>
    <t xml:space="preserve">Standard COGS .Trading Goods</t>
  </si>
  <si>
    <t xml:space="preserve">매출원가</t>
  </si>
  <si>
    <t xml:space="preserve">53000850</t>
  </si>
  <si>
    <t xml:space="preserve">Yield Semi-finished 3P/ICO</t>
  </si>
  <si>
    <t xml:space="preserve">53000853</t>
  </si>
  <si>
    <t xml:space="preserve">Purchase Trading Goods 3rd</t>
  </si>
  <si>
    <t xml:space="preserve">53000858</t>
  </si>
  <si>
    <t xml:space="preserve">Prov - Inventories - revalorization</t>
  </si>
  <si>
    <t xml:space="preserve">54000008</t>
  </si>
  <si>
    <t xml:space="preserve">Mat.Prc.Var.Trading Goods</t>
  </si>
  <si>
    <t xml:space="preserve">54000033</t>
  </si>
  <si>
    <t xml:space="preserve">PPV Price Samples ICO</t>
  </si>
  <si>
    <t xml:space="preserve">54200018</t>
  </si>
  <si>
    <t xml:space="preserve">Oth.Prd.Var.Mfg.Spend.Prod.Related</t>
  </si>
  <si>
    <t xml:space="preserve">54000070</t>
  </si>
  <si>
    <t xml:space="preserve">Manual price purchase SF 3P</t>
  </si>
  <si>
    <t xml:space="preserve">54000080</t>
  </si>
  <si>
    <t xml:space="preserve">Manual Price outsourcing purchase 3P</t>
  </si>
  <si>
    <t xml:space="preserve">PPV Price Active Ingredient ICO</t>
  </si>
  <si>
    <t xml:space="preserve">54000700</t>
  </si>
  <si>
    <t xml:space="preserve">PPV Price Semi Finished 3rd</t>
  </si>
  <si>
    <t xml:space="preserve">54000851</t>
  </si>
  <si>
    <t xml:space="preserve">Good issue on Dev Packaging Purch 3P</t>
  </si>
  <si>
    <t xml:space="preserve">54001201</t>
  </si>
  <si>
    <t xml:space="preserve">Merchandise Purchase Price Variance-Bulk (Group)</t>
  </si>
  <si>
    <t xml:space="preserve">55010002</t>
  </si>
  <si>
    <t xml:space="preserve">Added Value Var Indirect</t>
  </si>
  <si>
    <t xml:space="preserve">55050000</t>
  </si>
  <si>
    <t xml:space="preserve">Reval.Invent.New Std/Act.Cost - Semifinished and F</t>
  </si>
  <si>
    <t xml:space="preserve">55050001</t>
  </si>
  <si>
    <t xml:space="preserve">Reval.Invent.New Std/Act.Cost - Primary Product</t>
  </si>
  <si>
    <t xml:space="preserve">55050850</t>
  </si>
  <si>
    <t xml:space="preserve">Reval.Invent.New Std/Act.Cost-merchadise</t>
  </si>
  <si>
    <t xml:space="preserve">55090002</t>
  </si>
  <si>
    <t xml:space="preserve">Destruct.Of Inventories - Merchandise</t>
  </si>
  <si>
    <t xml:space="preserve">55100008</t>
  </si>
  <si>
    <t xml:space="preserve">Oth.Invent.Adj.Trad.Goods</t>
  </si>
  <si>
    <t xml:space="preserve">55150000</t>
  </si>
  <si>
    <t xml:space="preserve">Other Cost of sales - Royalty - 3rd pty</t>
  </si>
  <si>
    <t xml:space="preserve">비용</t>
  </si>
  <si>
    <t xml:space="preserve">55210003</t>
  </si>
  <si>
    <t xml:space="preserve">Purchase Samples 3rd</t>
  </si>
  <si>
    <t xml:space="preserve">Oth variances &amp; non-ISC costs Packaging</t>
  </si>
  <si>
    <t xml:space="preserve">55300001</t>
  </si>
  <si>
    <t xml:space="preserve">Revaluation Packaging Purch ICO</t>
  </si>
  <si>
    <t xml:space="preserve">59000000</t>
  </si>
  <si>
    <t xml:space="preserve">Royalties from 3rd party - outside EEC</t>
  </si>
  <si>
    <t xml:space="preserve">영업외수익</t>
  </si>
  <si>
    <t xml:space="preserve">61000400</t>
  </si>
  <si>
    <t xml:space="preserve">Training to employees</t>
  </si>
  <si>
    <t xml:space="preserve">61000870</t>
  </si>
  <si>
    <t xml:space="preserve">Site facility management &amp; Services</t>
  </si>
  <si>
    <t xml:space="preserve">61001160</t>
  </si>
  <si>
    <t xml:space="preserve">Bank charges</t>
  </si>
  <si>
    <t xml:space="preserve">61001200</t>
  </si>
  <si>
    <t xml:space="preserve">Depreciation</t>
  </si>
  <si>
    <t xml:space="preserve">Depreciation - Leasehold Improvement</t>
  </si>
  <si>
    <t xml:space="preserve">62000005</t>
  </si>
  <si>
    <t xml:space="preserve">Vacation paid - local specificities</t>
  </si>
  <si>
    <t xml:space="preserve">62000007</t>
  </si>
  <si>
    <t xml:space="preserve">Employees exps paid by company</t>
  </si>
  <si>
    <t xml:space="preserve">62000010</t>
  </si>
  <si>
    <t xml:space="preserve">Overtime and extra months</t>
  </si>
  <si>
    <t xml:space="preserve">62000300</t>
  </si>
  <si>
    <t xml:space="preserve">Salaries &amp; wages</t>
  </si>
  <si>
    <t xml:space="preserve">62000376</t>
  </si>
  <si>
    <t xml:space="preserve">Expatriate staff - Salaries &amp; wages</t>
  </si>
  <si>
    <t xml:space="preserve">62000410</t>
  </si>
  <si>
    <t xml:space="preserve">Provision bonus</t>
  </si>
  <si>
    <t xml:space="preserve">62000502</t>
  </si>
  <si>
    <t xml:space="preserve">Daily allowance</t>
  </si>
  <si>
    <t xml:space="preserve">62000600</t>
  </si>
  <si>
    <t xml:space="preserve">Bonus</t>
  </si>
  <si>
    <t xml:space="preserve">62000717</t>
  </si>
  <si>
    <t xml:space="preserve">62000744</t>
  </si>
  <si>
    <t xml:space="preserve">Ot compensations</t>
  </si>
  <si>
    <t xml:space="preserve">62100702</t>
  </si>
  <si>
    <t xml:space="preserve">Contribution to Pension &amp; life insurance fund</t>
  </si>
  <si>
    <t xml:space="preserve">62100747</t>
  </si>
  <si>
    <t xml:space="preserve">Pension cost - Defined contribution Plan</t>
  </si>
  <si>
    <t xml:space="preserve">62100925</t>
  </si>
  <si>
    <t xml:space="preserve">Social security on Salaries &amp; wages</t>
  </si>
  <si>
    <t xml:space="preserve">62200400</t>
  </si>
  <si>
    <t xml:space="preserve">Employer sponsored benefits for staff</t>
  </si>
  <si>
    <t xml:space="preserve">62200930</t>
  </si>
  <si>
    <t xml:space="preserve">Sal works - occupational medicine</t>
  </si>
  <si>
    <t xml:space="preserve">62200940</t>
  </si>
  <si>
    <t xml:space="preserve">Canteen employer contribution</t>
  </si>
  <si>
    <t xml:space="preserve">62200945</t>
  </si>
  <si>
    <t xml:space="preserve">Staff relocation costs</t>
  </si>
  <si>
    <t xml:space="preserve">62400006</t>
  </si>
  <si>
    <t xml:space="preserve">Provision Incentive Compensation &amp; bonuses</t>
  </si>
  <si>
    <t xml:space="preserve">62400910</t>
  </si>
  <si>
    <t xml:space="preserve">Incentive Compensation &amp; bonuses paid</t>
  </si>
  <si>
    <t xml:space="preserve">62400915</t>
  </si>
  <si>
    <t xml:space="preserve">Vacation paid</t>
  </si>
  <si>
    <t xml:space="preserve">62500800</t>
  </si>
  <si>
    <t xml:space="preserve">Training - Materials</t>
  </si>
  <si>
    <t xml:space="preserve">63300005</t>
  </si>
  <si>
    <t xml:space="preserve">Clinical trial - Monitoring Fees</t>
  </si>
  <si>
    <t xml:space="preserve">63420201</t>
  </si>
  <si>
    <t xml:space="preserve">Clinical trial - Ethics Committee Rev.</t>
  </si>
  <si>
    <t xml:space="preserve">63450101</t>
  </si>
  <si>
    <t xml:space="preserve">Accr.- Studies</t>
  </si>
  <si>
    <t xml:space="preserve">63430101</t>
  </si>
  <si>
    <t xml:space="preserve">Outsourcing Prospective RWE -Primary data collect</t>
  </si>
  <si>
    <t xml:space="preserve">64000010</t>
  </si>
  <si>
    <t xml:space="preserve">T&amp;E - Transport Domestic</t>
  </si>
  <si>
    <t xml:space="preserve">64000012</t>
  </si>
  <si>
    <t xml:space="preserve">T&amp;E - Meals Domestic</t>
  </si>
  <si>
    <t xml:space="preserve">64000020</t>
  </si>
  <si>
    <t xml:space="preserve">T&amp;E - Transport Foreign</t>
  </si>
  <si>
    <t xml:space="preserve">64000021</t>
  </si>
  <si>
    <t xml:space="preserve">T&amp;E  Accommodation Foreign</t>
  </si>
  <si>
    <t xml:space="preserve">64000030</t>
  </si>
  <si>
    <t xml:space="preserve">T&amp;E - Accommodation Domestic</t>
  </si>
  <si>
    <t xml:space="preserve">64000040</t>
  </si>
  <si>
    <t xml:space="preserve">Business Meals</t>
  </si>
  <si>
    <t xml:space="preserve">64000710</t>
  </si>
  <si>
    <t xml:space="preserve">T&amp;E - Meals Foreign</t>
  </si>
  <si>
    <t xml:space="preserve">64000915</t>
  </si>
  <si>
    <t xml:space="preserve">Sundry business exps - ND</t>
  </si>
  <si>
    <t xml:space="preserve">Travel/Entert.Lodging/Meals</t>
  </si>
  <si>
    <t xml:space="preserve">64110000</t>
  </si>
  <si>
    <t xml:space="preserve">Temporary agency Labor</t>
  </si>
  <si>
    <t xml:space="preserve">64200000</t>
  </si>
  <si>
    <t xml:space="preserve">Audit fees</t>
  </si>
  <si>
    <t xml:space="preserve">64200700</t>
  </si>
  <si>
    <t xml:space="preserve">Tax advisory fees</t>
  </si>
  <si>
    <t xml:space="preserve">64200800</t>
  </si>
  <si>
    <t xml:space="preserve">IT Maintanence Managed services</t>
  </si>
  <si>
    <t xml:space="preserve">IT Maintenance Individual contractors</t>
  </si>
  <si>
    <t xml:space="preserve">64200801</t>
  </si>
  <si>
    <t xml:space="preserve">IT Projects Managed services</t>
  </si>
  <si>
    <t xml:space="preserve">IT Projects Individual contractors</t>
  </si>
  <si>
    <t xml:space="preserve">64200802</t>
  </si>
  <si>
    <t xml:space="preserve">Managed services</t>
  </si>
  <si>
    <t xml:space="preserve">64212171</t>
  </si>
  <si>
    <t xml:space="preserve">Business Process outsourced</t>
  </si>
  <si>
    <t xml:space="preserve">64212450</t>
  </si>
  <si>
    <t xml:space="preserve">Purchases of food services</t>
  </si>
  <si>
    <t xml:space="preserve">64290000</t>
  </si>
  <si>
    <t xml:space="preserve">Other Fees</t>
  </si>
  <si>
    <t xml:space="preserve">64290090</t>
  </si>
  <si>
    <t xml:space="preserve">IT projects consultant fees</t>
  </si>
  <si>
    <t xml:space="preserve">64290150</t>
  </si>
  <si>
    <t xml:space="preserve">Solicitors/lawyers &amp; legal fees</t>
  </si>
  <si>
    <t xml:space="preserve">64290601</t>
  </si>
  <si>
    <t xml:space="preserve">Strategic and Management consulting fees</t>
  </si>
  <si>
    <t xml:space="preserve">64514001</t>
  </si>
  <si>
    <t xml:space="preserve">Promotional materials</t>
  </si>
  <si>
    <t xml:space="preserve">64516004</t>
  </si>
  <si>
    <t xml:space="preserve">Events - Travel &amp; Accomodation - Guests</t>
  </si>
  <si>
    <t xml:space="preserve">64550000</t>
  </si>
  <si>
    <t xml:space="preserve">Samples</t>
  </si>
  <si>
    <t xml:space="preserve">64570000</t>
  </si>
  <si>
    <t xml:space="preserve">Advertising &amp; communication agency costs</t>
  </si>
  <si>
    <t xml:space="preserve">64570654</t>
  </si>
  <si>
    <t xml:space="preserve">Public relation exps</t>
  </si>
  <si>
    <t xml:space="preserve">64590000</t>
  </si>
  <si>
    <t xml:space="preserve">Congresses Other expenses</t>
  </si>
  <si>
    <t xml:space="preserve">64590017</t>
  </si>
  <si>
    <t xml:space="preserve">Medical consult.exps</t>
  </si>
  <si>
    <t xml:space="preserve">64590020</t>
  </si>
  <si>
    <t xml:space="preserve">Advertising space - Television &amp; Radio</t>
  </si>
  <si>
    <t xml:space="preserve">64590050</t>
  </si>
  <si>
    <t xml:space="preserve">Subscriptions fees to professional organiz.</t>
  </si>
  <si>
    <t xml:space="preserve">64590052</t>
  </si>
  <si>
    <t xml:space="preserve">Patient Support Program Exps</t>
  </si>
  <si>
    <t xml:space="preserve">64590063</t>
  </si>
  <si>
    <t xml:space="preserve">A&amp;P sponsorship Exps</t>
  </si>
  <si>
    <t xml:space="preserve">64590719</t>
  </si>
  <si>
    <t xml:space="preserve">Speaker Fees</t>
  </si>
  <si>
    <t xml:space="preserve">64591000</t>
  </si>
  <si>
    <t xml:space="preserve">Advertising space - Internet</t>
  </si>
  <si>
    <t xml:space="preserve">64591002</t>
  </si>
  <si>
    <t xml:space="preserve">Advertising space - Press &amp; Billboard</t>
  </si>
  <si>
    <t xml:space="preserve">64591006</t>
  </si>
  <si>
    <t xml:space="preserve">Sponsorship (HCO/MSA)</t>
  </si>
  <si>
    <t xml:space="preserve">64591012</t>
  </si>
  <si>
    <t xml:space="preserve">Clinical Trial - Ot costs</t>
  </si>
  <si>
    <t xml:space="preserve">64591013</t>
  </si>
  <si>
    <t xml:space="preserve">External events (meetings,congress,symposium)</t>
  </si>
  <si>
    <t xml:space="preserve">64591023</t>
  </si>
  <si>
    <t xml:space="preserve">Clinical trial - Investigator fees</t>
  </si>
  <si>
    <t xml:space="preserve">64591062</t>
  </si>
  <si>
    <t xml:space="preserve">Patient support materials</t>
  </si>
  <si>
    <t xml:space="preserve">64591075</t>
  </si>
  <si>
    <t xml:space="preserve">Clinical trial - Drugs supplies</t>
  </si>
  <si>
    <t xml:space="preserve">64591076</t>
  </si>
  <si>
    <t xml:space="preserve">Translation fees</t>
  </si>
  <si>
    <t xml:space="preserve">64591078</t>
  </si>
  <si>
    <t xml:space="preserve">External archiving</t>
  </si>
  <si>
    <t xml:space="preserve">64600005</t>
  </si>
  <si>
    <t xml:space="preserve">Commission &amp; brokerage fees 3rd pty</t>
  </si>
  <si>
    <t xml:space="preserve">64600030</t>
  </si>
  <si>
    <t xml:space="preserve">Mail &amp; express delivery</t>
  </si>
  <si>
    <t xml:space="preserve">64600050</t>
  </si>
  <si>
    <t xml:space="preserve">Distribution &amp; external storage costs</t>
  </si>
  <si>
    <t xml:space="preserve">64600060</t>
  </si>
  <si>
    <t xml:space="preserve">Market research</t>
  </si>
  <si>
    <t xml:space="preserve">64600077</t>
  </si>
  <si>
    <t xml:space="preserve">External salesforce</t>
  </si>
  <si>
    <t xml:space="preserve">64600111</t>
  </si>
  <si>
    <t xml:space="preserve">Recruitment costs</t>
  </si>
  <si>
    <t xml:space="preserve">64650047</t>
  </si>
  <si>
    <t xml:space="preserve">Internal event - off site</t>
  </si>
  <si>
    <t xml:space="preserve">64700600</t>
  </si>
  <si>
    <t xml:space="preserve">Software - not capitalized</t>
  </si>
  <si>
    <t xml:space="preserve">64800050</t>
  </si>
  <si>
    <t xml:space="preserve">Regulatory Authority fees</t>
  </si>
  <si>
    <t xml:space="preserve">Registration Fees</t>
  </si>
  <si>
    <t xml:space="preserve">65000000</t>
  </si>
  <si>
    <t xml:space="preserve">Real estate rentals exps</t>
  </si>
  <si>
    <t xml:space="preserve">65000001</t>
  </si>
  <si>
    <t xml:space="preserve">IFRS16 clearing a/c-rental exp-Land and Buildings</t>
  </si>
  <si>
    <t xml:space="preserve">65200000</t>
  </si>
  <si>
    <t xml:space="preserve">Electricity</t>
  </si>
  <si>
    <t xml:space="preserve">65300000</t>
  </si>
  <si>
    <t xml:space="preserve">Telecommunication costs</t>
  </si>
  <si>
    <t xml:space="preserve">65300020</t>
  </si>
  <si>
    <t xml:space="preserve">Mobile telecom costs</t>
  </si>
  <si>
    <t xml:space="preserve">65300050</t>
  </si>
  <si>
    <t xml:space="preserve">Software maintenance</t>
  </si>
  <si>
    <t xml:space="preserve">65300510</t>
  </si>
  <si>
    <t xml:space="preserve">IT equipment not capitalized &amp; supplies</t>
  </si>
  <si>
    <t xml:space="preserve">65550003</t>
  </si>
  <si>
    <t xml:space="preserve">Depreciation - EDP</t>
  </si>
  <si>
    <t xml:space="preserve">65550004</t>
  </si>
  <si>
    <t xml:space="preserve">Depreciation on Furniture/Fittings/Office Equipmet</t>
  </si>
  <si>
    <t xml:space="preserve">65550008</t>
  </si>
  <si>
    <t xml:space="preserve">Depriciation - Leasehold Improvement</t>
  </si>
  <si>
    <t xml:space="preserve">65550012</t>
  </si>
  <si>
    <t xml:space="preserve">Dep.Exp.M&amp;E-Machin&amp;Equip (Auto)</t>
  </si>
  <si>
    <t xml:space="preserve">65600000</t>
  </si>
  <si>
    <t xml:space="preserve">Site &amp; building maintenance</t>
  </si>
  <si>
    <t xml:space="preserve">65600040</t>
  </si>
  <si>
    <t xml:space="preserve">IT equipment maintenance</t>
  </si>
  <si>
    <t xml:space="preserve">65650700</t>
  </si>
  <si>
    <t xml:space="preserve">Car maintenance &amp; Fleet administration</t>
  </si>
  <si>
    <t xml:space="preserve">66000000</t>
  </si>
  <si>
    <t xml:space="preserve">Office equipment supplies</t>
  </si>
  <si>
    <t xml:space="preserve">66000703</t>
  </si>
  <si>
    <t xml:space="preserve">Laboratory Chemicals</t>
  </si>
  <si>
    <t xml:space="preserve">66000004</t>
  </si>
  <si>
    <t xml:space="preserve">Other employee expenses</t>
  </si>
  <si>
    <t xml:space="preserve">66000060</t>
  </si>
  <si>
    <t xml:space="preserve">Journal/ magazines &amp; on line subscription</t>
  </si>
  <si>
    <t xml:space="preserve">66000650</t>
  </si>
  <si>
    <t xml:space="preserve">Printing Services</t>
  </si>
  <si>
    <t xml:space="preserve">66100020</t>
  </si>
  <si>
    <t xml:space="preserve">Insurance - Multirisk &amp; Damage</t>
  </si>
  <si>
    <t xml:space="preserve">66100707</t>
  </si>
  <si>
    <t xml:space="preserve">Ot insurance for employees</t>
  </si>
  <si>
    <t xml:space="preserve">66200700</t>
  </si>
  <si>
    <t xml:space="preserve">Freight costs on sales</t>
  </si>
  <si>
    <t xml:space="preserve">66300005</t>
  </si>
  <si>
    <t xml:space="preserve">Freight primary costs</t>
  </si>
  <si>
    <t xml:space="preserve">Freight Inwards</t>
  </si>
  <si>
    <t xml:space="preserve">66300915</t>
  </si>
  <si>
    <t xml:space="preserve">Duties &amp; Customs</t>
  </si>
  <si>
    <t xml:space="preserve">66500401</t>
  </si>
  <si>
    <t xml:space="preserve">Fringe benefits</t>
  </si>
  <si>
    <t xml:space="preserve">66600000</t>
  </si>
  <si>
    <t xml:space="preserve">Scientific Documentation</t>
  </si>
  <si>
    <t xml:space="preserve">66900000</t>
  </si>
  <si>
    <t xml:space="preserve">Miscellaneous operating expenses</t>
  </si>
  <si>
    <t xml:space="preserve">영업외비용</t>
  </si>
  <si>
    <t xml:space="preserve">66900039</t>
  </si>
  <si>
    <t xml:space="preserve">Healthcare contribution</t>
  </si>
  <si>
    <t xml:space="preserve">Sponsorship</t>
  </si>
  <si>
    <t xml:space="preserve">66900040</t>
  </si>
  <si>
    <t xml:space="preserve">Philanthropic Donations - Tax eligible</t>
  </si>
  <si>
    <t xml:space="preserve">Donations for NGO (non HCP)</t>
  </si>
  <si>
    <t xml:space="preserve">66900044</t>
  </si>
  <si>
    <t xml:space="preserve">Medical contribution</t>
  </si>
  <si>
    <t xml:space="preserve">66900505</t>
  </si>
  <si>
    <t xml:space="preserve">Cleaning expenses</t>
  </si>
  <si>
    <t xml:space="preserve">66900707</t>
  </si>
  <si>
    <t xml:space="preserve">Other expenses - ND</t>
  </si>
  <si>
    <t xml:space="preserve">66900905</t>
  </si>
  <si>
    <t xml:space="preserve">External collaboration outsourcing cost</t>
  </si>
  <si>
    <t xml:space="preserve">67100028</t>
  </si>
  <si>
    <t xml:space="preserve">Off/Ent.QI.Sample TrdGds.</t>
  </si>
  <si>
    <t xml:space="preserve">68011600</t>
  </si>
  <si>
    <t xml:space="preserve">Salaries &amp; Wages Not Taxable</t>
  </si>
  <si>
    <t xml:space="preserve">67100700</t>
  </si>
  <si>
    <t xml:space="preserve">Subcontracting / Ext.Serv.ND</t>
  </si>
  <si>
    <t xml:space="preserve">68014600</t>
  </si>
  <si>
    <t xml:space="preserve">Social security - unemployment</t>
  </si>
  <si>
    <t xml:space="preserve">68015600</t>
  </si>
  <si>
    <t xml:space="preserve">Personnel exps - ND</t>
  </si>
  <si>
    <t xml:space="preserve">68031400</t>
  </si>
  <si>
    <t xml:space="preserve">T&amp;E - Employee Mileage (employee veh.)</t>
  </si>
  <si>
    <t xml:space="preserve">68033200</t>
  </si>
  <si>
    <t xml:space="preserve">Travel agencies fees</t>
  </si>
  <si>
    <t xml:space="preserve">68063200</t>
  </si>
  <si>
    <t xml:space="preserve">Outplacement services</t>
  </si>
  <si>
    <t xml:space="preserve">68075100</t>
  </si>
  <si>
    <t xml:space="preserve">external collaboration insourcing cost</t>
  </si>
  <si>
    <t xml:space="preserve">68132000</t>
  </si>
  <si>
    <t xml:space="preserve">68141100</t>
  </si>
  <si>
    <t xml:space="preserve">Depreciation of Buildings</t>
  </si>
  <si>
    <t xml:space="preserve">68142100</t>
  </si>
  <si>
    <t xml:space="preserve">Depreciation of Furniture</t>
  </si>
  <si>
    <t xml:space="preserve">68142200</t>
  </si>
  <si>
    <t xml:space="preserve">Depreciation of Machinery and Equipment</t>
  </si>
  <si>
    <t xml:space="preserve">68142300</t>
  </si>
  <si>
    <t xml:space="preserve">Depreciation of Office Equipment</t>
  </si>
  <si>
    <t xml:space="preserve">68144000</t>
  </si>
  <si>
    <t xml:space="preserve">Dep.Exp.Land and Build.-Right (Auto)</t>
  </si>
  <si>
    <t xml:space="preserve">68163301</t>
  </si>
  <si>
    <t xml:space="preserve">GMAO spare parts - indirect consumption</t>
  </si>
  <si>
    <t xml:space="preserve">68212100</t>
  </si>
  <si>
    <t xml:space="preserve">Tax-Property &amp; Business taxes</t>
  </si>
  <si>
    <t xml:space="preserve">68212500</t>
  </si>
  <si>
    <t xml:space="preserve">Tax-Others</t>
  </si>
  <si>
    <t xml:space="preserve">68224300</t>
  </si>
  <si>
    <t xml:space="preserve">Packaging design</t>
  </si>
  <si>
    <t xml:space="preserve">68225600</t>
  </si>
  <si>
    <t xml:space="preserve">Educational mail</t>
  </si>
  <si>
    <t xml:space="preserve">68231100</t>
  </si>
  <si>
    <t xml:space="preserve">Commercial Samples</t>
  </si>
  <si>
    <t xml:space="preserve">68231300</t>
  </si>
  <si>
    <t xml:space="preserve">Local Medical Sample</t>
  </si>
  <si>
    <t xml:space="preserve">68225200</t>
  </si>
  <si>
    <t xml:space="preserve">Office and site relocation services</t>
  </si>
  <si>
    <t xml:space="preserve">68261700</t>
  </si>
  <si>
    <t xml:space="preserve">Rebilling  G&amp;A  inc.</t>
  </si>
  <si>
    <t xml:space="preserve">판매 및 일반관리비 대체</t>
  </si>
  <si>
    <t xml:space="preserve">70020150</t>
  </si>
  <si>
    <t xml:space="preserve">Provision for risks on receivables</t>
  </si>
  <si>
    <t xml:space="preserve">70051000</t>
  </si>
  <si>
    <t xml:space="preserve">Prov.for restructuring - Personnel</t>
  </si>
  <si>
    <t xml:space="preserve">74100000</t>
  </si>
  <si>
    <t xml:space="preserve">FXgain opg.- set - 3rd pty rec.s &amp; pay.</t>
  </si>
  <si>
    <t xml:space="preserve">74110000</t>
  </si>
  <si>
    <t xml:space="preserve">FXlosses opg.-set-3rd pty rec.s&amp;pay.</t>
  </si>
  <si>
    <t xml:space="preserve">74115000</t>
  </si>
  <si>
    <t xml:space="preserve">Foreign Exchange Gain-Unrealized</t>
  </si>
  <si>
    <t xml:space="preserve">74120000</t>
  </si>
  <si>
    <t xml:space="preserve">Foreign Exchange Loss-Unrealized</t>
  </si>
  <si>
    <t xml:space="preserve">74200001</t>
  </si>
  <si>
    <t xml:space="preserve">Miscellaneous operating income</t>
  </si>
  <si>
    <t xml:space="preserve">74250001</t>
  </si>
  <si>
    <t xml:space="preserve">R&amp;D   Clinical studies  ICO  inc.</t>
  </si>
  <si>
    <t xml:space="preserve">74259900</t>
  </si>
  <si>
    <t xml:space="preserve">Other current operating income (Man)</t>
  </si>
  <si>
    <t xml:space="preserve">74260000</t>
  </si>
  <si>
    <t xml:space="preserve">Miscellaneous - Other Expenses</t>
  </si>
  <si>
    <t xml:space="preserve">74260010</t>
  </si>
  <si>
    <t xml:space="preserve">Misc.Exp.Bank Charges - Operations</t>
  </si>
  <si>
    <t xml:space="preserve">74260023</t>
  </si>
  <si>
    <t xml:space="preserve">Global General Services Expenses -ICO</t>
  </si>
  <si>
    <t xml:space="preserve">74260024</t>
  </si>
  <si>
    <t xml:space="preserve">Grants and Market Support Expenses -ICO</t>
  </si>
  <si>
    <t xml:space="preserve">74260026</t>
  </si>
  <si>
    <t xml:space="preserve">Transfer Price Adjustment -Expense -PY</t>
  </si>
  <si>
    <t xml:space="preserve">TP Adj Expense -PY</t>
  </si>
  <si>
    <t xml:space="preserve">74260030</t>
  </si>
  <si>
    <t xml:space="preserve">Expenses related to other partners</t>
  </si>
  <si>
    <t xml:space="preserve">75000850</t>
  </si>
  <si>
    <t xml:space="preserve">Fi.charges-reval.-Credit Lines-int.s</t>
  </si>
  <si>
    <t xml:space="preserve">75001500</t>
  </si>
  <si>
    <t xml:space="preserve">Ints. Costs on Unwinding Disc of LT Asset and Prov</t>
  </si>
  <si>
    <t xml:space="preserve">75250110</t>
  </si>
  <si>
    <t xml:space="preserve">Interest expense on lease liabilities - below BNI</t>
  </si>
  <si>
    <t xml:space="preserve">Interest expense on lease liabilities – below BNI</t>
  </si>
  <si>
    <t xml:space="preserve">75300850</t>
  </si>
  <si>
    <t xml:space="preserve">Fi.inc.- set - Bank accounts - Interests</t>
  </si>
  <si>
    <t xml:space="preserve">75500000</t>
  </si>
  <si>
    <t xml:space="preserve">Other interest income</t>
  </si>
  <si>
    <t xml:space="preserve">77000851</t>
  </si>
  <si>
    <t xml:space="preserve">Gain from sales of investment  ICO</t>
  </si>
  <si>
    <t xml:space="preserve">77900001</t>
  </si>
  <si>
    <t xml:space="preserve">Indirect Tax Expense</t>
  </si>
  <si>
    <t xml:space="preserve">78000000</t>
  </si>
  <si>
    <t xml:space="preserve">Current Income Taxes - WHT 944010</t>
  </si>
  <si>
    <t xml:space="preserve">78000103</t>
  </si>
  <si>
    <t xml:space="preserve">Taxes on gain/losses on disposals of assets</t>
  </si>
  <si>
    <t xml:space="preserve">78000600</t>
  </si>
  <si>
    <t xml:space="preserve">Previous Year Income Taxes</t>
  </si>
  <si>
    <t xml:space="preserve">Current income taxes - previous year. </t>
  </si>
  <si>
    <t xml:space="preserve">78200000</t>
  </si>
  <si>
    <t xml:space="preserve">Deferred income taxes</t>
  </si>
  <si>
    <t xml:space="preserve">78250000</t>
  </si>
  <si>
    <t xml:space="preserve">Other Tax Based on Income</t>
  </si>
  <si>
    <t xml:space="preserve">79000100</t>
  </si>
  <si>
    <t xml:space="preserve">Other current operating expenses Manual</t>
  </si>
  <si>
    <t xml:space="preserve">77030700</t>
  </si>
  <si>
    <t xml:space="preserve">Sale proceeds of Intangible fixed asset</t>
  </si>
  <si>
    <t xml:space="preserve">75520700</t>
  </si>
  <si>
    <t xml:space="preserve">Net book value - Intangible Fixed Asset disposal</t>
  </si>
  <si>
    <t xml:space="preserve">83142000</t>
  </si>
  <si>
    <t xml:space="preserve">Local PCoA-Accum.Amortis.Licenses</t>
  </si>
  <si>
    <t xml:space="preserve">83201000</t>
  </si>
  <si>
    <t xml:space="preserve">Local PCoA-Allowance on Fin.Goods</t>
  </si>
  <si>
    <t xml:space="preserve">83260000</t>
  </si>
  <si>
    <t xml:space="preserve">Local PCoA-Accrued Income</t>
  </si>
  <si>
    <t xml:space="preserve">84429100</t>
  </si>
  <si>
    <t xml:space="preserve">Local PCoA-Other payable-others</t>
  </si>
  <si>
    <t xml:space="preserve">84429300</t>
  </si>
  <si>
    <t xml:space="preserve">Local PCoA-Accr.Income Taxes Payable</t>
  </si>
  <si>
    <t xml:space="preserve">86100082</t>
  </si>
  <si>
    <t xml:space="preserve">Asset right of use (Manual)</t>
  </si>
  <si>
    <t xml:space="preserve">86100083</t>
  </si>
  <si>
    <t xml:space="preserve">Acc.dep.Asset right of use (Manual)</t>
  </si>
  <si>
    <t xml:space="preserve">86101000</t>
  </si>
  <si>
    <t xml:space="preserve">Buildings</t>
  </si>
  <si>
    <t xml:space="preserve">86101010</t>
  </si>
  <si>
    <t xml:space="preserve">Buildings -Fittings and Facilities-Local Adj</t>
  </si>
  <si>
    <t xml:space="preserve">86102007</t>
  </si>
  <si>
    <t xml:space="preserve">M&amp;E-Machinery and Equipment (Man)</t>
  </si>
  <si>
    <t xml:space="preserve">86104100</t>
  </si>
  <si>
    <t xml:space="preserve">A Oth.FA-Fu.fix.Off Eq (Man)</t>
  </si>
  <si>
    <t xml:space="preserve">86111000</t>
  </si>
  <si>
    <t xml:space="preserve">Accumulated Depreciation-Buildings</t>
  </si>
  <si>
    <t xml:space="preserve">86111010</t>
  </si>
  <si>
    <t xml:space="preserve">Depreciation Buildings -Fittings &amp; Facilities-Loca</t>
  </si>
  <si>
    <t xml:space="preserve">86111500</t>
  </si>
  <si>
    <t xml:space="preserve">Acc.dep.Oth.FA-Fu.fix.Off Eq (Man)</t>
  </si>
  <si>
    <t xml:space="preserve">86112007</t>
  </si>
  <si>
    <t xml:space="preserve">Acc.dep.M&amp;E-Techn.Facilities (Man)</t>
  </si>
  <si>
    <t xml:space="preserve">86150001</t>
  </si>
  <si>
    <t xml:space="preserve">Investments in Subsidiaries-Local Adj</t>
  </si>
  <si>
    <t xml:space="preserve">Investments in Subsidiaries</t>
  </si>
  <si>
    <t xml:space="preserve">86158008</t>
  </si>
  <si>
    <t xml:space="preserve">SPPI amortized cost-NC-all but collateral given-L</t>
  </si>
  <si>
    <t xml:space="preserve">DO NOT USE-Investment - membership</t>
  </si>
  <si>
    <t xml:space="preserve">86159000</t>
  </si>
  <si>
    <t xml:space="preserve">SPPI FV(Variatn fr HV)noncurr-all but coll given-L</t>
  </si>
  <si>
    <t xml:space="preserve">Capital changes of equtiy method</t>
  </si>
  <si>
    <t xml:space="preserve">86200800</t>
  </si>
  <si>
    <t xml:space="preserve">Long-term lease liability</t>
  </si>
  <si>
    <t xml:space="preserve">86240007</t>
  </si>
  <si>
    <t xml:space="preserve">AR Trade 3rd Party Short Term -Manual-Local Adj</t>
  </si>
  <si>
    <t xml:space="preserve">86260000</t>
  </si>
  <si>
    <t xml:space="preserve">Other receivable- Local adj</t>
  </si>
  <si>
    <t xml:space="preserve">86260008</t>
  </si>
  <si>
    <t xml:space="preserve">Payroll deductions-Local Adj</t>
  </si>
  <si>
    <t xml:space="preserve">86260033</t>
  </si>
  <si>
    <t xml:space="preserve">Other partners relationship - Assets-Local Adj</t>
  </si>
  <si>
    <t xml:space="preserve">86265300</t>
  </si>
  <si>
    <t xml:space="preserve">Local Input VAT Standard -Goods-Local Adj</t>
  </si>
  <si>
    <t xml:space="preserve">86266003</t>
  </si>
  <si>
    <t xml:space="preserve">Local -Income Tax Receivable -Current Year -Fed</t>
  </si>
  <si>
    <t xml:space="preserve">86266554</t>
  </si>
  <si>
    <t xml:space="preserve">Local VAT Refund asked-Local Adj</t>
  </si>
  <si>
    <t xml:space="preserve">86291000</t>
  </si>
  <si>
    <t xml:space="preserve">Local Adjust -Deferred Tax Asset -Gross -Manual</t>
  </si>
  <si>
    <t xml:space="preserve">86291502</t>
  </si>
  <si>
    <t xml:space="preserve">Local Adjust-Deferred Tax Asse -Gross-Manual &lt;12M</t>
  </si>
  <si>
    <t xml:space="preserve">86300001</t>
  </si>
  <si>
    <t xml:space="preserve">Share premium- Local</t>
  </si>
  <si>
    <t xml:space="preserve">86310000</t>
  </si>
  <si>
    <t xml:space="preserve">Capital contribution premium-LocalAdj</t>
  </si>
  <si>
    <t xml:space="preserve">86322000</t>
  </si>
  <si>
    <t xml:space="preserve">Retained Earnings</t>
  </si>
  <si>
    <t xml:space="preserve">Retained earnings B/Balance</t>
  </si>
  <si>
    <t xml:space="preserve">86322007</t>
  </si>
  <si>
    <t xml:space="preserve">Other reserves</t>
  </si>
  <si>
    <t xml:space="preserve">86322100</t>
  </si>
  <si>
    <t xml:space="preserve">Tax on Pensions-Actuarial Gains &amp; Losses (Local)</t>
  </si>
  <si>
    <t xml:space="preserve">86329000</t>
  </si>
  <si>
    <t xml:space="preserve">Pensions -  Actuarial  gain &amp; losses (Local)</t>
  </si>
  <si>
    <t xml:space="preserve">86424000</t>
  </si>
  <si>
    <t xml:space="preserve">Liabilities from Payroll Due to Employees-LocalAdj</t>
  </si>
  <si>
    <t xml:space="preserve">86424001</t>
  </si>
  <si>
    <t xml:space="preserve">Employees Other Payroll Liabilities-Local adj</t>
  </si>
  <si>
    <t xml:space="preserve">86429100</t>
  </si>
  <si>
    <t xml:space="preserve">Other payable-others</t>
  </si>
  <si>
    <t xml:space="preserve">86429108</t>
  </si>
  <si>
    <t xml:space="preserve">Commercial Incentives -Provision-Local Adj</t>
  </si>
  <si>
    <t xml:space="preserve">86429208</t>
  </si>
  <si>
    <t xml:space="preserve">Local Output VAT Standard (Goods) -Manual</t>
  </si>
  <si>
    <t xml:space="preserve">86429307</t>
  </si>
  <si>
    <t xml:space="preserve">Local Adj Income Tax Payable -Current Year -Fed</t>
  </si>
  <si>
    <t xml:space="preserve">86429700</t>
  </si>
  <si>
    <t xml:space="preserve">Local -Deferred Tax Liability</t>
  </si>
  <si>
    <t xml:space="preserve">Def.Tax Liab (due &gt;1 year) - If Net Ass</t>
  </si>
  <si>
    <t xml:space="preserve">86429901</t>
  </si>
  <si>
    <t xml:space="preserve">Sundry accrued liabilities- Local adj</t>
  </si>
  <si>
    <t xml:space="preserve">86911100</t>
  </si>
  <si>
    <t xml:space="preserve">86911101</t>
  </si>
  <si>
    <t xml:space="preserve">95532200</t>
  </si>
  <si>
    <t xml:space="preserve">Retained earnings Local GAAP</t>
  </si>
  <si>
    <t xml:space="preserve">86000000</t>
  </si>
  <si>
    <t xml:space="preserve">Current Income Taxes</t>
  </si>
  <si>
    <t xml:space="preserve">86000001</t>
  </si>
  <si>
    <t xml:space="preserve">Deferred income taxes- Local adj</t>
  </si>
  <si>
    <t xml:space="preserve">Local PCoA-Deferred Income Taxes</t>
  </si>
  <si>
    <t xml:space="preserve">86000004</t>
  </si>
  <si>
    <t xml:space="preserve">Other employee expenses-Local Adj</t>
  </si>
  <si>
    <t xml:space="preserve">Transport costs reimbursed to employee</t>
  </si>
  <si>
    <t xml:space="preserve">86000006</t>
  </si>
  <si>
    <t xml:space="preserve">Travel expenses-Local Adj</t>
  </si>
  <si>
    <t xml:space="preserve">86000300</t>
  </si>
  <si>
    <t xml:space="preserve">Salaries &amp; wages-Local Adj</t>
  </si>
  <si>
    <t xml:space="preserve">86000400</t>
  </si>
  <si>
    <t xml:space="preserve">Training to employees-Local Adj</t>
  </si>
  <si>
    <t xml:space="preserve">86000800</t>
  </si>
  <si>
    <t xml:space="preserve">Cost Of Goods Sold- Local adj</t>
  </si>
  <si>
    <t xml:space="preserve">86030002</t>
  </si>
  <si>
    <t xml:space="preserve">Non operating expenses</t>
  </si>
  <si>
    <t xml:space="preserve">86073501</t>
  </si>
  <si>
    <t xml:space="preserve">Local PCoA-Clinical Trial - other costs</t>
  </si>
  <si>
    <t xml:space="preserve">86100747</t>
  </si>
  <si>
    <t xml:space="preserve">Pension cost - Defined contribution Plan-Local Adj</t>
  </si>
  <si>
    <t xml:space="preserve">86100925</t>
  </si>
  <si>
    <t xml:space="preserve">Social security on Salaries &amp; wages-Local Adj</t>
  </si>
  <si>
    <t xml:space="preserve">86132000</t>
  </si>
  <si>
    <t xml:space="preserve">IFRS16 rental expenses-Asset right of use</t>
  </si>
  <si>
    <t xml:space="preserve">86144000</t>
  </si>
  <si>
    <t xml:space="preserve">Dep.Asset right of use (Manual)</t>
  </si>
  <si>
    <t xml:space="preserve">86150000</t>
  </si>
  <si>
    <t xml:space="preserve">Exp ICO-set  Loans&amp; borrowings-Interests-Local Adj</t>
  </si>
  <si>
    <t xml:space="preserve">86200001</t>
  </si>
  <si>
    <t xml:space="preserve">Equity method gains</t>
  </si>
  <si>
    <t xml:space="preserve">86200400</t>
  </si>
  <si>
    <t xml:space="preserve">Non operating income</t>
  </si>
  <si>
    <t xml:space="preserve">Miscellaneous income</t>
  </si>
  <si>
    <t xml:space="preserve">86200702</t>
  </si>
  <si>
    <t xml:space="preserve">Selling expenses- Local Adj</t>
  </si>
  <si>
    <t xml:space="preserve">86250030</t>
  </si>
  <si>
    <t xml:space="preserve">Intercompany fees- Minor Expenses- local adj</t>
  </si>
  <si>
    <t xml:space="preserve">86250110</t>
  </si>
  <si>
    <t xml:space="preserve">Interest Expense on lease liabilities</t>
  </si>
  <si>
    <t xml:space="preserve">86260023</t>
  </si>
  <si>
    <t xml:space="preserve">Intercompany fees- Major Expenses</t>
  </si>
  <si>
    <t xml:space="preserve">86260025</t>
  </si>
  <si>
    <t xml:space="preserve">Transfer Price Adjustment -Expense</t>
  </si>
  <si>
    <t xml:space="preserve">86290000</t>
  </si>
  <si>
    <t xml:space="preserve">Other Fees-Local Adj</t>
  </si>
  <si>
    <t xml:space="preserve">86290150</t>
  </si>
  <si>
    <t xml:space="preserve">Solicitors/lawyers &amp; legal fees-Local Adj</t>
  </si>
  <si>
    <t xml:space="preserve">86300510</t>
  </si>
  <si>
    <t xml:space="preserve">IT equipment not capitalized &amp; supplies-Loc Adj</t>
  </si>
  <si>
    <t xml:space="preserve">86300850</t>
  </si>
  <si>
    <t xml:space="preserve">Fi.inc.- set - Bank accounts - Interests-Local Adj</t>
  </si>
  <si>
    <t xml:space="preserve">86400910</t>
  </si>
  <si>
    <t xml:space="preserve">Incentive Compensation &amp; bonuses paid-Local Adj</t>
  </si>
  <si>
    <t xml:space="preserve">86514001</t>
  </si>
  <si>
    <t xml:space="preserve">Promotional materials-Local Adj</t>
  </si>
  <si>
    <t xml:space="preserve">86590050</t>
  </si>
  <si>
    <t xml:space="preserve">Subscriptions fees to professional organiz-Loc Adj</t>
  </si>
  <si>
    <t xml:space="preserve">86591013</t>
  </si>
  <si>
    <t xml:space="preserve">External events (meetings,congress,symposium)-Loc</t>
  </si>
  <si>
    <t xml:space="preserve">86600000</t>
  </si>
  <si>
    <t xml:space="preserve">Site &amp; building maintenance-Local Adj</t>
  </si>
  <si>
    <t xml:space="preserve">86900000</t>
  </si>
  <si>
    <t xml:space="preserve">87530008</t>
  </si>
  <si>
    <t xml:space="preserve">Local PCOA-Revaluation-Merchadise</t>
  </si>
  <si>
    <t xml:space="preserve">89710500</t>
  </si>
  <si>
    <t xml:space="preserve">Local PCoA-Amortis.Intangible Assets</t>
  </si>
  <si>
    <t xml:space="preserve">89782000</t>
  </si>
  <si>
    <t xml:space="preserve">반품충당금비유동</t>
  </si>
  <si>
    <t xml:space="preserve">반품충당금(비유동) - statutory reclass 가상계정</t>
  </si>
  <si>
    <t xml:space="preserve">Provision for sales return (Non-current)</t>
  </si>
  <si>
    <t xml:space="preserve">manual (statutory adj #3)</t>
  </si>
  <si>
    <t xml:space="preserve">Total</t>
  </si>
  <si>
    <t xml:space="preserve">check: 조정분개 반영대상 합계(S열 연결분)</t>
  </si>
  <si>
    <t xml:space="preserve">check: 조정분개 전체 합계 대비(부가세 9원 미반영분)</t>
  </si>
  <si>
    <t xml:space="preserve">매핑차이 건수</t>
  </si>
  <si>
    <t xml:space="preserve">가계정(GR/IR) 잔액 – 0이어야 함</t>
  </si>
  <si>
    <t xml:space="preserve">BS_KO/P&amp;L_KO 미집계 FS과목 건수 – 0이어야 함</t>
  </si>
  <si>
    <t xml:space="preserve">계정대체</t>
  </si>
  <si>
    <t xml:space="preserve">Summary of Statutory adjustment (2026)</t>
  </si>
  <si>
    <t xml:space="preserve">- 이익 / + 손실</t>
  </si>
  <si>
    <t xml:space="preserve">Current year effect adjustment - NOT BOOKED</t>
  </si>
  <si>
    <t xml:space="preserve">P16 ADJ</t>
  </si>
  <si>
    <t xml:space="preserve">SAP BOOKED? 2025.16</t>
  </si>
  <si>
    <t xml:space="preserve">Reversal</t>
  </si>
  <si>
    <t xml:space="preserve">BSPL</t>
  </si>
  <si>
    <t xml:space="preserve">GL account</t>
  </si>
  <si>
    <t xml:space="preserve">DR</t>
  </si>
  <si>
    <t xml:space="preserve">CR</t>
  </si>
  <si>
    <t xml:space="preserve">Asset</t>
  </si>
  <si>
    <t xml:space="preserve">Liability</t>
  </si>
  <si>
    <t xml:space="preserve">Equity</t>
  </si>
  <si>
    <t xml:space="preserve">P&amp;L</t>
  </si>
  <si>
    <t xml:space="preserve">FS_map 연결 GL</t>
  </si>
  <si>
    <t xml:space="preserve">비고(정산표 반영)</t>
  </si>
  <si>
    <t xml:space="preserve">GL reclassification (보증금 중 회원권 구분 대체)</t>
  </si>
  <si>
    <t xml:space="preserve">기타투자자산</t>
  </si>
  <si>
    <t xml:space="preserve">SAP GL 15800870 미존재 → P16 GL 86158008(기타의 투자자산) 사용</t>
  </si>
  <si>
    <t xml:space="preserve">GL reclassification (CRU rebilling 비용차감대체)</t>
  </si>
  <si>
    <t xml:space="preserve">GL reclassification (반품충당금  유동-&gt;비 유동대체)</t>
  </si>
  <si>
    <t xml:space="preserve">FS_map 가상계정 "반품충당금비유동" 사용</t>
  </si>
  <si>
    <t xml:space="preserve">GL reclass GTN 미지급비용 부채계상에서 매출채권에서 직접차감</t>
  </si>
  <si>
    <t xml:space="preserve">미지급비용-미지급에누리</t>
  </si>
  <si>
    <t xml:space="preserve">외상매출금-내수일반</t>
  </si>
  <si>
    <t xml:space="preserve">GL reclassification (국민연금전환금 미수금 → 선급금)</t>
  </si>
  <si>
    <t xml:space="preserve">GL reclassification (기계장치 → 공기구비품_집기비품 대체)</t>
  </si>
  <si>
    <t xml:space="preserve">GL reclassification (미지급비용 → 예수금)</t>
  </si>
  <si>
    <t xml:space="preserve">social security liab - 그룹리포팅과 SAP 매핑차이로 인한 월말 reclass</t>
  </si>
  <si>
    <t xml:space="preserve">BOOKED P16</t>
  </si>
  <si>
    <t xml:space="preserve">205년 CRU rebilling True-up (2월에 확정)</t>
  </si>
  <si>
    <t xml:space="preserve">25년 TP Adjustment (2월 확정 금액)</t>
  </si>
  <si>
    <t xml:space="preserve">2025.12 invoice/credit 홀딩됨</t>
  </si>
  <si>
    <t xml:space="preserve">Statutory: 매출원가로 인식</t>
  </si>
  <si>
    <t xml:space="preserve">Internal: 잡손실/잡이익</t>
  </si>
  <si>
    <t xml:space="preserve">GL reclassficiation_부가세미수금 잔액 오류 수정</t>
  </si>
  <si>
    <t xml:space="preserve">회사 BS_DEC 2026 미반영(당기 SAP잔액 0) → 정산표 미반영</t>
  </si>
  <si>
    <t xml:space="preserve">GL reclassification_OHK 투자자산처분이익 계정재분류 </t>
  </si>
  <si>
    <t xml:space="preserve">OHK 투자주식은 전기에 처분 완료되어 당기에  영업외이익 잡이익 계정으로 재분류</t>
  </si>
  <si>
    <t xml:space="preserve">전기오류수정이익 ( 한미약품 세금계산서 posting 누락)</t>
  </si>
  <si>
    <t xml:space="preserve">FY 21</t>
  </si>
  <si>
    <t xml:space="preserve">FY 23</t>
  </si>
  <si>
    <t xml:space="preserve">법인세조정 (세무조정)</t>
  </si>
  <si>
    <t xml:space="preserve">유동이연법인세자산</t>
  </si>
  <si>
    <t xml:space="preserve">비유동이연법인세자산</t>
  </si>
  <si>
    <t xml:space="preserve">잉여금차이조정</t>
  </si>
  <si>
    <t xml:space="preserve">Total Impact</t>
  </si>
  <si>
    <t xml:space="preserve">Vlookup</t>
  </si>
  <si>
    <t xml:space="preserve">SAP</t>
  </si>
  <si>
    <t xml:space="preserve">2025.12</t>
  </si>
  <si>
    <t xml:space="preserve">2026.01</t>
  </si>
  <si>
    <t xml:space="preserve">2026.02</t>
  </si>
  <si>
    <t xml:space="preserve">2026.03</t>
  </si>
  <si>
    <t xml:space="preserve">2026.04</t>
  </si>
  <si>
    <t xml:space="preserve">2026.05</t>
  </si>
  <si>
    <t xml:space="preserve">2026.06</t>
  </si>
  <si>
    <t xml:space="preserve">2026.07</t>
  </si>
  <si>
    <t xml:space="preserve">2026.08</t>
  </si>
  <si>
    <t xml:space="preserve">2026.09</t>
  </si>
  <si>
    <t xml:space="preserve">2025.10</t>
  </si>
  <si>
    <t xml:space="preserve">2025.11</t>
  </si>
  <si>
    <t xml:space="preserve">BS/PL</t>
  </si>
  <si>
    <t xml:space="preserve">Account Number</t>
  </si>
  <si>
    <t xml:space="preserve">Text for B/S P&amp;L item</t>
  </si>
  <si>
    <t xml:space="preserve">SAP Description</t>
  </si>
  <si>
    <t xml:space="preserve">SAP Description 2</t>
  </si>
  <si>
    <t xml:space="preserve">Account Group</t>
  </si>
  <si>
    <t xml:space="preserve">Company Code</t>
  </si>
  <si>
    <t xml:space="preserve">Group account number</t>
  </si>
  <si>
    <t xml:space="preserve">CC driven</t>
  </si>
  <si>
    <t xml:space="preserve">Group account description</t>
  </si>
  <si>
    <t xml:space="preserve">감사보고서 과목 1</t>
  </si>
  <si>
    <t xml:space="preserve">감사보고서 과목 2</t>
  </si>
  <si>
    <t xml:space="preserve">Internal BookKR  구분</t>
  </si>
  <si>
    <t xml:space="preserve">Internal Book KR 구분</t>
  </si>
  <si>
    <t xml:space="preserve">YTD Dec 2025</t>
  </si>
  <si>
    <t xml:space="preserve">YTD Jan 2026</t>
  </si>
  <si>
    <t xml:space="preserve">YTD Feb 2026</t>
  </si>
  <si>
    <t xml:space="preserve">YTD Mar 2026</t>
  </si>
  <si>
    <t xml:space="preserve">YTD April 2026</t>
  </si>
  <si>
    <t xml:space="preserve">YTD May 2026</t>
  </si>
  <si>
    <t xml:space="preserve">YTD June 2026</t>
  </si>
  <si>
    <t xml:space="preserve">YTD July 2026</t>
  </si>
  <si>
    <t xml:space="preserve">YTD Aug 2026</t>
  </si>
  <si>
    <t xml:space="preserve">YTD Sep 2026</t>
  </si>
  <si>
    <t xml:space="preserve">YTD Oct 2026</t>
  </si>
  <si>
    <t xml:space="preserve">YTD Nov 2026</t>
  </si>
  <si>
    <t xml:space="preserve">YTD Dec 2026</t>
  </si>
  <si>
    <t xml:space="preserve">MTD Jan 2026</t>
  </si>
  <si>
    <t xml:space="preserve">MTD Feb 2026</t>
  </si>
  <si>
    <t xml:space="preserve">MTD Mar 2025</t>
  </si>
  <si>
    <t xml:space="preserve">MTD Apr 2025</t>
  </si>
  <si>
    <t xml:space="preserve">MTD May 2025</t>
  </si>
  <si>
    <t xml:space="preserve">MTD June 2025</t>
  </si>
  <si>
    <t xml:space="preserve">MTD July 2025</t>
  </si>
  <si>
    <t xml:space="preserve">MTD Aug 2025</t>
  </si>
  <si>
    <t xml:space="preserve">MTD Sep 2025</t>
  </si>
  <si>
    <t xml:space="preserve">MTD Oct 2025</t>
  </si>
  <si>
    <t xml:space="preserve">MTD Nov 2025</t>
  </si>
  <si>
    <t xml:space="preserve">MTD Dec 2025</t>
  </si>
  <si>
    <t xml:space="preserve">+</t>
  </si>
  <si>
    <t xml:space="preserve">10100082 Lands and Buildings -Right of Use -Man</t>
  </si>
  <si>
    <t xml:space="preserve">¥±. NON-CURRENT ASSETS</t>
  </si>
  <si>
    <t xml:space="preserve">(2) Tangible assets</t>
  </si>
  <si>
    <t xml:space="preserve">2. Buildings</t>
  </si>
  <si>
    <t xml:space="preserve">01. NCA - Non Current Assets</t>
  </si>
  <si>
    <t xml:space="preserve">1616</t>
  </si>
  <si>
    <t xml:space="preserve">10035</t>
  </si>
  <si>
    <t xml:space="preserve">Lands and buildings - Right of use</t>
  </si>
  <si>
    <t xml:space="preserve">비유동자산</t>
  </si>
  <si>
    <t xml:space="preserve">10100083 Depreciation Land and Build -Right of Use -Man</t>
  </si>
  <si>
    <t xml:space="preserve">Accumulated depreciation</t>
  </si>
  <si>
    <t xml:space="preserve">10115</t>
  </si>
  <si>
    <t xml:space="preserve">Depreciation - Lands and buildings - Right of use</t>
  </si>
  <si>
    <t xml:space="preserve">10100850 Buildings -(A) Rec</t>
  </si>
  <si>
    <t xml:space="preserve">3. Structures</t>
  </si>
  <si>
    <t xml:space="preserve">10005</t>
  </si>
  <si>
    <t xml:space="preserve">10150000 Buildings -Leasehold Improvements -(A) Rec</t>
  </si>
  <si>
    <t xml:space="preserve">10200000 Machinery and Equipment -(A) Rec</t>
  </si>
  <si>
    <t xml:space="preserve">4. Machinery and equipment</t>
  </si>
  <si>
    <t xml:space="preserve">10010</t>
  </si>
  <si>
    <t xml:space="preserve">Machinery and equipment</t>
  </si>
  <si>
    <t xml:space="preserve">10200921 Samples -Manual</t>
  </si>
  <si>
    <t xml:space="preserve">¥°. CURRENT ASSETS</t>
  </si>
  <si>
    <t xml:space="preserve">(2) Inventories</t>
  </si>
  <si>
    <t xml:space="preserve">6. Supplies</t>
  </si>
  <si>
    <t xml:space="preserve">02. CUA - Current Assets</t>
  </si>
  <si>
    <t xml:space="preserve">20015</t>
  </si>
  <si>
    <t xml:space="preserve">Inventories - Samples</t>
  </si>
  <si>
    <t xml:space="preserve">유동자산</t>
  </si>
  <si>
    <t xml:space="preserve">저장품</t>
  </si>
  <si>
    <t xml:space="preserve">10300000 Other FA -Furniture Fixtures &amp; Office Equ -(A) Rec</t>
  </si>
  <si>
    <t xml:space="preserve">6. Tools and furniture</t>
  </si>
  <si>
    <t xml:space="preserve">10015</t>
  </si>
  <si>
    <t xml:space="preserve">Other fixed assets</t>
  </si>
  <si>
    <t xml:space="preserve">10300850 Other Fixed Assets -(A) Rec</t>
  </si>
  <si>
    <t xml:space="preserve">10350000 Other FA -IT Equipment -(A) Rec</t>
  </si>
  <si>
    <t xml:space="preserve">10350303 Other Fixed Assets -(A) Rec</t>
  </si>
  <si>
    <t xml:space="preserve">10550400 In Progress -Other -IT Equipment -(A)</t>
  </si>
  <si>
    <t xml:space="preserve">(3) Intangible assets</t>
  </si>
  <si>
    <t xml:space="preserve">4. Software</t>
  </si>
  <si>
    <t xml:space="preserve">13028</t>
  </si>
  <si>
    <t xml:space="preserve">Softwares - Bought</t>
  </si>
  <si>
    <t xml:space="preserve">10550900 In Progress -Buildings -(A) Rec</t>
  </si>
  <si>
    <t xml:space="preserve">7. Construction in-progress</t>
  </si>
  <si>
    <t xml:space="preserve">10020</t>
  </si>
  <si>
    <t xml:space="preserve">In progress - Buildings</t>
  </si>
  <si>
    <t xml:space="preserve">11100850 Depreciation Buildings -(A) Rec</t>
  </si>
  <si>
    <t xml:space="preserve">10100</t>
  </si>
  <si>
    <t xml:space="preserve">Depreciation - Buildings</t>
  </si>
  <si>
    <t xml:space="preserve">11150000 Depreciation Buildings -Leasehold Improve -(A) Rec</t>
  </si>
  <si>
    <t xml:space="preserve">11200000 Depreciation Machinery &amp; Equip-(A) Rec</t>
  </si>
  <si>
    <t xml:space="preserve">10105</t>
  </si>
  <si>
    <t xml:space="preserve">Depreciation - Machinery and equipment</t>
  </si>
  <si>
    <t xml:space="preserve">11300000 Depreciation Other FA -Furn Fixture Off Equ-(A)Rec</t>
  </si>
  <si>
    <t xml:space="preserve">10110</t>
  </si>
  <si>
    <t xml:space="preserve">Depreciation - Other fixed assets</t>
  </si>
  <si>
    <t xml:space="preserve">11300850 Depreciation Other FA -IT Equipment -(A) Rec</t>
  </si>
  <si>
    <t xml:space="preserve">11350000 Depreciation Other FA -IT Equipment -(A) Rec</t>
  </si>
  <si>
    <t xml:space="preserve">11350303 Depreciation Other Fixed Assets -(A) Rec</t>
  </si>
  <si>
    <t xml:space="preserve">13100000 Intangibles -Software Bought -(A) Rec</t>
  </si>
  <si>
    <t xml:space="preserve">13600000 Intang Asset Acq in CA Asset Deal-TradeN -(A) Rec</t>
  </si>
  <si>
    <t xml:space="preserve">2. Intellectual proprietary rights</t>
  </si>
  <si>
    <t xml:space="preserve">13018</t>
  </si>
  <si>
    <t xml:space="preserve">Intangibles acq in collab agreements &amp; R&amp;D A deals</t>
  </si>
  <si>
    <t xml:space="preserve">14000000 Amortization Intang -Software Bought -(A) Rec</t>
  </si>
  <si>
    <t xml:space="preserve">13130</t>
  </si>
  <si>
    <t xml:space="preserve">Amortization - Softwares bought</t>
  </si>
  <si>
    <t xml:space="preserve">14300000 Amortization Intang Acq CA -Tradenames-(A) Rec</t>
  </si>
  <si>
    <t xml:space="preserve">13105</t>
  </si>
  <si>
    <t xml:space="preserve">Amor-Intang acq in collab agreements &amp; R&amp;D A deals</t>
  </si>
  <si>
    <t xml:space="preserve">14300701 Impair -Intangibles Acq in CA -Other -Man</t>
  </si>
  <si>
    <t xml:space="preserve">13218</t>
  </si>
  <si>
    <t xml:space="preserve">Imp-Intang acq-collab agreements &amp; R&amp;D A deals</t>
  </si>
  <si>
    <t xml:space="preserve">14400030 Amortization Intang Acq CA -Other -Man</t>
  </si>
  <si>
    <t xml:space="preserve">15800853 SPPI amortized cost-NC-all but collateral given</t>
  </si>
  <si>
    <t xml:space="preserve">(1) Investments</t>
  </si>
  <si>
    <t xml:space="preserve">3. Gurantee deposits</t>
  </si>
  <si>
    <t xml:space="preserve">17008</t>
  </si>
  <si>
    <t xml:space="preserve">SPPI amortized cost - non current</t>
  </si>
  <si>
    <t xml:space="preserve">16350702 Other receivables for employees</t>
  </si>
  <si>
    <t xml:space="preserve">LIABILITIES</t>
  </si>
  <si>
    <t xml:space="preserve">¥±. LONG-TERM LIABILITIES</t>
  </si>
  <si>
    <t xml:space="preserve">Contribution to nation pension fund</t>
  </si>
  <si>
    <t xml:space="preserve">17032</t>
  </si>
  <si>
    <t xml:space="preserve">Other receivables - NC assets</t>
  </si>
  <si>
    <t xml:space="preserve">비유동부채</t>
  </si>
  <si>
    <t xml:space="preserve">16750000 Long Term Deposits -Manual</t>
  </si>
  <si>
    <t xml:space="preserve">20000001 Trading Goods -(MM)</t>
  </si>
  <si>
    <t xml:space="preserve">1. Merchandise</t>
  </si>
  <si>
    <t xml:space="preserve">20010</t>
  </si>
  <si>
    <t xml:space="preserve">Inventories - Finished goods</t>
  </si>
  <si>
    <t xml:space="preserve">20000002 Samples -(MM)</t>
  </si>
  <si>
    <t xml:space="preserve">20000030 Capitalisation of Variances -Trading Goods -Manual</t>
  </si>
  <si>
    <t xml:space="preserve">20030</t>
  </si>
  <si>
    <t xml:space="preserve">Inventories - Cap of var &amp; reval.</t>
  </si>
  <si>
    <t xml:space="preserve">20000851 Trading Goods -Manual</t>
  </si>
  <si>
    <t xml:space="preserve">20100003 Provision on Trading Goods</t>
  </si>
  <si>
    <t xml:space="preserve">20210</t>
  </si>
  <si>
    <t xml:space="preserve">Prov - Inventories - Finished goods</t>
  </si>
  <si>
    <t xml:space="preserve">22150702 Finished Goods -Stock in Transit  -Manual</t>
  </si>
  <si>
    <t xml:space="preserve">2. Finished goods</t>
  </si>
  <si>
    <t xml:space="preserve">22500000 Capitalisation of Variances -Finished Goods-Manual</t>
  </si>
  <si>
    <t xml:space="preserve">24000000 Accts Rec. Trade. S/Term.</t>
  </si>
  <si>
    <t xml:space="preserve">(1) Quick assets</t>
  </si>
  <si>
    <t xml:space="preserve">4. Trade receivables</t>
  </si>
  <si>
    <t xml:space="preserve">22005</t>
  </si>
  <si>
    <t xml:space="preserve">Others accounts receivable</t>
  </si>
  <si>
    <t xml:space="preserve">외상매출금</t>
  </si>
  <si>
    <t xml:space="preserve">24000001 Exch.Rate Adj Trade Debts.</t>
  </si>
  <si>
    <t xml:space="preserve">24000004 AR-D Trade 3rd ST</t>
  </si>
  <si>
    <t xml:space="preserve">24000009 AR Provision Trade 3rd Party -Manual</t>
  </si>
  <si>
    <t xml:space="preserve">22200</t>
  </si>
  <si>
    <t xml:space="preserve">Prov - Accounts &amp; notes receivable</t>
  </si>
  <si>
    <t xml:space="preserve">24000030 Accts Rec. Trade. S/Term for Clinic</t>
  </si>
  <si>
    <t xml:space="preserve">24000812 AR( D) Receivable on fixed assets</t>
  </si>
  <si>
    <t xml:space="preserve">1. Cash and cash equivalence</t>
  </si>
  <si>
    <t xml:space="preserve">04. CAS - Cash &amp; Cash Equivalents</t>
  </si>
  <si>
    <t xml:space="preserve">266</t>
  </si>
  <si>
    <t xml:space="preserve">Cash in reporting currency</t>
  </si>
  <si>
    <t xml:space="preserve">24050000 AR-D Trade ICO</t>
  </si>
  <si>
    <t xml:space="preserve">03. ICA - Intercompany Assets</t>
  </si>
  <si>
    <t xml:space="preserve">24905</t>
  </si>
  <si>
    <t xml:space="preserve">Current assets - Conso comp</t>
  </si>
  <si>
    <t xml:space="preserve">24050051 AR Trade ICO  MANUAL</t>
  </si>
  <si>
    <t xml:space="preserve">24100002 AR (D) SGLI -Provision Bad Debt Trade 3rd Party</t>
  </si>
  <si>
    <t xml:space="preserve">26000000 Other receivable</t>
  </si>
  <si>
    <t xml:space="preserve">24032</t>
  </si>
  <si>
    <t xml:space="preserve">Sundry current assets (excluding restructuring)</t>
  </si>
  <si>
    <t xml:space="preserve">26000015 Other Receivables - manual</t>
  </si>
  <si>
    <t xml:space="preserve">7. Accrued income</t>
  </si>
  <si>
    <t xml:space="preserve">26000033 Other partners relationship - Assets</t>
  </si>
  <si>
    <t xml:space="preserve">6. Other receivables</t>
  </si>
  <si>
    <t xml:space="preserve">24028</t>
  </si>
  <si>
    <t xml:space="preserve">26000200 AP Prepaid OneCASA Clinical Studies -Man</t>
  </si>
  <si>
    <t xml:space="preserve">10. Prepaid expenses</t>
  </si>
  <si>
    <t xml:space="preserve">24016</t>
  </si>
  <si>
    <t xml:space="preserve">Prepaid expenses - C. assets</t>
  </si>
  <si>
    <t xml:space="preserve">26000810 Payroll deductions</t>
  </si>
  <si>
    <t xml:space="preserve">24002</t>
  </si>
  <si>
    <t xml:space="preserve">Employees</t>
  </si>
  <si>
    <t xml:space="preserve">26030000 Allowances on other accounts receivable</t>
  </si>
  <si>
    <t xml:space="preserve">24205</t>
  </si>
  <si>
    <t xml:space="preserve">Prov - Other current assets</t>
  </si>
  <si>
    <t xml:space="preserve">26050000 AR-D Other non-trade ICO</t>
  </si>
  <si>
    <t xml:space="preserve">26220000 S/T Loans Rec Group.Comp</t>
  </si>
  <si>
    <t xml:space="preserve">(원본오류 N/A)</t>
  </si>
  <si>
    <t xml:space="preserve">26220101 Other accrued liabilities - ICO - Manual</t>
  </si>
  <si>
    <t xml:space="preserve">¥°. CURRENT LIABILITIES</t>
  </si>
  <si>
    <t xml:space="preserve">5. Accrued expenses</t>
  </si>
  <si>
    <t xml:space="preserve">07. CUL - Current Liabilities</t>
  </si>
  <si>
    <t xml:space="preserve">42905</t>
  </si>
  <si>
    <t xml:space="preserve">Current liabilities - Conso comp</t>
  </si>
  <si>
    <t xml:space="preserve">유동부채</t>
  </si>
  <si>
    <t xml:space="preserve">26530000 GST/VAT paid to Vendors</t>
  </si>
  <si>
    <t xml:space="preserve">4. Withholdings</t>
  </si>
  <si>
    <t xml:space="preserve">24006</t>
  </si>
  <si>
    <t xml:space="preserve">Taxes - Local VAT recoverable</t>
  </si>
  <si>
    <t xml:space="preserve">통관부가세 납부</t>
  </si>
  <si>
    <t xml:space="preserve">26550000 Prepaid - Expenses</t>
  </si>
  <si>
    <t xml:space="preserve">26550001 Prep.Exp.Insurance Premiums</t>
  </si>
  <si>
    <t xml:space="preserve">26550002 Prepaid Rental</t>
  </si>
  <si>
    <t xml:space="preserve">26550303 Prepaid expenses / Other</t>
  </si>
  <si>
    <t xml:space="preserve">26550450 SPPI amortized costs-curr-all but collateral given</t>
  </si>
  <si>
    <t xml:space="preserve">24042</t>
  </si>
  <si>
    <t xml:space="preserve">SPPI amortized costs - current</t>
  </si>
  <si>
    <t xml:space="preserve">26650000 Advance payments</t>
  </si>
  <si>
    <t xml:space="preserve">9. Advance payments</t>
  </si>
  <si>
    <t xml:space="preserve">24018</t>
  </si>
  <si>
    <t xml:space="preserve">Advance payments to suppliers &amp; agents</t>
  </si>
  <si>
    <t xml:space="preserve">26650851 Advance Payments-Foreign currency adj. acct.</t>
  </si>
  <si>
    <t xml:space="preserve">26650852 Sundry - Ot</t>
  </si>
  <si>
    <t xml:space="preserve">26650854 Local VAT Refund  asked</t>
  </si>
  <si>
    <t xml:space="preserve">28100821 Deutsche Bank Money Market Deposit Account</t>
  </si>
  <si>
    <t xml:space="preserve">262</t>
  </si>
  <si>
    <t xml:space="preserve">Cash equivalents - Money Market Mutual funds</t>
  </si>
  <si>
    <t xml:space="preserve">28100861 KEB HANA Bank SA KRW Main</t>
  </si>
  <si>
    <t xml:space="preserve">28101193 Bank of Tokyo - Mitsubishi UFJ KRW Main</t>
  </si>
  <si>
    <t xml:space="preserve">28330000 HSBC - Main Bank Account EUR</t>
  </si>
  <si>
    <t xml:space="preserve">267</t>
  </si>
  <si>
    <t xml:space="preserve">Cash in foreign currencies</t>
  </si>
  <si>
    <t xml:space="preserve">28330001 HSBC - Automatic Payment Clearing EUR</t>
  </si>
  <si>
    <t xml:space="preserve">28330002 HSBC - Automatic Receipt Clearing EUR</t>
  </si>
  <si>
    <t xml:space="preserve">28330010 HSBC - Main Bank Account USD</t>
  </si>
  <si>
    <t xml:space="preserve">28330011 HSBC - Automatic Payment Clearing USD</t>
  </si>
  <si>
    <t xml:space="preserve">28330990 HSBC - Main Bank GL Code - Local Curr</t>
  </si>
  <si>
    <t xml:space="preserve">29100000 Def.Tax Asset(due&lt;=1 year) - If Net Asset</t>
  </si>
  <si>
    <t xml:space="preserve">15. Def.Tax Asset(due&lt;=1 year)</t>
  </si>
  <si>
    <t xml:space="preserve">19000</t>
  </si>
  <si>
    <t xml:space="preserve">Deferred tax assets</t>
  </si>
  <si>
    <t xml:space="preserve">(원본오류 REF)</t>
  </si>
  <si>
    <t xml:space="preserve">29150000 Deferred Tax Asset - Gross</t>
  </si>
  <si>
    <t xml:space="preserve">30000000 Ordinary shares issued and uncalled</t>
  </si>
  <si>
    <t xml:space="preserve">STOCKHOLDERS' EQUITY</t>
  </si>
  <si>
    <t xml:space="preserve">¥°. CAPITAL STOCK</t>
  </si>
  <si>
    <t xml:space="preserve">05. EQU - Equity</t>
  </si>
  <si>
    <t xml:space="preserve">30000</t>
  </si>
  <si>
    <t xml:space="preserve">Share capital</t>
  </si>
  <si>
    <t xml:space="preserve">자본금</t>
  </si>
  <si>
    <t xml:space="preserve">30000100 Share premium Equity sec</t>
  </si>
  <si>
    <t xml:space="preserve">¥±. CAPITAL SURPLUS</t>
  </si>
  <si>
    <t xml:space="preserve">(1) Capital reserves</t>
  </si>
  <si>
    <t xml:space="preserve">30005</t>
  </si>
  <si>
    <t xml:space="preserve">Share premium</t>
  </si>
  <si>
    <t xml:space="preserve">자본잉여금</t>
  </si>
  <si>
    <t xml:space="preserve">31000001 Capital contribution premium</t>
  </si>
  <si>
    <t xml:space="preserve">32100000 Revaluation reserve</t>
  </si>
  <si>
    <t xml:space="preserve">¥². RETAINED EARNINGS</t>
  </si>
  <si>
    <t xml:space="preserve">1. Legal reserve</t>
  </si>
  <si>
    <t xml:space="preserve">30010</t>
  </si>
  <si>
    <t xml:space="preserve">Reserves &amp; retained earnings</t>
  </si>
  <si>
    <t xml:space="preserve">32200000 Retained earnings (R/E)</t>
  </si>
  <si>
    <t xml:space="preserve">10.Unappropriated retained earnings</t>
  </si>
  <si>
    <t xml:space="preserve">전기이월이익잉여금</t>
  </si>
  <si>
    <t xml:space="preserve">32200001 Dividends paid to subsidiaries</t>
  </si>
  <si>
    <t xml:space="preserve">32300000 Surplus from merger operations</t>
  </si>
  <si>
    <t xml:space="preserve">¥³. CAPITAL ADJUSTMENTS</t>
  </si>
  <si>
    <t xml:space="preserve">자본조정</t>
  </si>
  <si>
    <t xml:space="preserve">32900000 Pensions -  Actuarial  gain &amp; losses</t>
  </si>
  <si>
    <t xml:space="preserve">30525</t>
  </si>
  <si>
    <t xml:space="preserve">Pensions - Actuarial gains and losses - OCI</t>
  </si>
  <si>
    <t xml:space="preserve">32910000 Deferred tax on pensions - Actuarial  gain &amp; losse</t>
  </si>
  <si>
    <t xml:space="preserve">30530</t>
  </si>
  <si>
    <t xml:space="preserve">Tax on pensions - Actuarial gains and losses - OCI</t>
  </si>
  <si>
    <t xml:space="preserve">38010000 Provision for Sales Returns -Manual</t>
  </si>
  <si>
    <t xml:space="preserve">7. Allow sales return</t>
  </si>
  <si>
    <t xml:space="preserve">42230</t>
  </si>
  <si>
    <t xml:space="preserve">Prov - Return</t>
  </si>
  <si>
    <t xml:space="preserve">38100001 Provision for settl./damages of litigation &gt;1 year</t>
  </si>
  <si>
    <t xml:space="preserve">06. NCL - Non Current Liabilities</t>
  </si>
  <si>
    <t xml:space="preserve">36200</t>
  </si>
  <si>
    <t xml:space="preserve">Prov-Risk,litigation,penalties&amp;fines-Non current</t>
  </si>
  <si>
    <t xml:space="preserve">38160000 Prov.restr.costs  -  term.benefits ST</t>
  </si>
  <si>
    <t xml:space="preserve">42215</t>
  </si>
  <si>
    <t xml:space="preserve">Prov-Restructuring costs–termination benefits - CL</t>
  </si>
  <si>
    <t xml:space="preserve">38170010 Provision for vacation</t>
  </si>
  <si>
    <t xml:space="preserve">42002</t>
  </si>
  <si>
    <t xml:space="preserve">Employee - Prov paid holiday/premium</t>
  </si>
  <si>
    <t xml:space="preserve">39070851 LT tranfert titres</t>
  </si>
  <si>
    <t xml:space="preserve">4. Long-term lease deposits</t>
  </si>
  <si>
    <t xml:space="preserve">36915</t>
  </si>
  <si>
    <t xml:space="preserve">Payables to conso comp</t>
  </si>
  <si>
    <t xml:space="preserve">39200800 Long Term lease liability</t>
  </si>
  <si>
    <t xml:space="preserve">33000</t>
  </si>
  <si>
    <t xml:space="preserve">40000000 Accts.Pay.Trade Short term</t>
  </si>
  <si>
    <t xml:space="preserve">1. Trade payables</t>
  </si>
  <si>
    <t xml:space="preserve">40000</t>
  </si>
  <si>
    <t xml:space="preserve">Accounts and notes payable</t>
  </si>
  <si>
    <t xml:space="preserve">외상매입금</t>
  </si>
  <si>
    <t xml:space="preserve">40000001 AP Trade 3rd ST Reeval.</t>
  </si>
  <si>
    <t xml:space="preserve">40000003 Exch.Rate adj.Non-Trade Creditors</t>
  </si>
  <si>
    <t xml:space="preserve">40000004 AP Trade ICO ST Reeval.</t>
  </si>
  <si>
    <t xml:space="preserve">40000005 Exch.Rate adj.NonTrade Creditors Group</t>
  </si>
  <si>
    <t xml:space="preserve">40000012 AP Trade other</t>
  </si>
  <si>
    <t xml:space="preserve">3. Other account payable</t>
  </si>
  <si>
    <t xml:space="preserve">40000850 AP Accrual OneCASA Clinical Studies -Man</t>
  </si>
  <si>
    <t xml:space="preserve">40000851 AP Royalties 3rd Party Accrued Liabilities -Manual</t>
  </si>
  <si>
    <t xml:space="preserve">N/A</t>
  </si>
  <si>
    <t xml:space="preserve">40000852 A/P Trade (Manual Adjust)</t>
  </si>
  <si>
    <t xml:space="preserve">40100000 AP-K Trade ICO Import Short Term</t>
  </si>
  <si>
    <t xml:space="preserve">40100856 Exch.Rate adj.Trade Creditors-Group</t>
  </si>
  <si>
    <t xml:space="preserve">40500000 GR/IR A/C Inventory</t>
  </si>
  <si>
    <t xml:space="preserve">7. Goods Rcvd/Invoice Rcvd</t>
  </si>
  <si>
    <t xml:space="preserve">40500001 GR/IR Invoice Clearing Inventory</t>
  </si>
  <si>
    <t xml:space="preserve">40500002 GR/IR Delivery Clearing Inventory</t>
  </si>
  <si>
    <t xml:space="preserve">40500003 GR/IR Analysis Account Inventory</t>
  </si>
  <si>
    <t xml:space="preserve">40500004 Plan Delv Csts</t>
  </si>
  <si>
    <t xml:space="preserve">40500005 GR/IR A/C Non-Inventory</t>
  </si>
  <si>
    <t xml:space="preserve">40500006 GR/IR Invoice Clearing Non-Inventory</t>
  </si>
  <si>
    <t xml:space="preserve">40500007 GR/IR Delivery Clearing Non-Inventory</t>
  </si>
  <si>
    <t xml:space="preserve">40500008 GR/IR Analysis Account Non-Inventory</t>
  </si>
  <si>
    <t xml:space="preserve">40500009 Plan Delv Csts - Freight</t>
  </si>
  <si>
    <t xml:space="preserve">40500017 Goods Received or Invoice Rec -GR/IR -COGS -Manual</t>
  </si>
  <si>
    <t xml:space="preserve">40500018 Goods Rec or Invoice Rec -GR/IR -COGS ICO -Manual</t>
  </si>
  <si>
    <t xml:space="preserve">42000007 Other partners relationship – Liabilities</t>
  </si>
  <si>
    <t xml:space="preserve">42000705 Other Accrued Liabilities</t>
  </si>
  <si>
    <t xml:space="preserve">42000851 Other A/P in foreign currency-tangible assets adj.</t>
  </si>
  <si>
    <t xml:space="preserve">42000852 AP-K Employee expenses</t>
  </si>
  <si>
    <t xml:space="preserve">42006</t>
  </si>
  <si>
    <t xml:space="preserve">Employees - Other current liabilities</t>
  </si>
  <si>
    <t xml:space="preserve">42000856 AP-K Rec Royalties &amp; research ICO</t>
  </si>
  <si>
    <t xml:space="preserve">42050000 Liabilities due to customers - ICO</t>
  </si>
  <si>
    <t xml:space="preserve">42400000 Liab. from Payroll Accounting</t>
  </si>
  <si>
    <t xml:space="preserve">42400700 Liabilities from payroll due to employees</t>
  </si>
  <si>
    <t xml:space="preserve">42400702 Provision for bonus</t>
  </si>
  <si>
    <t xml:space="preserve">6. Accr.Incentive Compensation</t>
  </si>
  <si>
    <t xml:space="preserve">성과급여충당금</t>
  </si>
  <si>
    <t xml:space="preserve">42400800 Provision for Ots charges</t>
  </si>
  <si>
    <t xml:space="preserve">36228</t>
  </si>
  <si>
    <t xml:space="preserve">Prov - Other risks &amp; charges</t>
  </si>
  <si>
    <t xml:space="preserve">42420000 Social Security Liabilities</t>
  </si>
  <si>
    <t xml:space="preserve">42014</t>
  </si>
  <si>
    <t xml:space="preserve">Social securities liabilities</t>
  </si>
  <si>
    <t xml:space="preserve">42420851 Withholding tax-medical insurance</t>
  </si>
  <si>
    <t xml:space="preserve">42420852 Withholding tax-vocational training tax</t>
  </si>
  <si>
    <t xml:space="preserve">42440000 Accr.Incentive Compensation</t>
  </si>
  <si>
    <t xml:space="preserve">42490000 Accrued interest payable</t>
  </si>
  <si>
    <t xml:space="preserve">46025</t>
  </si>
  <si>
    <t xml:space="preserve">Accrued interests payable</t>
  </si>
  <si>
    <t xml:space="preserve">42490100 Accrued interest on I/C borrowings</t>
  </si>
  <si>
    <t xml:space="preserve">42490240 Payroll taxes withheld and deduction on salary</t>
  </si>
  <si>
    <t xml:space="preserve">42490336 Accrual for extraordinary salaries to pay</t>
  </si>
  <si>
    <t xml:space="preserve">42570000 Dividends Payable 3rd</t>
  </si>
  <si>
    <t xml:space="preserve">42020</t>
  </si>
  <si>
    <t xml:space="preserve">Dividends payable - Third party</t>
  </si>
  <si>
    <t xml:space="preserve">42910000 AP Trade other</t>
  </si>
  <si>
    <t xml:space="preserve">42910012 Municipal and Other taxes</t>
  </si>
  <si>
    <t xml:space="preserve">42012</t>
  </si>
  <si>
    <t xml:space="preserve">Taxes - Others</t>
  </si>
  <si>
    <t xml:space="preserve">42910018 Other Accrued Liabilities</t>
  </si>
  <si>
    <t xml:space="preserve">42910102 Provision for Rebate</t>
  </si>
  <si>
    <t xml:space="preserve">42240</t>
  </si>
  <si>
    <t xml:space="preserve">Prov -Rebates, chargebacks, other sales deductions</t>
  </si>
  <si>
    <t xml:space="preserve">42910311 Prov.restr.pers.costs w/o term.ben.&lt;= 1 year</t>
  </si>
  <si>
    <t xml:space="preserve">42205</t>
  </si>
  <si>
    <t xml:space="preserve">Prov-Restr costs oth than termination benefits-CL</t>
  </si>
  <si>
    <t xml:space="preserve">42910850 Accrued Rebate</t>
  </si>
  <si>
    <t xml:space="preserve">42910851 AP Non COGS Non-PO Accrual</t>
  </si>
  <si>
    <t xml:space="preserve">4000</t>
  </si>
  <si>
    <t xml:space="preserve">42910852 Sales deduction- accrual for Pharma</t>
  </si>
  <si>
    <t xml:space="preserve">42910853 Accrued Expenses-accrued rebate</t>
  </si>
  <si>
    <t xml:space="preserve">42910854 Sales deduction- accrual for CHC</t>
  </si>
  <si>
    <t xml:space="preserve">42910909 Other deductions</t>
  </si>
  <si>
    <t xml:space="preserve">14. Other current liabilities</t>
  </si>
  <si>
    <t xml:space="preserve">42034</t>
  </si>
  <si>
    <t xml:space="preserve">Sundry current liabilities (ex restructuring)</t>
  </si>
  <si>
    <t xml:space="preserve">기타유동부채</t>
  </si>
  <si>
    <t xml:space="preserve">42911000 AR-D Advance payments rec 3rd</t>
  </si>
  <si>
    <t xml:space="preserve">42911100 Short-term lease liability</t>
  </si>
  <si>
    <t xml:space="preserve">43000</t>
  </si>
  <si>
    <t xml:space="preserve">Short-term lease liability</t>
  </si>
  <si>
    <t xml:space="preserve">42911101 Accrued interest - Short-term lease liability</t>
  </si>
  <si>
    <t xml:space="preserve">43005</t>
  </si>
  <si>
    <t xml:space="preserve">42920000 GST/VAT Billed to Customers</t>
  </si>
  <si>
    <t xml:space="preserve">42010</t>
  </si>
  <si>
    <t xml:space="preserve">Taxes - VAT</t>
  </si>
  <si>
    <t xml:space="preserve">42930000 Income Tax payable - current year (Federal)</t>
  </si>
  <si>
    <t xml:space="preserve">10. Accrued income taxes</t>
  </si>
  <si>
    <t xml:space="preserve">45005</t>
  </si>
  <si>
    <t xml:space="preserve">Income taxes liabilities</t>
  </si>
  <si>
    <t xml:space="preserve">42930850 Advance payment of Income Tax</t>
  </si>
  <si>
    <t xml:space="preserve">11. Prepaid Income tax</t>
  </si>
  <si>
    <t xml:space="preserve">25000</t>
  </si>
  <si>
    <t xml:space="preserve">Taxes - Advanced of payments of income taxes</t>
  </si>
  <si>
    <t xml:space="preserve">42930851 Prepaid Income tax-withholdings</t>
  </si>
  <si>
    <t xml:space="preserve">42940003 Withholding tax - Royalties</t>
  </si>
  <si>
    <t xml:space="preserve">42940854 Withholding tax-dividend income(resident tax)</t>
  </si>
  <si>
    <t xml:space="preserve">42940855 Withholding tax-business income</t>
  </si>
  <si>
    <t xml:space="preserve">42940856 Withholding tax-other income</t>
  </si>
  <si>
    <t xml:space="preserve">42940857 Withholding tax-corporate interest income</t>
  </si>
  <si>
    <t xml:space="preserve">42940861 Withholding tax-other income(resident)</t>
  </si>
  <si>
    <t xml:space="preserve">42940863 Withholding tax-dividend income</t>
  </si>
  <si>
    <t xml:space="preserve">42980000 Provision for reinstatement cost</t>
  </si>
  <si>
    <t xml:space="preserve">50000000 Gross Product Sales Local</t>
  </si>
  <si>
    <t xml:space="preserve">¥°. SALES</t>
  </si>
  <si>
    <t xml:space="preserve">1. Sales of finished goods</t>
  </si>
  <si>
    <t xml:space="preserve">Domestic sales of finished goods</t>
  </si>
  <si>
    <t xml:space="preserve">09. NRV - Net Revenue</t>
  </si>
  <si>
    <t xml:space="preserve">51100</t>
  </si>
  <si>
    <t xml:space="preserve">Gross Sales</t>
  </si>
  <si>
    <t xml:space="preserve">50000102 Gross sales - FG Man Adj 3rd P</t>
  </si>
  <si>
    <t xml:space="preserve">50000851 Sales of Merchandise-domestic</t>
  </si>
  <si>
    <t xml:space="preserve">2. Sales of merchandise</t>
  </si>
  <si>
    <t xml:space="preserve">Domestic sales of merchandise</t>
  </si>
  <si>
    <t xml:space="preserve">50000854 Other Commercial Incentives</t>
  </si>
  <si>
    <t xml:space="preserve">51135</t>
  </si>
  <si>
    <t xml:space="preserve">Commercial incentives on off invoice</t>
  </si>
  <si>
    <t xml:space="preserve">50100799 Gross Sales - FG Man adj - ICO</t>
  </si>
  <si>
    <t xml:space="preserve">50200001 Pharma Cont - TG Man Adj 3rd P</t>
  </si>
  <si>
    <t xml:space="preserve">5. Sales allowancw and return</t>
  </si>
  <si>
    <t xml:space="preserve">51110</t>
  </si>
  <si>
    <t xml:space="preserve">Statutory Terms</t>
  </si>
  <si>
    <t xml:space="preserve">매출에누리와환입</t>
  </si>
  <si>
    <t xml:space="preserve">51000850 Sales of merchandise returned</t>
  </si>
  <si>
    <t xml:space="preserve">51105</t>
  </si>
  <si>
    <t xml:space="preserve">Returns</t>
  </si>
  <si>
    <t xml:space="preserve">51300011 Price Red./Reb.Loc Sales (manual posting)</t>
  </si>
  <si>
    <t xml:space="preserve">51300015 Returns &amp; corr.- FG Man Adj 3rd P</t>
  </si>
  <si>
    <t xml:space="preserve">51300026 Sales Discount-Negotiated terms-TG Domestic 3P 1</t>
  </si>
  <si>
    <t xml:space="preserve">51115</t>
  </si>
  <si>
    <t xml:space="preserve">Market access terms</t>
  </si>
  <si>
    <t xml:space="preserve">51300450 Price Red./Reb.Local Sales - Trading Goods</t>
  </si>
  <si>
    <t xml:space="preserve">51300502 Discount - Accrual 3rd P</t>
  </si>
  <si>
    <t xml:space="preserve">51300799 Sales Discount-Negotiated terms-Man Adj 3rd P</t>
  </si>
  <si>
    <t xml:space="preserve">51650053 Institut Price equaliz (Tender) post-inv-TG D 3P</t>
  </si>
  <si>
    <t xml:space="preserve">51125</t>
  </si>
  <si>
    <t xml:space="preserve">Tender and Price adjustment on off invoice</t>
  </si>
  <si>
    <t xml:space="preserve">51650102 Price Equalization - TG Man Adj 3rd P.</t>
  </si>
  <si>
    <t xml:space="preserve">51660001 Sales deduction- accrual for Pharma</t>
  </si>
  <si>
    <t xml:space="preserve">53000005 Standard COGS .Trading Goods</t>
  </si>
  <si>
    <t xml:space="preserve">¥±. COSTS AND EXPENSES</t>
  </si>
  <si>
    <t xml:space="preserve">(1) Cost of sales</t>
  </si>
  <si>
    <t xml:space="preserve">2. Cost of merchandise sold</t>
  </si>
  <si>
    <t xml:space="preserve">10. COG - Cost of Goods Sold</t>
  </si>
  <si>
    <t xml:space="preserve">52200</t>
  </si>
  <si>
    <t xml:space="preserve">Industrial standard costs (ISC)</t>
  </si>
  <si>
    <t xml:space="preserve">53000850 Yield Semi-finished 3P/ICO</t>
  </si>
  <si>
    <t xml:space="preserve">52225</t>
  </si>
  <si>
    <t xml:space="preserve">Yield/ substitution variance</t>
  </si>
  <si>
    <t xml:space="preserve">53000853 Purchase Trading Goods 3rd</t>
  </si>
  <si>
    <t xml:space="preserve">52265</t>
  </si>
  <si>
    <t xml:space="preserve">Other ISC variances</t>
  </si>
  <si>
    <t xml:space="preserve">53000858 Prov - Inventories - revalorization</t>
  </si>
  <si>
    <t xml:space="preserve">52250</t>
  </si>
  <si>
    <t xml:space="preserve">Inventory write-down</t>
  </si>
  <si>
    <t xml:space="preserve">54000008 Mat.Prc.Var.Trading Goods</t>
  </si>
  <si>
    <t xml:space="preserve">54000033 PPV Price Samples ICO</t>
  </si>
  <si>
    <t xml:space="preserve">52260</t>
  </si>
  <si>
    <t xml:space="preserve">Variances of interco transfer prices</t>
  </si>
  <si>
    <t xml:space="preserve">54200018 Oth.Prd.Var.Mfg.Spend.Prod.Related</t>
  </si>
  <si>
    <t xml:space="preserve">54000070 Manual price purchase SF 3P</t>
  </si>
  <si>
    <t xml:space="preserve">54000080 Manual Price outsourcing purchase 3P</t>
  </si>
  <si>
    <t xml:space="preserve">54000700 PPV Price Semi Finished 3rd</t>
  </si>
  <si>
    <t xml:space="preserve">54000851 Good issue on Dev Packaging Purch 3P</t>
  </si>
  <si>
    <t xml:space="preserve">1. Cost of finished goods sold</t>
  </si>
  <si>
    <t xml:space="preserve">52270</t>
  </si>
  <si>
    <t xml:space="preserve">Costs not included in ISC</t>
  </si>
  <si>
    <t xml:space="preserve">품질검사</t>
  </si>
  <si>
    <t xml:space="preserve">54001201 Merchandise Purchase Price Variance-Bulk (Group)</t>
  </si>
  <si>
    <t xml:space="preserve">55010002 Added Value Var Indirect</t>
  </si>
  <si>
    <t xml:space="preserve">55050000 Reval.Invent.New Std/Act.Cost - Semifinished and F</t>
  </si>
  <si>
    <t xml:space="preserve">52275</t>
  </si>
  <si>
    <t xml:space="preserve">Reval. invent. due to transfer price changes</t>
  </si>
  <si>
    <t xml:space="preserve">55050001 Reval.Invent.New Std/Act.Cost - Primary Product</t>
  </si>
  <si>
    <t xml:space="preserve">(2) Materials consumed</t>
  </si>
  <si>
    <t xml:space="preserve">2. Packing materials</t>
  </si>
  <si>
    <t xml:space="preserve">포장재료표준원가변경차이</t>
  </si>
  <si>
    <t xml:space="preserve">55050850 Reval.Invent.New Std/Act.Cost-merchadise</t>
  </si>
  <si>
    <t xml:space="preserve">52280</t>
  </si>
  <si>
    <t xml:space="preserve">Reval of invent not due to transfer price changes</t>
  </si>
  <si>
    <t xml:space="preserve">55090002 Destruct.Of Inventories - Merchandise</t>
  </si>
  <si>
    <t xml:space="preserve">52240</t>
  </si>
  <si>
    <t xml:space="preserve">Adjustments of inventory volumes</t>
  </si>
  <si>
    <t xml:space="preserve">55100008 Oth.Invent.Adj.Trad.Goods</t>
  </si>
  <si>
    <t xml:space="preserve">55150000 Other Cost of sales - Royalty - 3rd pty</t>
  </si>
  <si>
    <t xml:space="preserve">(7) Ind. selling &amp; admin./Mfg. overhead</t>
  </si>
  <si>
    <t xml:space="preserve">16.Commissions and fees</t>
  </si>
  <si>
    <t xml:space="preserve">11. OPE - Operating Expenses</t>
  </si>
  <si>
    <t xml:space="preserve">52100</t>
  </si>
  <si>
    <t xml:space="preserve">Royalties expenses</t>
  </si>
  <si>
    <t xml:space="preserve">판매비와일반관리비</t>
  </si>
  <si>
    <t xml:space="preserve">55210003 Purchase Samples 3rd</t>
  </si>
  <si>
    <t xml:space="preserve">14.Post marketing surveillance expenses</t>
  </si>
  <si>
    <t xml:space="preserve">임사증례조사비</t>
  </si>
  <si>
    <t xml:space="preserve">55300001 Revaluation Packaging Purch ICO</t>
  </si>
  <si>
    <t xml:space="preserve">59000000 Royalties from 3rd party - outside EEC</t>
  </si>
  <si>
    <t xml:space="preserve">(9) Non-operating income</t>
  </si>
  <si>
    <t xml:space="preserve">19.Miscellaneous income</t>
  </si>
  <si>
    <t xml:space="preserve">51200</t>
  </si>
  <si>
    <t xml:space="preserve">Royalties income</t>
  </si>
  <si>
    <t xml:space="preserve">61000400 Training to employees</t>
  </si>
  <si>
    <t xml:space="preserve">22.Education and training</t>
  </si>
  <si>
    <t xml:space="preserve">99997</t>
  </si>
  <si>
    <t xml:space="preserve">Cost Collector Driven</t>
  </si>
  <si>
    <t xml:space="preserve">61000870 Site facility management &amp; Services</t>
  </si>
  <si>
    <t xml:space="preserve">61001160 Bank charges</t>
  </si>
  <si>
    <t xml:space="preserve">12. NOE - Non-Operating Expenses/Income</t>
  </si>
  <si>
    <t xml:space="preserve">61001200 Depreciation</t>
  </si>
  <si>
    <t xml:space="preserve">8. Depreciation</t>
  </si>
  <si>
    <t xml:space="preserve">62000005 Vacation paid - local specificities</t>
  </si>
  <si>
    <t xml:space="preserve">(6) Personnel expenses/Labor cost</t>
  </si>
  <si>
    <t xml:space="preserve">1. Salaries</t>
  </si>
  <si>
    <t xml:space="preserve">62000007 Employees exps paid by company</t>
  </si>
  <si>
    <t xml:space="preserve">62000010 Overtime and extra months</t>
  </si>
  <si>
    <t xml:space="preserve">62000300 Salaries &amp; wages</t>
  </si>
  <si>
    <t xml:space="preserve">62000376 Expatriate staff - Salaries &amp; wages</t>
  </si>
  <si>
    <t xml:space="preserve">62000410 Provision bonus</t>
  </si>
  <si>
    <t xml:space="preserve">62000502 Daily allowance</t>
  </si>
  <si>
    <t xml:space="preserve">2. Travel expenses</t>
  </si>
  <si>
    <t xml:space="preserve">62000600 Bonus</t>
  </si>
  <si>
    <t xml:space="preserve">(5) Direct selling expenses</t>
  </si>
  <si>
    <t xml:space="preserve">1. Sales bonus</t>
  </si>
  <si>
    <t xml:space="preserve">판매직접비</t>
  </si>
  <si>
    <t xml:space="preserve">62000717 Provision for vacation</t>
  </si>
  <si>
    <t xml:space="preserve">62000744 Ot compensations</t>
  </si>
  <si>
    <t xml:space="preserve">62100702 Contribution to Pension &amp; life insurance fund</t>
  </si>
  <si>
    <t xml:space="preserve">6. Taxes and dues</t>
  </si>
  <si>
    <t xml:space="preserve">세금과공과</t>
  </si>
  <si>
    <t xml:space="preserve">62100747 Pension cost - Defined contribution Plan</t>
  </si>
  <si>
    <t xml:space="preserve">2. Retirement allowances</t>
  </si>
  <si>
    <t xml:space="preserve">62100925 Social security on Salaries &amp; wages</t>
  </si>
  <si>
    <t xml:space="preserve">1. Other employee benefits</t>
  </si>
  <si>
    <t xml:space="preserve">62200400 Employer sponsored benefits for staff</t>
  </si>
  <si>
    <t xml:space="preserve">62200930 Sal works - occupational medicine</t>
  </si>
  <si>
    <t xml:space="preserve">62200940 Canteen employer contribution</t>
  </si>
  <si>
    <t xml:space="preserve">62200945 Staff relocation costs</t>
  </si>
  <si>
    <t xml:space="preserve">62400006 Provision Incentive Compensation &amp; bonuses</t>
  </si>
  <si>
    <t xml:space="preserve">62400910 Incentive Compensation &amp; bonuses paid</t>
  </si>
  <si>
    <t xml:space="preserve">62400915 Vacation paid</t>
  </si>
  <si>
    <t xml:space="preserve">62500800 Training - Materials</t>
  </si>
  <si>
    <t xml:space="preserve">63300005 Clinical trial - Monitoring Fees</t>
  </si>
  <si>
    <t xml:space="preserve">63420201 Clinical trial - Ethics Committee Rev.</t>
  </si>
  <si>
    <t xml:space="preserve">63450101 Accr.- Studies</t>
  </si>
  <si>
    <t xml:space="preserve">63430101 Outsourcing Prospective RWE -Primary data collect</t>
  </si>
  <si>
    <t xml:space="preserve">64000010 T&amp;E - Transport Domestic</t>
  </si>
  <si>
    <t xml:space="preserve">64000012 T&amp;E - Meals Domestic</t>
  </si>
  <si>
    <t xml:space="preserve">64000020 T&amp;E - Transport Foreign</t>
  </si>
  <si>
    <t xml:space="preserve">64000021 T&amp;E  Accommodation Foreign</t>
  </si>
  <si>
    <t xml:space="preserve">64000030 T&amp;E - Accommodation Domestic</t>
  </si>
  <si>
    <t xml:space="preserve">64000040 Business Meals</t>
  </si>
  <si>
    <t xml:space="preserve">11.Entertainment</t>
  </si>
  <si>
    <t xml:space="preserve">64000710 T&amp;E - Meals Foreign</t>
  </si>
  <si>
    <t xml:space="preserve">64000915 Sundry business exps - ND</t>
  </si>
  <si>
    <t xml:space="preserve">64110000 Temporary agency Labor</t>
  </si>
  <si>
    <t xml:space="preserve">64200000 Audit fees</t>
  </si>
  <si>
    <t xml:space="preserve">64200700 Tax advisory fees</t>
  </si>
  <si>
    <t xml:space="preserve">64200800 IT Maintanence Managed services</t>
  </si>
  <si>
    <t xml:space="preserve">64200801 IT Projects Managed services</t>
  </si>
  <si>
    <t xml:space="preserve">64200802 Managed services</t>
  </si>
  <si>
    <t xml:space="preserve">64212171 Business Process outsourced</t>
  </si>
  <si>
    <t xml:space="preserve">64212450 Purchases of food services</t>
  </si>
  <si>
    <t xml:space="preserve">64290000 Other Fees</t>
  </si>
  <si>
    <t xml:space="preserve">64290090 IT projects consultant fees</t>
  </si>
  <si>
    <t xml:space="preserve">64290150 Solicitors/lawyers &amp; legal fees</t>
  </si>
  <si>
    <t xml:space="preserve">64290601 Strategic and Management consulting fees</t>
  </si>
  <si>
    <t xml:space="preserve">64514001 Promotional materials</t>
  </si>
  <si>
    <t xml:space="preserve">4. Advertising</t>
  </si>
  <si>
    <t xml:space="preserve">64516004 Events - Travel &amp; Accomodation - Guests</t>
  </si>
  <si>
    <t xml:space="preserve">17.Conference expenses</t>
  </si>
  <si>
    <t xml:space="preserve">64550000 Samples</t>
  </si>
  <si>
    <t xml:space="preserve">53240</t>
  </si>
  <si>
    <t xml:space="preserve">64570000 Advertising &amp; communication agency costs</t>
  </si>
  <si>
    <t xml:space="preserve">64570654 Public relation exps</t>
  </si>
  <si>
    <t xml:space="preserve">64590000 Congresses Other expenses</t>
  </si>
  <si>
    <t xml:space="preserve">2. Sales promotion</t>
  </si>
  <si>
    <t xml:space="preserve">64590017 Medical consult.exps</t>
  </si>
  <si>
    <t xml:space="preserve">64590020 Advertising space - Television &amp; Radio</t>
  </si>
  <si>
    <t xml:space="preserve">64590050 Subscriptions fees to professional organiz.</t>
  </si>
  <si>
    <t xml:space="preserve">64590052 Patient Support Program Exps</t>
  </si>
  <si>
    <t xml:space="preserve">64590063 A&amp;P sponsorship Exps</t>
  </si>
  <si>
    <t xml:space="preserve">64590719 Speaker Fees</t>
  </si>
  <si>
    <t xml:space="preserve">24.Scientific expenses</t>
  </si>
  <si>
    <t xml:space="preserve">64591000 Advertising space - Internet</t>
  </si>
  <si>
    <t xml:space="preserve">64591002 Advertising space - Press &amp; Billboard</t>
  </si>
  <si>
    <t xml:space="preserve">64591006 Sponsorship (HCO/MSA)</t>
  </si>
  <si>
    <t xml:space="preserve">64591012 Clinical Trial - Ot costs</t>
  </si>
  <si>
    <t xml:space="preserve">64591013 External events (meetings,congress,symposium)</t>
  </si>
  <si>
    <t xml:space="preserve">64591023 Clinical trial - Investigator fees</t>
  </si>
  <si>
    <t xml:space="preserve">64591062 Patient support materials</t>
  </si>
  <si>
    <t xml:space="preserve">64591075 Clinical trial - Drugs supplies</t>
  </si>
  <si>
    <t xml:space="preserve">18.Consumables</t>
  </si>
  <si>
    <t xml:space="preserve">64591076 Translation fees</t>
  </si>
  <si>
    <t xml:space="preserve">64591078 External archiving</t>
  </si>
  <si>
    <t xml:space="preserve">64600005 Commission &amp; brokerage fees 3rd pty</t>
  </si>
  <si>
    <t xml:space="preserve">53220</t>
  </si>
  <si>
    <t xml:space="preserve">Sales commissions to third parties</t>
  </si>
  <si>
    <t xml:space="preserve">64600030 Mail &amp; express delivery</t>
  </si>
  <si>
    <t xml:space="preserve">4. Communications</t>
  </si>
  <si>
    <t xml:space="preserve">64600050 Distribution &amp; external storage costs</t>
  </si>
  <si>
    <t xml:space="preserve">12.Transportation and warehousing expenses</t>
  </si>
  <si>
    <t xml:space="preserve">64600060 Market research</t>
  </si>
  <si>
    <t xml:space="preserve">64600077 External salesforce</t>
  </si>
  <si>
    <t xml:space="preserve">64600111 Recruitment costs</t>
  </si>
  <si>
    <t xml:space="preserve">64650047 Internal event - off site</t>
  </si>
  <si>
    <t xml:space="preserve">64700600 Software - not capitalized</t>
  </si>
  <si>
    <t xml:space="preserve">64800050 Regulatory Authority fees</t>
  </si>
  <si>
    <t xml:space="preserve">65000000 Real estate rentals exps</t>
  </si>
  <si>
    <t xml:space="preserve">7. Rent</t>
  </si>
  <si>
    <t xml:space="preserve">65000001 IFRS16 clearing a/c-rental exp-Land and Buildings</t>
  </si>
  <si>
    <t xml:space="preserve">65200000 Electricity</t>
  </si>
  <si>
    <t xml:space="preserve">5. Electricity and water</t>
  </si>
  <si>
    <t xml:space="preserve">65300000 Telecommunication costs</t>
  </si>
  <si>
    <t xml:space="preserve">65300020 Mobile telecom costs</t>
  </si>
  <si>
    <t xml:space="preserve">65300050 Software maintenance</t>
  </si>
  <si>
    <t xml:space="preserve">9. Repairs</t>
  </si>
  <si>
    <t xml:space="preserve">65300510 IT equipment not capitalized &amp; supplies</t>
  </si>
  <si>
    <t xml:space="preserve">65550003 Depreciation - EDP</t>
  </si>
  <si>
    <t xml:space="preserve">65550004 Depreciation on Furniture/Fittings/Office Equipmet</t>
  </si>
  <si>
    <t xml:space="preserve">65550008 Depreciation - Leasehold Improvement</t>
  </si>
  <si>
    <t xml:space="preserve">65550012 Dep.Exp.M&amp;E-Machin&amp;Equip (Auto)</t>
  </si>
  <si>
    <t xml:space="preserve">65600000 Site &amp; building maintenance</t>
  </si>
  <si>
    <t xml:space="preserve">65600040 IT equipment maintenance</t>
  </si>
  <si>
    <t xml:space="preserve">65650700 Car maintenance &amp; Fleet administration</t>
  </si>
  <si>
    <t xml:space="preserve">13.Vehicle maintenance</t>
  </si>
  <si>
    <t xml:space="preserve">66000000 Office equipment supplies</t>
  </si>
  <si>
    <t xml:space="preserve">66000703 Laboratory Chemicals</t>
  </si>
  <si>
    <t xml:space="preserve">66000004 Other employee expenses</t>
  </si>
  <si>
    <t xml:space="preserve">66000060 Journal/ magazines &amp; on line subscription</t>
  </si>
  <si>
    <t xml:space="preserve">19.Periodicals and printings</t>
  </si>
  <si>
    <t xml:space="preserve">66000650 Printing Services</t>
  </si>
  <si>
    <t xml:space="preserve">66100020 Insurance - Multirisk &amp; Damage</t>
  </si>
  <si>
    <t xml:space="preserve">10.Insurance</t>
  </si>
  <si>
    <t xml:space="preserve">66100707 Ot insurance for employees</t>
  </si>
  <si>
    <t xml:space="preserve">66200700 Freight costs on sales</t>
  </si>
  <si>
    <t xml:space="preserve">3. Delivery</t>
  </si>
  <si>
    <t xml:space="preserve">66300005 Freight primary costs</t>
  </si>
  <si>
    <t xml:space="preserve">66300915 Duties &amp; Customs</t>
  </si>
  <si>
    <t xml:space="preserve">66500401 Fringe benefits</t>
  </si>
  <si>
    <t xml:space="preserve">66600000 Scientific Documentation</t>
  </si>
  <si>
    <t xml:space="preserve">66900000 Miscellaneous operating expenses</t>
  </si>
  <si>
    <t xml:space="preserve">(10) Non-operating expense</t>
  </si>
  <si>
    <t xml:space="preserve">17.Miscellaneous expense</t>
  </si>
  <si>
    <t xml:space="preserve">66900039 Healthcare contribution</t>
  </si>
  <si>
    <t xml:space="preserve">9. Donations</t>
  </si>
  <si>
    <t xml:space="preserve">영업외판매비와일반관리비</t>
  </si>
  <si>
    <t xml:space="preserve">66900040 Philanthropic Donations - Tax eligible</t>
  </si>
  <si>
    <t xml:space="preserve">66900044 Medical contribution</t>
  </si>
  <si>
    <t xml:space="preserve">66900505 Cleaning expenses</t>
  </si>
  <si>
    <t xml:space="preserve">66900707 Other expenses - ND</t>
  </si>
  <si>
    <t xml:space="preserve">66900905 External collaboration outsourcing cost</t>
  </si>
  <si>
    <t xml:space="preserve">67100028 Off/Ent.QI.Sample TrdGds.</t>
  </si>
  <si>
    <t xml:space="preserve">26.Quality control expenses</t>
  </si>
  <si>
    <t xml:space="preserve">68011600 Salaries &amp; Wages Not Taxable</t>
  </si>
  <si>
    <t xml:space="preserve">67100700 Subcontracting / Ext.Serv.ND</t>
  </si>
  <si>
    <t xml:space="preserve">68014600 Social security - unemployment</t>
  </si>
  <si>
    <t xml:space="preserve">68015600 Personnel exps - ND</t>
  </si>
  <si>
    <t xml:space="preserve">68031400 T&amp;E - Employee Mileage (employee veh.)</t>
  </si>
  <si>
    <t xml:space="preserve">68033200 Travel agencies fees</t>
  </si>
  <si>
    <t xml:space="preserve">68063200 Outplacement services</t>
  </si>
  <si>
    <t xml:space="preserve">68075100 external collaboration insourcing cost</t>
  </si>
  <si>
    <t xml:space="preserve">68132000 IFRS16 clearing a/c-rental exp-Land and Buildings</t>
  </si>
  <si>
    <t xml:space="preserve">68141100 Depreciation of Buildings</t>
  </si>
  <si>
    <t xml:space="preserve">68142100 Depreciation of Furniture</t>
  </si>
  <si>
    <t xml:space="preserve">68142200 Depreciation of Machinery and Equipment</t>
  </si>
  <si>
    <t xml:space="preserve">68142300 Depreciation of Office Equipment</t>
  </si>
  <si>
    <t xml:space="preserve">68144000 Dep.Exp.Land and Build.-Right (Auto)</t>
  </si>
  <si>
    <t xml:space="preserve">68163301 GMAO spare parts - indirect consumption</t>
  </si>
  <si>
    <t xml:space="preserve">68212100 Tax-Property &amp; Business taxes</t>
  </si>
  <si>
    <t xml:space="preserve">68212500 Tax-Others</t>
  </si>
  <si>
    <t xml:space="preserve">68224300 Packaging design</t>
  </si>
  <si>
    <t xml:space="preserve">68225600 Educational mail</t>
  </si>
  <si>
    <t xml:space="preserve">68231100 Commercial Samples</t>
  </si>
  <si>
    <t xml:space="preserve">68231300 Local Medical Sample</t>
  </si>
  <si>
    <t xml:space="preserve">53115</t>
  </si>
  <si>
    <t xml:space="preserve">Samples for local clinical studies</t>
  </si>
  <si>
    <t xml:space="preserve">68225200 Office and site relocation services</t>
  </si>
  <si>
    <t xml:space="preserve">68261700 Rebilling  G&amp;A  inc.</t>
  </si>
  <si>
    <t xml:space="preserve">29.G&amp;A Transfer to Cost of Service</t>
  </si>
  <si>
    <t xml:space="preserve">판관비타계정 출고</t>
  </si>
  <si>
    <t xml:space="preserve">70020150 Provision for risks on receivables</t>
  </si>
  <si>
    <t xml:space="preserve">20.Bad debt expenses</t>
  </si>
  <si>
    <t xml:space="preserve">53280</t>
  </si>
  <si>
    <t xml:space="preserve">Doubtful debts</t>
  </si>
  <si>
    <t xml:space="preserve">70051000 Prov.for restructuring - Personnel</t>
  </si>
  <si>
    <t xml:space="preserve">64000</t>
  </si>
  <si>
    <t xml:space="preserve">Restructuring costs (major events)</t>
  </si>
  <si>
    <t xml:space="preserve">74100000 FXgain opg.- set - 3rd pty rec.s &amp; pay.</t>
  </si>
  <si>
    <t xml:space="preserve">5. Gain on foreign currency transactions</t>
  </si>
  <si>
    <t xml:space="preserve">54200</t>
  </si>
  <si>
    <t xml:space="preserve">Realised forex gains and losses on operations</t>
  </si>
  <si>
    <t xml:space="preserve">74110000 FXlosses opg.-set-3rd pty rec.s&amp;pay.</t>
  </si>
  <si>
    <t xml:space="preserve">5. Loss on foreign currency transactions</t>
  </si>
  <si>
    <t xml:space="preserve">74115000 Foreign Exchange Gain-Unrealized</t>
  </si>
  <si>
    <t xml:space="preserve">7. Gain on foreign currency transalation</t>
  </si>
  <si>
    <t xml:space="preserve">54205</t>
  </si>
  <si>
    <t xml:space="preserve">Unrealised forex gains and losses on operations</t>
  </si>
  <si>
    <t xml:space="preserve">74120000 Foreign Exchange Loss-Unrealized</t>
  </si>
  <si>
    <t xml:space="preserve">7. Loss on foreign currency translation</t>
  </si>
  <si>
    <t xml:space="preserve">74200001 Miscellaneous operating income</t>
  </si>
  <si>
    <t xml:space="preserve">74250001 R&amp;D   Clinical studies  ICO  inc.</t>
  </si>
  <si>
    <t xml:space="preserve">76310</t>
  </si>
  <si>
    <t xml:space="preserve">Intercompany research &amp; development profits</t>
  </si>
  <si>
    <t xml:space="preserve">R&amp;D true-up</t>
  </si>
  <si>
    <t xml:space="preserve">74259900 Other current operating income (Man)</t>
  </si>
  <si>
    <t xml:space="preserve">54415</t>
  </si>
  <si>
    <t xml:space="preserve">74260000 Miscellaneous - Other Expenses</t>
  </si>
  <si>
    <t xml:space="preserve">74260010 Misc.Exp.Bank Charges - Operations</t>
  </si>
  <si>
    <t xml:space="preserve">74260023 Global General Services Expenses -ICO</t>
  </si>
  <si>
    <t xml:space="preserve">76426</t>
  </si>
  <si>
    <t xml:space="preserve">Intercompany Global General Services expenses</t>
  </si>
  <si>
    <t xml:space="preserve">74260024 Grants and Market Support Expenses -ICO</t>
  </si>
  <si>
    <t xml:space="preserve">76431</t>
  </si>
  <si>
    <t xml:space="preserve">Intercompany Grants &amp; Market Support expenses</t>
  </si>
  <si>
    <t xml:space="preserve">&gt;TP adjustment credit</t>
  </si>
  <si>
    <t xml:space="preserve">74260026 Transfer Price Adjustment -Expense -PY</t>
  </si>
  <si>
    <t xml:space="preserve">76437</t>
  </si>
  <si>
    <t xml:space="preserve">TP Adjustments - Previous Year</t>
  </si>
  <si>
    <t xml:space="preserve">74260030 Expenses related to other partners</t>
  </si>
  <si>
    <t xml:space="preserve">54510</t>
  </si>
  <si>
    <t xml:space="preserve">75000850 Fi.charges-reval.-Credit Lines-int.s</t>
  </si>
  <si>
    <t xml:space="preserve">1. Interest expense</t>
  </si>
  <si>
    <t xml:space="preserve">56100</t>
  </si>
  <si>
    <t xml:space="preserve">Interests on loan</t>
  </si>
  <si>
    <t xml:space="preserve">75001500 Ints. Costs on Unwinding Disc of LT Asset and Prov</t>
  </si>
  <si>
    <t xml:space="preserve">56130</t>
  </si>
  <si>
    <t xml:space="preserve">Int. costs on unwinding of discount of LT A &amp; prov</t>
  </si>
  <si>
    <t xml:space="preserve">75250110 Interest expense on lease liabilities - below BNI</t>
  </si>
  <si>
    <t xml:space="preserve">56140</t>
  </si>
  <si>
    <t xml:space="preserve">75300850 Fi.inc.- set - Bank accounts - Interests</t>
  </si>
  <si>
    <t xml:space="preserve">1. Interest income</t>
  </si>
  <si>
    <t xml:space="preserve">56200</t>
  </si>
  <si>
    <t xml:space="preserve">Interest income</t>
  </si>
  <si>
    <t xml:space="preserve">75500000 Other interest income</t>
  </si>
  <si>
    <t xml:space="preserve">77000851 Gain from sales of investment  ICO</t>
  </si>
  <si>
    <t xml:space="preserve">3. Gain on disposition of marketable securiti</t>
  </si>
  <si>
    <t xml:space="preserve">76555</t>
  </si>
  <si>
    <t xml:space="preserve">유가증권처분이익</t>
  </si>
  <si>
    <t xml:space="preserve">77900001 Indirect Tax Expense</t>
  </si>
  <si>
    <t xml:space="preserve">(13) Income tax expense</t>
  </si>
  <si>
    <t xml:space="preserve">78000000 Current Income Taxes - WHT 944010</t>
  </si>
  <si>
    <t xml:space="preserve">67100</t>
  </si>
  <si>
    <t xml:space="preserve">Current income taxes (without account 67105)</t>
  </si>
  <si>
    <t xml:space="preserve">법인세판매비와일반관리비</t>
  </si>
  <si>
    <t xml:space="preserve">78000103 Taxes on gain/losses on disposals of assets</t>
  </si>
  <si>
    <t xml:space="preserve">67105</t>
  </si>
  <si>
    <t xml:space="preserve">Current income taxes on G/L on disposal of assets</t>
  </si>
  <si>
    <t xml:space="preserve">78000600 Previous Year Income Taxes</t>
  </si>
  <si>
    <t xml:space="preserve">78200000 Deferred income taxes</t>
  </si>
  <si>
    <t xml:space="preserve">67200</t>
  </si>
  <si>
    <t xml:space="preserve">Deferred Tax ex taxes on G/L on disposal of assets</t>
  </si>
  <si>
    <t xml:space="preserve">78250000 Other Tax Based on Income</t>
  </si>
  <si>
    <t xml:space="preserve">16.Supplementary payment of income tax</t>
  </si>
  <si>
    <t xml:space="preserve">79000100 Other current operating expenses Manual</t>
  </si>
  <si>
    <t xml:space="preserve">54515</t>
  </si>
  <si>
    <t xml:space="preserve">Other current operating expenses</t>
  </si>
  <si>
    <t xml:space="preserve">54320</t>
  </si>
  <si>
    <t xml:space="preserve">투자자산처분이익/손실</t>
  </si>
  <si>
    <t xml:space="preserve">75520700 Net book value - Intangible Fixed Asset disposal</t>
  </si>
  <si>
    <t xml:space="preserve">54305</t>
  </si>
  <si>
    <t xml:space="preserve">chk</t>
  </si>
  <si>
    <t xml:space="preserve">기말 statutory 는 P16으로 봐야함</t>
  </si>
  <si>
    <t xml:space="preserve">2025-12</t>
  </si>
  <si>
    <t xml:space="preserve">2026-01</t>
  </si>
  <si>
    <t xml:space="preserve">2026-02</t>
  </si>
  <si>
    <t xml:space="preserve">2026-03</t>
  </si>
  <si>
    <t xml:space="preserve">2026-04</t>
  </si>
  <si>
    <t xml:space="preserve">2026-05</t>
  </si>
  <si>
    <t xml:space="preserve">2026-06</t>
  </si>
  <si>
    <t xml:space="preserve">2026-07</t>
  </si>
  <si>
    <t xml:space="preserve">P16</t>
  </si>
  <si>
    <t xml:space="preserve">2026-09</t>
  </si>
  <si>
    <t xml:space="preserve">26000850 Guarantees-customers(Received)</t>
  </si>
  <si>
    <t xml:space="preserve">26000851 Guarantee clearing-customers</t>
  </si>
  <si>
    <t xml:space="preserve">40200850 Payment Guarantees-Vendor</t>
  </si>
  <si>
    <t xml:space="preserve">40200851 Guarantee clearing-vendors</t>
  </si>
  <si>
    <t xml:space="preserve">Stat BS</t>
  </si>
  <si>
    <t xml:space="preserve">83142000 Local PCoA-Accum.Amortis.Licenses</t>
  </si>
  <si>
    <t xml:space="preserve">83201000 Local PCoA-Allowance on Fin.Goods</t>
  </si>
  <si>
    <t xml:space="preserve">KGAAP- 상품재고액차이 (Sample)</t>
  </si>
  <si>
    <t xml:space="preserve">#평가충당금-상품</t>
  </si>
  <si>
    <t xml:space="preserve">83260000 Local PCoA-Accrued Income</t>
  </si>
  <si>
    <t xml:space="preserve">84429100 Local PCoA-Other payable-others</t>
  </si>
  <si>
    <t xml:space="preserve">84429300 Local PCoA-Accr.Income Taxes Payable</t>
  </si>
  <si>
    <t xml:space="preserve">KGAAP- 미지급법인세</t>
  </si>
  <si>
    <t xml:space="preserve">#미지급법인세</t>
  </si>
  <si>
    <t xml:space="preserve">86100082 Asset right of use (Manual)</t>
  </si>
  <si>
    <t xml:space="preserve">GAAP diff -Restoration fee &amp; IFRS16</t>
  </si>
  <si>
    <t xml:space="preserve">#구축물</t>
  </si>
  <si>
    <t xml:space="preserve">86100083 Acc.dep.Asset right of use (Manual)</t>
  </si>
  <si>
    <t xml:space="preserve">GAAP diff -Restoration fee&amp;IFRS16</t>
  </si>
  <si>
    <t xml:space="preserve">#감가상각누계액-구축물</t>
  </si>
  <si>
    <t xml:space="preserve">86101000 Buildings</t>
  </si>
  <si>
    <t xml:space="preserve">86101010 Buildings -Fittings and Facilities-Local Adj</t>
  </si>
  <si>
    <t xml:space="preserve">86102007 M&amp;E-Machinery and Equipment (Man)</t>
  </si>
  <si>
    <t xml:space="preserve">86104100 A Oth.FA-Fu.fix.Off Eq (Man)</t>
  </si>
  <si>
    <t xml:space="preserve">86111000 Accumulated Depreciation-Buildings</t>
  </si>
  <si>
    <t xml:space="preserve">86111010 Depreciation Buildings -Fittings &amp; Facilities-Loca</t>
  </si>
  <si>
    <t xml:space="preserve">86111500 Acc.dep.Oth.FA-Fu.fix.Off Eq (Man)</t>
  </si>
  <si>
    <t xml:space="preserve">86112007 Acc.dep.M&amp;E-Techn.Facilities (Man)</t>
  </si>
  <si>
    <t xml:space="preserve">86150001 Investments in Subsidiaries-Local Adj</t>
  </si>
  <si>
    <t xml:space="preserve">#지분법적용투자주식</t>
  </si>
  <si>
    <t xml:space="preserve">86158008 SPPI amortized cost-NC-all but collateral given-L</t>
  </si>
  <si>
    <t xml:space="preserve">86159000 SPPI FV(Variatn fr HV)noncurr-all but coll given-L</t>
  </si>
  <si>
    <t xml:space="preserve">86200800 Long-term lease liability</t>
  </si>
  <si>
    <t xml:space="preserve">86240007 AR Trade 3rd Party Short Term -Manual-Local Adj</t>
  </si>
  <si>
    <t xml:space="preserve">#매출채권</t>
  </si>
  <si>
    <t xml:space="preserve">86260000 Other receivable- Local adj</t>
  </si>
  <si>
    <t xml:space="preserve">86260008 Payroll deductions-Local Adj</t>
  </si>
  <si>
    <t xml:space="preserve">#선급금</t>
  </si>
  <si>
    <t xml:space="preserve">86260033 Other partners relationship - Assets-Local Adj</t>
  </si>
  <si>
    <t xml:space="preserve">#미수금</t>
  </si>
  <si>
    <t xml:space="preserve">86265300 Local Input VAT Standard -Goods-Local Adj</t>
  </si>
  <si>
    <t xml:space="preserve">86266003 Local -Income Tax Receivable -Current Year -Fed</t>
  </si>
  <si>
    <t xml:space="preserve">#선급법인세</t>
  </si>
  <si>
    <t xml:space="preserve">86266554 Local VAT Refund asked-Local Adj</t>
  </si>
  <si>
    <t xml:space="preserve">86291000 Local Adjust -Deferred Tax Asset -Gross -Manual</t>
  </si>
  <si>
    <t xml:space="preserve">#유동성이연법인세자산</t>
  </si>
  <si>
    <t xml:space="preserve">86291502 Local Adjust-Deferred Tax Asse -Gross-Manual &lt;12M</t>
  </si>
  <si>
    <t xml:space="preserve">#이연법인세자산</t>
  </si>
  <si>
    <t xml:space="preserve">86300001 Share premium- Local</t>
  </si>
  <si>
    <t xml:space="preserve">합병회계처리</t>
  </si>
  <si>
    <t xml:space="preserve">#주식발행초과금</t>
  </si>
  <si>
    <t xml:space="preserve">86310000 Capital contribution premium-LocalAdj</t>
  </si>
  <si>
    <t xml:space="preserve">합병회계처리 조정분개</t>
  </si>
  <si>
    <t xml:space="preserve">#기타자본잉여금</t>
  </si>
  <si>
    <t xml:space="preserve">86322000 Retained Earnings</t>
  </si>
  <si>
    <t xml:space="preserve">#이익잉여금</t>
  </si>
  <si>
    <t xml:space="preserve">86322007 Other reserves</t>
  </si>
  <si>
    <t xml:space="preserve">#이익준비금</t>
  </si>
  <si>
    <t xml:space="preserve">86322100 Tax on Pensions-Actuarial Gains &amp; Losses (Local)</t>
  </si>
  <si>
    <t xml:space="preserve">86329000 Pensions -  Actuarial  gain &amp; losses (Local)</t>
  </si>
  <si>
    <t xml:space="preserve">86424000 Liabilities from Payroll Due to Employees-LocalAdj</t>
  </si>
  <si>
    <t xml:space="preserve">86424001 Employees Other Payroll Liabilities-Local adj</t>
  </si>
  <si>
    <t xml:space="preserve">86429100 Other payable-others</t>
  </si>
  <si>
    <t xml:space="preserve">#매입채무</t>
  </si>
  <si>
    <t xml:space="preserve">86429108 Commercial Incentives -Provision-Local Adj</t>
  </si>
  <si>
    <t xml:space="preserve">86429208 Local Output VAT Standard (Goods) -Manual</t>
  </si>
  <si>
    <t xml:space="preserve">86429307 Local Adj Income Tax Payable -Current Year -Fed</t>
  </si>
  <si>
    <t xml:space="preserve">86429700 Local -Deferred Tax Liability</t>
  </si>
  <si>
    <t xml:space="preserve">86429901 Sundry accrued liabilities- Local adj</t>
  </si>
  <si>
    <t xml:space="preserve">86911100 Short-term lease liability</t>
  </si>
  <si>
    <t xml:space="preserve">#미지급비용</t>
  </si>
  <si>
    <t xml:space="preserve">86911101 Accrued interest - Short-term lease liability</t>
  </si>
  <si>
    <t xml:space="preserve">95532200 Retained earnings Local GAAP</t>
  </si>
  <si>
    <t xml:space="preserve">Stat PL</t>
  </si>
  <si>
    <t xml:space="preserve">86000000 Current Income Taxes</t>
  </si>
  <si>
    <t xml:space="preserve">#법인세비용</t>
  </si>
  <si>
    <t xml:space="preserve">86000001 Deferred income taxes- Local adj</t>
  </si>
  <si>
    <t xml:space="preserve">86000004 Other employee expenses-Local Adj</t>
  </si>
  <si>
    <t xml:space="preserve">86000006 Travel expenses-Local Adj</t>
  </si>
  <si>
    <t xml:space="preserve">86000300 Salaries &amp; wages-Local Adj</t>
  </si>
  <si>
    <t xml:space="preserve">#급여</t>
  </si>
  <si>
    <t xml:space="preserve">86000400 Training to employees-Local Adj</t>
  </si>
  <si>
    <t xml:space="preserve">86000800 Cost Of Goods Sold- Local adj</t>
  </si>
  <si>
    <t xml:space="preserve">#매출원가</t>
  </si>
  <si>
    <t xml:space="preserve">86030002 Non operating expenses</t>
  </si>
  <si>
    <t xml:space="preserve">#법인세추납액</t>
  </si>
  <si>
    <t xml:space="preserve">86073501 Local PCoA-Clinical Trial - other costs</t>
  </si>
  <si>
    <t xml:space="preserve">86100747 Pension cost - Defined contribution Plan-Local Adj</t>
  </si>
  <si>
    <t xml:space="preserve">86100925 Social security on Salaries &amp; wages-Local Adj</t>
  </si>
  <si>
    <t xml:space="preserve">86132000 IFRS16 rental expenses-Asset right of use</t>
  </si>
  <si>
    <t xml:space="preserve">#임차료</t>
  </si>
  <si>
    <t xml:space="preserve">86144000 Dep.Asset right of use (Manual)</t>
  </si>
  <si>
    <t xml:space="preserve">#감가상각비</t>
  </si>
  <si>
    <t xml:space="preserve">86150000 Exp ICO-set  Loans&amp; borrowings-Interests-Local Adj</t>
  </si>
  <si>
    <t xml:space="preserve">86200001 Miscellaneous operating income</t>
  </si>
  <si>
    <t xml:space="preserve">86200400 Non operating income</t>
  </si>
  <si>
    <t xml:space="preserve">timing GAAP</t>
  </si>
  <si>
    <t xml:space="preserve">#잡이익</t>
  </si>
  <si>
    <t xml:space="preserve">86200702 Selling expenses- Local Adj</t>
  </si>
  <si>
    <t xml:space="preserve">86250030 Intercompany fees- Minor Expenses- local adj</t>
  </si>
  <si>
    <t xml:space="preserve">86250110 Interest Expense on lease liabilities</t>
  </si>
  <si>
    <t xml:space="preserve">#이자비용</t>
  </si>
  <si>
    <t xml:space="preserve">86260023 Intercompany fees- Major Expenses</t>
  </si>
  <si>
    <t xml:space="preserve">86260025 Transfer Price Adjustment -Expense</t>
  </si>
  <si>
    <t xml:space="preserve">#잡손실</t>
  </si>
  <si>
    <t xml:space="preserve">86290000 Other Fees-Local Adj</t>
  </si>
  <si>
    <t xml:space="preserve">#지급수수료</t>
  </si>
  <si>
    <t xml:space="preserve">86290150 Solicitors/lawyers &amp; legal fees-Local Adj</t>
  </si>
  <si>
    <t xml:space="preserve">86300510 IT equipment not capitalized &amp; supplies-Loc Adj</t>
  </si>
  <si>
    <t xml:space="preserve">86300850 Fi.inc.- set - Bank accounts - Interests-Local Adj</t>
  </si>
  <si>
    <t xml:space="preserve">86400910 Incentive Compensation &amp; bonuses paid-Local Adj</t>
  </si>
  <si>
    <t xml:space="preserve">86514001 Promotional materials-Local Adj</t>
  </si>
  <si>
    <t xml:space="preserve">86590050 Subscriptions fees to professional organiz-Loc Adj</t>
  </si>
  <si>
    <t xml:space="preserve">86591013 External events (meetings,congress,symposium)-Loc</t>
  </si>
  <si>
    <t xml:space="preserve">86600000 Site &amp; building maintenance-Local Adj</t>
  </si>
  <si>
    <t xml:space="preserve">86900000 Miscellaneous operating expenses</t>
  </si>
  <si>
    <t xml:space="preserve">87530008 Local PCOA-Revaluation-Merchadise</t>
  </si>
  <si>
    <t xml:space="preserve">KGAAP- 상품매출원가(상품평가손실- Sample)</t>
  </si>
  <si>
    <t xml:space="preserve">#상품매출원가</t>
  </si>
  <si>
    <t xml:space="preserve">89710500 Local PCoA-Amortis.Intangible Assets</t>
  </si>
  <si>
    <t xml:space="preserve">89782000 Local PCoA-Deferred Income Taxes</t>
  </si>
  <si>
    <t xml:space="preserve">KGAAP-법인세비용</t>
  </si>
  <si>
    <t xml:space="preserve">FINAL</t>
  </si>
  <si>
    <t xml:space="preserve">대 차 대 조 표</t>
  </si>
  <si>
    <t xml:space="preserve">제 37 기 2026년  12월 31일 현재</t>
  </si>
  <si>
    <t xml:space="preserve">제 36 기 2025년  12월 31일 현재</t>
  </si>
  <si>
    <t xml:space="preserve">All SAP- activities </t>
  </si>
  <si>
    <t xml:space="preserve">Current Year </t>
  </si>
  <si>
    <t xml:space="preserve">구      분</t>
  </si>
  <si>
    <t xml:space="preserve">Statutory </t>
  </si>
  <si>
    <t xml:space="preserve">Prior year</t>
  </si>
  <si>
    <t xml:space="preserve">Statutory</t>
  </si>
  <si>
    <t xml:space="preserve">reversal</t>
  </si>
  <si>
    <t xml:space="preserve">Adjustment</t>
  </si>
  <si>
    <t xml:space="preserve">자                    산</t>
  </si>
  <si>
    <t xml:space="preserve">Ⅰ.</t>
  </si>
  <si>
    <t xml:space="preserve">유  동  자  산</t>
  </si>
  <si>
    <t xml:space="preserve">당좌자산</t>
  </si>
  <si>
    <t xml:space="preserve"> </t>
  </si>
  <si>
    <t xml:space="preserve">재고자산</t>
  </si>
  <si>
    <t xml:space="preserve">Ⅱ.</t>
  </si>
  <si>
    <t xml:space="preserve">비 유 동 자 산</t>
  </si>
  <si>
    <t xml:space="preserve">투자자산</t>
  </si>
  <si>
    <t xml:space="preserve">유형자산</t>
  </si>
  <si>
    <t xml:space="preserve">(3) 무형자산</t>
  </si>
  <si>
    <t xml:space="preserve">(4) 기타비유동자산</t>
  </si>
  <si>
    <t xml:space="preserve">자    산    총    계</t>
  </si>
  <si>
    <t xml:space="preserve">부                    채</t>
  </si>
  <si>
    <t xml:space="preserve">유   동   부   채</t>
  </si>
  <si>
    <t xml:space="preserve">유동</t>
  </si>
  <si>
    <t xml:space="preserve">고정 부 채</t>
  </si>
  <si>
    <t xml:space="preserve">비유동</t>
  </si>
  <si>
    <t xml:space="preserve">부    채    총    계</t>
  </si>
  <si>
    <t xml:space="preserve">자                  본</t>
  </si>
  <si>
    <t xml:space="preserve">자 본 금</t>
  </si>
  <si>
    <t xml:space="preserve">이익잉여금(결손금)</t>
  </si>
  <si>
    <t xml:space="preserve">자    본    총    계</t>
  </si>
  <si>
    <t xml:space="preserve">부 채 와 자 본 총 계</t>
  </si>
  <si>
    <t xml:space="preserve">s/b zero</t>
  </si>
  <si>
    <t xml:space="preserve">check</t>
  </si>
  <si>
    <t xml:space="preserve">&gt;SAP (incl. P16 statutory booking)</t>
  </si>
  <si>
    <t xml:space="preserve">Beginning</t>
  </si>
  <si>
    <t xml:space="preserve">배당금 paid 2025</t>
  </si>
  <si>
    <t xml:space="preserve">DIFF</t>
  </si>
  <si>
    <t xml:space="preserve">PL Impact_FY2024년도 조정분</t>
  </si>
  <si>
    <t xml:space="preserve">reversal of FY2024조정분</t>
  </si>
  <si>
    <t xml:space="preserve">#법인세비용</t>
  </si>
  <si>
    <t xml:space="preserve">#급여</t>
  </si>
  <si>
    <t xml:space="preserve">#법인세추납액</t>
  </si>
  <si>
    <t xml:space="preserve">#지급수수료</t>
  </si>
  <si>
    <t xml:space="preserve">2024 법인세 세무조정분 </t>
  </si>
  <si>
    <t xml:space="preserve">이연법인세 자산부채 </t>
  </si>
  <si>
    <t xml:space="preserve">GL reclassification (영업외비용 → 법인세 비용 대체)</t>
  </si>
  <si>
    <t xml:space="preserve">Employee litigation 잔액 reverse</t>
  </si>
  <si>
    <t xml:space="preserve">매입부가세 adjustment (계정 기재 오류) </t>
  </si>
  <si>
    <t xml:space="preserve">&lt;상품수불부&gt;</t>
  </si>
  <si>
    <t xml:space="preserve">&lt;'26년9월말&gt;</t>
  </si>
  <si>
    <t xml:space="preserve">&lt;'25년12월말&gt;</t>
  </si>
  <si>
    <t xml:space="preserve">손 익 계 산 서</t>
  </si>
  <si>
    <t xml:space="preserve">견본품비</t>
  </si>
  <si>
    <t xml:space="preserve">견본품비-Commercial samples</t>
  </si>
  <si>
    <t xml:space="preserve">제 37(당)기 2026년 01월 01일 ~ 2026년 -12월31일</t>
  </si>
  <si>
    <t xml:space="preserve">PPV tab</t>
  </si>
  <si>
    <t xml:space="preserve">제 36(전)기 2025년 01월 01일 ~ 2025년 12월31일</t>
  </si>
  <si>
    <t xml:space="preserve">매입가격차이</t>
  </si>
  <si>
    <t xml:space="preserve">수불부 파일</t>
  </si>
  <si>
    <t xml:space="preserve">Current Year (not booked in SAP)</t>
  </si>
  <si>
    <t xml:space="preserve">제     37 (당)    기
Dec 2026</t>
  </si>
  <si>
    <t xml:space="preserve">제    36  (전)    기
Dec 2025</t>
  </si>
  <si>
    <t xml:space="preserve">Main tab</t>
  </si>
  <si>
    <t xml:space="preserve">&gt;formula error. Will fix in Oct'26</t>
  </si>
  <si>
    <t xml:space="preserve">참고</t>
  </si>
  <si>
    <t xml:space="preserve">should be 수불부 file</t>
  </si>
  <si>
    <t xml:space="preserve">Wrong _잘못 계산함. 9월 wrong booking_will fix in Oct'26</t>
  </si>
  <si>
    <t xml:space="preserve">Ⅲ.</t>
  </si>
  <si>
    <t xml:space="preserve">Ⅳ.</t>
  </si>
  <si>
    <t xml:space="preserve">매출총이익</t>
  </si>
  <si>
    <t xml:space="preserve">판매와관리비</t>
  </si>
  <si>
    <t xml:space="preserve">1)</t>
  </si>
  <si>
    <t xml:space="preserve">판매관리비</t>
  </si>
  <si>
    <t xml:space="preserve">2)</t>
  </si>
  <si>
    <t xml:space="preserve">인건비</t>
  </si>
  <si>
    <t xml:space="preserve">3)</t>
  </si>
  <si>
    <t xml:space="preserve">경비</t>
  </si>
  <si>
    <t xml:space="preserve">4)</t>
  </si>
  <si>
    <t xml:space="preserve">판매관리비 타계정대체</t>
  </si>
  <si>
    <t xml:space="preserve">V.</t>
  </si>
  <si>
    <t xml:space="preserve">영업이익</t>
  </si>
  <si>
    <t xml:space="preserve">VI.</t>
  </si>
  <si>
    <t xml:space="preserve">VII.</t>
  </si>
  <si>
    <t xml:space="preserve">VIII.</t>
  </si>
  <si>
    <t xml:space="preserve">법인세비용차감전순이익(손실)</t>
  </si>
  <si>
    <t xml:space="preserve">Ⅸ.</t>
  </si>
  <si>
    <t xml:space="preserve">Ⅹ.</t>
  </si>
  <si>
    <t xml:space="preserve">&gt;SAP Net income + P16 statutory booking</t>
  </si>
  <si>
    <t xml:space="preserve">출처: WTB_SAK_2025YE_V5.xlsx (전기말 최종 정산표) – 값 복사본</t>
  </si>
  <si>
    <t xml:space="preserve">제 35 기 2024년  12월 31일 현재</t>
  </si>
  <si>
    <t xml:space="preserve">제     36 (당)    기
Dec 2025</t>
  </si>
  <si>
    <t xml:space="preserve">제    35  (전)    기
Dec 2024</t>
  </si>
  <si>
    <t xml:space="preserve">증감</t>
  </si>
  <si>
    <t xml:space="preserve">증감분석대상?</t>
  </si>
  <si>
    <t xml:space="preserve">Assign</t>
  </si>
  <si>
    <t xml:space="preserve">증감분석
(2025.12.31)</t>
  </si>
  <si>
    <t xml:space="preserve">증감분석
(2025.09.30)</t>
  </si>
  <si>
    <t xml:space="preserve">증감분석
(2024.12.31)</t>
  </si>
  <si>
    <t xml:space="preserve">비율(%)</t>
  </si>
  <si>
    <t xml:space="preserve">O</t>
  </si>
  <si>
    <t xml:space="preserve">조영욱</t>
  </si>
  <si>
    <t xml:space="preserve">매년 기말에는 그룹에 대한 채무 등을 대량 지급하여 예금 잔액을 적게 가져가고 있으며, 기중에는 100억원 내외의 잔액을 보유하고 있음.</t>
  </si>
  <si>
    <t xml:space="preserve">1. 영업활동으로 인한 현금흐름 208억원(주로 당기순이익영향)
2. 투자활동으로 인한 현금흐름 (-)5억원(유형자산취득 3억원, 보증금 증가 2억원)
3. 재무활동으로 인한 현금흐름 (-)267억원(차입금 상환 (-)280억원, 배당금수익 13억원)
4. 합병으로 인한 현금의 증가 95억원 영향</t>
  </si>
  <si>
    <t xml:space="preserve">배효정</t>
  </si>
  <si>
    <t xml:space="preserve">1. 거래처별 증감분석
1) 수수료율 인상에 따라 쥴릭파마코리아와의 거래가 당기 4월 이후 중단되어 쥴릭파마에 대한 매출채권이 당기말 현재 존재하지 않음. (전기말 매출채권 256억원) 쥴릭파마의 물량은 기존의 도매업체 물량 증가로 이어졌음.
2) 엠제이팜, 한독, 부림약품, 녹십자, 이엔팜 등 일부 거래처의 매출채권은 전기말 대비 감소하였으나, 이외 대부분의 거래처(남양약품, 비아다빈치, 안연케어, 지오영, 서울유니온약품, SK바이오사이언스, 동원아이팜 등) 매출채권은 전기 대비 매출 증가에 따라 증가하였음.
2. 상품군별 증감분석
3분기에 독감백신 판매가 증가함에 따라 관련 매출채권이 전기말 대비 450억원 이상 증가하였음.</t>
  </si>
  <si>
    <t xml:space="preserve">1. 거래처별 증감분석
1) 수수료율 인상에 따라 쥴릭파마코리아와의 거래가 당기 4월 이후 중단되어 쥴릭파마에 대한 매출채권이 당기9월말 현재 존재하지 않음. (전기말 매출채권 256억원) 쥴릭파마의 물량은 기존의 도매업체 물량 증가로 이어졌으며, 일부 신규 도매업체(7개)와의 거래가 추가되었음.
2) 기존 주요 거래처인 ㈜한독 매출채권 전기말 117억원에서 당기9월말 260억원으로 크게 증가하였음.
3) 그 외 전기 대비 매출 증대로 인해 남양약품, 안연케어, 부림약품대구, 에스케이바이오사이언스 등 기존 주요 거래처에 대한 매출채권이 비례적으로 증가하였음.
2. 상품군별 증감분석
3분기에 독감백신 판매가 증가함에 따라 관련 매출채권이 전기말 대비 450억원 이상 증가하였음.</t>
  </si>
  <si>
    <t xml:space="preserve">당기말 기준 클리닉 관련 매출채권은 1.2억원이며, 모두 회수기일로부터 1년이상 경과되어 전액 대손충당금을 설정하고 있음. 
1년 이내 연체 채권에 대한 충당금 설정 로직은 없음. 현재 거래처는 대부분 담보나 신용보증에 가입되어 있으며, overdue 채권 없음. </t>
  </si>
  <si>
    <t xml:space="preserve">합병 전 파스퇴르의 대손충당금은 클리닉에 대한 설정이었으며, 합병 후 클리닉과의 추가 거래 없이 대금 회수만 있었음.  
당기말 기준 클리닉 관련 매출채권은 1.7억원이며, 이 중 1년을 초과한 6천만원에 대하여 전액 대손충당금을 설정하고 있음. 
1년 이내 연체 채권에 대한 충당금 설정 로직은 없음. 현재 거래처는 대부분 담보나 신용보증에 가입되어 있으며, overdue 채권 없음. </t>
  </si>
  <si>
    <t xml:space="preserve">대부분 관계사 미수금이며, SANOFI SA에 대한 3Q 및 4Q R&amp;D cost rebilling 잔액이 165.1억원으로 대부분을 차지함. 그외 임직원의 본사 주식 취득시 발생한 미수금 3.1억원(전기 3.2억원)(급여에서 1년간 차감)</t>
  </si>
  <si>
    <t xml:space="preserve">대부분 관계사 미수금으로, 주로 R&amp;D rebilling 63억원, Pre-launching marketing fee 보전 비용 28억원으로 구성됨.  
- R&amp;D rebilling: 전기에는 진행하다가 중단된 건들이 많아서 R&amp;D rebilling 금액이 작았으며, 관련 전기말 잔액은 5억원임. 
- Pre-launching marketing fee: 당기에 launching된 제품에 대한 전기 pre-launch cost 보전비용으로, 관련 전기말 잔액은 1억원임.  </t>
  </si>
  <si>
    <t xml:space="preserve">로열티 accrual 금액으로, 당기 및 전기 주요 내역은 다음과 같음.
1. 당기9월말: Aprovasc 로열티 943백만원(신규)(=매출13%), 디트로반 로열티 37백만원(=매출5%)
2. 전기말: 알보젠 로열티 77백만원(=MIN(77백만원, 매출5%), 디트로반 로열티 37백만원(=매출5%)</t>
  </si>
  <si>
    <t xml:space="preserve">로열티 accrual 금액으로, 당기 및 전기 주요 내역은 다음과 같음.
1. 당기9월말: Aprovasc 로열티 6.5억원(신규), 디트로반 로열티 28백만원
2. 전기말: 알보젠 로열티 77백만원(=MIN(77백만원, 매출5%), 디트로반 로열티 37백만원(=매출5%)</t>
  </si>
  <si>
    <t xml:space="preserve">전기말: Dupixent selfpay 선급금 (MMK) 349백만원
- 건강보험 미적용 환자 중 일정조건을 충족하는 환자의 신청에 의하여 환급해주고 있으며 해당 업무는 MMK커뮤니케이션에서 대리 수행함.
- MMK는 건강보험 미적용 환자 신청내역을 취합하여 매월 SAK에 청구함. SAK는 MMK에 일정금액을 선급금으로 지급하고, 매월 그 선급금애서 청구액을 차감하고 있음.
- 당기에는 정산 완료되어 기말 관련 선급금 잔액 없음.</t>
  </si>
  <si>
    <t xml:space="preserve">전기말: Dupixent selfpay 선급금 (MMK) 349백만원
건강보험 미적용 환자 중 일정조건을 충족하는 환자의 신청에 의하여 환급해주고 있으며 해당 업무는 MMK커뮤니케이션에서 대리 수행함.
MMK는 건강보험 미적용 환자 신청내역을 취합하여 매월 SAK에 청구함. SAK는 MMK에 일정금액을 선급금으로 지급하고, 매월 그 선급금애서 청구액을 차감하고 있음.</t>
  </si>
  <si>
    <t xml:space="preserve">건강보험 적용 비대상 환자 중 일정조건을 충족하는 환자 중 신청에 의하여 환급해주는 경우도 있는데, 이 업무는 엠엠케이커뮤니케이션에서 대리업무를 해주고 있음.엠엠케이커뮤니케이션은 건강보험미적용 환자 신청에 대하여 취합하여 매월마다 사노피에 invoice 청구함.사노피는 엠엠케이커뮤니케이션에 일정금액 선급금을 지불하고, 매월 그 선급금애서 청구액을 차감함. 사노피는 엠엠케이커뮤니케이션에 일정금액 선급금을 지불하고, 매월 그 선급금애서 청구액을 차감함.</t>
  </si>
  <si>
    <t xml:space="preserve">(원본오류 DIV/0)</t>
  </si>
  <si>
    <t xml:space="preserve">한세훈</t>
  </si>
  <si>
    <t xml:space="preserve">김도연</t>
  </si>
  <si>
    <t xml:space="preserve">전기말 생산방식 변경으로 인해 신규로 제품 허가가 필요하여, 허가가 진행되는 기간 동안 발생할 수 있는 공급 차질을 예방하기 위해 2025년 2분기까지의 수요 재고를 미리 매입/확보하여 전기말 재고가 증가하였음. 그에 따라 당기 매출이 증대되었음에도 불구하고 전기말 대비 기말재고는 감소하였음.
당기 주요 신규 출시 item의 재고는 Beyfortus(영유아백신) 199억원, MENQUADFI 백신 9억원 등이 있음.</t>
  </si>
  <si>
    <t xml:space="preserve">회사는 2023년 말부터 선박 운송을 중심으로 재고를 들여오고 있으며, 긴급한 공급이 필요한 경우에만 항공 운송을 활용하고 있음. 선박 운송은 리드타임이 길어질 수 있기 때문에, 물량 부족(Short) 위험을 줄이기 위해 재고를 충분히 확보할 필요가 있음. 이에 따라 전체 재고 규모가 증가하면서 회전율이 낮아짐.(재고회전기간 2022년 92일-&gt; 2023년 107일-&gt; 2024년 130일) 
또한, 올해 새롭게 매입한 감기 백신의 매출이 예상보다 부진하면서 재고가 더 늘어난 것으로 판단됨. </t>
  </si>
  <si>
    <t xml:space="preserve">상품의 유효기간이 6개월 이내로 남은 경우와 반품된 재고는 전액 충당금 설정하며 이 외에도 예측 수요수량을 확인한 후 그에 비해 재고레벨이 높은 브랜드나 제품 중 판매가능성이 떨어지는 재고는 충당금 설정.
당기말 현재 평가충당금이 인식된 주요 item은 다음과 같음.
1) PENTAXIM 0.5ML 1D(백신) 28.3억원(초과재고)
2) EFLUELDA 0.5ML 1D(백신) 10.8억원(유효기간 6개월 이내)
3) VAXIGRIP 0.5ML 10D(백신) 7억원(유효기간 6개월 이내)
전기말 대비 충당금이 크게 감소한 것은, 전기말에 유효기간이 25년 상반기에 도래하는 백신 item의 평가충당금이 크게 인식되었으나 당기중 해당 재고의 대량 폐기가 발생하여 수량이 감소한 효과임. 해당하는 주요 item은 다음과 같음. 
1) MENACTRA 0.5ML 1D(백신): 전기말 7.4억원 *감소사유: 유통기한이 25년 6월까지로 만료되어 대량 폐기하여 수량 감소
2) EFLUELDA TETRA 0.7ML 1D(백신): 전기말 17.4억원 *감소사유: 유통기한이 25년 6월까지로 만료되어 대량 폐기하여 수량 감소
3) VAXIGRIP TETRA 0.5ML 10D(백신): 전기말 5.6억원 *감소사유: 유통기한이 25년 6월까지로 만료되어 대량 폐기하여 수량 감소</t>
  </si>
  <si>
    <t xml:space="preserve">1. 당기 9월말 현재 평가충당금이 인식된 주요 item은 다음과 같음.
1) DUPIXENT 200MG/+ INJ AI2 KR_Pen (351402): 당기9월말 1,440백만원 (전기말 1,438백만원) *설정사유: 초과재고
2) MENACTRA 0.5ML 1D INJSU VL1 KR (백신/354277): 당기9월말 442백만원 (전기말 미설정) *설정사유: 잔여 유통기간 6개월 미만
3) ELOCTATE 250IU SUBLY VL1+PS1 M48 KR (353256): 당기9월말 269백만원 (전기말 232백만원) *설정사유: 초과재고
2. 전기말 대비 충당금이 크게 감소한 것은, 전기말에 유효기간이 25년 상반기에 도래하는 백신 item의 평가충당금이 크게 인식되었으나 당기중 해당 재고의 대량 폐기가 발생하여 수량이 감소한 효과임. 해당하는 주요 item은 다음과 같음. 
1) MENACTRA 0.5ML 1D INJSU VL1 KR (백신/348127): 전기말 743백만원 (당기9월말 10백만원) *감소사유: 유통기한이 25년 6월까지로 만료되어 대량 폐기하여 수량 감소
2) EFLUELDA TETRA 0.7ML 1D INJ PS1+1N 25 (백신/354654): 전기말 1,738백만원 (당기9월말 3백만원) *감소사유: 유통기한이 25년 6월까지로 만료되어 대량 폐기하여 수량 감소
3) VAXIGRIP TETRA 0.5ML 10D INJSU PS10 K (백신/354344): 전기말 558백만원 (당기9월말 재고없음) *감소사유: 유통기한이 25년 6월까지로 만료되어 대량 폐기하여 수량 감소</t>
  </si>
  <si>
    <t xml:space="preserve">상품의 유효기간이 6개월 이내로 남은 경우와 반품된 재고는 전액 충당금 설정하며 이 외에도 예측 수요수량을 확인한 후 그에 비해 재고레벨이 높은 브랜드나 제품 중 판매가능성이 떨어지는 재고는 충당금 설정. 당기에는 계획 대비 실제 판매가 저조한 제품(DUPIXENT 200MG/+ INJ AI2 KR_Pen 14억, EFLUELDA TETRA 0.7ML 1D INJ PS1+1N 25 17억 )이 많아 해당 제품들의 충당금 설정이 많아짐. </t>
  </si>
  <si>
    <t xml:space="preserve">10월말 이후 인보이스된 매입 재고 중 미착분으로 구성됨. 모두 SANOFI-AVENTIS SINGAPORE PTE에 대한 매입분. 
회사는 MOQ 방식으로 3-5개월 단위로 대량 발주하는데 전기말에 대량 발주시기에 걸려 미착품이 크게 존재하였음.</t>
  </si>
  <si>
    <t xml:space="preserve">운송방식이 항공운송에서 선박운송으로 변경되면서 미착품이 증가하였고 회사는 MOQ 방식으로 3-5개월마다 수입주문을 넣는데 올 연말에 주문이 들어가면서 미착품 증가.</t>
  </si>
  <si>
    <t xml:space="preserve">기존 OHK 주식 관련 이연법인세 부분으로 기말 clear 필요
</t>
  </si>
  <si>
    <t xml:space="preserve">오펠라 지분 매각</t>
  </si>
  <si>
    <t xml:space="preserve">전기 11월에 취득한 구축물 4건으로 인하여 감가상각비 금액이 136백만원 가량 증가함. </t>
  </si>
  <si>
    <t xml:space="preserve">합병으로 취득한 기계장치 취득원가  620백만원, 기중 취득한 유형자산 169백만원 증가함. </t>
  </si>
  <si>
    <t xml:space="preserve">합병으로 취득한 기계장치의 24년 3월말 기준 감가상각누계액 228백만원7원이 더해진 효과로 크게 증가함</t>
  </si>
  <si>
    <t xml:space="preserve">당기 취득한 집기비품 중 IT 기구의 내용연수를 2년으로 잡아 상각된 금액 128백만원으로 인해 전기 대비 감가상각누계액의 증가효과가 큼</t>
  </si>
  <si>
    <t xml:space="preserve">(3) 무형자산</t>
  </si>
  <si>
    <t xml:space="preserve">(4) 기타비유동자산</t>
  </si>
  <si>
    <t xml:space="preserve">당기 3월 14일 제미글로 소송 확정 판결에 따라 법원 공탁금 84억원을 회수하였음.
기말 보증금 잔액은 반포 사무실 임차보증금에 해당함.</t>
  </si>
  <si>
    <t xml:space="preserve">당기 3월 14일 제미글로 소송 확정 판결에 따라 법원 공탁금 84억원을 회수하였음.</t>
  </si>
  <si>
    <t xml:space="preserve">제미글로 공탁금 84억(원금+경과이자), 반포사무실보증금 11억, VIE임차보증금 20백만원으로 구성됨. </t>
  </si>
  <si>
    <t xml:space="preserve">당기 3월 14일 제미글로 소송 확정 판결에 따르면 회사의 손해배상청구소송(본소) 및 엘지화학의 부당이득금반환소송(반소), 반소에 대한 회사의 항소 모두가 기각되어, 회사는 피고(엘지화학, 대웅제약)의 소송비용만을 부담하고 공탁금을 회수할 뿐 더 수취하거나 지급할 금액이 없음에 따라 관련 미수금과 대손충당금을 상계 제거하였음.</t>
  </si>
  <si>
    <t xml:space="preserve">1. 2014년부터 발생한 제미글로 관련 promotion 미수금으로, LG생활과학 제미글로/제미메트 Co-promotion 계약해지에 따른 대손충당금 설정 (2015년 12월 28일 LG생활과학의 통보로 계약 해지) 계약해지전 1년간 발생한 프로모션 수수료를 수취하여 못하여 해당 미수금 100% 대손 설정함.(제미글로 sheet 참조)
2. 감사보고서일전 판결 나는 경우, 수정을 요하는 보고기간 후 사건이므로 재무제표 반영 필요하나 상고가 예상되므로, 관련 내용 주석사항으로 기재함. </t>
  </si>
  <si>
    <t xml:space="preserve">상기 코멘트 참조</t>
  </si>
  <si>
    <t xml:space="preserve">LG생활과학 제미글로/제미메트 Co-promotion 계약해지에 따른 대손충당금 설정 (2015년 12월 28일 LG생활과학의 통보로 계약 해지) 계약해지전 1년간 발생한 프로모션 수수료를 수취하여 못하여 해당 미수금 100% 대손 설정함. (68억원) &gt; 전기와 동일</t>
  </si>
  <si>
    <t xml:space="preserve">당기말 잔액은 한독약품 117억원(전기말 59억원), 한미약품 18억원(전기말 16억원) 등으로 구성되며, 관계사 매입채무 잔액은 모두 지급(early payment)되었음.</t>
  </si>
  <si>
    <t xml:space="preserve">당기 9월말 잔액은 다음과 같이 구성됨.
1. 관계사: Sanofi-Aventis Singapore Pte Ltd 482억원(전기말 390억원) , Sanofi Pasteur Inc 22억원(82억원) 등으로 구성되며, 그외 전기말 존재하였던 Sanofi Pasteur에 대한 202억원은 당기 지급되었고 신규 거래 발생 없음.
2. 국내업체: 한독약품 77억원(전기말 59억원), 한미약품 12억원(전기말 16억원) 등</t>
  </si>
  <si>
    <t xml:space="preserve">회사는 MOQ 방식으로 3-5개월마다 수입주문을 넣는데 올해 연말에 주문이 증가하여 기말기준 매입채무 잔액 증가함.</t>
  </si>
  <si>
    <t xml:space="preserve">주로 아래 업체에 대한 미지급금이 전기말 대비 증가하였음.
1. ICON CLINICAL RESEARCH KOREA LIMITE 21억원(전기말 17.1억원)
2. 마콜컨설팅그룹 주식회사 10억원(전기말 3.9억원)
3. LG Chem, Ltd. 7.6억원(전기말 잔액없음)
4. 시네오스헬스코리아 유한회사 6.1억원(전기말 잔액없음)
5. 에이치에이치글로벌코리아 유한회사 5.4억원(전기말 1.5억원)</t>
  </si>
  <si>
    <t xml:space="preserve">합병으로 인한 효과</t>
  </si>
  <si>
    <t xml:space="preserve">당기 예수금 항목(social security)을 미지급금으로 잘못분류한 금액이 584,741,120원임. 회사 수정함. </t>
  </si>
  <si>
    <t xml:space="preserve">당기말 주요 잔액 구성은 아래와 같음.
1. 구조조정비용 accrual: 170억원(전기말 35억원). 90억원은 1월초 지급될 예정이며, 잔여 accrual은 26년중에 소진 계획임.
2. 성과급(STI) accrual 44.5억원(전기말 38.4억원)
3. Sales incentive &amp; YWC accrual 14.2억원(전기말 15.8억원)
4. 연차수당미지급비용 12억원(전기말 9.4억원)
5. 리베이트 provision 572.3억원(전기말 488.1억원)
6. R&amp;D(CASA) 미지급비용 95억원(전기말 69.2억원)</t>
  </si>
  <si>
    <t xml:space="preserve">미지급비용 주요 증감사유는 다음과 같음. 
- 듀피젠트 매출 증가에 따른 RSA 지급액 163억원 증가
- 미착품 관련 174억원 증가(오류) &gt; 매입채무로 수정
- 연구비 관련 미지급비용 94억원 감소(전기: 임상증례조사비 관련하여 회사가 과다하게 본사로 보전금을 지급받아 돌려줘야하는 미지급비용 58억원 포함)</t>
  </si>
  <si>
    <t xml:space="preserve">매출 증가에 따라 부가셰예수금 증가</t>
  </si>
  <si>
    <t xml:space="preserve">반품충당부채 중 Pharma는 유통기한이 2-3년 정도로, 매출 발생으로부터 2년 내에 충당부채를 환입하고 있음. 따라서 Pharma 반풍충당부채는 설정시점에 50% 유동, 50% 비유동으로 분류함. 그 외 백신은 유통기한이 1년 이내이므로 모두 유동으로 분류됨.</t>
  </si>
  <si>
    <t xml:space="preserve">반품충당부채 중 Pharma는 유통기한이 2-3년 정도로, 매출 발생으로부터 2년 내에 충당부채를 환입하고 있음. 따라서 Pharma 반풍충당부채는 설정시점에 50% 유동, 50% 비유동으로 분류함. 그 외 백신은 유통기한이 1년 이내이므로 모두 유동으로 분류됨. 따라서 유동충당부채 비율이 비유동에 비해 커야 하나, 당기 reclass 상 오류가 있어 비유동 비율이 더 크게 분류됨. 총액 기준으로는 전기 43.5억원, 당기 56.1억원으로 신제품 판매 및 매출 증가에 따라 증가한 것으로 파악됨.</t>
  </si>
  <si>
    <t xml:space="preserve">파스퇴르와의 합병으로 인해 반품충당부채 증가함.  
백신을 제외한 Gen과 SPC BU의 충당부채 설정은 전기와 비슷한 수준을 유지하고 있음. GEN과 SPC의 경우 유통기한이 2~3년이며, 반품비율은 판매한 해에 20%, 1년내에 40%, 2년내 40% 정도임. 따라서 기말 기준으로 80%에 해당하는 금액을 반품충당부채로 설정하고 있으며, 이 중 50%는 유동부채로 분류하고 있음. </t>
  </si>
  <si>
    <t xml:space="preserve">상기 반품충당금유동 계정 코멘트 참조
</t>
  </si>
  <si>
    <t xml:space="preserve">제미글로 소송 관련 법원공탁금 84억원 및 상대(피고) 소송비용 8억원을 소송충당부채로 인식해왔으나, 해당 소송 승소에 따라 법원공탁금은 회수하였고 상대방 소송비용은 부담하지 않게되어 소송충당부채를 전액 환입하였음.
</t>
  </si>
  <si>
    <t xml:space="preserve">감사보고서일전 판결 나는 경우, 수정을 요하는 보고기간 후 사건이므로 재무제표 반영 필요하나 상고가 예상되므로, 주석사항으로 기재 예정임. </t>
  </si>
  <si>
    <t xml:space="preserve">SPK 합병으로 인한 증가</t>
  </si>
  <si>
    <t xml:space="preserve">SPK 합병으로 인한 감소</t>
  </si>
  <si>
    <t xml:space="preserve">당기 7월 7일자로 중간배당이 결의되어 64.5억원의 중간배당금을 지급하였음.
기초잉여금 - 중간배당액 + 당기순이익은 기말잉여금과 일치함.
</t>
  </si>
  <si>
    <t xml:space="preserve">당기 7월 7일자로 중간배당이 결의되어 64.5억원의 중간배당금을 지급하였음.
</t>
  </si>
  <si>
    <t xml:space="preserve">PL 당기순이익과 일치</t>
  </si>
  <si>
    <t xml:space="preserve">&lt;Conclusion&gt;</t>
  </si>
  <si>
    <t xml:space="preserve">감사 결론 형성을 위한 최종 분석적검토 결과 특이사항 없음.</t>
  </si>
  <si>
    <t xml:space="preserve">제 36(당)기 2025년 01월 01일 ~ 2025년 -12월31일</t>
  </si>
  <si>
    <t xml:space="preserve">제 35(전)기 2024년 01월 01일 ~ 2024년 12월31일</t>
  </si>
  <si>
    <t xml:space="preserve">Current Year</t>
  </si>
  <si>
    <t xml:space="preserve">The 31st period </t>
  </si>
  <si>
    <t xml:space="preserve">Dec 2025 (MTD)</t>
  </si>
  <si>
    <t xml:space="preserve">Nov 2025 (MTD)</t>
  </si>
  <si>
    <t xml:space="preserve">Oct 2025 (MTD)</t>
  </si>
  <si>
    <t xml:space="preserve">Sep 2025 (MTD)</t>
  </si>
  <si>
    <t xml:space="preserve">Aug 2025 (MTD)</t>
  </si>
  <si>
    <t xml:space="preserve">July 2025 (MTD)</t>
  </si>
  <si>
    <t xml:space="preserve">June 2025 (MTD)</t>
  </si>
  <si>
    <t xml:space="preserve">May 2025 (MTD)</t>
  </si>
  <si>
    <t xml:space="preserve">Apr 2025 (MTD)</t>
  </si>
  <si>
    <t xml:space="preserve">Mar 2025 (MTD)</t>
  </si>
  <si>
    <t xml:space="preserve">Feb 2025 (MTD)</t>
  </si>
  <si>
    <t xml:space="preserve">Jan 2025 (MTD)</t>
  </si>
  <si>
    <t xml:space="preserve">1. Pharma +19,621M: Aprovel, Fabrazyme, Dupixent 판매 성장
2. Global Genmed -965M
3. Vaccines +21,421M
1) 상승 요인: Beyfortus +26,835M (출생 코호트 증가에 따른 물량 이연 및 판매 증가), Tetraxim, Avaxim &amp; Hexaxim +13,505M (조기 주문에 따른 물량 이연)
2) 하락 요인: Pentaxim -9,340M, Vaxigrip -3,726M (TTM 및 경쟁 심화), Menactra -5,652M (군납 주문 지연)
4. 제품 믹스 -201M</t>
  </si>
  <si>
    <t xml:space="preserve">1. 주요 상품군별 증감내역은 다음과 같음.
1) Pharma (+9,040M): Aprovel, Fabrazyme, Nexviazyme 판매호조.
2) Dupixent (+10,481M): AD, Asthma 매출 성장 지속.
3) Vaccines (+6,457M):
- 상승요인: Beyfortus 신규 런칭(+9,537M), Tetraxim/Avaxim/Hexaxim 단계적 매출(+10,924M)
- 하락요인: Pentaxim(-5,609M), Vaxigrip(-3,765M), Menactra(-3,585M), Product mix(-1,045M)
2. 개별 item별 주요 상품 내역 중 전기(9개월) 대비 매출(총액기준) 변동이 큰 item은 다음과 같음. 
1) 매출 증가
- 듀피젠트프리필드펜 300MG (351401): 전기 373억원 -&gt; 당기 570억원
- 박씨그리프주 0.5ML 10시린지 (355515): 전기 매출없음 -&gt; 당기 500억원
- 아다셀주 (354278): 전기 매출없음 -&gt; 당기 150억원
- 펜탁심주 (354273): 전기 15억원 -&gt; 당기 111억원
- 헥사심프리필드시린지주 (354279): 전기 매출없음 -&gt; 당기 90억원
2) 매출 감소
- 듀피젠트프리필드주 300MG (344866): 전기 713억원 -&gt; 당기 608억원
- 박씨그리프테트라 0.5ML 10시린지 (354344): 전기 574억원 -&gt; 당기 3억원
탁소텔(TAXOTERE) 사업권이 그룹 차원에서 보령제약으로 이전될 예정임에 따라 관련 매출 및 재고 감소가 예상되며, 관련 인원의 구조조정이 예상됨.
영유아 대상 신상품의 신규 매출 증대가 예상됨.
</t>
  </si>
  <si>
    <t xml:space="preserve">1. 파마 : 전기 매출 5,018억, 당기 총 매출액은 6,399억원으로 전기 대비 증가함. 20년도에 허가된 신약인 듀피젠트의 매출액이 339억 가량 증가함. 아토피 치료에 독보적인 위치임. 또한 다른 분야에서도 적용 가능하도록 허가가 나고 있음. 특허가 만료된 플라빅스는 41억 가량 매출 증가.
2. 백신 : 전기 매출 983억, 당기 총 매출액은 1,157억원. 계절적 변동이 존재함. 대부분 정부 기관과 계약을 통해 매출이 발생하며, 계약이 체결되는 가을경에 매출액이 급격히 증가함.</t>
  </si>
  <si>
    <t xml:space="preserve">전기에는 SPK, OHK에 대한 shared service fee를 청구하여 용역수익으로 인식하였으나, 전기 중 SPK 합병 및 OHK 지분 양도에 따라 당기부터는 발생하지 않음.</t>
  </si>
  <si>
    <t xml:space="preserve">SPK에 shared service에 대한 관리비용을 청구내역으로, 합병이전(3월)까지만 발생함에 따라 전기 대비 크게 감소함. OHK에 대해서는 계속 발생하고 있으나 내년부터는 발생하지 않을 예정</t>
  </si>
  <si>
    <t xml:space="preserve">1. Global GenMed (-8,360M): Aprovel, Renvela, Eloctate 등 원가 상승
2. Dupixent (-5,636M): AD 및 Asthma 제품군의 매출 증가에 따른 원가 상승
3. Global Genmed (+815M): 일부 원가 절감 요인 발생
4. Vaccines (-11,507M):
- Beyfortus 신규 런칭(-7,053M) 및 Tetraxim/Avaxim/Hexaxim 생산확대(-10,356M)에 따른 원가 증가.
- 부분 상쇄요인: Pentaxim(+3,762M), Vaxigrip(+1,238M), Menactra(+3,271M).
- 제품 믹스효과: -2,369M.</t>
  </si>
  <si>
    <t xml:space="preserve">생산 방식 변경으로 인해 제품 허가를 새로 받아야 해서, 허가 절차 동안 발생할 공급 차질을 막기 위해 2025년 2분기까지 미리 재고를 확보하고 있어 매입이 증가함.</t>
  </si>
  <si>
    <t xml:space="preserve">전기말 생산방식 변경으로 인해 신규로 제품 허가가 필요하여, 허가가 진행되는 기간 동안 발생할 수 있는 공급 차질을 예방하기 위해 2025년 2분기까지의 수요 재고를 미리 매입/확보하여 전기말 재고가 증가하였음. 그에 따라 당기 매출이 증대되었음에도 불구하고 전기말 대비 기말재고는 감소하였음.</t>
  </si>
  <si>
    <t xml:space="preserve">전기까지 발생하였던 SPK, OHK에 대한 shared service cost로, 전기 중 SPK 합병 및 OHK 지분 양도에 따라 당기부터는 발생하지 않음.</t>
  </si>
  <si>
    <t xml:space="preserve">파스퇴르에 shared service 제공으로 인해 발생하는 비용으로 올해 4월부터 파스퇴르와 합병하면서 비용이 발생하지 않아 전기대비 감소함.</t>
  </si>
  <si>
    <t xml:space="preserve">62400910 계정(인건비-성과급여)으로 인식하였던 Sales team incentive를 당기부터 62000600 계정(판매직접비-판매수당)으로 reclass함에 따라 전기 대비 증가하였음.</t>
  </si>
  <si>
    <t xml:space="preserve">sales팀 판매직원에 대한 인센티브</t>
  </si>
  <si>
    <t xml:space="preserve">물류창고비용과 판매운임으로 구성되며, 판매운임이 전기 4억원에서 당기 15억원으로 증가하였음.</t>
  </si>
  <si>
    <t xml:space="preserve">64570654 Public relations, 64590063 Sponsorship Dinner Meeting 등의 비용이 전기 대비 증가하였음.
Beyfortus 등 신상품 관련 미디어 광고비용 및 세미나/학술대회 참가비용 증가에 해당함.</t>
  </si>
  <si>
    <t xml:space="preserve">당기중 VRP로 21명의 희망퇴직자가 발생하는 등 월평균인원이 전기 400명에서 당기 388명으로 3% 감소함에 따라 총급여도 비례적으로 감소하였음.</t>
  </si>
  <si>
    <t xml:space="preserve">전년도 4월 1일자 SPK 합병으로 인한 추가 급여 34억원이 발생하였고, 대대적인 조직개편을 진행하면서 희망퇴직자가 발생하여 23년 대비 VRP 금액이 139억원 증가하였음. 당기에는 특이사항이 없어 평년 수준으로 감소하였음.
당기 구조조정 계획 여부 확인 필요</t>
  </si>
  <si>
    <t xml:space="preserve">당기 대대적인 조직개편을 진행하면서 희망퇴직 대상자가 증가하였으며, 이에 따라 전기 대비 VRP 금액이 139억원 증가함. 또한 SPK 합병으로 인한 급여 34억원 등의 추가됨. </t>
  </si>
  <si>
    <t xml:space="preserve">상기 판매직접비(판매수당) 코멘트 참조</t>
  </si>
  <si>
    <t xml:space="preserve">23년의 경우 설 상여는 22년 12월에 지급되어, 추석 상여만 23년에 지급되었음. 그러나 24년의 경우 24년의 설/추석 상여와 더불어 25년의 설 상여도 미리 지급되어 전기 대비 크게 증가한 것으로 나타남.</t>
  </si>
  <si>
    <t xml:space="preserve">전기 대비 국내 및 해외 출장 증가로 인해 교통비/숙박비/경비 등이 증가하였음.</t>
  </si>
  <si>
    <t xml:space="preserve">반포 본사 사무실 임차료. 전기까지는 SPK와 OHK에 전대리스를 제공하여 임차료를 일부 보전 받아왔으나, SPK 합병 및 OHK 지분양도에 따른 사무실 이전으로 인하여 임차료 보전금액이 감소하여 당기 임차료가 증가하였음.</t>
  </si>
  <si>
    <t xml:space="preserve">회사는 파스퇴르와 오펠라에 전대리스 제공하여 임차료를 보전 받아왔으나, 파스퇴르 합병 및 오펠라의 사무실 이전으로 인하여 임차료 보전 받는 금액이 전기 대비 5억원가량 감소함. </t>
  </si>
  <si>
    <t xml:space="preserve">CRU rebilling 차감 전 지급수수료는 전기 196억원, 당기 189억원으로 유의적인 변동이 없으며, CRU rebilling 금액(총액)이 전기 171억원에서 당기 215억원으로 증가하여 지급수수료에서 차감조정되는 금액이 증가하였음.</t>
  </si>
  <si>
    <t xml:space="preserve">주요 내역은 듀피젠트 매출에 관련 RSA 84억원, Hanmi Profit sharing 45억원임.  
전기 소송 비용으로 약 92억원(공탁금+법률비용)을 지급수수료로 처리함에 따라 전기 지급수수료가 크게 증가했었으며, 당기에는 매출 증가 등의 영향으로 지급수수료의 다른 항목들의 금액이 증가함. </t>
  </si>
  <si>
    <t xml:space="preserve">당기중 SPK에 대한 세무조사(23년 대상) 결과, 추납(21~23년도분)한 부가세 7백만원 및 원천세 620백만원을 세금과공과로 인식하였음.</t>
  </si>
  <si>
    <t xml:space="preserve">전기: 전기 잡이익으로 분류되지 않고 임상증례조사비에서 차감된 mark-up 금액은 5.5억임. 
해당 효과 고려시 임상증례조사비가 전기 대비 32억원 감소함. 이는 글로벌로부터 보전 받지 않는 시판후임상시험이 당기 중 감소한 영향이며,  이는 시판후조사에 포함되는 환자수 자체가 전기 대비 크게 감소한 영향임. </t>
  </si>
  <si>
    <t xml:space="preserve">전기 잡이익으로 분류되지 않고 임상증례조사비에서 차감된 mark-up 금액은 5.5억임. 
해당 효과 고려시 임상증례조사비가 전기 대비 32억원 감소함. 이는 글로벌로부터 보전 받지 않는 시판후임상시험이 당기 중 감소한 영향이며,  이는 시판후조사에 포함되는 환자수 자체가 전기 대비 크게 감소한 영향임. </t>
  </si>
  <si>
    <t xml:space="preserve">구축물(임차시설물)의 내용연수를 기존 8년에서 임차계약서 상 잔여 임차기간(~26년 11월)까지로 변경함에 따라 기초부터 전진법을 적용하여 감가상각비가 증가하였음.
내용연수 축소에 따른 감가비 증가 효과는 3.4억원임.</t>
  </si>
  <si>
    <t xml:space="preserve">전기 대비 평균 예금잔액이 증가하였고, 법원 공탁금 회수에 따른 이자수취 54백만원 등이 포함됨.</t>
  </si>
  <si>
    <t xml:space="preserve">전기 발생분은 OHK 주식을 이전하면서 발생한 외환차익에 해당하며, 그 외 외환거래는 거의 발생하지 않음.</t>
  </si>
  <si>
    <t xml:space="preserve">오펠라 주식을 이전하면서 발생한 외환차익 10억원에 해당하며, 그 외 외환거래는 거의 발생하지 않아 다른 효과는 미미함.</t>
  </si>
  <si>
    <t xml:space="preserve">1. 소송 충당부채 환입 84억원: 제미글로 소송 관련 충당부채 인식하였던 법원공탁금 84억원 회수하여 충당부채 환입하며 잡이익 인식
2. 로열티수익 9.8억원(전기 1.5억원): Diptropan 및 Aprovasc 로열티 수익 증가 (A25 지역 중심)
3. 투자주식처분이익 74억원: 24년 6월 10일자로 그룹 관계사에 OHK(오펠라헬스케어코리아) 주식을 양도하면서 양도대가 196억원을 수취하였으나, 당기중 변경계약이 체결되어 양도대가가 261억원으로 증액됨에 따라 당기에 투자자산처분이익이 발생하였음. 기존계약 상 양도대가는 DCF 평가로 산출된 금액이었으나, 특관자 거래에 해당하여 상증세법 평가가 요구되어 해당 평가금액으로 수정 계약이 체결되었음.</t>
  </si>
  <si>
    <t xml:space="preserve">1. 소송 충당부채 환입 84억원: 제미글로 소송 관련 충당부채 인식하였던 법원공탁금 84억원 회수하여 충당부채 환입하며 잡이익 인식
2. 로열티수익 7.5억원(전기 1.5억원): Diptropan 및 Aprovasc 로열티 수익 증가 (A25 지역 중심)
3. R&amp;D 비용 recharge (-)3.7억원: R&amp;D 관련하여 발생한 급여, 임상비, 지급수수료 등 그룹 recharge하여 보전받는 금액으로, 관련 비용의 차감으로 reclass 하고 있음. reclass 후 3.7억원의 손실 효과가 발생하여 확인 필요
[statutory adj_2025 reclass] 시트 6번 항목 참조</t>
  </si>
  <si>
    <t xml:space="preserve">구성내역은 다음과 같음. 
- R&amp;D 보전 mark-up분 31억원
- Pre-launching cost 보전분 30억원
- 세무조사로 인한 TP조정분 43억원</t>
  </si>
  <si>
    <t xml:space="preserve">2025년 CRU rebilling True-up 아직 받지못함. 2월말 예정</t>
  </si>
  <si>
    <t xml:space="preserve">복구충당부채 이자비용 14백만원</t>
  </si>
  <si>
    <t xml:space="preserve">대부분 차입금에서 발생, 차입금 상환하였으나 이자율 상승 영향으로 이자비용 상승</t>
  </si>
  <si>
    <t xml:space="preserve">전기 OHK 주식 처분손익이며, 당기중 변경계약에 따른 대가를 수취하여 투자주식처분이익으로 인식함. (잡이익 재분류 필요)</t>
  </si>
  <si>
    <t xml:space="preserve">오펠라 주식 처분으로 인해 발생</t>
  </si>
  <si>
    <t xml:space="preserve">24년에 진행된 SAK에 대한 세무조사(19년~23년 대상)가 당기 3월에 완료되어 납부한 추징세액에 해당함.
한편, 당기 10월 현재 SPK에 대한 세무조사(23년 대상)가 진행되고 있으며, 완료예정일은 11월임.</t>
  </si>
  <si>
    <t xml:space="preserve">전기 발생분은 전기 OHK 주식 처분 이전까지 발생한 지분법손실에 해당함.</t>
  </si>
  <si>
    <t xml:space="preserve">당기 오펠라 주식 처분 이전까지 발생한 지분법손실</t>
  </si>
  <si>
    <t xml:space="preserve">2024 Transfer Price Adjustment credit reversed</t>
  </si>
  <si>
    <t xml:space="preserve">세전이익 증가에 따라 비례적으로 증가하였음.</t>
  </si>
  <si>
    <t xml:space="preserve">세전이익 증가에 따라 비례적으로 증가하였음. 기말 결산 후 세무조정에 따라 조정될 예정임.</t>
  </si>
  <si>
    <t xml:space="preserve">세무조사 추징액 22억원 및 투자주식 처분으로 인한 효과 15억원 가량 포함</t>
  </si>
  <si>
    <t xml:space="preserve">(원본오류 REF)</t>
  </si>
  <si>
    <t xml:space="preserve">&lt;'25년12월말&gt;</t>
  </si>
</sst>
</file>

<file path=xl/styles.xml><?xml version="1.0" encoding="utf-8"?>
<styleSheet xmlns="http://schemas.openxmlformats.org/spreadsheetml/2006/main">
  <numFmts count="57">
    <numFmt numFmtId="164" formatCode="General"/>
    <numFmt numFmtId="165" formatCode="#,##0_);[RED]\(#,##0\)"/>
    <numFmt numFmtId="166" formatCode="_ * #,##0_ ;_ * \-#,##0_ ;_ * \-_ ;_ @_ "/>
    <numFmt numFmtId="167" formatCode="_(* #,##0.000_);_(* &quot;????????(&quot;#,##0.000&quot;????????)&quot;;_(* \-??_);_(@_)"/>
    <numFmt numFmtId="168" formatCode="0%"/>
    <numFmt numFmtId="169" formatCode="_(\$* #,##0.00_);_(\$* \(#,##0.00\);_(\$* \-??_);_(@_)"/>
    <numFmt numFmtId="170" formatCode="_(* #,##0.00_);_(* \(#,##0.00\);_(* \-??_);_(@_)"/>
    <numFmt numFmtId="171" formatCode="#,##0"/>
    <numFmt numFmtId="172" formatCode="yyyy\/m\/d"/>
    <numFmt numFmtId="173" formatCode="\(0\)"/>
    <numFmt numFmtId="174" formatCode="\(0.0\)"/>
    <numFmt numFmtId="175" formatCode="\(0.00\)"/>
    <numFmt numFmtId="176" formatCode="&quot;(-&quot;0.0\)"/>
    <numFmt numFmtId="177" formatCode="&quot;(--&quot;0.0\)"/>
    <numFmt numFmtId="178" formatCode="\(#,##0\)"/>
    <numFmt numFmtId="179" formatCode="yy\-m\-d"/>
    <numFmt numFmtId="180" formatCode="\(0%\)"/>
    <numFmt numFmtId="181" formatCode="#,##0.000"/>
    <numFmt numFmtId="182" formatCode="\(0.0%\);[RED]&quot;(-&quot;0.0%\)"/>
    <numFmt numFmtId="183" formatCode=".\-############################################;###################################"/>
    <numFmt numFmtId="184" formatCode="#,##0.000;[RED]\-#,##0.000"/>
    <numFmt numFmtId="185" formatCode="\₩#,##0;&quot;₩₩-&quot;#,##0"/>
    <numFmt numFmtId="186" formatCode="\₩#,##0;[RED]&quot;₩₩-&quot;#,##0"/>
    <numFmt numFmtId="187" formatCode="#,##0.0"/>
    <numFmt numFmtId="188" formatCode="\₩#,##0.00;&quot;₩₩-&quot;#,##0.00"/>
    <numFmt numFmtId="189" formatCode="\₩#,##0.00;[RED]&quot;₩₩-&quot;#,##0.00"/>
    <numFmt numFmtId="190" formatCode="_ \₩* #,##0_ ;_ \₩* &quot;₩-&quot;#,##0_ ;_ \₩* \-_ ;_ @_ "/>
    <numFmt numFmtId="191" formatCode="_ * #,##0_ ;_ * &quot;₩-&quot;#,##0_ ;_ * \-_ ;_ @_ "/>
    <numFmt numFmtId="192" formatCode="_ \₩* #,##0.00_ ;_ \₩* &quot;₩-&quot;#,##0.00_ ;_ \₩* \-??_ ;_ @_ "/>
    <numFmt numFmtId="193" formatCode="_ * #,##0.00_ ;_ * &quot;₩-&quot;#,##0.00_ ;_ * \-??_ ;_ @_ "/>
    <numFmt numFmtId="194" formatCode="\₩#,##0;&quot;₩₩₩-&quot;#,##0"/>
    <numFmt numFmtId="195" formatCode="\₩#,##0;[RED]&quot;₩₩₩-&quot;#,##0"/>
    <numFmt numFmtId="196" formatCode="\₩#,##0.00;&quot;₩₩₩-&quot;#,##0.00"/>
    <numFmt numFmtId="197" formatCode="\₩#,##0.00;[RED]&quot;₩₩₩-&quot;#,##0.00"/>
    <numFmt numFmtId="198" formatCode="_ \₩* #,##0_ ;_ \₩* &quot;₩₩-&quot;#,##0_ ;_ \₩* \-_ ;_ @_ "/>
    <numFmt numFmtId="199" formatCode="_ * #,##0_ ;_ * &quot;₩₩-&quot;#,##0_ ;_ * \-_ ;_ @_ "/>
    <numFmt numFmtId="200" formatCode="0%;[RED]&quot;  -&quot;0%"/>
    <numFmt numFmtId="201" formatCode="#,##0.00"/>
    <numFmt numFmtId="202" formatCode="0_ "/>
    <numFmt numFmtId="203" formatCode="&quot;113-&quot;@"/>
    <numFmt numFmtId="204" formatCode="&quot;₩!$&quot;#,##0_);[RED]&quot;₩!(₩!$&quot;#,##0&quot;₩!)&quot;"/>
    <numFmt numFmtId="205" formatCode="_(* #,##0_);_(* \(#,##0\);_(* \-_);_(@_)"/>
    <numFmt numFmtId="206" formatCode="#,##0.00&quot;?_);\(#,##0.00?)&quot;"/>
    <numFmt numFmtId="207" formatCode="_-* #,##0_-;\-* #,##0_-;_-* \-_-;_-@_-"/>
    <numFmt numFmtId="208" formatCode="#,##0;[RED]\(#,##0\);\-"/>
    <numFmt numFmtId="209" formatCode="0.0%"/>
    <numFmt numFmtId="210" formatCode="_-[$€-2]* #,##0.00_-;\-[$€-2]* #,##0.00_-;_-[$€-2]* \-??_-"/>
    <numFmt numFmtId="211" formatCode="[RED]\▲0.00%;[BLUE]\▼0.00%;\-"/>
    <numFmt numFmtId="212" formatCode="#,##0.0_ "/>
    <numFmt numFmtId="213" formatCode="#,##0_ "/>
    <numFmt numFmtId="214" formatCode="0.000"/>
    <numFmt numFmtId="215" formatCode="0.00"/>
    <numFmt numFmtId="216" formatCode="0_);[RED]\(0\)"/>
    <numFmt numFmtId="217" formatCode="_(* #,##0_);_(* \(#,##0\);_(* \-??_);_(@_)"/>
    <numFmt numFmtId="218" formatCode="0_);\(0\)"/>
    <numFmt numFmtId="219" formatCode="#,##0;[RED]#,##0"/>
    <numFmt numFmtId="220" formatCode="#,##0.00_);[RED]\(#,##0.00\)"/>
  </numFmts>
  <fonts count="101">
    <font>
      <sz val="11"/>
      <color theme="1"/>
      <name val="맑은 고딕"/>
      <family val="3"/>
      <charset val="129"/>
    </font>
    <font>
      <sz val="10"/>
      <name val="Arial"/>
      <family val="0"/>
    </font>
    <font>
      <sz val="10"/>
      <name val="Arial"/>
      <family val="0"/>
    </font>
    <font>
      <sz val="10"/>
      <name val="Arial"/>
      <family val="0"/>
    </font>
    <font>
      <sz val="12"/>
      <name val="굴림체"/>
      <family val="3"/>
      <charset val="129"/>
    </font>
    <font>
      <sz val="11"/>
      <name val="굃굍 굊긕긘긞긏"/>
      <family val="3"/>
      <charset val="129"/>
    </font>
    <font>
      <sz val="12"/>
      <name val="바탕체"/>
      <family val="1"/>
      <charset val="129"/>
    </font>
    <font>
      <sz val="10"/>
      <name val="Arial"/>
      <family val="2"/>
      <charset val="1"/>
    </font>
    <font>
      <b val="true"/>
      <sz val="10"/>
      <name val="MS Sans Serif"/>
      <family val="2"/>
      <charset val="1"/>
    </font>
    <font>
      <sz val="12"/>
      <name val="돋움체"/>
      <family val="3"/>
      <charset val="129"/>
    </font>
    <font>
      <sz val="12"/>
      <color rgb="FF000000"/>
      <name val="바탕체"/>
      <family val="1"/>
      <charset val="129"/>
    </font>
    <font>
      <sz val="11"/>
      <name val="돋움"/>
      <family val="3"/>
      <charset val="129"/>
    </font>
    <font>
      <sz val="10"/>
      <name val="MS Sans Serif"/>
      <family val="2"/>
      <charset val="1"/>
    </font>
    <font>
      <sz val="10"/>
      <name val="바탕체"/>
      <family val="1"/>
      <charset val="129"/>
    </font>
    <font>
      <sz val="10"/>
      <color theme="1"/>
      <name val="맑은 고딕"/>
      <family val="3"/>
      <charset val="129"/>
    </font>
    <font>
      <sz val="10"/>
      <name val="맑은 고딕"/>
      <family val="3"/>
      <charset val="129"/>
    </font>
    <font>
      <sz val="10"/>
      <color rgb="FFFF0000"/>
      <name val="맑은 고딕"/>
      <family val="3"/>
      <charset val="129"/>
    </font>
    <font>
      <b val="true"/>
      <sz val="10"/>
      <color theme="1"/>
      <name val="맑은 고딕"/>
      <family val="3"/>
      <charset val="1"/>
    </font>
    <font>
      <b val="true"/>
      <sz val="10"/>
      <color theme="1"/>
      <name val="맑은 고딕"/>
      <family val="3"/>
      <charset val="129"/>
    </font>
    <font>
      <b val="true"/>
      <sz val="10"/>
      <name val="맑은 고딕"/>
      <family val="3"/>
      <charset val="1"/>
    </font>
    <font>
      <sz val="10"/>
      <name val="맑은 고딕"/>
      <family val="3"/>
      <charset val="1"/>
    </font>
    <font>
      <b val="true"/>
      <sz val="10"/>
      <name val="맑은 고딕"/>
      <family val="3"/>
      <charset val="129"/>
    </font>
    <font>
      <sz val="10"/>
      <name val="맑은 고딕"/>
      <family val="3"/>
    </font>
    <font>
      <b val="true"/>
      <i val="true"/>
      <sz val="10"/>
      <name val="맑은 고딕"/>
      <family val="3"/>
      <charset val="129"/>
    </font>
    <font>
      <i val="true"/>
      <sz val="10"/>
      <name val="맑은 고딕"/>
      <family val="3"/>
      <charset val="129"/>
    </font>
    <font>
      <sz val="9"/>
      <name val="맑은 고딕"/>
      <family val="3"/>
    </font>
    <font>
      <sz val="9"/>
      <name val="맑은 고딕"/>
      <family val="0"/>
      <charset val="1"/>
    </font>
    <font>
      <i val="true"/>
      <sz val="10"/>
      <color theme="1"/>
      <name val="맑은 고딕"/>
      <family val="3"/>
      <charset val="129"/>
    </font>
    <font>
      <sz val="10"/>
      <color theme="1"/>
      <name val="맑은 고딕"/>
      <family val="3"/>
    </font>
    <font>
      <b val="true"/>
      <sz val="10"/>
      <name val="맑은 고딕"/>
      <family val="3"/>
    </font>
    <font>
      <sz val="10"/>
      <color rgb="FFFF0000"/>
      <name val="맑은 고딕"/>
      <family val="3"/>
      <charset val="1"/>
    </font>
    <font>
      <sz val="10"/>
      <name val="Arial"/>
      <family val="2"/>
    </font>
    <font>
      <b val="true"/>
      <sz val="10"/>
      <name val="맑은 고딕"/>
      <family val="3"/>
      <charset val="1"/>
    </font>
    <font>
      <sz val="10"/>
      <name val="맑은 고딕"/>
      <family val="3"/>
      <charset val="1"/>
    </font>
    <font>
      <sz val="10"/>
      <color rgb="FFFF0000"/>
      <name val="맑은 고딕"/>
      <family val="3"/>
      <charset val="1"/>
    </font>
    <font>
      <sz val="11"/>
      <color theme="1" tint="0.15"/>
      <name val="맑은 고딕"/>
      <family val="3"/>
      <charset val="129"/>
    </font>
    <font>
      <sz val="11"/>
      <name val="맑은 고딕"/>
      <family val="3"/>
      <charset val="129"/>
    </font>
    <font>
      <sz val="10"/>
      <color theme="1"/>
      <name val="맑은 고딕"/>
      <family val="3"/>
      <charset val="1"/>
    </font>
    <font>
      <b val="true"/>
      <sz val="13"/>
      <name val="Arial Narrow"/>
      <family val="2"/>
      <charset val="1"/>
    </font>
    <font>
      <b val="true"/>
      <sz val="13"/>
      <color theme="1"/>
      <name val="Arial Narrow"/>
      <family val="2"/>
      <charset val="1"/>
    </font>
    <font>
      <sz val="10"/>
      <name val="Arial Narrow"/>
      <family val="2"/>
      <charset val="1"/>
    </font>
    <font>
      <sz val="10"/>
      <color theme="1"/>
      <name val="Arial Narrow"/>
      <family val="2"/>
      <charset val="1"/>
    </font>
    <font>
      <sz val="10"/>
      <color rgb="FFFF0000"/>
      <name val="Arial Narrow"/>
      <family val="2"/>
      <charset val="1"/>
    </font>
    <font>
      <sz val="8"/>
      <name val="Arial Narrow"/>
      <family val="2"/>
      <charset val="1"/>
    </font>
    <font>
      <sz val="8"/>
      <name val="맑은 고딕"/>
      <family val="3"/>
    </font>
    <font>
      <sz val="8"/>
      <color theme="1"/>
      <name val="Arial Narrow"/>
      <family val="2"/>
      <charset val="1"/>
    </font>
    <font>
      <sz val="8"/>
      <color theme="1"/>
      <name val="맑은 고딕"/>
      <family val="3"/>
      <charset val="1"/>
    </font>
    <font>
      <sz val="11"/>
      <color theme="1"/>
      <name val="맑은 고딕"/>
      <family val="3"/>
    </font>
    <font>
      <sz val="8"/>
      <color theme="1"/>
      <name val="맑은 고딕"/>
      <family val="3"/>
    </font>
    <font>
      <sz val="8"/>
      <name val="맑은 고딕"/>
      <family val="3"/>
      <charset val="1"/>
    </font>
    <font>
      <sz val="8"/>
      <color theme="1"/>
      <name val="Calibri"/>
      <family val="3"/>
      <charset val="129"/>
    </font>
    <font>
      <sz val="8"/>
      <color theme="1"/>
      <name val="맑은 고딕"/>
      <family val="3"/>
      <charset val="129"/>
    </font>
    <font>
      <sz val="11"/>
      <color theme="1"/>
      <name val="맑은 고딕"/>
      <family val="3"/>
      <charset val="1"/>
    </font>
    <font>
      <sz val="8"/>
      <name val="맑은 고딕"/>
      <family val="3"/>
      <charset val="129"/>
    </font>
    <font>
      <sz val="11.5"/>
      <name val="Arial Narrow"/>
      <family val="2"/>
      <charset val="1"/>
    </font>
    <font>
      <b val="true"/>
      <sz val="11.5"/>
      <name val="Arial Narrow"/>
      <family val="2"/>
      <charset val="1"/>
    </font>
    <font>
      <b val="true"/>
      <sz val="11.5"/>
      <name val="맑은 고딕"/>
      <family val="3"/>
      <charset val="1"/>
    </font>
    <font>
      <b val="true"/>
      <sz val="11.5"/>
      <name val="맑은 고딕"/>
      <family val="3"/>
    </font>
    <font>
      <sz val="11.5"/>
      <name val="맑은 고딕"/>
      <family val="3"/>
      <charset val="1"/>
    </font>
    <font>
      <sz val="11.5"/>
      <name val="맑은 고딕"/>
      <family val="3"/>
    </font>
    <font>
      <sz val="10"/>
      <name val="Calibri"/>
      <family val="3"/>
      <charset val="129"/>
    </font>
    <font>
      <b val="true"/>
      <sz val="18"/>
      <name val="맑은 고딕"/>
      <family val="3"/>
      <charset val="1"/>
    </font>
    <font>
      <b val="true"/>
      <sz val="18"/>
      <name val="Calibri"/>
      <family val="3"/>
      <charset val="129"/>
    </font>
    <font>
      <b val="true"/>
      <sz val="10"/>
      <name val="Calibri"/>
      <family val="3"/>
      <charset val="129"/>
    </font>
    <font>
      <b val="true"/>
      <sz val="11"/>
      <name val="Calibri"/>
      <family val="3"/>
      <charset val="129"/>
    </font>
    <font>
      <b val="true"/>
      <sz val="11"/>
      <color rgb="FFFFFFFF"/>
      <name val="맑은 고딕"/>
      <family val="3"/>
      <charset val="1"/>
    </font>
    <font>
      <b val="true"/>
      <sz val="11"/>
      <color rgb="FFFFFFFF"/>
      <name val="Calibri"/>
      <family val="3"/>
      <charset val="129"/>
    </font>
    <font>
      <b val="true"/>
      <sz val="11"/>
      <name val="맑은 고딕"/>
      <family val="3"/>
      <charset val="1"/>
    </font>
    <font>
      <b val="true"/>
      <sz val="10"/>
      <name val="Cambria"/>
      <family val="3"/>
      <charset val="129"/>
    </font>
    <font>
      <sz val="11"/>
      <name val="Calibri"/>
      <family val="3"/>
      <charset val="129"/>
    </font>
    <font>
      <sz val="10"/>
      <name val="Cambria"/>
      <family val="3"/>
      <charset val="129"/>
    </font>
    <font>
      <sz val="11"/>
      <name val="맑은 고딕"/>
      <family val="3"/>
      <charset val="1"/>
    </font>
    <font>
      <b val="true"/>
      <sz val="10"/>
      <name val="Cambria"/>
      <family val="1"/>
      <charset val="1"/>
    </font>
    <font>
      <b val="true"/>
      <sz val="11"/>
      <name val="맑은 고딕"/>
      <family val="3"/>
    </font>
    <font>
      <b val="true"/>
      <sz val="11"/>
      <name val="Calibri"/>
      <family val="2"/>
      <charset val="1"/>
    </font>
    <font>
      <sz val="12"/>
      <name val="Arial Narrow"/>
      <family val="2"/>
      <charset val="1"/>
    </font>
    <font>
      <sz val="11"/>
      <name val="맑은 고딕"/>
      <family val="3"/>
    </font>
    <font>
      <b val="true"/>
      <sz val="12"/>
      <color rgb="FFFF0000"/>
      <name val="Calibri"/>
      <family val="2"/>
      <charset val="1"/>
    </font>
    <font>
      <b val="true"/>
      <sz val="12"/>
      <name val="Calibri"/>
      <family val="2"/>
      <charset val="1"/>
    </font>
    <font>
      <sz val="12"/>
      <color theme="1"/>
      <name val="맑은 고딕"/>
      <family val="3"/>
      <charset val="1"/>
    </font>
    <font>
      <b val="true"/>
      <sz val="12"/>
      <color theme="1"/>
      <name val="맑은 고딕"/>
      <family val="3"/>
      <charset val="1"/>
    </font>
    <font>
      <sz val="12"/>
      <name val="Calibri"/>
      <family val="2"/>
      <charset val="1"/>
    </font>
    <font>
      <sz val="12"/>
      <name val="맑은 고딕"/>
      <family val="3"/>
    </font>
    <font>
      <b val="true"/>
      <sz val="12"/>
      <color theme="1"/>
      <name val="Calibri"/>
      <family val="2"/>
      <charset val="1"/>
    </font>
    <font>
      <sz val="12"/>
      <color theme="1"/>
      <name val="Calibri"/>
      <family val="2"/>
      <charset val="1"/>
    </font>
    <font>
      <sz val="12"/>
      <name val="맑은 고딕"/>
      <family val="3"/>
      <charset val="1"/>
    </font>
    <font>
      <sz val="12"/>
      <color theme="1"/>
      <name val="맑은 고딕"/>
      <family val="3"/>
    </font>
    <font>
      <sz val="11"/>
      <color theme="1"/>
      <name val="Calibri"/>
      <family val="2"/>
      <charset val="129"/>
    </font>
    <font>
      <sz val="11"/>
      <name val="Arial"/>
      <family val="2"/>
      <charset val="1"/>
    </font>
    <font>
      <b val="true"/>
      <sz val="10"/>
      <name val="Arial"/>
      <family val="2"/>
      <charset val="1"/>
    </font>
    <font>
      <sz val="8"/>
      <color theme="1"/>
      <name val="Calibri"/>
      <family val="2"/>
      <charset val="129"/>
    </font>
    <font>
      <b val="true"/>
      <sz val="10"/>
      <color rgb="FFFF0000"/>
      <name val="Arial"/>
      <family val="2"/>
      <charset val="1"/>
    </font>
    <font>
      <sz val="10"/>
      <color rgb="FFFF0000"/>
      <name val="Arial"/>
      <family val="2"/>
      <charset val="1"/>
    </font>
    <font>
      <sz val="12"/>
      <color theme="1"/>
      <name val="Calibri"/>
      <family val="2"/>
      <charset val="129"/>
    </font>
    <font>
      <sz val="11"/>
      <name val="Calibri"/>
      <family val="2"/>
      <charset val="1"/>
    </font>
    <font>
      <b val="true"/>
      <sz val="10"/>
      <name val="Calibri"/>
      <family val="2"/>
      <charset val="1"/>
    </font>
    <font>
      <b val="true"/>
      <sz val="9"/>
      <color rgb="FF0000FF"/>
      <name val="맑은 고딕"/>
      <family val="3"/>
      <charset val="1"/>
    </font>
    <font>
      <b val="true"/>
      <sz val="10"/>
      <color rgb="FFFFFFFF"/>
      <name val="맑은 고딕"/>
      <family val="3"/>
      <charset val="1"/>
    </font>
    <font>
      <b val="true"/>
      <sz val="10"/>
      <color rgb="FFFFFFFF"/>
      <name val="맑은 고딕"/>
      <family val="3"/>
      <charset val="129"/>
    </font>
    <font>
      <b val="true"/>
      <i val="true"/>
      <sz val="10"/>
      <color rgb="FFFF0000"/>
      <name val="맑은 고딕"/>
      <family val="3"/>
      <charset val="129"/>
    </font>
    <font>
      <i val="true"/>
      <sz val="10"/>
      <name val="맑은 고딕"/>
      <family val="3"/>
    </font>
  </fonts>
  <fills count="19">
    <fill>
      <patternFill patternType="none"/>
    </fill>
    <fill>
      <patternFill patternType="gray125"/>
    </fill>
    <fill>
      <patternFill patternType="solid">
        <fgColor rgb="FFC0C0C0"/>
        <bgColor rgb="FFBFBFBF"/>
      </patternFill>
    </fill>
    <fill>
      <patternFill patternType="solid">
        <fgColor rgb="FFCCFFFF"/>
        <bgColor rgb="FFDBEEF4"/>
      </patternFill>
    </fill>
    <fill>
      <patternFill patternType="solid">
        <fgColor rgb="FFFFFFFF"/>
        <bgColor rgb="FFEFEEE6"/>
      </patternFill>
    </fill>
    <fill>
      <patternFill patternType="solid">
        <fgColor rgb="FF33B199"/>
        <bgColor rgb="FF33CCCC"/>
      </patternFill>
    </fill>
    <fill>
      <patternFill patternType="solid">
        <fgColor theme="0" tint="-0.25"/>
        <bgColor rgb="FFC0C0C0"/>
      </patternFill>
    </fill>
    <fill>
      <patternFill patternType="solid">
        <fgColor theme="2"/>
        <bgColor rgb="FFE1EAF6"/>
      </patternFill>
    </fill>
    <fill>
      <patternFill patternType="solid">
        <fgColor rgb="FFCCFFCC"/>
        <bgColor rgb="FFCCFFFF"/>
      </patternFill>
    </fill>
    <fill>
      <patternFill patternType="solid">
        <fgColor rgb="FFFFFF00"/>
        <bgColor rgb="FFFFFF00"/>
      </patternFill>
    </fill>
    <fill>
      <patternFill patternType="solid">
        <fgColor theme="0" tint="-0.15"/>
        <bgColor rgb="FFDCE6F2"/>
      </patternFill>
    </fill>
    <fill>
      <patternFill patternType="solid">
        <fgColor theme="3" tint="0.7998"/>
        <bgColor rgb="FFDADDE0"/>
      </patternFill>
    </fill>
    <fill>
      <patternFill patternType="solid">
        <fgColor theme="4" tint="0.7998"/>
        <bgColor rgb="FFE1EAF6"/>
      </patternFill>
    </fill>
    <fill>
      <patternFill patternType="solid">
        <fgColor rgb="FFFFBE00"/>
        <bgColor rgb="FFFFC000"/>
      </patternFill>
    </fill>
    <fill>
      <patternFill patternType="solid">
        <fgColor theme="5" tint="0.7998"/>
        <bgColor rgb="FFDADDE0"/>
      </patternFill>
    </fill>
    <fill>
      <patternFill patternType="solid">
        <fgColor theme="3" tint="0.8999"/>
        <bgColor rgb="FFDCE6F2"/>
      </patternFill>
    </fill>
    <fill>
      <patternFill patternType="solid">
        <fgColor theme="8" tint="0.7998"/>
        <bgColor rgb="FFE1EAF6"/>
      </patternFill>
    </fill>
    <fill>
      <patternFill patternType="solid">
        <fgColor rgb="FF00B0F0"/>
        <bgColor rgb="FF33CCCC"/>
      </patternFill>
    </fill>
    <fill>
      <patternFill patternType="solid">
        <fgColor rgb="FFA4C354"/>
        <bgColor rgb="FF92D050"/>
      </patternFill>
    </fill>
  </fills>
  <borders count="69">
    <border diagonalUp="false" diagonalDown="false">
      <left/>
      <right/>
      <top/>
      <bottom/>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style="thin"/>
      <right style="thin"/>
      <top/>
      <bottom style="dotted"/>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top style="medium"/>
      <bottom style="thin"/>
      <diagonal/>
    </border>
    <border diagonalUp="false" diagonalDown="false">
      <left style="medium"/>
      <right style="medium"/>
      <top style="medium"/>
      <bottom style="thin"/>
      <diagonal/>
    </border>
    <border diagonalUp="false" diagonalDown="false">
      <left style="medium"/>
      <right style="medium"/>
      <top style="medium"/>
      <bottom/>
      <diagonal/>
    </border>
    <border diagonalUp="false" diagonalDown="false">
      <left style="medium"/>
      <right style="medium"/>
      <top style="thin"/>
      <bottom style="thin"/>
      <diagonal/>
    </border>
    <border diagonalUp="false" diagonalDown="false">
      <left style="medium"/>
      <right style="medium"/>
      <top/>
      <bottom/>
      <diagonal/>
    </border>
    <border diagonalUp="false" diagonalDown="false">
      <left style="medium"/>
      <right/>
      <top/>
      <bottom/>
      <diagonal/>
    </border>
    <border diagonalUp="false" diagonalDown="false">
      <left style="medium"/>
      <right style="thin"/>
      <top/>
      <bottom/>
      <diagonal/>
    </border>
    <border diagonalUp="false" diagonalDown="false">
      <left/>
      <right style="thin"/>
      <top/>
      <bottom/>
      <diagonal/>
    </border>
    <border diagonalUp="false" diagonalDown="false">
      <left style="medium"/>
      <right/>
      <top style="thin"/>
      <bottom style="double"/>
      <diagonal/>
    </border>
    <border diagonalUp="false" diagonalDown="false">
      <left style="medium"/>
      <right style="medium"/>
      <top style="thin"/>
      <bottom style="double"/>
      <diagonal/>
    </border>
    <border diagonalUp="false" diagonalDown="false">
      <left style="medium"/>
      <right/>
      <top style="double"/>
      <bottom style="medium"/>
      <diagonal/>
    </border>
    <border diagonalUp="false" diagonalDown="false">
      <left style="medium"/>
      <right style="medium"/>
      <top/>
      <bottom style="medium"/>
      <diagonal/>
    </border>
    <border diagonalUp="false" diagonalDown="false">
      <left/>
      <right style="medium"/>
      <top style="medium"/>
      <bottom style="thin"/>
      <diagonal/>
    </border>
    <border diagonalUp="false" diagonalDown="false">
      <left/>
      <right style="medium"/>
      <top style="thin"/>
      <bottom style="thin"/>
      <diagonal/>
    </border>
    <border diagonalUp="false" diagonalDown="false">
      <left/>
      <right style="medium"/>
      <top style="thin"/>
      <bottom style="medium"/>
      <diagonal/>
    </border>
    <border diagonalUp="false" diagonalDown="false">
      <left style="medium"/>
      <right style="medium"/>
      <top/>
      <bottom style="thin"/>
      <diagonal/>
    </border>
    <border diagonalUp="false" diagonalDown="false">
      <left/>
      <right/>
      <top style="thin"/>
      <bottom style="double"/>
      <diagonal/>
    </border>
    <border diagonalUp="false" diagonalDown="false">
      <left style="medium"/>
      <right/>
      <top style="thin"/>
      <bottom style="medium"/>
      <diagonal/>
    </border>
    <border diagonalUp="false" diagonalDown="false">
      <left/>
      <right/>
      <top style="thin"/>
      <bottom style="medium"/>
      <diagonal/>
    </border>
    <border diagonalUp="false" diagonalDown="false">
      <left style="medium"/>
      <right style="medium"/>
      <top style="thin"/>
      <bottom style="medium"/>
      <diagonal/>
    </border>
    <border diagonalUp="false" diagonalDown="false">
      <left/>
      <right/>
      <top/>
      <bottom style="medium"/>
      <diagonal/>
    </border>
    <border diagonalUp="false" diagonalDown="false">
      <left style="medium"/>
      <right style="thin"/>
      <top style="medium"/>
      <bottom style="double"/>
      <diagonal/>
    </border>
    <border diagonalUp="false" diagonalDown="false">
      <left style="thin"/>
      <right/>
      <top style="medium"/>
      <bottom style="double"/>
      <diagonal/>
    </border>
    <border diagonalUp="false" diagonalDown="false">
      <left style="thin"/>
      <right style="thin"/>
      <top style="medium"/>
      <bottom style="double"/>
      <diagonal/>
    </border>
    <border diagonalUp="false" diagonalDown="false">
      <left/>
      <right style="medium"/>
      <top style="medium"/>
      <bottom/>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style="thin"/>
      <right/>
      <top/>
      <bottom style="thin"/>
      <diagonal/>
    </border>
    <border diagonalUp="false" diagonalDown="false">
      <left style="thin"/>
      <right style="thin"/>
      <top/>
      <bottom/>
      <diagonal/>
    </border>
    <border diagonalUp="false" diagonalDown="false">
      <left style="thin"/>
      <right/>
      <top/>
      <bottom/>
      <diagonal/>
    </border>
    <border diagonalUp="false" diagonalDown="false">
      <left style="medium"/>
      <right style="thin"/>
      <top style="thin"/>
      <bottom/>
      <diagonal/>
    </border>
    <border diagonalUp="false" diagonalDown="false">
      <left/>
      <right style="medium"/>
      <top style="thin"/>
      <bottom/>
      <diagonal/>
    </border>
    <border diagonalUp="false" diagonalDown="false">
      <left style="medium"/>
      <right style="medium"/>
      <top style="thin"/>
      <bottom/>
      <diagonal/>
    </border>
    <border diagonalUp="false" diagonalDown="false">
      <left style="thin"/>
      <right style="thin"/>
      <top style="thin"/>
      <bottom/>
      <diagonal/>
    </border>
    <border diagonalUp="false" diagonalDown="false">
      <left style="thin"/>
      <right/>
      <top style="thin"/>
      <bottom/>
      <diagonal/>
    </border>
    <border diagonalUp="false" diagonalDown="false">
      <left style="medium"/>
      <right style="thin"/>
      <top style="double"/>
      <bottom style="medium"/>
      <diagonal/>
    </border>
    <border diagonalUp="false" diagonalDown="false">
      <left style="thin"/>
      <right style="thin"/>
      <top style="double"/>
      <bottom style="medium"/>
      <diagonal/>
    </border>
    <border diagonalUp="false" diagonalDown="false">
      <left style="thin"/>
      <right/>
      <top style="double"/>
      <bottom style="medium"/>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right/>
      <top style="double"/>
      <bottom/>
      <diagonal/>
    </border>
    <border diagonalUp="false" diagonalDown="false">
      <left/>
      <right/>
      <top style="thin"/>
      <bottom/>
      <diagonal/>
    </border>
    <border diagonalUp="false" diagonalDown="false">
      <left/>
      <right/>
      <top/>
      <bottom style="thin"/>
      <diagonal/>
    </border>
    <border diagonalUp="false" diagonalDown="false">
      <left/>
      <right style="thin"/>
      <top style="thin"/>
      <bottom/>
      <diagonal/>
    </border>
    <border diagonalUp="false" diagonalDown="false">
      <left/>
      <right style="thin"/>
      <top/>
      <bottom style="thin"/>
      <diagonal/>
    </border>
    <border diagonalUp="false" diagonalDown="false">
      <left style="thin"/>
      <right/>
      <top/>
      <bottom style="medium"/>
      <diagonal/>
    </border>
    <border diagonalUp="false" diagonalDown="false">
      <left/>
      <right style="thin"/>
      <top/>
      <bottom style="medium"/>
      <diagonal/>
    </border>
    <border diagonalUp="false" diagonalDown="false">
      <left style="thin"/>
      <right style="thin"/>
      <top/>
      <bottom style="medium"/>
      <diagonal/>
    </border>
    <border diagonalUp="false" diagonalDown="false">
      <left style="thin"/>
      <right/>
      <top style="medium"/>
      <bottom/>
      <diagonal/>
    </border>
    <border diagonalUp="false" diagonalDown="false">
      <left/>
      <right/>
      <top style="medium"/>
      <bottom/>
      <diagonal/>
    </border>
    <border diagonalUp="false" diagonalDown="false">
      <left/>
      <right style="thin"/>
      <top style="medium"/>
      <bottom/>
      <diagonal/>
    </border>
    <border diagonalUp="false" diagonalDown="false">
      <left style="thin"/>
      <right style="thin"/>
      <top style="medium"/>
      <bottom/>
      <diagonal/>
    </border>
    <border diagonalUp="false" diagonalDown="false">
      <left style="medium"/>
      <right/>
      <top style="medium"/>
      <bottom/>
      <diagonal/>
    </border>
    <border diagonalUp="false" diagonalDown="false">
      <left/>
      <right style="medium"/>
      <top/>
      <bottom/>
      <diagonal/>
    </border>
    <border diagonalUp="false" diagonalDown="false">
      <left style="medium"/>
      <right/>
      <top/>
      <bottom style="medium"/>
      <diagonal/>
    </border>
    <border diagonalUp="false" diagonalDown="false">
      <left/>
      <right style="medium"/>
      <top/>
      <bottom style="medium"/>
      <diagonal/>
    </border>
  </borders>
  <cellStyleXfs count="1556">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6" fontId="6"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7"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8" fontId="10" fillId="0" borderId="0" applyFont="true" applyBorder="true" applyAlignment="true" applyProtection="true">
      <alignment horizontal="general" vertical="bottom" textRotation="0" wrapText="false" indent="0" shrinkToFit="false"/>
      <protection locked="true" hidden="false"/>
    </xf>
    <xf numFmtId="164" fontId="11"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5" fontId="12" fillId="0" borderId="0"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9" fontId="9" fillId="0" borderId="0" applyFont="true" applyBorder="true" applyAlignment="true" applyProtection="true">
      <alignment horizontal="general" vertical="bottom" textRotation="0" wrapText="false" indent="0" shrinkToFit="false"/>
      <protection locked="true" hidden="false"/>
    </xf>
    <xf numFmtId="170" fontId="11" fillId="0" borderId="0" applyFont="true" applyBorder="true" applyAlignment="true" applyProtection="true">
      <alignment horizontal="general" vertical="bottom" textRotation="0" wrapText="false" indent="0" shrinkToFit="false"/>
      <protection locked="true" hidden="false"/>
    </xf>
    <xf numFmtId="170" fontId="11" fillId="0" borderId="0" applyFont="true" applyBorder="true" applyAlignment="true" applyProtection="true">
      <alignment horizontal="general" vertical="bottom" textRotation="0" wrapText="false" indent="0" shrinkToFit="false"/>
      <protection locked="true" hidden="false"/>
    </xf>
    <xf numFmtId="170" fontId="11" fillId="0" borderId="0" applyFont="true" applyBorder="true" applyAlignment="true" applyProtection="true">
      <alignment horizontal="general" vertical="bottom" textRotation="0" wrapText="false" indent="0" shrinkToFit="false"/>
      <protection locked="true" hidden="false"/>
    </xf>
    <xf numFmtId="170" fontId="11" fillId="0" borderId="0" applyFont="true" applyBorder="true" applyAlignment="true" applyProtection="true">
      <alignment horizontal="general" vertical="bottom" textRotation="0" wrapText="false" indent="0" shrinkToFit="false"/>
      <protection locked="true" hidden="false"/>
    </xf>
    <xf numFmtId="164" fontId="13" fillId="0" borderId="1" applyFont="true" applyBorder="true" applyAlignment="true" applyProtection="true">
      <alignment horizontal="center" vertical="center" textRotation="0" wrapText="false" indent="0" shrinkToFit="false"/>
      <protection locked="true" hidden="false"/>
    </xf>
    <xf numFmtId="171" fontId="6" fillId="0" borderId="0" applyFont="true" applyBorder="true" applyAlignment="true" applyProtection="true">
      <alignment horizontal="general" vertical="center" textRotation="0" wrapText="false" indent="0" shrinkToFit="false"/>
      <protection locked="true" hidden="false"/>
    </xf>
    <xf numFmtId="172" fontId="11" fillId="0" borderId="0" applyFont="true" applyBorder="true" applyAlignment="true" applyProtection="true">
      <alignment horizontal="general" vertical="bottom" textRotation="0" wrapText="false" indent="0" shrinkToFit="false"/>
      <protection locked="true" hidden="false"/>
    </xf>
    <xf numFmtId="173" fontId="11" fillId="0" borderId="0" applyFont="true" applyBorder="true" applyAlignment="true" applyProtection="true">
      <alignment horizontal="general" vertical="bottom" textRotation="0" wrapText="false" indent="0" shrinkToFit="false"/>
      <protection locked="true" hidden="false"/>
    </xf>
    <xf numFmtId="174" fontId="11" fillId="0" borderId="2" applyFont="true" applyBorder="true" applyAlignment="true" applyProtection="true">
      <alignment horizontal="general" vertical="center" textRotation="0" wrapText="false" indent="0" shrinkToFit="false"/>
      <protection locked="true" hidden="false"/>
    </xf>
    <xf numFmtId="175" fontId="11" fillId="0" borderId="0" applyFont="true" applyBorder="true" applyAlignment="true" applyProtection="true">
      <alignment horizontal="general" vertical="bottom" textRotation="0" wrapText="false" indent="0" shrinkToFit="false"/>
      <protection locked="true" hidden="false"/>
    </xf>
    <xf numFmtId="176" fontId="11" fillId="0" borderId="0" applyFont="true" applyBorder="true" applyAlignment="true" applyProtection="true">
      <alignment horizontal="general" vertical="bottom" textRotation="0" wrapText="false" indent="0" shrinkToFit="false"/>
      <protection locked="true" hidden="false"/>
    </xf>
    <xf numFmtId="177" fontId="11" fillId="0" borderId="0" applyFont="true" applyBorder="true" applyAlignment="true" applyProtection="true">
      <alignment horizontal="general" vertical="bottom" textRotation="0" wrapText="false" indent="0" shrinkToFit="false"/>
      <protection locked="true" hidden="false"/>
    </xf>
    <xf numFmtId="176" fontId="11" fillId="0" borderId="0" applyFont="true" applyBorder="true" applyAlignment="true" applyProtection="true">
      <alignment horizontal="general" vertical="bottom" textRotation="0" wrapText="false" indent="0" shrinkToFit="false"/>
      <protection locked="true" hidden="false"/>
    </xf>
    <xf numFmtId="178" fontId="11" fillId="0" borderId="0" applyFont="true" applyBorder="true" applyAlignment="true" applyProtection="true">
      <alignment horizontal="general" vertical="bottom" textRotation="0" wrapText="false" indent="0" shrinkToFit="false"/>
      <protection locked="true" hidden="false"/>
    </xf>
    <xf numFmtId="179" fontId="11" fillId="0" borderId="0" applyFont="true" applyBorder="true" applyAlignment="true" applyProtection="true">
      <alignment horizontal="general" vertical="bottom" textRotation="0" wrapText="false" indent="0" shrinkToFit="false"/>
      <protection locked="true" hidden="false"/>
    </xf>
    <xf numFmtId="180" fontId="11" fillId="0" borderId="0" applyFont="true" applyBorder="true" applyAlignment="true" applyProtection="true">
      <alignment horizontal="general" vertical="bottom" textRotation="0" wrapText="false" indent="0" shrinkToFit="false"/>
      <protection locked="true" hidden="false"/>
    </xf>
    <xf numFmtId="181" fontId="11" fillId="0" borderId="0" applyFont="true" applyBorder="true" applyAlignment="true" applyProtection="true">
      <alignment horizontal="general" vertical="bottom" textRotation="0" wrapText="false" indent="0" shrinkToFit="false"/>
      <protection locked="true" hidden="false"/>
    </xf>
    <xf numFmtId="182" fontId="11" fillId="0" borderId="0" applyFont="true" applyBorder="true" applyAlignment="true" applyProtection="true">
      <alignment horizontal="general" vertical="bottom" textRotation="0" wrapText="false" indent="0" shrinkToFit="false"/>
      <protection locked="true" hidden="false"/>
    </xf>
    <xf numFmtId="183" fontId="11" fillId="0" borderId="0" applyFont="true" applyBorder="true" applyAlignment="true" applyProtection="true">
      <alignment horizontal="general" vertical="bottom" textRotation="0" wrapText="false" indent="0" shrinkToFit="false"/>
      <protection locked="true" hidden="false"/>
    </xf>
    <xf numFmtId="184" fontId="11" fillId="0" borderId="0" applyFont="true" applyBorder="true" applyAlignment="true" applyProtection="true">
      <alignment horizontal="general" vertical="bottom" textRotation="0" wrapText="false" indent="0" shrinkToFit="false"/>
      <protection locked="true" hidden="false"/>
    </xf>
    <xf numFmtId="185" fontId="11" fillId="0" borderId="0" applyFont="true" applyBorder="true" applyAlignment="true" applyProtection="true">
      <alignment horizontal="general" vertical="bottom" textRotation="0" wrapText="false" indent="0" shrinkToFit="false"/>
      <protection locked="true" hidden="false"/>
    </xf>
    <xf numFmtId="186" fontId="11"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87" fontId="6" fillId="0" borderId="0" applyFont="true" applyBorder="true" applyAlignment="true" applyProtection="true">
      <alignment horizontal="general" vertical="center" textRotation="0" wrapText="false" indent="0" shrinkToFit="false"/>
      <protection locked="true" hidden="false"/>
    </xf>
    <xf numFmtId="188" fontId="11" fillId="0" borderId="0" applyFont="true" applyBorder="true" applyAlignment="true" applyProtection="true">
      <alignment horizontal="general" vertical="bottom" textRotation="0" wrapText="false" indent="0" shrinkToFit="false"/>
      <protection locked="true" hidden="false"/>
    </xf>
    <xf numFmtId="189" fontId="11" fillId="0" borderId="2" applyFont="true" applyBorder="true" applyAlignment="true" applyProtection="true">
      <alignment horizontal="general" vertical="center" textRotation="0" wrapText="false" indent="0" shrinkToFit="false"/>
      <protection locked="true" hidden="false"/>
    </xf>
    <xf numFmtId="190" fontId="11" fillId="0" borderId="0" applyFont="true" applyBorder="true" applyAlignment="true" applyProtection="true">
      <alignment horizontal="general" vertical="bottom" textRotation="0" wrapText="false" indent="0" shrinkToFit="false"/>
      <protection locked="true" hidden="false"/>
    </xf>
    <xf numFmtId="191" fontId="11" fillId="0" borderId="0" applyFont="true" applyBorder="true" applyAlignment="true" applyProtection="true">
      <alignment horizontal="general" vertical="bottom" textRotation="0" wrapText="false" indent="0" shrinkToFit="false"/>
      <protection locked="true" hidden="false"/>
    </xf>
    <xf numFmtId="192" fontId="11" fillId="0" borderId="0" applyFont="true" applyBorder="true" applyAlignment="true" applyProtection="true">
      <alignment horizontal="general" vertical="bottom" textRotation="0" wrapText="false" indent="0" shrinkToFit="false"/>
      <protection locked="true" hidden="false"/>
    </xf>
    <xf numFmtId="193" fontId="11" fillId="0" borderId="0" applyFont="true" applyBorder="true" applyAlignment="true" applyProtection="true">
      <alignment horizontal="general" vertical="bottom" textRotation="0" wrapText="false" indent="0" shrinkToFit="false"/>
      <protection locked="true" hidden="false"/>
    </xf>
    <xf numFmtId="194" fontId="11" fillId="0" borderId="0" applyFont="true" applyBorder="true" applyAlignment="true" applyProtection="true">
      <alignment horizontal="general" vertical="bottom" textRotation="0" wrapText="false" indent="0" shrinkToFit="false"/>
      <protection locked="true" hidden="false"/>
    </xf>
    <xf numFmtId="195" fontId="11" fillId="0" borderId="0" applyFont="true" applyBorder="true" applyAlignment="true" applyProtection="true">
      <alignment horizontal="general" vertical="bottom" textRotation="0" wrapText="false" indent="0" shrinkToFit="false"/>
      <protection locked="true" hidden="false"/>
    </xf>
    <xf numFmtId="196" fontId="11" fillId="0" borderId="0" applyFont="true" applyBorder="true" applyAlignment="true" applyProtection="true">
      <alignment horizontal="general" vertical="bottom" textRotation="0" wrapText="false" indent="0" shrinkToFit="false"/>
      <protection locked="true" hidden="false"/>
    </xf>
    <xf numFmtId="197" fontId="11" fillId="0" borderId="0" applyFont="true" applyBorder="true" applyAlignment="true" applyProtection="true">
      <alignment horizontal="general" vertical="bottom" textRotation="0" wrapText="false" indent="0" shrinkToFit="false"/>
      <protection locked="true" hidden="false"/>
    </xf>
    <xf numFmtId="198" fontId="11" fillId="0" borderId="0" applyFont="true" applyBorder="true" applyAlignment="true" applyProtection="true">
      <alignment horizontal="general" vertical="bottom" textRotation="0" wrapText="false" indent="0" shrinkToFit="false"/>
      <protection locked="true" hidden="false"/>
    </xf>
    <xf numFmtId="199" fontId="11" fillId="0" borderId="0" applyFont="true" applyBorder="true" applyAlignment="true" applyProtection="true">
      <alignment horizontal="general" vertical="bottom" textRotation="0" wrapText="false" indent="0" shrinkToFit="false"/>
      <protection locked="true" hidden="false"/>
    </xf>
    <xf numFmtId="164" fontId="11" fillId="0" borderId="0" applyFont="true" applyBorder="true" applyAlignment="true" applyProtection="true">
      <alignment horizontal="general" vertical="bottom" textRotation="0" wrapText="false" indent="0" shrinkToFit="false"/>
      <protection locked="true" hidden="false"/>
    </xf>
    <xf numFmtId="200"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201" fontId="6" fillId="0" borderId="0" applyFont="true" applyBorder="true" applyAlignment="true" applyProtection="true">
      <alignment horizontal="general" vertical="center" textRotation="0" wrapText="false" indent="0" shrinkToFit="false"/>
      <protection locked="true" hidden="false"/>
    </xf>
    <xf numFmtId="181" fontId="6" fillId="0" borderId="0" applyFont="true" applyBorder="true" applyAlignment="true" applyProtection="true">
      <alignment horizontal="general" vertical="center" textRotation="0" wrapText="false" indent="0" shrinkToFit="false"/>
      <protection locked="true" hidden="false"/>
    </xf>
    <xf numFmtId="164" fontId="12" fillId="0" borderId="0" applyFont="true" applyBorder="true" applyAlignment="true" applyProtection="true">
      <alignment horizontal="general" vertical="bottom" textRotation="0" wrapText="false" indent="0" shrinkToFit="false"/>
      <protection locked="true" hidden="false"/>
    </xf>
    <xf numFmtId="202" fontId="11" fillId="0" borderId="0" applyFont="true" applyBorder="true" applyAlignment="true" applyProtection="true">
      <alignment horizontal="general" vertical="bottom" textRotation="0" wrapText="false" indent="0" shrinkToFit="false"/>
      <protection locked="true" hidden="false"/>
    </xf>
    <xf numFmtId="164" fontId="12" fillId="0" borderId="0" applyFont="true" applyBorder="true" applyAlignment="true" applyProtection="true">
      <alignment horizontal="general" vertical="bottom" textRotation="0" wrapText="false" indent="0" shrinkToFit="false"/>
      <protection locked="true" hidden="false"/>
    </xf>
    <xf numFmtId="164" fontId="12" fillId="0" borderId="0" applyFont="true" applyBorder="true" applyAlignment="true" applyProtection="true">
      <alignment horizontal="general" vertical="bottom" textRotation="0" wrapText="false" indent="0" shrinkToFit="false"/>
      <protection locked="true" hidden="false"/>
    </xf>
    <xf numFmtId="202" fontId="11" fillId="0" borderId="0" applyFont="true" applyBorder="true" applyAlignment="true" applyProtection="true">
      <alignment horizontal="general" vertical="bottom" textRotation="0" wrapText="false" indent="0" shrinkToFit="false"/>
      <protection locked="true" hidden="false"/>
    </xf>
    <xf numFmtId="164" fontId="12" fillId="0" borderId="0" applyFont="true" applyBorder="true" applyAlignment="true" applyProtection="true">
      <alignment horizontal="general" vertical="bottom" textRotation="0" wrapText="false" indent="0" shrinkToFit="false"/>
      <protection locked="true" hidden="false"/>
    </xf>
    <xf numFmtId="203" fontId="11" fillId="0" borderId="0" applyFont="true" applyBorder="true" applyAlignment="true" applyProtection="true">
      <alignment horizontal="general" vertical="bottom" textRotation="0" wrapText="false" indent="0" shrinkToFit="false"/>
      <protection locked="true" hidden="false"/>
    </xf>
    <xf numFmtId="164" fontId="12" fillId="0" borderId="0" applyFont="true" applyBorder="true" applyAlignment="true" applyProtection="true">
      <alignment horizontal="general" vertical="bottom" textRotation="0" wrapText="false" indent="0" shrinkToFit="false"/>
      <protection locked="true" hidden="false"/>
    </xf>
    <xf numFmtId="204" fontId="12" fillId="0" borderId="0" applyFont="true" applyBorder="true" applyAlignment="true" applyProtection="true">
      <alignment horizontal="general" vertical="bottom" textRotation="0" wrapText="false" indent="0" shrinkToFit="false"/>
      <protection locked="true" hidden="false"/>
    </xf>
    <xf numFmtId="204" fontId="12" fillId="0" borderId="0" applyFont="true" applyBorder="true" applyAlignment="true" applyProtection="true">
      <alignment horizontal="general" vertical="bottom" textRotation="0" wrapText="false" indent="0" shrinkToFit="false"/>
      <protection locked="true" hidden="false"/>
    </xf>
    <xf numFmtId="204" fontId="12"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6" fontId="11" fillId="0" borderId="0" applyFont="true" applyBorder="true" applyAlignment="true" applyProtection="true">
      <alignment horizontal="general" vertical="bottom" textRotation="0" wrapText="false" indent="0" shrinkToFit="false"/>
      <protection locked="true" hidden="false"/>
    </xf>
    <xf numFmtId="165" fontId="6" fillId="0" borderId="3" applyFont="true" applyBorder="true" applyAlignment="true" applyProtection="true">
      <alignment horizontal="general" vertical="center"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xf numFmtId="205" fontId="11" fillId="0" borderId="0" applyFont="true" applyBorder="true" applyAlignment="true" applyProtection="true">
      <alignment horizontal="general" vertical="bottom" textRotation="0" wrapText="false" indent="0" shrinkToFit="false"/>
      <protection locked="true" hidden="false"/>
    </xf>
  </cellStyleXfs>
  <cellXfs count="672">
    <xf numFmtId="164" fontId="0" fillId="0" borderId="0" xfId="0" applyFont="false" applyBorder="false" applyAlignment="fals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true" applyProtection="false">
      <alignment horizontal="center" vertical="top" textRotation="0" wrapText="false" indent="0" shrinkToFit="false"/>
      <protection locked="true" hidden="false"/>
    </xf>
    <xf numFmtId="164" fontId="14" fillId="0" borderId="0" xfId="0" applyFont="true" applyBorder="false" applyAlignment="true" applyProtection="false">
      <alignment horizontal="left" vertical="top" textRotation="0" wrapText="true" indent="0" shrinkToFit="false"/>
      <protection locked="true" hidden="false"/>
    </xf>
    <xf numFmtId="207" fontId="15" fillId="0" borderId="0" xfId="0" applyFont="true" applyBorder="false" applyAlignment="true" applyProtection="false">
      <alignment horizontal="right" vertical="top" textRotation="0" wrapText="false" indent="0" shrinkToFit="false"/>
      <protection locked="true" hidden="false"/>
    </xf>
    <xf numFmtId="164" fontId="16" fillId="0" borderId="0" xfId="0" applyFont="true" applyBorder="false" applyAlignment="true" applyProtection="false">
      <alignment horizontal="general" vertical="top" textRotation="0" wrapText="false" indent="0" shrinkToFit="false"/>
      <protection locked="true" hidden="false"/>
    </xf>
    <xf numFmtId="164" fontId="17" fillId="0" borderId="0" xfId="0" applyFont="true" applyBorder="false" applyAlignment="true" applyProtection="false">
      <alignment horizontal="left" vertical="top" textRotation="0" wrapText="false" indent="0" shrinkToFit="false"/>
      <protection locked="true" hidden="false"/>
    </xf>
    <xf numFmtId="164" fontId="18" fillId="0" borderId="0" xfId="0" applyFont="true" applyBorder="false" applyAlignment="true" applyProtection="false">
      <alignment horizontal="center" vertical="top" textRotation="0" wrapText="false" indent="0" shrinkToFit="false"/>
      <protection locked="true" hidden="false"/>
    </xf>
    <xf numFmtId="164" fontId="18" fillId="0" borderId="0" xfId="0" applyFont="true" applyBorder="false" applyAlignment="true" applyProtection="false">
      <alignment horizontal="left" vertical="top" textRotation="0" wrapText="true" indent="0" shrinkToFit="false"/>
      <protection locked="true" hidden="false"/>
    </xf>
    <xf numFmtId="164" fontId="14" fillId="0" borderId="0" xfId="0" applyFont="true" applyBorder="false" applyAlignment="true" applyProtection="false">
      <alignment horizontal="left" vertical="top" textRotation="0" wrapText="false" indent="0" shrinkToFit="false"/>
      <protection locked="true" hidden="false"/>
    </xf>
    <xf numFmtId="164" fontId="19" fillId="0" borderId="0" xfId="0" applyFont="true" applyBorder="false" applyAlignment="true" applyProtection="true">
      <alignment horizontal="left" vertical="top" textRotation="0" wrapText="false" indent="0" shrinkToFit="false"/>
      <protection locked="false" hidden="false"/>
    </xf>
    <xf numFmtId="164" fontId="15" fillId="0" borderId="0" xfId="0" applyFont="true" applyBorder="false" applyAlignment="true" applyProtection="true">
      <alignment horizontal="center" vertical="top" textRotation="0" wrapText="false" indent="0" shrinkToFit="false"/>
      <protection locked="false" hidden="false"/>
    </xf>
    <xf numFmtId="208" fontId="14" fillId="0" borderId="4" xfId="0" applyFont="true" applyBorder="true" applyAlignment="true" applyProtection="false">
      <alignment horizontal="left" vertical="top" textRotation="0" wrapText="false" indent="0" shrinkToFit="false"/>
      <protection locked="true" hidden="false"/>
    </xf>
    <xf numFmtId="209" fontId="14" fillId="0" borderId="5" xfId="0" applyFont="true" applyBorder="true" applyAlignment="true" applyProtection="false">
      <alignment horizontal="general" vertical="top" textRotation="0" wrapText="false" indent="0" shrinkToFit="false"/>
      <protection locked="true" hidden="false"/>
    </xf>
    <xf numFmtId="208" fontId="14" fillId="0" borderId="6" xfId="0" applyFont="true" applyBorder="true" applyAlignment="true" applyProtection="false">
      <alignment horizontal="general" vertical="top" textRotation="0" wrapText="false" indent="0" shrinkToFit="false"/>
      <protection locked="true" hidden="false"/>
    </xf>
    <xf numFmtId="208" fontId="14" fillId="0" borderId="7" xfId="0" applyFont="true" applyBorder="true" applyAlignment="true" applyProtection="false">
      <alignment horizontal="left" vertical="top" textRotation="0" wrapText="false" indent="0" shrinkToFit="false"/>
      <protection locked="true" hidden="false"/>
    </xf>
    <xf numFmtId="209" fontId="14" fillId="0" borderId="2" xfId="0" applyFont="true" applyBorder="true" applyAlignment="true" applyProtection="false">
      <alignment horizontal="right" vertical="top" textRotation="0" wrapText="false" indent="0" shrinkToFit="false"/>
      <protection locked="true" hidden="false"/>
    </xf>
    <xf numFmtId="208" fontId="14" fillId="0" borderId="8" xfId="0" applyFont="true" applyBorder="true" applyAlignment="true" applyProtection="false">
      <alignment horizontal="right" vertical="top" textRotation="0" wrapText="false" indent="0" shrinkToFit="false"/>
      <protection locked="true" hidden="false"/>
    </xf>
    <xf numFmtId="164" fontId="15" fillId="0" borderId="0" xfId="0" applyFont="true" applyBorder="false" applyAlignment="true" applyProtection="true">
      <alignment horizontal="left" vertical="top" textRotation="0" wrapText="false" indent="0" shrinkToFit="false"/>
      <protection locked="false" hidden="false"/>
    </xf>
    <xf numFmtId="208" fontId="14" fillId="0" borderId="9" xfId="0" applyFont="true" applyBorder="true" applyAlignment="true" applyProtection="false">
      <alignment horizontal="left" vertical="top" textRotation="0" wrapText="false" indent="0" shrinkToFit="false"/>
      <protection locked="true" hidden="false"/>
    </xf>
    <xf numFmtId="209" fontId="14" fillId="0" borderId="10" xfId="0" applyFont="true" applyBorder="true" applyAlignment="true" applyProtection="false">
      <alignment horizontal="right" vertical="top" textRotation="0" wrapText="false" indent="0" shrinkToFit="false"/>
      <protection locked="true" hidden="false"/>
    </xf>
    <xf numFmtId="208" fontId="14" fillId="0" borderId="11" xfId="0" applyFont="true" applyBorder="true" applyAlignment="true" applyProtection="false">
      <alignment horizontal="right" vertical="top" textRotation="0" wrapText="false" indent="0" shrinkToFit="false"/>
      <protection locked="true" hidden="false"/>
    </xf>
    <xf numFmtId="164" fontId="15" fillId="0" borderId="0" xfId="0" applyFont="true" applyBorder="false" applyAlignment="true" applyProtection="true">
      <alignment horizontal="general" vertical="top" textRotation="0" wrapText="false" indent="0" shrinkToFit="false"/>
      <protection locked="false" hidden="false"/>
    </xf>
    <xf numFmtId="210" fontId="20" fillId="0" borderId="0" xfId="0" applyFont="true" applyBorder="false" applyAlignment="true" applyProtection="true">
      <alignment horizontal="general" vertical="top" textRotation="0" wrapText="false" indent="0" shrinkToFit="false"/>
      <protection locked="false" hidden="false"/>
    </xf>
    <xf numFmtId="164" fontId="19" fillId="2" borderId="12" xfId="0" applyFont="true" applyBorder="true" applyAlignment="true" applyProtection="false">
      <alignment horizontal="distributed" vertical="top" textRotation="0" wrapText="true" indent="0" shrinkToFit="false"/>
      <protection locked="true" hidden="false"/>
    </xf>
    <xf numFmtId="164" fontId="21" fillId="2" borderId="13" xfId="0" applyFont="true" applyBorder="true" applyAlignment="true" applyProtection="true">
      <alignment horizontal="center" vertical="top" textRotation="0" wrapText="false" indent="0" shrinkToFit="false"/>
      <protection locked="false" hidden="false"/>
    </xf>
    <xf numFmtId="164" fontId="21" fillId="2" borderId="14" xfId="0" applyFont="true" applyBorder="true" applyAlignment="true" applyProtection="true">
      <alignment horizontal="center" vertical="top" textRotation="0" wrapText="false" indent="0" shrinkToFit="false"/>
      <protection locked="false" hidden="false"/>
    </xf>
    <xf numFmtId="164" fontId="21" fillId="2" borderId="14" xfId="0" applyFont="true" applyBorder="true" applyAlignment="true" applyProtection="true">
      <alignment horizontal="left" vertical="top" textRotation="0" wrapText="true" indent="0" shrinkToFit="false"/>
      <protection locked="fals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9" fillId="2" borderId="15" xfId="0" applyFont="true" applyBorder="true" applyAlignment="true" applyProtection="true">
      <alignment horizontal="center" vertical="top" textRotation="0" wrapText="false" indent="0" shrinkToFit="false"/>
      <protection locked="false" hidden="false"/>
    </xf>
    <xf numFmtId="164" fontId="21" fillId="2" borderId="15" xfId="0" applyFont="true" applyBorder="true" applyAlignment="true" applyProtection="true">
      <alignment horizontal="center" vertical="top" textRotation="0" wrapText="false" indent="0" shrinkToFit="false"/>
      <protection locked="false" hidden="false"/>
    </xf>
    <xf numFmtId="164" fontId="19" fillId="2" borderId="16" xfId="0" applyFont="true" applyBorder="true" applyAlignment="true" applyProtection="true">
      <alignment horizontal="center" vertical="top" textRotation="0" wrapText="false" indent="0" shrinkToFit="false"/>
      <protection locked="false" hidden="false"/>
    </xf>
    <xf numFmtId="164" fontId="19" fillId="2" borderId="16" xfId="0" applyFont="true" applyBorder="true" applyAlignment="true" applyProtection="true">
      <alignment horizontal="center" vertical="top" textRotation="0" wrapText="true" indent="0" shrinkToFit="false"/>
      <protection locked="false" hidden="false"/>
    </xf>
    <xf numFmtId="164" fontId="19" fillId="2" borderId="2" xfId="0" applyFont="true" applyBorder="true" applyAlignment="true" applyProtection="true">
      <alignment horizontal="center" vertical="top" textRotation="0" wrapText="false" indent="0" shrinkToFit="false"/>
      <protection locked="false" hidden="false"/>
    </xf>
    <xf numFmtId="164" fontId="21" fillId="2" borderId="2" xfId="0" applyFont="true" applyBorder="true" applyAlignment="true" applyProtection="true">
      <alignment horizontal="center" vertical="top" textRotation="0" wrapText="false" indent="0" shrinkToFit="false"/>
      <protection locked="false" hidden="false"/>
    </xf>
    <xf numFmtId="164" fontId="19" fillId="0" borderId="17" xfId="0" applyFont="true" applyBorder="true" applyAlignment="true" applyProtection="false">
      <alignment horizontal="general" vertical="top" textRotation="0" wrapText="false" indent="0" shrinkToFit="false"/>
      <protection locked="true" hidden="false"/>
    </xf>
    <xf numFmtId="164" fontId="21" fillId="0" borderId="0" xfId="0" applyFont="true" applyBorder="false" applyAlignment="true" applyProtection="false">
      <alignment horizontal="general" vertical="top" textRotation="0" wrapText="false" indent="0" shrinkToFit="false"/>
      <protection locked="true" hidden="false"/>
    </xf>
    <xf numFmtId="164" fontId="21" fillId="0" borderId="16" xfId="0" applyFont="true" applyBorder="true" applyAlignment="true" applyProtection="true">
      <alignment horizontal="general" vertical="top" textRotation="0" wrapText="false" indent="0" shrinkToFit="false"/>
      <protection locked="false" hidden="false"/>
    </xf>
    <xf numFmtId="164" fontId="21" fillId="0" borderId="16" xfId="0" applyFont="true" applyBorder="true" applyAlignment="true" applyProtection="true">
      <alignment horizontal="center" vertical="top" textRotation="0" wrapText="false" indent="0" shrinkToFit="false"/>
      <protection locked="false" hidden="false"/>
    </xf>
    <xf numFmtId="164" fontId="21" fillId="0" borderId="16" xfId="0" applyFont="true" applyBorder="true" applyAlignment="true" applyProtection="true">
      <alignment horizontal="left" vertical="top" textRotation="0" wrapText="true" indent="0" shrinkToFit="false"/>
      <protection locked="false" hidden="false"/>
    </xf>
    <xf numFmtId="164" fontId="16" fillId="0" borderId="2" xfId="0" applyFont="true" applyBorder="true" applyAlignment="true" applyProtection="false">
      <alignment horizontal="general" vertical="top" textRotation="0" wrapText="false" indent="0" shrinkToFit="false"/>
      <protection locked="true" hidden="false"/>
    </xf>
    <xf numFmtId="164" fontId="14" fillId="0" borderId="2" xfId="0" applyFont="true" applyBorder="true" applyAlignment="true" applyProtection="false">
      <alignment horizontal="general" vertical="top" textRotation="0" wrapText="false" indent="0" shrinkToFit="false"/>
      <protection locked="true" hidden="false"/>
    </xf>
    <xf numFmtId="164" fontId="15" fillId="0" borderId="17" xfId="0" applyFont="true" applyBorder="tru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208" fontId="21" fillId="3" borderId="16" xfId="0" applyFont="true" applyBorder="true" applyAlignment="true" applyProtection="false">
      <alignment horizontal="general" vertical="top" textRotation="0" wrapText="false" indent="0" shrinkToFit="false"/>
      <protection locked="true" hidden="false"/>
    </xf>
    <xf numFmtId="211" fontId="23" fillId="3" borderId="16" xfId="0" applyFont="true" applyBorder="true" applyAlignment="true" applyProtection="false">
      <alignment horizontal="general" vertical="top" textRotation="0" wrapText="false" indent="0" shrinkToFit="false"/>
      <protection locked="true" hidden="false"/>
    </xf>
    <xf numFmtId="208" fontId="21" fillId="3" borderId="16" xfId="0" applyFont="true" applyBorder="true" applyAlignment="true" applyProtection="false">
      <alignment horizontal="center" vertical="top" textRotation="0" wrapText="false" indent="0" shrinkToFit="false"/>
      <protection locked="true" hidden="false"/>
    </xf>
    <xf numFmtId="208" fontId="21" fillId="3" borderId="16" xfId="0" applyFont="true" applyBorder="true" applyAlignment="true" applyProtection="false">
      <alignment horizontal="left" vertical="top" textRotation="0" wrapText="true" indent="0" shrinkToFit="false"/>
      <protection locked="true" hidden="false"/>
    </xf>
    <xf numFmtId="208" fontId="15" fillId="0" borderId="0" xfId="0" applyFont="true" applyBorder="false" applyAlignment="true" applyProtection="false">
      <alignment horizontal="right" vertical="top" textRotation="0" wrapText="false" indent="0" shrinkToFit="false"/>
      <protection locked="true" hidden="false"/>
    </xf>
    <xf numFmtId="208" fontId="16" fillId="0" borderId="0" xfId="0" applyFont="true" applyBorder="false" applyAlignment="true" applyProtection="false">
      <alignment horizontal="general" vertical="top" textRotation="0" wrapText="false" indent="0" shrinkToFit="false"/>
      <protection locked="true" hidden="false"/>
    </xf>
    <xf numFmtId="208" fontId="15" fillId="0" borderId="2" xfId="0" applyFont="true" applyBorder="true" applyAlignment="true" applyProtection="false">
      <alignment horizontal="right" vertical="top" textRotation="0" wrapText="false" indent="0" shrinkToFit="false"/>
      <protection locked="true" hidden="false"/>
    </xf>
    <xf numFmtId="164" fontId="15" fillId="0" borderId="18" xfId="0" applyFont="true" applyBorder="true" applyAlignment="true" applyProtection="false">
      <alignment horizontal="left" vertical="top" textRotation="0" wrapText="false" indent="0" shrinkToFit="false"/>
      <protection locked="true" hidden="false"/>
    </xf>
    <xf numFmtId="164" fontId="15" fillId="0" borderId="17" xfId="0" applyFont="true" applyBorder="true" applyAlignment="true" applyProtection="false">
      <alignment horizontal="left" vertical="top" textRotation="0" wrapText="false" indent="0" shrinkToFit="false"/>
      <protection locked="true" hidden="false"/>
    </xf>
    <xf numFmtId="164" fontId="20" fillId="0" borderId="0" xfId="0" applyFont="true" applyBorder="false" applyAlignment="true" applyProtection="false">
      <alignment horizontal="left" vertical="top" textRotation="0" wrapText="false" indent="0" shrinkToFit="false"/>
      <protection locked="true" hidden="false"/>
    </xf>
    <xf numFmtId="208" fontId="15" fillId="0" borderId="16" xfId="0" applyFont="true" applyBorder="true" applyAlignment="true" applyProtection="false">
      <alignment horizontal="right" vertical="top" textRotation="0" wrapText="false" indent="0" shrinkToFit="false"/>
      <protection locked="true" hidden="false"/>
    </xf>
    <xf numFmtId="211" fontId="24" fillId="0" borderId="16" xfId="0" applyFont="true" applyBorder="true" applyAlignment="true" applyProtection="false">
      <alignment horizontal="right" vertical="top" textRotation="0" wrapText="false" indent="0" shrinkToFit="false"/>
      <protection locked="true" hidden="false"/>
    </xf>
    <xf numFmtId="208" fontId="15" fillId="0" borderId="16" xfId="0" applyFont="true" applyBorder="true" applyAlignment="true" applyProtection="false">
      <alignment horizontal="center" vertical="top" textRotation="0" wrapText="false" indent="0" shrinkToFit="false"/>
      <protection locked="true" hidden="false"/>
    </xf>
    <xf numFmtId="208" fontId="25" fillId="0" borderId="16" xfId="0" applyFont="true" applyBorder="true" applyAlignment="true" applyProtection="false">
      <alignment horizontal="left" vertical="top" textRotation="0" wrapText="true" indent="0" shrinkToFit="false"/>
      <protection locked="true" hidden="false"/>
    </xf>
    <xf numFmtId="208" fontId="25" fillId="4" borderId="16" xfId="0" applyFont="true" applyBorder="true" applyAlignment="true" applyProtection="false">
      <alignment horizontal="left" vertical="top" textRotation="0" wrapText="true" indent="0" shrinkToFit="false"/>
      <protection locked="true" hidden="false"/>
    </xf>
    <xf numFmtId="208" fontId="15" fillId="0" borderId="0" xfId="0" applyFont="true" applyBorder="false" applyAlignment="true" applyProtection="false">
      <alignment horizontal="general" vertical="top" textRotation="0" wrapText="false" indent="0" shrinkToFit="false"/>
      <protection locked="true" hidden="false"/>
    </xf>
    <xf numFmtId="208" fontId="15" fillId="0" borderId="16" xfId="0" applyFont="true" applyBorder="true" applyAlignment="true" applyProtection="false">
      <alignment horizontal="left" vertical="top" textRotation="0" wrapText="true" indent="0" shrinkToFit="false"/>
      <protection locked="true" hidden="false"/>
    </xf>
    <xf numFmtId="208" fontId="15" fillId="0" borderId="16" xfId="0" applyFont="true" applyBorder="true" applyAlignment="true" applyProtection="true">
      <alignment horizontal="general" vertical="top" textRotation="0" wrapText="false" indent="0" shrinkToFit="false"/>
      <protection locked="false" hidden="false"/>
    </xf>
    <xf numFmtId="208" fontId="25" fillId="3" borderId="16" xfId="0" applyFont="true" applyBorder="true" applyAlignment="true" applyProtection="false">
      <alignment horizontal="left"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false" indent="0" shrinkToFit="false"/>
      <protection locked="true" hidden="false"/>
    </xf>
    <xf numFmtId="208" fontId="20" fillId="0" borderId="0" xfId="0" applyFont="true" applyBorder="false" applyAlignment="true" applyProtection="false">
      <alignment horizontal="general" vertical="top" textRotation="0" wrapText="false" indent="0" shrinkToFit="false"/>
      <protection locked="true" hidden="false"/>
    </xf>
    <xf numFmtId="208" fontId="26" fillId="3" borderId="16" xfId="0" applyFont="true" applyBorder="true" applyAlignment="true" applyProtection="false">
      <alignment horizontal="left" vertical="top" textRotation="0" wrapText="true" indent="0" shrinkToFit="false"/>
      <protection locked="true" hidden="false"/>
    </xf>
    <xf numFmtId="208" fontId="21" fillId="3" borderId="16" xfId="0" applyFont="true" applyBorder="true" applyAlignment="true" applyProtection="false">
      <alignment horizontal="right" vertical="top" textRotation="0" wrapText="false" indent="0" shrinkToFit="false"/>
      <protection locked="true" hidden="false"/>
    </xf>
    <xf numFmtId="211" fontId="23" fillId="3" borderId="16" xfId="0" applyFont="true" applyBorder="true" applyAlignment="true" applyProtection="false">
      <alignment horizontal="right" vertical="top" textRotation="0" wrapText="false" indent="0" shrinkToFit="false"/>
      <protection locked="true" hidden="false"/>
    </xf>
    <xf numFmtId="208" fontId="15" fillId="4" borderId="16" xfId="0" applyFont="true" applyBorder="true" applyAlignment="true" applyProtection="false">
      <alignment horizontal="left" vertical="top" textRotation="0" wrapText="true" indent="0" shrinkToFit="false"/>
      <protection locked="true" hidden="false"/>
    </xf>
    <xf numFmtId="208" fontId="14" fillId="0" borderId="0" xfId="0" applyFont="true" applyBorder="false" applyAlignment="true" applyProtection="false">
      <alignment horizontal="general" vertical="top" textRotation="0" wrapText="false" indent="0" shrinkToFit="false"/>
      <protection locked="true" hidden="false"/>
    </xf>
    <xf numFmtId="164" fontId="20" fillId="0" borderId="19" xfId="0" applyFont="true" applyBorder="true" applyAlignment="true" applyProtection="false">
      <alignment horizontal="left" vertical="top" textRotation="0" wrapText="false" indent="0" shrinkToFit="false"/>
      <protection locked="true" hidden="false"/>
    </xf>
    <xf numFmtId="208" fontId="15" fillId="0" borderId="16" xfId="0" applyFont="true" applyBorder="true" applyAlignment="true" applyProtection="true">
      <alignment horizontal="left" vertical="top" textRotation="0" wrapText="false" indent="0" shrinkToFit="false"/>
      <protection locked="false" hidden="false"/>
    </xf>
    <xf numFmtId="211" fontId="24" fillId="0" borderId="16" xfId="0" applyFont="true" applyBorder="true" applyAlignment="true" applyProtection="true">
      <alignment horizontal="left" vertical="top" textRotation="0" wrapText="false" indent="0" shrinkToFit="false"/>
      <protection locked="false" hidden="false"/>
    </xf>
    <xf numFmtId="208" fontId="15" fillId="0" borderId="16" xfId="0" applyFont="true" applyBorder="true" applyAlignment="true" applyProtection="true">
      <alignment horizontal="center" vertical="top" textRotation="0" wrapText="false" indent="0" shrinkToFit="false"/>
      <protection locked="false" hidden="false"/>
    </xf>
    <xf numFmtId="208" fontId="15" fillId="0" borderId="16" xfId="0" applyFont="true" applyBorder="true" applyAlignment="true" applyProtection="true">
      <alignment horizontal="left" vertical="top" textRotation="0" wrapText="true" indent="0" shrinkToFit="false"/>
      <protection locked="false" hidden="false"/>
    </xf>
    <xf numFmtId="164" fontId="19" fillId="0" borderId="20" xfId="0" applyFont="true" applyBorder="true" applyAlignment="true" applyProtection="false">
      <alignment horizontal="distributed" vertical="top" textRotation="0" wrapText="false" indent="0" shrinkToFit="false"/>
      <protection locked="true" hidden="false"/>
    </xf>
    <xf numFmtId="208" fontId="21" fillId="3" borderId="21" xfId="0" applyFont="true" applyBorder="true" applyAlignment="true" applyProtection="false">
      <alignment horizontal="general" vertical="top" textRotation="0" wrapText="false" indent="0" shrinkToFit="false"/>
      <protection locked="true" hidden="false"/>
    </xf>
    <xf numFmtId="211" fontId="23" fillId="3" borderId="21" xfId="0" applyFont="true" applyBorder="true" applyAlignment="true" applyProtection="false">
      <alignment horizontal="general" vertical="top" textRotation="0" wrapText="false" indent="0" shrinkToFit="false"/>
      <protection locked="true" hidden="false"/>
    </xf>
    <xf numFmtId="208" fontId="21" fillId="3" borderId="21" xfId="0" applyFont="true" applyBorder="true" applyAlignment="true" applyProtection="false">
      <alignment horizontal="center" vertical="top" textRotation="0" wrapText="false" indent="0" shrinkToFit="false"/>
      <protection locked="true" hidden="false"/>
    </xf>
    <xf numFmtId="208" fontId="21" fillId="3" borderId="21" xfId="0" applyFont="true" applyBorder="true" applyAlignment="true" applyProtection="false">
      <alignment horizontal="left" vertical="top" textRotation="0" wrapText="true" indent="0" shrinkToFit="false"/>
      <protection locked="true" hidden="false"/>
    </xf>
    <xf numFmtId="211" fontId="24" fillId="0" borderId="16" xfId="0" applyFont="true" applyBorder="true" applyAlignment="true" applyProtection="true">
      <alignment horizontal="general" vertical="top" textRotation="0" wrapText="false" indent="0" shrinkToFit="false"/>
      <protection locked="false" hidden="false"/>
    </xf>
    <xf numFmtId="164" fontId="19" fillId="0" borderId="17" xfId="0" applyFont="true" applyBorder="true" applyAlignment="true" applyProtection="false">
      <alignment horizontal="distributed" vertical="top" textRotation="0" wrapText="false" indent="0" shrinkToFit="false"/>
      <protection locked="true" hidden="false"/>
    </xf>
    <xf numFmtId="208" fontId="15" fillId="0" borderId="16" xfId="0" applyFont="true" applyBorder="true" applyAlignment="true" applyProtection="false">
      <alignment horizontal="general" vertical="top" textRotation="0" wrapText="false" indent="0" shrinkToFit="false"/>
      <protection locked="true" hidden="false"/>
    </xf>
    <xf numFmtId="211" fontId="24" fillId="0" borderId="16" xfId="0" applyFont="true" applyBorder="true" applyAlignment="true" applyProtection="false">
      <alignment horizontal="general" vertical="top" textRotation="0" wrapText="false" indent="0" shrinkToFit="false"/>
      <protection locked="true" hidden="false"/>
    </xf>
    <xf numFmtId="164" fontId="15" fillId="0" borderId="18" xfId="0" applyFont="true" applyBorder="true" applyAlignment="true" applyProtection="false">
      <alignment horizontal="general" vertical="top" textRotation="0" wrapText="false" indent="0" shrinkToFit="false"/>
      <protection locked="true" hidden="false"/>
    </xf>
    <xf numFmtId="208" fontId="25" fillId="3" borderId="21" xfId="0" applyFont="true" applyBorder="true" applyAlignment="true" applyProtection="false">
      <alignment horizontal="left" vertical="top" textRotation="0" wrapText="true" indent="0" shrinkToFit="false"/>
      <protection locked="true" hidden="false"/>
    </xf>
    <xf numFmtId="164" fontId="21" fillId="0" borderId="0" xfId="0" applyFont="true" applyBorder="false" applyAlignment="true" applyProtection="false">
      <alignment horizontal="distributed" vertical="top" textRotation="0" wrapText="false" indent="0" shrinkToFit="false"/>
      <protection locked="true" hidden="false"/>
    </xf>
    <xf numFmtId="208" fontId="21" fillId="0" borderId="16" xfId="0" applyFont="true" applyBorder="true" applyAlignment="true" applyProtection="true">
      <alignment horizontal="general" vertical="top" textRotation="0" wrapText="false" indent="0" shrinkToFit="false"/>
      <protection locked="false" hidden="false"/>
    </xf>
    <xf numFmtId="211" fontId="23" fillId="0" borderId="16" xfId="0" applyFont="true" applyBorder="true" applyAlignment="true" applyProtection="true">
      <alignment horizontal="general" vertical="top" textRotation="0" wrapText="false" indent="0" shrinkToFit="false"/>
      <protection locked="false" hidden="false"/>
    </xf>
    <xf numFmtId="208" fontId="21" fillId="0" borderId="16" xfId="0" applyFont="true" applyBorder="true" applyAlignment="true" applyProtection="true">
      <alignment horizontal="center" vertical="top" textRotation="0" wrapText="false" indent="0" shrinkToFit="false"/>
      <protection locked="false" hidden="false"/>
    </xf>
    <xf numFmtId="208" fontId="21" fillId="0" borderId="16" xfId="0" applyFont="true" applyBorder="true" applyAlignment="true" applyProtection="true">
      <alignment horizontal="left" vertical="top" textRotation="0" wrapText="true" indent="0" shrinkToFit="false"/>
      <protection locked="false" hidden="false"/>
    </xf>
    <xf numFmtId="208" fontId="15" fillId="0" borderId="16" xfId="0" applyFont="true" applyBorder="true" applyAlignment="true" applyProtection="true">
      <alignment horizontal="right" vertical="top" textRotation="0" wrapText="false" indent="0" shrinkToFit="false"/>
      <protection locked="false" hidden="false"/>
    </xf>
    <xf numFmtId="211" fontId="24" fillId="0" borderId="16" xfId="0" applyFont="true" applyBorder="true" applyAlignment="true" applyProtection="true">
      <alignment horizontal="right" vertical="top" textRotation="0" wrapText="false" indent="0" shrinkToFit="false"/>
      <protection locked="false" hidden="false"/>
    </xf>
    <xf numFmtId="164" fontId="15" fillId="0" borderId="2" xfId="0" applyFont="true" applyBorder="true" applyAlignment="true" applyProtection="false">
      <alignment horizontal="general" vertical="top" textRotation="0" wrapText="false" indent="0" shrinkToFit="false"/>
      <protection locked="true" hidden="false"/>
    </xf>
    <xf numFmtId="208" fontId="26" fillId="0" borderId="16" xfId="0" applyFont="true" applyBorder="true" applyAlignment="true" applyProtection="false">
      <alignment horizontal="left" vertical="top" textRotation="0" wrapText="true" indent="0" shrinkToFit="false"/>
      <protection locked="true" hidden="false"/>
    </xf>
    <xf numFmtId="164" fontId="19" fillId="0" borderId="22" xfId="0" applyFont="true" applyBorder="true" applyAlignment="true" applyProtection="false">
      <alignment horizontal="distributed" vertical="top" textRotation="0" wrapText="false" indent="0" shrinkToFit="false"/>
      <protection locked="true" hidden="false"/>
    </xf>
    <xf numFmtId="208" fontId="21" fillId="3" borderId="23" xfId="0" applyFont="true" applyBorder="true" applyAlignment="true" applyProtection="false">
      <alignment horizontal="general" vertical="top" textRotation="0" wrapText="false" indent="0" shrinkToFit="false"/>
      <protection locked="true" hidden="false"/>
    </xf>
    <xf numFmtId="211" fontId="23" fillId="3" borderId="23" xfId="0" applyFont="true" applyBorder="true" applyAlignment="true" applyProtection="false">
      <alignment horizontal="general" vertical="top" textRotation="0" wrapText="false" indent="0" shrinkToFit="false"/>
      <protection locked="true" hidden="false"/>
    </xf>
    <xf numFmtId="208" fontId="21" fillId="3" borderId="23" xfId="0" applyFont="true" applyBorder="true" applyAlignment="true" applyProtection="false">
      <alignment horizontal="center" vertical="top" textRotation="0" wrapText="false" indent="0" shrinkToFit="false"/>
      <protection locked="true" hidden="false"/>
    </xf>
    <xf numFmtId="208" fontId="21" fillId="3" borderId="23" xfId="0" applyFont="true" applyBorder="true" applyAlignment="true" applyProtection="false">
      <alignment horizontal="left" vertical="top" textRotation="0" wrapText="true" indent="0" shrinkToFit="false"/>
      <protection locked="true" hidden="false"/>
    </xf>
    <xf numFmtId="208" fontId="15" fillId="5" borderId="0" xfId="0" applyFont="true" applyBorder="false" applyAlignment="true" applyProtection="false">
      <alignment horizontal="general" vertical="top" textRotation="0" wrapText="false" indent="0" shrinkToFit="false"/>
      <protection locked="true" hidden="false"/>
    </xf>
    <xf numFmtId="208" fontId="15" fillId="0" borderId="0" xfId="0" applyFont="true" applyBorder="false" applyAlignment="true" applyProtection="false">
      <alignment horizontal="center" vertical="top" textRotation="0" wrapText="false" indent="0" shrinkToFit="false"/>
      <protection locked="true" hidden="false"/>
    </xf>
    <xf numFmtId="208" fontId="15" fillId="0" borderId="0" xfId="0" applyFont="true" applyBorder="false" applyAlignment="true" applyProtection="false">
      <alignment horizontal="left" vertical="top" textRotation="0" wrapText="true" indent="0" shrinkToFit="false"/>
      <protection locked="true" hidden="false"/>
    </xf>
    <xf numFmtId="212" fontId="14" fillId="0" borderId="0" xfId="0" applyFont="true" applyBorder="false" applyAlignment="true" applyProtection="false">
      <alignment horizontal="general" vertical="top" textRotation="0" wrapText="false" indent="0" shrinkToFit="false"/>
      <protection locked="true" hidden="false"/>
    </xf>
    <xf numFmtId="213" fontId="14" fillId="0" borderId="0" xfId="0" applyFont="true" applyBorder="false" applyAlignment="true" applyProtection="false">
      <alignment horizontal="general" vertical="top" textRotation="0" wrapText="false" indent="0" shrinkToFit="false"/>
      <protection locked="true" hidden="false"/>
    </xf>
    <xf numFmtId="212" fontId="14" fillId="0" borderId="0" xfId="0" applyFont="true" applyBorder="false" applyAlignment="true" applyProtection="false">
      <alignment horizontal="center" vertical="top" textRotation="0" wrapText="false" indent="0" shrinkToFit="false"/>
      <protection locked="true" hidden="false"/>
    </xf>
    <xf numFmtId="212" fontId="14" fillId="0" borderId="0" xfId="0" applyFont="true" applyBorder="false" applyAlignment="true" applyProtection="false">
      <alignment horizontal="left" vertical="top" textRotation="0" wrapText="true" indent="0" shrinkToFit="false"/>
      <protection locked="true" hidden="false"/>
    </xf>
    <xf numFmtId="171" fontId="14" fillId="0" borderId="0" xfId="0" applyFont="true" applyBorder="false" applyAlignment="true" applyProtection="false">
      <alignment horizontal="general" vertical="top" textRotation="0" wrapText="false" indent="0" shrinkToFit="false"/>
      <protection locked="true" hidden="false"/>
    </xf>
    <xf numFmtId="171" fontId="14" fillId="0" borderId="0" xfId="0" applyFont="true" applyBorder="false" applyAlignment="true" applyProtection="false">
      <alignment horizontal="center" vertical="top" textRotation="0" wrapText="false" indent="0" shrinkToFit="false"/>
      <protection locked="true" hidden="false"/>
    </xf>
    <xf numFmtId="171" fontId="14" fillId="0" borderId="0" xfId="0" applyFont="true" applyBorder="false" applyAlignment="true" applyProtection="false">
      <alignment horizontal="left" vertical="top" textRotation="0" wrapText="true" indent="0" shrinkToFit="false"/>
      <protection locked="true" hidden="false"/>
    </xf>
    <xf numFmtId="214" fontId="14" fillId="0" borderId="0" xfId="0" applyFont="true" applyBorder="false" applyAlignment="true" applyProtection="false">
      <alignment horizontal="general" vertical="top" textRotation="0" wrapText="false" indent="0" shrinkToFit="false"/>
      <protection locked="true" hidden="false"/>
    </xf>
    <xf numFmtId="211" fontId="27" fillId="0" borderId="0" xfId="0" applyFont="true" applyBorder="false" applyAlignment="true" applyProtection="false">
      <alignment horizontal="general" vertical="top" textRotation="0" wrapText="false" indent="0" shrinkToFit="false"/>
      <protection locked="true" hidden="false"/>
    </xf>
    <xf numFmtId="208" fontId="14" fillId="0" borderId="0" xfId="0" applyFont="true" applyBorder="false" applyAlignment="true" applyProtection="false">
      <alignment horizontal="center" vertical="top" textRotation="0" wrapText="false" indent="0" shrinkToFit="false"/>
      <protection locked="true" hidden="false"/>
    </xf>
    <xf numFmtId="208" fontId="14" fillId="0" borderId="0" xfId="0" applyFont="true" applyBorder="false" applyAlignment="true" applyProtection="false">
      <alignment horizontal="left" vertical="top" textRotation="0" wrapText="true" indent="0" shrinkToFit="false"/>
      <protection locked="true" hidden="false"/>
    </xf>
    <xf numFmtId="207" fontId="14" fillId="0" borderId="0" xfId="0" applyFont="true" applyBorder="false" applyAlignment="true" applyProtection="false">
      <alignment horizontal="left" vertical="top" textRotation="0" wrapText="false" indent="0" shrinkToFit="false"/>
      <protection locked="true" hidden="false"/>
    </xf>
    <xf numFmtId="211" fontId="27" fillId="0" borderId="0" xfId="0" applyFont="true" applyBorder="false" applyAlignment="true" applyProtection="false">
      <alignment horizontal="center" vertical="top" textRotation="0" wrapText="false" indent="0" shrinkToFit="false"/>
      <protection locked="true" hidden="false"/>
    </xf>
    <xf numFmtId="208" fontId="14" fillId="0" borderId="24" xfId="0" applyFont="true" applyBorder="true" applyAlignment="true" applyProtection="false">
      <alignment horizontal="general" vertical="top" textRotation="0" wrapText="false" indent="0" shrinkToFit="false"/>
      <protection locked="true" hidden="false"/>
    </xf>
    <xf numFmtId="208" fontId="28" fillId="0" borderId="0" xfId="0" applyFont="true" applyBorder="false" applyAlignment="true" applyProtection="false">
      <alignment horizontal="left" vertical="top" textRotation="0" wrapText="true" indent="0" shrinkToFit="false"/>
      <protection locked="true" hidden="false"/>
    </xf>
    <xf numFmtId="208" fontId="14" fillId="0" borderId="25" xfId="0" applyFont="true" applyBorder="true" applyAlignment="true" applyProtection="false">
      <alignment horizontal="right" vertical="top" textRotation="0" wrapText="false" indent="0" shrinkToFit="false"/>
      <protection locked="true" hidden="false"/>
    </xf>
    <xf numFmtId="208" fontId="14" fillId="0" borderId="26" xfId="0" applyFont="true" applyBorder="true" applyAlignment="true" applyProtection="false">
      <alignment horizontal="right" vertical="top" textRotation="0" wrapText="false" indent="0" shrinkToFit="false"/>
      <protection locked="true" hidden="false"/>
    </xf>
    <xf numFmtId="164" fontId="21" fillId="2" borderId="24" xfId="0" applyFont="true" applyBorder="true" applyAlignment="true" applyProtection="true">
      <alignment horizontal="center" vertical="top" textRotation="0" wrapText="false" indent="0" shrinkToFit="false"/>
      <protection locked="false" hidden="false"/>
    </xf>
    <xf numFmtId="208" fontId="21" fillId="2" borderId="13" xfId="0" applyFont="true" applyBorder="true" applyAlignment="true" applyProtection="true">
      <alignment horizontal="center" vertical="top" textRotation="0" wrapText="false" indent="0" shrinkToFit="false"/>
      <protection locked="false" hidden="false"/>
    </xf>
    <xf numFmtId="211" fontId="23" fillId="2" borderId="13" xfId="0" applyFont="true" applyBorder="true" applyAlignment="true" applyProtection="true">
      <alignment horizontal="center" vertical="top" textRotation="0" wrapText="false" indent="0" shrinkToFit="false"/>
      <protection locked="false" hidden="false"/>
    </xf>
    <xf numFmtId="208" fontId="21" fillId="2" borderId="13" xfId="0" applyFont="true" applyBorder="true" applyAlignment="true" applyProtection="true">
      <alignment horizontal="left" vertical="top" textRotation="0" wrapText="true" indent="0" shrinkToFit="false"/>
      <protection locked="false" hidden="false"/>
    </xf>
    <xf numFmtId="208" fontId="19" fillId="2" borderId="15" xfId="0" applyFont="true" applyBorder="true" applyAlignment="true" applyProtection="false">
      <alignment horizontal="center" vertical="top" textRotation="0" wrapText="false" indent="0" shrinkToFit="false"/>
      <protection locked="true" hidden="false"/>
    </xf>
    <xf numFmtId="208" fontId="19" fillId="2" borderId="27" xfId="0" applyFont="true" applyBorder="true" applyAlignment="true" applyProtection="false">
      <alignment horizontal="center" vertical="top" textRotation="0" wrapText="false" indent="0" shrinkToFit="false"/>
      <protection locked="true" hidden="false"/>
    </xf>
    <xf numFmtId="208" fontId="19" fillId="2" borderId="27" xfId="0" applyFont="true" applyBorder="true" applyAlignment="true" applyProtection="true">
      <alignment horizontal="center" vertical="top" textRotation="0" wrapText="false" indent="0" shrinkToFit="false"/>
      <protection locked="false" hidden="false"/>
    </xf>
    <xf numFmtId="208" fontId="21" fillId="2" borderId="27" xfId="0" applyFont="true" applyBorder="true" applyAlignment="true" applyProtection="true">
      <alignment horizontal="center" vertical="top" textRotation="0" wrapText="false" indent="0" shrinkToFit="false"/>
      <protection locked="false" hidden="false"/>
    </xf>
    <xf numFmtId="211" fontId="23" fillId="2" borderId="27" xfId="0" applyFont="true" applyBorder="true" applyAlignment="true" applyProtection="true">
      <alignment horizontal="center" vertical="top" textRotation="0" wrapText="false" indent="0" shrinkToFit="false"/>
      <protection locked="false" hidden="false"/>
    </xf>
    <xf numFmtId="208" fontId="19" fillId="2" borderId="27" xfId="0" applyFont="true" applyBorder="true" applyAlignment="true" applyProtection="true">
      <alignment horizontal="center" vertical="top" textRotation="0" wrapText="true" indent="0" shrinkToFit="false"/>
      <protection locked="false" hidden="false"/>
    </xf>
    <xf numFmtId="208" fontId="19" fillId="2" borderId="2" xfId="0" applyFont="true" applyBorder="true" applyAlignment="true" applyProtection="true">
      <alignment horizontal="center" vertical="top" textRotation="0" wrapText="false" indent="0" shrinkToFit="false"/>
      <protection locked="false" hidden="false"/>
    </xf>
    <xf numFmtId="208" fontId="21" fillId="2" borderId="2" xfId="0" applyFont="true" applyBorder="true" applyAlignment="true" applyProtection="true">
      <alignment horizontal="center" vertical="top" textRotation="0" wrapText="false" indent="0" shrinkToFit="false"/>
      <protection locked="false" hidden="false"/>
    </xf>
    <xf numFmtId="207" fontId="16" fillId="0" borderId="0" xfId="0" applyFont="true" applyBorder="false" applyAlignment="true" applyProtection="false">
      <alignment horizontal="left" vertical="top" textRotation="0" wrapText="false" indent="0" shrinkToFit="false"/>
      <protection locked="true" hidden="false"/>
    </xf>
    <xf numFmtId="168" fontId="14" fillId="0" borderId="0" xfId="0" applyFont="true" applyBorder="false" applyAlignment="true" applyProtection="false">
      <alignment horizontal="general" vertical="top" textRotation="0" wrapText="false" indent="0" shrinkToFit="false"/>
      <protection locked="true" hidden="false"/>
    </xf>
    <xf numFmtId="208" fontId="26" fillId="4" borderId="16" xfId="0" applyFont="true" applyBorder="true" applyAlignment="true" applyProtection="false">
      <alignment horizontal="left" vertical="top" textRotation="0" wrapText="true" indent="0" shrinkToFit="false"/>
      <protection locked="true" hidden="false"/>
    </xf>
    <xf numFmtId="209" fontId="16" fillId="0" borderId="0" xfId="0" applyFont="true" applyBorder="false" applyAlignment="true" applyProtection="false">
      <alignment horizontal="general" vertical="top" textRotation="0" wrapText="false" indent="0" shrinkToFit="false"/>
      <protection locked="true" hidden="false"/>
    </xf>
    <xf numFmtId="208" fontId="21" fillId="0" borderId="16" xfId="0" applyFont="true" applyBorder="true" applyAlignment="true" applyProtection="false">
      <alignment horizontal="general" vertical="top" textRotation="0" wrapText="false" indent="0" shrinkToFit="false"/>
      <protection locked="true" hidden="false"/>
    </xf>
    <xf numFmtId="211" fontId="23" fillId="0" borderId="16" xfId="0" applyFont="true" applyBorder="true" applyAlignment="true" applyProtection="false">
      <alignment horizontal="general" vertical="top" textRotation="0" wrapText="false" indent="0" shrinkToFit="false"/>
      <protection locked="true" hidden="false"/>
    </xf>
    <xf numFmtId="208" fontId="21" fillId="0" borderId="16" xfId="0" applyFont="true" applyBorder="true" applyAlignment="true" applyProtection="false">
      <alignment horizontal="center" vertical="top" textRotation="0" wrapText="false" indent="0" shrinkToFit="false"/>
      <protection locked="true" hidden="false"/>
    </xf>
    <xf numFmtId="164" fontId="19" fillId="6" borderId="2" xfId="0" applyFont="true" applyBorder="true" applyAlignment="true" applyProtection="true">
      <alignment horizontal="center" vertical="top" textRotation="0" wrapText="false" indent="0" shrinkToFit="false"/>
      <protection locked="false" hidden="false"/>
    </xf>
    <xf numFmtId="164" fontId="21" fillId="6" borderId="2" xfId="0" applyFont="true" applyBorder="true" applyAlignment="true" applyProtection="true">
      <alignment horizontal="center" vertical="top" textRotation="0" wrapText="false" indent="0" shrinkToFit="false"/>
      <protection locked="false" hidden="false"/>
    </xf>
    <xf numFmtId="207" fontId="14" fillId="0" borderId="0" xfId="0" applyFont="true" applyBorder="false" applyAlignment="true" applyProtection="false">
      <alignment horizontal="general" vertical="top" textRotation="0" wrapText="false" indent="0" shrinkToFit="false"/>
      <protection locked="true" hidden="false"/>
    </xf>
    <xf numFmtId="164" fontId="19" fillId="0" borderId="2" xfId="0" applyFont="true" applyBorder="true" applyAlignment="true" applyProtection="true">
      <alignment horizontal="general" vertical="top" textRotation="0" wrapText="false" indent="0" shrinkToFit="false"/>
      <protection locked="false" hidden="false"/>
    </xf>
    <xf numFmtId="207" fontId="21" fillId="7" borderId="2" xfId="0" applyFont="true" applyBorder="true" applyAlignment="true" applyProtection="true">
      <alignment horizontal="general" vertical="top" textRotation="0" wrapText="false" indent="0" shrinkToFit="false"/>
      <protection locked="false" hidden="false"/>
    </xf>
    <xf numFmtId="207" fontId="14" fillId="4" borderId="0" xfId="0" applyFont="true" applyBorder="false" applyAlignment="true" applyProtection="false">
      <alignment horizontal="general" vertical="top" textRotation="0" wrapText="false" indent="0" shrinkToFit="false"/>
      <protection locked="true" hidden="false"/>
    </xf>
    <xf numFmtId="207" fontId="15" fillId="7" borderId="2" xfId="0" applyFont="true" applyBorder="true" applyAlignment="true" applyProtection="true">
      <alignment horizontal="general" vertical="top" textRotation="0" wrapText="false" indent="0" shrinkToFit="false"/>
      <protection locked="false" hidden="false"/>
    </xf>
    <xf numFmtId="164" fontId="20" fillId="0" borderId="2" xfId="0" applyFont="true" applyBorder="true" applyAlignment="true" applyProtection="true">
      <alignment horizontal="general" vertical="top" textRotation="0" wrapText="false" indent="0" shrinkToFit="false"/>
      <protection locked="false" hidden="false"/>
    </xf>
    <xf numFmtId="207" fontId="15" fillId="0" borderId="2" xfId="0" applyFont="true" applyBorder="true" applyAlignment="true" applyProtection="true">
      <alignment horizontal="general" vertical="top" textRotation="0" wrapText="false" indent="0" shrinkToFit="false"/>
      <protection locked="false" hidden="false"/>
    </xf>
    <xf numFmtId="208" fontId="15" fillId="3" borderId="16" xfId="0" applyFont="true" applyBorder="true" applyAlignment="true" applyProtection="false">
      <alignment horizontal="general" vertical="top" textRotation="0" wrapText="false" indent="0" shrinkToFit="false"/>
      <protection locked="true" hidden="false"/>
    </xf>
    <xf numFmtId="211" fontId="24" fillId="3" borderId="16" xfId="0" applyFont="true" applyBorder="true" applyAlignment="true" applyProtection="false">
      <alignment horizontal="general" vertical="top" textRotation="0" wrapText="false" indent="0" shrinkToFit="false"/>
      <protection locked="true" hidden="false"/>
    </xf>
    <xf numFmtId="208" fontId="15" fillId="3" borderId="16" xfId="0" applyFont="true" applyBorder="true" applyAlignment="true" applyProtection="false">
      <alignment horizontal="center" vertical="top" textRotation="0" wrapText="false" indent="0" shrinkToFit="false"/>
      <protection locked="true" hidden="false"/>
    </xf>
    <xf numFmtId="208" fontId="15" fillId="3" borderId="16" xfId="0" applyFont="true" applyBorder="true" applyAlignment="true" applyProtection="false">
      <alignment horizontal="left" vertical="top" textRotation="0" wrapText="true" indent="0" shrinkToFit="false"/>
      <protection locked="true" hidden="false"/>
    </xf>
    <xf numFmtId="213" fontId="16" fillId="0" borderId="0" xfId="0" applyFont="true" applyBorder="false" applyAlignment="true" applyProtection="false">
      <alignment horizontal="general" vertical="top" textRotation="0" wrapText="false" indent="0" shrinkToFit="false"/>
      <protection locked="true" hidden="false"/>
    </xf>
    <xf numFmtId="164" fontId="30" fillId="0" borderId="2" xfId="0" applyFont="true" applyBorder="true" applyAlignment="true" applyProtection="true">
      <alignment horizontal="general" vertical="top" textRotation="0" wrapText="false" indent="0" shrinkToFit="false"/>
      <protection locked="false" hidden="false"/>
    </xf>
    <xf numFmtId="207" fontId="16" fillId="0" borderId="2" xfId="0" applyFont="true" applyBorder="true" applyAlignment="true" applyProtection="true">
      <alignment horizontal="general" vertical="top" textRotation="0" wrapText="false" indent="0" shrinkToFit="false"/>
      <protection locked="false" hidden="false"/>
    </xf>
    <xf numFmtId="207" fontId="21" fillId="0" borderId="2" xfId="0" applyFont="true" applyBorder="true" applyAlignment="true" applyProtection="true">
      <alignment horizontal="general" vertical="top" textRotation="0" wrapText="false" indent="0" shrinkToFit="false"/>
      <protection locked="false" hidden="false"/>
    </xf>
    <xf numFmtId="213" fontId="14" fillId="0" borderId="2" xfId="0" applyFont="true" applyBorder="true" applyAlignment="true" applyProtection="false">
      <alignment horizontal="general" vertical="top" textRotation="0" wrapText="false" indent="0" shrinkToFit="false"/>
      <protection locked="true" hidden="false"/>
    </xf>
    <xf numFmtId="164" fontId="15" fillId="0" borderId="20" xfId="0" applyFont="true" applyBorder="true" applyAlignment="true" applyProtection="false">
      <alignment horizontal="general" vertical="top" textRotation="0" wrapText="false" indent="0" shrinkToFit="false"/>
      <protection locked="true" hidden="false"/>
    </xf>
    <xf numFmtId="164" fontId="15" fillId="0" borderId="28" xfId="0" applyFont="true" applyBorder="true" applyAlignment="true" applyProtection="false">
      <alignment horizontal="general" vertical="top" textRotation="0" wrapText="false" indent="0" shrinkToFit="false"/>
      <protection locked="true" hidden="false"/>
    </xf>
    <xf numFmtId="215" fontId="15" fillId="0" borderId="0" xfId="0" applyFont="true" applyBorder="false" applyAlignment="true" applyProtection="true">
      <alignment horizontal="general" vertical="top" textRotation="0" wrapText="false" indent="0" shrinkToFit="false"/>
      <protection locked="false" hidden="false"/>
    </xf>
    <xf numFmtId="170" fontId="14" fillId="0"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true" applyProtection="false">
      <alignment horizontal="center" vertical="top" textRotation="0" wrapText="false" indent="0" shrinkToFit="true"/>
      <protection locked="true" hidden="false"/>
    </xf>
    <xf numFmtId="213" fontId="14" fillId="0" borderId="0" xfId="0" applyFont="true" applyBorder="false" applyAlignment="true" applyProtection="false">
      <alignment horizontal="general" vertical="top" textRotation="0" wrapText="false" indent="0" shrinkToFit="true"/>
      <protection locked="true" hidden="false"/>
    </xf>
    <xf numFmtId="209" fontId="14" fillId="0" borderId="0" xfId="0" applyFont="true" applyBorder="false" applyAlignment="true" applyProtection="false">
      <alignment horizontal="general" vertical="top" textRotation="0" wrapText="false" indent="0" shrinkToFit="false"/>
      <protection locked="true" hidden="false"/>
    </xf>
    <xf numFmtId="209" fontId="14" fillId="0" borderId="0" xfId="0" applyFont="true" applyBorder="false" applyAlignment="true" applyProtection="false">
      <alignment horizontal="general" vertical="top" textRotation="0" wrapText="false" indent="0" shrinkToFit="true"/>
      <protection locked="true" hidden="false"/>
    </xf>
    <xf numFmtId="164" fontId="15" fillId="0" borderId="29" xfId="0" applyFont="true" applyBorder="true" applyAlignment="true" applyProtection="false">
      <alignment horizontal="general" vertical="top" textRotation="0" wrapText="false" indent="0" shrinkToFit="false"/>
      <protection locked="true" hidden="false"/>
    </xf>
    <xf numFmtId="164" fontId="15" fillId="0" borderId="30" xfId="0" applyFont="true" applyBorder="true" applyAlignment="true" applyProtection="false">
      <alignment horizontal="general" vertical="top" textRotation="0" wrapText="false" indent="0" shrinkToFit="false"/>
      <protection locked="true" hidden="false"/>
    </xf>
    <xf numFmtId="208" fontId="21" fillId="3" borderId="31" xfId="0" applyFont="true" applyBorder="true" applyAlignment="true" applyProtection="false">
      <alignment horizontal="general" vertical="top" textRotation="0" wrapText="false" indent="0" shrinkToFit="false"/>
      <protection locked="true" hidden="false"/>
    </xf>
    <xf numFmtId="211" fontId="23" fillId="3" borderId="31" xfId="0" applyFont="true" applyBorder="true" applyAlignment="true" applyProtection="false">
      <alignment horizontal="general" vertical="top" textRotation="0" wrapText="false" indent="0" shrinkToFit="false"/>
      <protection locked="true" hidden="false"/>
    </xf>
    <xf numFmtId="208" fontId="21" fillId="3" borderId="31" xfId="0" applyFont="true" applyBorder="true" applyAlignment="true" applyProtection="false">
      <alignment horizontal="center" vertical="top" textRotation="0" wrapText="false" indent="0" shrinkToFit="false"/>
      <protection locked="true" hidden="false"/>
    </xf>
    <xf numFmtId="208" fontId="26" fillId="3" borderId="31" xfId="0" applyFont="true" applyBorder="true" applyAlignment="true" applyProtection="false">
      <alignment horizontal="left" vertical="top" textRotation="0" wrapText="true" indent="0" shrinkToFit="false"/>
      <protection locked="true" hidden="false"/>
    </xf>
    <xf numFmtId="209" fontId="14" fillId="0" borderId="0" xfId="0" applyFont="true" applyBorder="false" applyAlignment="true" applyProtection="false">
      <alignment horizontal="left"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0" fillId="0" borderId="32" xfId="0" applyFont="true" applyBorder="true" applyAlignment="true" applyProtection="false">
      <alignment horizontal="center" vertical="center" textRotation="0" wrapText="false" indent="0" shrinkToFit="false"/>
      <protection locked="true" hidden="false"/>
    </xf>
    <xf numFmtId="216" fontId="32" fillId="2" borderId="33" xfId="0" applyFont="true" applyBorder="true" applyAlignment="true" applyProtection="true">
      <alignment horizontal="center" vertical="center" textRotation="0" wrapText="false" indent="0" shrinkToFit="false"/>
      <protection locked="false" hidden="false"/>
    </xf>
    <xf numFmtId="207" fontId="32" fillId="2" borderId="34" xfId="0" applyFont="true" applyBorder="true" applyAlignment="true" applyProtection="true">
      <alignment horizontal="center" vertical="center" textRotation="0" wrapText="false" indent="0" shrinkToFit="false"/>
      <protection locked="false" hidden="false"/>
    </xf>
    <xf numFmtId="207" fontId="32" fillId="2" borderId="35" xfId="0" applyFont="true" applyBorder="true" applyAlignment="true" applyProtection="true">
      <alignment horizontal="left" vertical="center" textRotation="0" wrapText="false" indent="0" shrinkToFit="false"/>
      <protection locked="false" hidden="false"/>
    </xf>
    <xf numFmtId="207" fontId="32" fillId="2" borderId="35" xfId="0" applyFont="true" applyBorder="true" applyAlignment="true" applyProtection="true">
      <alignment horizontal="general" vertical="center" textRotation="0" wrapText="false" indent="0" shrinkToFit="false"/>
      <protection locked="false" hidden="false"/>
    </xf>
    <xf numFmtId="207" fontId="32" fillId="2" borderId="34" xfId="0" applyFont="true" applyBorder="true" applyAlignment="true" applyProtection="true">
      <alignment horizontal="center" vertical="bottom" textRotation="0" wrapText="false" indent="0" shrinkToFit="false"/>
      <protection locked="false" hidden="false"/>
    </xf>
    <xf numFmtId="207" fontId="32" fillId="8" borderId="14" xfId="0" applyFont="true" applyBorder="true" applyAlignment="true" applyProtection="true">
      <alignment horizontal="center" vertical="bottom" textRotation="0" wrapText="true" indent="0" shrinkToFit="false"/>
      <protection locked="false" hidden="false"/>
    </xf>
    <xf numFmtId="207" fontId="32" fillId="8" borderId="4" xfId="0" applyFont="true" applyBorder="true" applyAlignment="true" applyProtection="true">
      <alignment horizontal="center" vertical="center" textRotation="0" wrapText="true" indent="0" shrinkToFit="false"/>
      <protection locked="false" hidden="false"/>
    </xf>
    <xf numFmtId="207" fontId="32" fillId="8" borderId="36" xfId="0" applyFont="true" applyBorder="true" applyAlignment="true" applyProtection="true">
      <alignment horizontal="center" vertical="center" textRotation="0" wrapText="true" indent="0" shrinkToFit="false"/>
      <protection locked="false" hidden="false"/>
    </xf>
    <xf numFmtId="207" fontId="19" fillId="8" borderId="14" xfId="0" applyFont="true" applyBorder="true" applyAlignment="true" applyProtection="true">
      <alignment horizontal="center" vertical="center" textRotation="0" wrapText="true" indent="0" shrinkToFit="false"/>
      <protection locked="false" hidden="false"/>
    </xf>
    <xf numFmtId="207" fontId="32" fillId="8" borderId="0" xfId="0" applyFont="true" applyBorder="false" applyAlignment="true" applyProtection="true">
      <alignment horizontal="center" vertical="center" textRotation="0" wrapText="true" indent="0" shrinkToFit="false"/>
      <protection locked="false" hidden="false"/>
    </xf>
    <xf numFmtId="207" fontId="19" fillId="8" borderId="0" xfId="0" applyFont="true" applyBorder="false" applyAlignment="true" applyProtection="true">
      <alignment horizontal="center" vertical="center" textRotation="0" wrapText="true" indent="0" shrinkToFit="false"/>
      <protection locked="false" hidden="false"/>
    </xf>
    <xf numFmtId="216" fontId="33" fillId="0" borderId="37" xfId="0" applyFont="true" applyBorder="true" applyAlignment="true" applyProtection="false">
      <alignment horizontal="general" vertical="bottom" textRotation="0" wrapText="false" indent="0" shrinkToFit="false"/>
      <protection locked="true" hidden="false"/>
    </xf>
    <xf numFmtId="164" fontId="33" fillId="0" borderId="38" xfId="0" applyFont="true" applyBorder="true" applyAlignment="true" applyProtection="false">
      <alignment horizontal="general" vertical="bottom" textRotation="0" wrapText="false" indent="0" shrinkToFit="false"/>
      <protection locked="true" hidden="false"/>
    </xf>
    <xf numFmtId="164" fontId="33" fillId="0" borderId="38" xfId="0" applyFont="true" applyBorder="true" applyAlignment="true" applyProtection="false">
      <alignment horizontal="center" vertical="bottom" textRotation="0" wrapText="false" indent="0" shrinkToFit="false"/>
      <protection locked="true" hidden="false"/>
    </xf>
    <xf numFmtId="164" fontId="20" fillId="0" borderId="38" xfId="0" applyFont="true" applyBorder="true" applyAlignment="true" applyProtection="true">
      <alignment horizontal="left" vertical="bottom" textRotation="0" wrapText="false" indent="0" shrinkToFit="false"/>
      <protection locked="false" hidden="false"/>
    </xf>
    <xf numFmtId="164" fontId="20" fillId="0" borderId="38" xfId="0" applyFont="true" applyBorder="true" applyAlignment="true" applyProtection="true">
      <alignment horizontal="general" vertical="bottom" textRotation="0" wrapText="false" indent="0" shrinkToFit="false"/>
      <protection locked="false" hidden="false"/>
    </xf>
    <xf numFmtId="164" fontId="33" fillId="0" borderId="39" xfId="0" applyFont="true" applyBorder="true" applyAlignment="true" applyProtection="true">
      <alignment horizontal="general" vertical="bottom" textRotation="0" wrapText="false" indent="0" shrinkToFit="false"/>
      <protection locked="false" hidden="false"/>
    </xf>
    <xf numFmtId="207" fontId="0" fillId="0" borderId="15" xfId="0" applyFont="true" applyBorder="true" applyAlignment="true" applyProtection="false">
      <alignment horizontal="general" vertical="center" textRotation="0" wrapText="false" indent="0" shrinkToFit="false"/>
      <protection locked="true" hidden="false"/>
    </xf>
    <xf numFmtId="207" fontId="0" fillId="0" borderId="7" xfId="0" applyFont="true" applyBorder="true" applyAlignment="true" applyProtection="false">
      <alignment horizontal="general" vertical="center" textRotation="0" wrapText="false" indent="0" shrinkToFit="false"/>
      <protection locked="true" hidden="false"/>
    </xf>
    <xf numFmtId="207" fontId="0" fillId="0" borderId="25" xfId="0" applyFont="true" applyBorder="true" applyAlignment="true" applyProtection="false">
      <alignment horizontal="general" vertical="center" textRotation="0" wrapText="false" indent="0" shrinkToFit="false"/>
      <protection locked="true" hidden="false"/>
    </xf>
    <xf numFmtId="207"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216" fontId="20" fillId="0" borderId="37" xfId="0" applyFont="true" applyBorder="true" applyAlignment="true" applyProtection="false">
      <alignment horizontal="general" vertical="bottom" textRotation="0" wrapText="false" indent="0" shrinkToFit="false"/>
      <protection locked="true" hidden="false"/>
    </xf>
    <xf numFmtId="164" fontId="20" fillId="0" borderId="38" xfId="0" applyFont="true" applyBorder="true" applyAlignment="true" applyProtection="false">
      <alignment horizontal="general" vertical="bottom" textRotation="0" wrapText="false" indent="0" shrinkToFit="false"/>
      <protection locked="true" hidden="false"/>
    </xf>
    <xf numFmtId="208" fontId="21" fillId="0" borderId="15" xfId="0" applyFont="true" applyBorder="true" applyAlignment="true" applyProtection="false">
      <alignment horizontal="general" vertical="center" textRotation="0" wrapText="false" indent="0" shrinkToFit="false"/>
      <protection locked="true" hidden="false"/>
    </xf>
    <xf numFmtId="208" fontId="21" fillId="0" borderId="7" xfId="0" applyFont="true" applyBorder="true" applyAlignment="true" applyProtection="false">
      <alignment horizontal="general" vertical="center" textRotation="0" wrapText="false" indent="0" shrinkToFit="false"/>
      <protection locked="true" hidden="false"/>
    </xf>
    <xf numFmtId="208" fontId="21" fillId="0" borderId="25" xfId="0" applyFont="true" applyBorder="true" applyAlignment="true" applyProtection="false">
      <alignment horizontal="general" vertical="center" textRotation="0" wrapText="false" indent="0" shrinkToFit="false"/>
      <protection locked="true" hidden="false"/>
    </xf>
    <xf numFmtId="208" fontId="21" fillId="0" borderId="0" xfId="0" applyFont="true" applyBorder="false" applyAlignment="true" applyProtection="false">
      <alignment horizontal="general" vertical="center" textRotation="0" wrapText="false" indent="0" shrinkToFit="false"/>
      <protection locked="true" hidden="false"/>
    </xf>
    <xf numFmtId="208" fontId="0" fillId="0" borderId="15" xfId="0" applyFont="true" applyBorder="true" applyAlignment="true" applyProtection="false">
      <alignment horizontal="general" vertical="center" textRotation="0" wrapText="false" indent="0" shrinkToFit="false"/>
      <protection locked="true" hidden="false"/>
    </xf>
    <xf numFmtId="208" fontId="0" fillId="0" borderId="7" xfId="0" applyFont="true" applyBorder="true" applyAlignment="true" applyProtection="false">
      <alignment horizontal="general" vertical="center" textRotation="0" wrapText="false" indent="0" shrinkToFit="false"/>
      <protection locked="true" hidden="false"/>
    </xf>
    <xf numFmtId="208" fontId="0" fillId="0" borderId="25" xfId="0" applyFont="true" applyBorder="true" applyAlignment="true" applyProtection="false">
      <alignment horizontal="general" vertical="center" textRotation="0" wrapText="false" indent="0" shrinkToFit="false"/>
      <protection locked="true" hidden="false"/>
    </xf>
    <xf numFmtId="216" fontId="34" fillId="0" borderId="37" xfId="0" applyFont="true" applyBorder="true" applyAlignment="true" applyProtection="false">
      <alignment horizontal="general" vertical="bottom" textRotation="0" wrapText="false" indent="0" shrinkToFit="false"/>
      <protection locked="true" hidden="false"/>
    </xf>
    <xf numFmtId="207" fontId="0" fillId="9" borderId="15" xfId="0" applyFont="true" applyBorder="true" applyAlignment="true" applyProtection="false">
      <alignment horizontal="general" vertical="center" textRotation="0" wrapText="false" indent="0" shrinkToFit="false"/>
      <protection locked="true" hidden="false"/>
    </xf>
    <xf numFmtId="207" fontId="0" fillId="9" borderId="0" xfId="0" applyFont="true" applyBorder="false" applyAlignment="true" applyProtection="false">
      <alignment horizontal="general" vertical="center" textRotation="0" wrapText="false" indent="0" shrinkToFit="false"/>
      <protection locked="true" hidden="false"/>
    </xf>
    <xf numFmtId="216" fontId="33" fillId="10" borderId="37" xfId="0" applyFont="true" applyBorder="true" applyAlignment="true" applyProtection="false">
      <alignment horizontal="general" vertical="bottom" textRotation="0" wrapText="false" indent="0" shrinkToFit="false"/>
      <protection locked="true" hidden="false"/>
    </xf>
    <xf numFmtId="164" fontId="33" fillId="10" borderId="38" xfId="0" applyFont="true" applyBorder="true" applyAlignment="true" applyProtection="false">
      <alignment horizontal="general" vertical="bottom" textRotation="0" wrapText="false" indent="0" shrinkToFit="false"/>
      <protection locked="true" hidden="false"/>
    </xf>
    <xf numFmtId="164" fontId="33" fillId="10" borderId="38" xfId="0" applyFont="true" applyBorder="true" applyAlignment="true" applyProtection="false">
      <alignment horizontal="center" vertical="bottom" textRotation="0" wrapText="false" indent="0" shrinkToFit="false"/>
      <protection locked="true" hidden="false"/>
    </xf>
    <xf numFmtId="164" fontId="33" fillId="10" borderId="38" xfId="0" applyFont="true" applyBorder="true" applyAlignment="true" applyProtection="true">
      <alignment horizontal="left" vertical="bottom" textRotation="0" wrapText="false" indent="0" shrinkToFit="false"/>
      <protection locked="false" hidden="false"/>
    </xf>
    <xf numFmtId="164" fontId="33" fillId="10" borderId="38" xfId="0" applyFont="true" applyBorder="true" applyAlignment="true" applyProtection="true">
      <alignment horizontal="general" vertical="bottom" textRotation="0" wrapText="false" indent="0" shrinkToFit="false"/>
      <protection locked="false" hidden="false"/>
    </xf>
    <xf numFmtId="164" fontId="33" fillId="10" borderId="39" xfId="0" applyFont="true" applyBorder="true" applyAlignment="true" applyProtection="true">
      <alignment horizontal="general" vertical="bottom" textRotation="0" wrapText="false" indent="0" shrinkToFit="false"/>
      <protection locked="false" hidden="false"/>
    </xf>
    <xf numFmtId="207" fontId="0" fillId="10" borderId="15" xfId="0" applyFont="true" applyBorder="true" applyAlignment="true" applyProtection="false">
      <alignment horizontal="general" vertical="center" textRotation="0" wrapText="false" indent="0" shrinkToFit="false"/>
      <protection locked="true" hidden="false"/>
    </xf>
    <xf numFmtId="207" fontId="0" fillId="10" borderId="7" xfId="0" applyFont="true" applyBorder="true" applyAlignment="true" applyProtection="false">
      <alignment horizontal="general" vertical="center" textRotation="0" wrapText="false" indent="0" shrinkToFit="false"/>
      <protection locked="true" hidden="false"/>
    </xf>
    <xf numFmtId="207" fontId="0" fillId="10" borderId="25" xfId="0" applyFont="true" applyBorder="true" applyAlignment="true" applyProtection="false">
      <alignment horizontal="general" vertical="center" textRotation="0" wrapText="false" indent="0" shrinkToFit="false"/>
      <protection locked="true" hidden="false"/>
    </xf>
    <xf numFmtId="207" fontId="35" fillId="10" borderId="15" xfId="0" applyFont="true" applyBorder="true" applyAlignment="true" applyProtection="false">
      <alignment horizontal="general" vertical="center" textRotation="0" wrapText="false" indent="0" shrinkToFit="false"/>
      <protection locked="true" hidden="false"/>
    </xf>
    <xf numFmtId="207" fontId="36" fillId="10" borderId="15" xfId="0" applyFont="true" applyBorder="true" applyAlignment="true" applyProtection="false">
      <alignment horizontal="general" vertical="center" textRotation="0" wrapText="false" indent="0" shrinkToFit="false"/>
      <protection locked="true" hidden="false"/>
    </xf>
    <xf numFmtId="216" fontId="33" fillId="9" borderId="37" xfId="0" applyFont="true" applyBorder="true" applyAlignment="true" applyProtection="false">
      <alignment horizontal="general" vertical="bottom" textRotation="0" wrapText="false" indent="0" shrinkToFit="false"/>
      <protection locked="true" hidden="false"/>
    </xf>
    <xf numFmtId="216" fontId="33" fillId="9" borderId="7" xfId="0" applyFont="true" applyBorder="true" applyAlignment="true" applyProtection="false">
      <alignment horizontal="general" vertical="bottom" textRotation="0" wrapText="false" indent="0" shrinkToFit="false"/>
      <protection locked="true" hidden="false"/>
    </xf>
    <xf numFmtId="164" fontId="33" fillId="0" borderId="2" xfId="0" applyFont="true" applyBorder="true" applyAlignment="true" applyProtection="false">
      <alignment horizontal="general" vertical="bottom" textRotation="0" wrapText="false" indent="0" shrinkToFit="false"/>
      <protection locked="true" hidden="false"/>
    </xf>
    <xf numFmtId="164" fontId="33" fillId="0" borderId="40" xfId="0" applyFont="true" applyBorder="true" applyAlignment="true" applyProtection="false">
      <alignment horizontal="center" vertical="bottom" textRotation="0" wrapText="false" indent="0" shrinkToFit="false"/>
      <protection locked="true" hidden="false"/>
    </xf>
    <xf numFmtId="164" fontId="33" fillId="0" borderId="40" xfId="0" applyFont="true" applyBorder="true" applyAlignment="true" applyProtection="true">
      <alignment horizontal="left" vertical="bottom" textRotation="0" wrapText="false" indent="0" shrinkToFit="false"/>
      <protection locked="false" hidden="false"/>
    </xf>
    <xf numFmtId="164" fontId="33" fillId="0" borderId="40" xfId="0" applyFont="true" applyBorder="true" applyAlignment="true" applyProtection="true">
      <alignment horizontal="general" vertical="bottom" textRotation="0" wrapText="false" indent="0" shrinkToFit="false"/>
      <protection locked="false" hidden="false"/>
    </xf>
    <xf numFmtId="164" fontId="33" fillId="0" borderId="41" xfId="0" applyFont="true" applyBorder="true" applyAlignment="true" applyProtection="true">
      <alignment horizontal="general" vertical="bottom" textRotation="0" wrapText="false" indent="0" shrinkToFit="false"/>
      <protection locked="false" hidden="false"/>
    </xf>
    <xf numFmtId="207" fontId="0" fillId="0" borderId="42" xfId="0" applyFont="true" applyBorder="true" applyAlignment="true" applyProtection="false">
      <alignment horizontal="general" vertical="center" textRotation="0" wrapText="false" indent="0" shrinkToFit="false"/>
      <protection locked="true" hidden="false"/>
    </xf>
    <xf numFmtId="207" fontId="0" fillId="0" borderId="43" xfId="0" applyFont="true" applyBorder="true" applyAlignment="true" applyProtection="false">
      <alignment horizontal="general" vertical="center" textRotation="0" wrapText="false" indent="0" shrinkToFit="false"/>
      <protection locked="true" hidden="false"/>
    </xf>
    <xf numFmtId="207" fontId="0" fillId="0" borderId="44" xfId="0" applyFont="true" applyBorder="true" applyAlignment="true" applyProtection="false">
      <alignment horizontal="general" vertical="center" textRotation="0" wrapText="false" indent="0" shrinkToFit="false"/>
      <protection locked="true" hidden="false"/>
    </xf>
    <xf numFmtId="216" fontId="33" fillId="0" borderId="18" xfId="0" applyFont="true" applyBorder="true" applyAlignment="true" applyProtection="false">
      <alignment horizontal="general" vertical="bottom" textRotation="0" wrapText="false" indent="0" shrinkToFit="false"/>
      <protection locked="true" hidden="false"/>
    </xf>
    <xf numFmtId="164" fontId="33" fillId="0" borderId="40" xfId="0" applyFont="true" applyBorder="true" applyAlignment="true" applyProtection="false">
      <alignment horizontal="general" vertical="bottom" textRotation="0" wrapText="false" indent="0" shrinkToFit="false"/>
      <protection locked="true" hidden="false"/>
    </xf>
    <xf numFmtId="164" fontId="33" fillId="0" borderId="45" xfId="0" applyFont="true" applyBorder="true" applyAlignment="true" applyProtection="false">
      <alignment horizontal="center" vertical="bottom" textRotation="0" wrapText="false" indent="0" shrinkToFit="false"/>
      <protection locked="true" hidden="false"/>
    </xf>
    <xf numFmtId="164" fontId="33" fillId="0" borderId="45" xfId="0" applyFont="true" applyBorder="true" applyAlignment="true" applyProtection="true">
      <alignment horizontal="left" vertical="bottom" textRotation="0" wrapText="false" indent="0" shrinkToFit="false"/>
      <protection locked="false" hidden="false"/>
    </xf>
    <xf numFmtId="164" fontId="33" fillId="0" borderId="45" xfId="0" applyFont="true" applyBorder="true" applyAlignment="true" applyProtection="true">
      <alignment horizontal="general" vertical="bottom" textRotation="0" wrapText="false" indent="0" shrinkToFit="false"/>
      <protection locked="false" hidden="false"/>
    </xf>
    <xf numFmtId="164" fontId="33" fillId="0" borderId="46" xfId="0" applyFont="true" applyBorder="true" applyAlignment="true" applyProtection="true">
      <alignment horizontal="general" vertical="bottom" textRotation="0" wrapText="false" indent="0" shrinkToFit="false"/>
      <protection locked="false" hidden="false"/>
    </xf>
    <xf numFmtId="216" fontId="32" fillId="2" borderId="47" xfId="0" applyFont="true" applyBorder="true" applyAlignment="true" applyProtection="true">
      <alignment horizontal="center" vertical="bottom" textRotation="0" wrapText="false" indent="0" shrinkToFit="false"/>
      <protection locked="false" hidden="false"/>
    </xf>
    <xf numFmtId="164" fontId="32" fillId="2" borderId="48" xfId="0" applyFont="true" applyBorder="true" applyAlignment="true" applyProtection="true">
      <alignment horizontal="center" vertical="bottom" textRotation="0" wrapText="false" indent="0" shrinkToFit="false"/>
      <protection locked="false" hidden="false"/>
    </xf>
    <xf numFmtId="164" fontId="32" fillId="2" borderId="48" xfId="0" applyFont="true" applyBorder="true" applyAlignment="true" applyProtection="true">
      <alignment horizontal="left" vertical="bottom" textRotation="0" wrapText="false" indent="0" shrinkToFit="false"/>
      <protection locked="false" hidden="false"/>
    </xf>
    <xf numFmtId="164" fontId="32" fillId="2" borderId="49" xfId="0" applyFont="true" applyBorder="true" applyAlignment="true" applyProtection="true">
      <alignment horizontal="center" vertical="bottom" textRotation="0" wrapText="false" indent="0" shrinkToFit="false"/>
      <protection locked="false" hidden="false"/>
    </xf>
    <xf numFmtId="207" fontId="0" fillId="6" borderId="15"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right" vertical="center" textRotation="0" wrapText="false" indent="0" shrinkToFit="false"/>
      <protection locked="true" hidden="false"/>
    </xf>
    <xf numFmtId="164" fontId="37" fillId="0" borderId="0" xfId="0" applyFont="true" applyBorder="false" applyAlignment="true" applyProtection="false">
      <alignment horizontal="general" vertical="center" textRotation="0" wrapText="false" indent="0" shrinkToFit="false"/>
      <protection locked="true" hidden="false"/>
    </xf>
    <xf numFmtId="164" fontId="38" fillId="0" borderId="0" xfId="0" applyFont="true" applyBorder="false" applyAlignment="true" applyProtection="false">
      <alignment horizontal="general" vertical="center" textRotation="0" wrapText="false" indent="0" shrinkToFit="false"/>
      <protection locked="true" hidden="false"/>
    </xf>
    <xf numFmtId="164" fontId="39" fillId="0" borderId="0" xfId="0" applyFont="true" applyBorder="false" applyAlignment="true" applyProtection="false">
      <alignment horizontal="general" vertical="center" textRotation="0" wrapText="false" indent="0" shrinkToFit="false"/>
      <protection locked="true" hidden="false"/>
    </xf>
    <xf numFmtId="164" fontId="40" fillId="0" borderId="0" xfId="0" applyFont="true" applyBorder="false" applyAlignment="true" applyProtection="false">
      <alignment horizontal="general" vertical="center" textRotation="0" wrapText="false" indent="0" shrinkToFit="false"/>
      <protection locked="true" hidden="false"/>
    </xf>
    <xf numFmtId="213" fontId="40" fillId="0" borderId="0" xfId="0" applyFont="true" applyBorder="false" applyAlignment="true" applyProtection="false">
      <alignment horizontal="general" vertical="center"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5" fontId="40" fillId="0" borderId="0" xfId="0" applyFont="true" applyBorder="false" applyAlignment="true" applyProtection="false">
      <alignment horizontal="left" vertical="center" textRotation="0" wrapText="false" indent="0" shrinkToFit="false"/>
      <protection locked="true" hidden="false"/>
    </xf>
    <xf numFmtId="165" fontId="40" fillId="0" borderId="0" xfId="0" applyFont="true" applyBorder="false" applyAlignment="true" applyProtection="false">
      <alignment horizontal="general" vertical="center" textRotation="0" wrapText="false" indent="0" shrinkToFit="false"/>
      <protection locked="true" hidden="false"/>
    </xf>
    <xf numFmtId="165" fontId="42" fillId="0" borderId="0" xfId="0" applyFont="true" applyBorder="false" applyAlignment="true" applyProtection="false">
      <alignment horizontal="center" vertical="center" textRotation="0" wrapText="false" indent="0" shrinkToFit="false"/>
      <protection locked="true" hidden="false"/>
    </xf>
    <xf numFmtId="164" fontId="41" fillId="9" borderId="0" xfId="0" applyFont="true" applyBorder="false" applyAlignment="true" applyProtection="false">
      <alignment horizontal="general" vertical="center" textRotation="0" wrapText="false" indent="0" shrinkToFit="false"/>
      <protection locked="true" hidden="false"/>
    </xf>
    <xf numFmtId="165" fontId="40" fillId="0" borderId="0" xfId="0" applyFont="true" applyBorder="false" applyAlignment="true" applyProtection="false">
      <alignment horizontal="right" vertical="center" textRotation="0" wrapText="false" indent="0" shrinkToFit="false"/>
      <protection locked="true" hidden="false"/>
    </xf>
    <xf numFmtId="165" fontId="40" fillId="0" borderId="0" xfId="0" applyFont="true" applyBorder="false" applyAlignment="true" applyProtection="false">
      <alignment horizontal="center" vertical="center" textRotation="0" wrapText="false" indent="0" shrinkToFit="false"/>
      <protection locked="true" hidden="false"/>
    </xf>
    <xf numFmtId="165" fontId="40" fillId="0" borderId="32" xfId="0" applyFont="true" applyBorder="true" applyAlignment="true" applyProtection="false">
      <alignment horizontal="center" vertical="center" textRotation="0" wrapText="false" indent="0" shrinkToFit="false"/>
      <protection locked="true" hidden="false"/>
    </xf>
    <xf numFmtId="165" fontId="42" fillId="0" borderId="32" xfId="0" applyFont="true" applyBorder="true" applyAlignment="true" applyProtection="false">
      <alignment horizontal="center" vertical="center" textRotation="0" wrapText="false" indent="0" shrinkToFit="false"/>
      <protection locked="true" hidden="false"/>
    </xf>
    <xf numFmtId="165" fontId="40" fillId="0" borderId="50" xfId="0" applyFont="true" applyBorder="true" applyAlignment="true" applyProtection="false">
      <alignment horizontal="center" vertical="center" textRotation="0" wrapText="false" indent="0" shrinkToFit="false"/>
      <protection locked="true" hidden="false"/>
    </xf>
    <xf numFmtId="165" fontId="40" fillId="0" borderId="51" xfId="0" applyFont="true" applyBorder="true" applyAlignment="true" applyProtection="false">
      <alignment horizontal="center" vertical="center" textRotation="0" wrapText="false" indent="0" shrinkToFit="false"/>
      <protection locked="true" hidden="false"/>
    </xf>
    <xf numFmtId="165" fontId="40" fillId="7" borderId="50" xfId="0" applyFont="true" applyBorder="true" applyAlignment="true" applyProtection="false">
      <alignment horizontal="center" vertical="center" textRotation="0" wrapText="false" indent="0" shrinkToFit="false"/>
      <protection locked="true" hidden="false"/>
    </xf>
    <xf numFmtId="165" fontId="40" fillId="7" borderId="52" xfId="0" applyFont="true" applyBorder="true" applyAlignment="true" applyProtection="false">
      <alignment horizontal="center" vertical="center" textRotation="0" wrapText="false" indent="0" shrinkToFit="false"/>
      <protection locked="true" hidden="false"/>
    </xf>
    <xf numFmtId="165" fontId="40" fillId="7" borderId="51" xfId="0" applyFont="true" applyBorder="true" applyAlignment="true" applyProtection="false">
      <alignment horizontal="center" vertical="center" textRotation="0" wrapText="false" indent="0" shrinkToFit="false"/>
      <protection locked="true" hidden="false"/>
    </xf>
    <xf numFmtId="164" fontId="21" fillId="9" borderId="0" xfId="0" applyFont="true" applyBorder="false" applyAlignment="true" applyProtection="false">
      <alignment horizontal="general" vertical="bottom" textRotation="0" wrapText="false" indent="0" shrinkToFit="false"/>
      <protection locked="true" hidden="false"/>
    </xf>
    <xf numFmtId="164" fontId="19" fillId="9" borderId="0" xfId="0" applyFont="true" applyBorder="false" applyAlignment="true" applyProtection="false">
      <alignment horizontal="general" vertical="bottom" textRotation="0" wrapText="false" indent="0" shrinkToFit="false"/>
      <protection locked="true" hidden="false"/>
    </xf>
    <xf numFmtId="165" fontId="43" fillId="0" borderId="0" xfId="0" applyFont="true" applyBorder="false" applyAlignment="true" applyProtection="false">
      <alignment horizontal="right" vertical="center" textRotation="0" wrapText="false" indent="0" shrinkToFit="false"/>
      <protection locked="true" hidden="false"/>
    </xf>
    <xf numFmtId="165" fontId="43" fillId="0" borderId="0" xfId="0" applyFont="true" applyBorder="false" applyAlignment="true" applyProtection="false">
      <alignment horizontal="general" vertical="center" textRotation="0" wrapText="false" indent="0" shrinkToFit="false"/>
      <protection locked="true" hidden="false"/>
    </xf>
    <xf numFmtId="165" fontId="43" fillId="0" borderId="0" xfId="0" applyFont="true" applyBorder="false" applyAlignment="true" applyProtection="false">
      <alignment horizontal="left" vertical="center" textRotation="0" wrapText="false" indent="0" shrinkToFit="false"/>
      <protection locked="true" hidden="false"/>
    </xf>
    <xf numFmtId="164" fontId="43" fillId="0" borderId="0" xfId="0" applyFont="true" applyBorder="false" applyAlignment="true" applyProtection="false">
      <alignment horizontal="left" vertical="center" textRotation="0" wrapText="false" indent="0" shrinkToFit="false"/>
      <protection locked="true" hidden="false"/>
    </xf>
    <xf numFmtId="164" fontId="45" fillId="0" borderId="0" xfId="0" applyFont="true" applyBorder="false" applyAlignment="true" applyProtection="false">
      <alignment horizontal="center" vertical="bottom" textRotation="0" wrapText="false" indent="0" shrinkToFit="false"/>
      <protection locked="true" hidden="false"/>
    </xf>
    <xf numFmtId="164" fontId="46" fillId="0" borderId="0" xfId="0" applyFont="true" applyBorder="false" applyAlignment="true" applyProtection="false">
      <alignment horizontal="left" vertical="bottom" textRotation="0" wrapText="false" indent="0" shrinkToFit="false"/>
      <protection locked="true" hidden="false"/>
    </xf>
    <xf numFmtId="171" fontId="43" fillId="11" borderId="0" xfId="0" applyFont="true" applyBorder="false" applyAlignment="true" applyProtection="false">
      <alignment horizontal="general" vertical="center" textRotation="0" wrapText="false" indent="0" shrinkToFit="false"/>
      <protection locked="true" hidden="false"/>
    </xf>
    <xf numFmtId="171" fontId="43" fillId="0" borderId="0" xfId="0" applyFont="true" applyBorder="false" applyAlignment="true" applyProtection="false">
      <alignment horizontal="general" vertical="center"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71" fontId="45" fillId="11" borderId="0" xfId="0" applyFont="true" applyBorder="false" applyAlignment="true" applyProtection="false">
      <alignment horizontal="general" vertical="bottom" textRotation="0" wrapText="false" indent="0" shrinkToFit="false"/>
      <protection locked="true" hidden="false"/>
    </xf>
    <xf numFmtId="171" fontId="45" fillId="0" borderId="0" xfId="0" applyFont="true" applyBorder="false" applyAlignment="true" applyProtection="false">
      <alignment horizontal="general" vertical="bottom" textRotation="0" wrapText="false" indent="0" shrinkToFit="false"/>
      <protection locked="true" hidden="false"/>
    </xf>
    <xf numFmtId="171" fontId="45" fillId="0" borderId="0" xfId="0" applyFont="true" applyBorder="false" applyAlignment="true" applyProtection="false">
      <alignment horizontal="general" vertical="center" textRotation="0" wrapText="false" indent="0" shrinkToFit="false"/>
      <protection locked="true" hidden="false"/>
    </xf>
    <xf numFmtId="164" fontId="45" fillId="0" borderId="0" xfId="0" applyFont="true" applyBorder="false" applyAlignment="true" applyProtection="false">
      <alignment horizontal="general" vertical="center" textRotation="0" wrapText="false" indent="0" shrinkToFit="false"/>
      <protection locked="true" hidden="false"/>
    </xf>
    <xf numFmtId="164" fontId="45" fillId="0" borderId="0" xfId="0" applyFont="true" applyBorder="false" applyAlignment="true" applyProtection="false">
      <alignment horizontal="center" vertical="center" textRotation="0" wrapText="false" indent="0" shrinkToFit="false"/>
      <protection locked="true" hidden="false"/>
    </xf>
    <xf numFmtId="171" fontId="45" fillId="11" borderId="0" xfId="0" applyFont="true" applyBorder="false" applyAlignment="true" applyProtection="false">
      <alignment horizontal="general" vertical="center" textRotation="0" wrapText="false" indent="0" shrinkToFit="false"/>
      <protection locked="true" hidden="false"/>
    </xf>
    <xf numFmtId="164" fontId="43" fillId="0" borderId="0" xfId="0" applyFont="true" applyBorder="false" applyAlignment="true" applyProtection="false">
      <alignment horizontal="center" vertical="center" textRotation="0" wrapText="false" indent="0" shrinkToFit="false"/>
      <protection locked="true" hidden="false"/>
    </xf>
    <xf numFmtId="164" fontId="49" fillId="0" borderId="0" xfId="0" applyFont="true" applyBorder="false" applyAlignment="true" applyProtection="false">
      <alignment horizontal="left" vertical="center" textRotation="0" wrapText="false" indent="0" shrinkToFit="false"/>
      <protection locked="true" hidden="false"/>
    </xf>
    <xf numFmtId="171" fontId="45" fillId="12" borderId="0" xfId="0" applyFont="true" applyBorder="false" applyAlignment="true" applyProtection="false">
      <alignment horizontal="general" vertical="center" textRotation="0" wrapText="false" indent="0" shrinkToFit="false"/>
      <protection locked="true" hidden="false"/>
    </xf>
    <xf numFmtId="171" fontId="45" fillId="13" borderId="0" xfId="0" applyFont="true" applyBorder="false" applyAlignment="true" applyProtection="false">
      <alignment horizontal="general" vertical="center" textRotation="0" wrapText="false" indent="0" shrinkToFit="false"/>
      <protection locked="true" hidden="false"/>
    </xf>
    <xf numFmtId="164" fontId="45" fillId="0" borderId="0" xfId="0" applyFont="true" applyBorder="false" applyAlignment="true" applyProtection="false">
      <alignment horizontal="left" vertical="bottom" textRotation="0" wrapText="false" indent="0" shrinkToFit="false"/>
      <protection locked="true" hidden="false"/>
    </xf>
    <xf numFmtId="164" fontId="50" fillId="0" borderId="0" xfId="0" applyFont="true" applyBorder="false" applyAlignment="true" applyProtection="false">
      <alignment horizontal="general" vertical="center" textRotation="0" wrapText="false" indent="0" shrinkToFit="false"/>
      <protection locked="true" hidden="false"/>
    </xf>
    <xf numFmtId="164" fontId="45" fillId="9" borderId="0" xfId="0" applyFont="true" applyBorder="false" applyAlignment="true" applyProtection="false">
      <alignment horizontal="general" vertical="center" textRotation="0" wrapText="false" indent="0" shrinkToFit="false"/>
      <protection locked="true" hidden="false"/>
    </xf>
    <xf numFmtId="165" fontId="43" fillId="9" borderId="0" xfId="0" applyFont="true" applyBorder="false" applyAlignment="true" applyProtection="false">
      <alignment horizontal="left" vertical="center" textRotation="0" wrapText="false" indent="0" shrinkToFit="false"/>
      <protection locked="true" hidden="false"/>
    </xf>
    <xf numFmtId="164" fontId="43" fillId="9" borderId="0" xfId="0" applyFont="true" applyBorder="false" applyAlignment="true" applyProtection="false">
      <alignment horizontal="left" vertical="center" textRotation="0" wrapText="false" indent="0" shrinkToFit="false"/>
      <protection locked="true" hidden="false"/>
    </xf>
    <xf numFmtId="164" fontId="45" fillId="9" borderId="0" xfId="0" applyFont="true" applyBorder="false" applyAlignment="true" applyProtection="false">
      <alignment horizontal="center" vertical="center" textRotation="0" wrapText="false" indent="0" shrinkToFit="false"/>
      <protection locked="true" hidden="false"/>
    </xf>
    <xf numFmtId="164" fontId="46" fillId="9" borderId="0" xfId="0" applyFont="true" applyBorder="false" applyAlignment="true" applyProtection="false">
      <alignment horizontal="left" vertical="bottom" textRotation="0" wrapText="false" indent="0" shrinkToFit="false"/>
      <protection locked="true" hidden="false"/>
    </xf>
    <xf numFmtId="171" fontId="45" fillId="9" borderId="0" xfId="0" applyFont="true" applyBorder="false" applyAlignment="true" applyProtection="false">
      <alignment horizontal="general" vertical="center" textRotation="0" wrapText="false" indent="0" shrinkToFit="false"/>
      <protection locked="true" hidden="false"/>
    </xf>
    <xf numFmtId="165" fontId="43" fillId="9" borderId="0" xfId="0" applyFont="true" applyBorder="false" applyAlignment="true" applyProtection="false">
      <alignment horizontal="general" vertical="center"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52" fillId="0" borderId="0" xfId="0" applyFont="true" applyBorder="false" applyAlignment="true" applyProtection="false">
      <alignment horizontal="general" vertical="bottom" textRotation="0" wrapText="false" indent="0" shrinkToFit="false"/>
      <protection locked="true" hidden="false"/>
    </xf>
    <xf numFmtId="164" fontId="46" fillId="9" borderId="0" xfId="0" applyFont="true" applyBorder="false" applyAlignment="true" applyProtection="false">
      <alignment horizontal="general" vertical="center" textRotation="0" wrapText="false" indent="0" shrinkToFit="false"/>
      <protection locked="true" hidden="false"/>
    </xf>
    <xf numFmtId="164" fontId="45" fillId="4" borderId="0" xfId="0" applyFont="true" applyBorder="false" applyAlignment="true" applyProtection="false">
      <alignment horizontal="general" vertical="center" textRotation="0" wrapText="false" indent="0" shrinkToFit="false"/>
      <protection locked="true" hidden="false"/>
    </xf>
    <xf numFmtId="164" fontId="46" fillId="4" borderId="0" xfId="0" applyFont="true" applyBorder="false" applyAlignment="true" applyProtection="false">
      <alignment horizontal="general" vertical="center" textRotation="0" wrapText="false" indent="0" shrinkToFit="false"/>
      <protection locked="true" hidden="false"/>
    </xf>
    <xf numFmtId="164" fontId="0" fillId="4" borderId="0" xfId="0" applyFont="true" applyBorder="false" applyAlignment="true" applyProtection="false">
      <alignment horizontal="general" vertical="bottom" textRotation="0" wrapText="false" indent="0" shrinkToFit="false"/>
      <protection locked="true" hidden="false"/>
    </xf>
    <xf numFmtId="165" fontId="53" fillId="4" borderId="0" xfId="0" applyFont="true" applyBorder="false" applyAlignment="true" applyProtection="false">
      <alignment horizontal="left" vertical="center" textRotation="0" wrapText="false" indent="0" shrinkToFit="false"/>
      <protection locked="true" hidden="false"/>
    </xf>
    <xf numFmtId="164" fontId="43" fillId="4" borderId="0" xfId="0" applyFont="true" applyBorder="false" applyAlignment="true" applyProtection="false">
      <alignment horizontal="left" vertical="center" textRotation="0" wrapText="false" indent="0" shrinkToFit="false"/>
      <protection locked="true" hidden="false"/>
    </xf>
    <xf numFmtId="164" fontId="45" fillId="4" borderId="0" xfId="0" applyFont="true" applyBorder="false" applyAlignment="true" applyProtection="false">
      <alignment horizontal="center" vertical="center" textRotation="0" wrapText="false" indent="0" shrinkToFit="false"/>
      <protection locked="true" hidden="false"/>
    </xf>
    <xf numFmtId="164" fontId="46" fillId="4" borderId="0" xfId="0" applyFont="true" applyBorder="false" applyAlignment="true" applyProtection="false">
      <alignment horizontal="left" vertical="bottom" textRotation="0" wrapText="false" indent="0" shrinkToFit="false"/>
      <protection locked="true" hidden="false"/>
    </xf>
    <xf numFmtId="171" fontId="45" fillId="4" borderId="0" xfId="0" applyFont="true" applyBorder="false" applyAlignment="true" applyProtection="false">
      <alignment horizontal="general" vertical="center" textRotation="0" wrapText="false" indent="0" shrinkToFit="false"/>
      <protection locked="true" hidden="false"/>
    </xf>
    <xf numFmtId="165" fontId="43" fillId="4" borderId="0" xfId="0" applyFont="true" applyBorder="false" applyAlignment="true" applyProtection="false">
      <alignment horizontal="general" vertical="center" textRotation="0" wrapText="false" indent="0" shrinkToFit="false"/>
      <protection locked="true" hidden="false"/>
    </xf>
    <xf numFmtId="165" fontId="43" fillId="4" borderId="0" xfId="0" applyFont="true" applyBorder="false" applyAlignment="true" applyProtection="false">
      <alignment horizontal="left" vertical="center" textRotation="0" wrapText="false" indent="0" shrinkToFit="false"/>
      <protection locked="true" hidden="false"/>
    </xf>
    <xf numFmtId="164" fontId="45" fillId="10" borderId="53" xfId="0" applyFont="true" applyBorder="true" applyAlignment="true" applyProtection="false">
      <alignment horizontal="general" vertical="center" textRotation="0" wrapText="false" indent="0" shrinkToFit="false"/>
      <protection locked="true" hidden="false"/>
    </xf>
    <xf numFmtId="164" fontId="43" fillId="10" borderId="53" xfId="0" applyFont="true" applyBorder="true" applyAlignment="true" applyProtection="false">
      <alignment horizontal="general" vertical="center" textRotation="0" wrapText="false" indent="0" shrinkToFit="false"/>
      <protection locked="true" hidden="false"/>
    </xf>
    <xf numFmtId="165" fontId="45" fillId="10" borderId="53" xfId="0" applyFont="true" applyBorder="true" applyAlignment="true" applyProtection="false">
      <alignment horizontal="general" vertical="center" textRotation="0" wrapText="false" indent="0" shrinkToFit="false"/>
      <protection locked="true" hidden="false"/>
    </xf>
    <xf numFmtId="165" fontId="45" fillId="0" borderId="54" xfId="0" applyFont="true" applyBorder="true" applyAlignment="true" applyProtection="false">
      <alignment horizontal="left" vertical="center" textRotation="0" wrapText="false" indent="0" shrinkToFit="false"/>
      <protection locked="true" hidden="false"/>
    </xf>
    <xf numFmtId="217" fontId="43" fillId="0" borderId="0" xfId="0" applyFont="true" applyBorder="false" applyAlignment="true" applyProtection="false">
      <alignment horizontal="general" vertical="top" textRotation="0" wrapText="false" indent="0" shrinkToFit="false"/>
      <protection locked="true" hidden="false"/>
    </xf>
    <xf numFmtId="164" fontId="43" fillId="0" borderId="0" xfId="0" applyFont="true" applyBorder="false" applyAlignment="true" applyProtection="false">
      <alignment horizontal="general" vertical="center" textRotation="0" wrapText="false" indent="0" shrinkToFit="false"/>
      <protection locked="true" hidden="false"/>
    </xf>
    <xf numFmtId="164" fontId="54" fillId="9" borderId="0" xfId="0" applyFont="true" applyBorder="false" applyAlignment="true" applyProtection="false">
      <alignment horizontal="general" vertical="top" textRotation="0" wrapText="false" indent="0" shrinkToFit="false"/>
      <protection locked="true" hidden="false"/>
    </xf>
    <xf numFmtId="164" fontId="54" fillId="0" borderId="0" xfId="0" applyFont="true" applyBorder="false" applyAlignment="true" applyProtection="false">
      <alignment horizontal="general" vertical="top" textRotation="0" wrapText="false" indent="0" shrinkToFit="false"/>
      <protection locked="true" hidden="false"/>
    </xf>
    <xf numFmtId="164" fontId="54" fillId="14" borderId="0" xfId="0" applyFont="true" applyBorder="false" applyAlignment="true" applyProtection="false">
      <alignment horizontal="center" vertical="top" textRotation="0" wrapText="false" indent="0" shrinkToFit="false"/>
      <protection locked="true" hidden="false"/>
    </xf>
    <xf numFmtId="164" fontId="54" fillId="15" borderId="0" xfId="0" applyFont="true" applyBorder="false" applyAlignment="true" applyProtection="false">
      <alignment horizontal="center" vertical="top" textRotation="0" wrapText="false" indent="0" shrinkToFit="false"/>
      <protection locked="true" hidden="false"/>
    </xf>
    <xf numFmtId="164" fontId="55" fillId="9" borderId="0" xfId="0" applyFont="true" applyBorder="false" applyAlignment="true" applyProtection="false">
      <alignment horizontal="center" vertical="center" textRotation="0" wrapText="false" indent="0" shrinkToFit="false"/>
      <protection locked="true" hidden="false"/>
    </xf>
    <xf numFmtId="164" fontId="55" fillId="2" borderId="2" xfId="0" applyFont="true" applyBorder="true" applyAlignment="true" applyProtection="false">
      <alignment horizontal="center" vertical="center" textRotation="0" wrapText="true" indent="0" shrinkToFit="false"/>
      <protection locked="true" hidden="false"/>
    </xf>
    <xf numFmtId="164" fontId="55" fillId="2" borderId="2" xfId="0" applyFont="true" applyBorder="true" applyAlignment="true" applyProtection="false">
      <alignment horizontal="center" vertical="center" textRotation="0" wrapText="false" indent="0" shrinkToFit="false"/>
      <protection locked="true" hidden="false"/>
    </xf>
    <xf numFmtId="164" fontId="56" fillId="15" borderId="2" xfId="0" applyFont="true" applyBorder="true" applyAlignment="true" applyProtection="false">
      <alignment horizontal="center" vertical="center" textRotation="0" wrapText="true" indent="0" shrinkToFit="false"/>
      <protection locked="true" hidden="false"/>
    </xf>
    <xf numFmtId="164" fontId="55" fillId="16" borderId="2" xfId="0" applyFont="true" applyBorder="true" applyAlignment="true" applyProtection="false">
      <alignment horizontal="center" vertical="center" textRotation="0" wrapText="true" indent="0" shrinkToFit="false"/>
      <protection locked="true" hidden="false"/>
    </xf>
    <xf numFmtId="164" fontId="54" fillId="14" borderId="2" xfId="0" applyFont="true" applyBorder="true" applyAlignment="true" applyProtection="false">
      <alignment horizontal="center" vertical="center" textRotation="0" wrapText="true" indent="0" shrinkToFit="false"/>
      <protection locked="true" hidden="false"/>
    </xf>
    <xf numFmtId="164" fontId="54" fillId="15" borderId="2" xfId="0" applyFont="true" applyBorder="true" applyAlignment="true" applyProtection="false">
      <alignment horizontal="center" vertical="center" textRotation="0" wrapText="true" indent="0" shrinkToFit="false"/>
      <protection locked="true" hidden="false"/>
    </xf>
    <xf numFmtId="164" fontId="58" fillId="0" borderId="0" xfId="0" applyFont="true" applyBorder="false" applyAlignment="true" applyProtection="false">
      <alignment horizontal="general" vertical="top" textRotation="0" wrapText="false" indent="0" shrinkToFit="false"/>
      <protection locked="true" hidden="false"/>
    </xf>
    <xf numFmtId="217" fontId="54" fillId="0" borderId="0" xfId="0" applyFont="true" applyBorder="false" applyAlignment="true" applyProtection="false">
      <alignment horizontal="general" vertical="top" textRotation="0" wrapText="false" indent="0" shrinkToFit="false"/>
      <protection locked="true" hidden="false"/>
    </xf>
    <xf numFmtId="217" fontId="54" fillId="9" borderId="0" xfId="0" applyFont="true" applyBorder="false" applyAlignment="true" applyProtection="false">
      <alignment horizontal="general" vertical="top" textRotation="0" wrapText="false" indent="0" shrinkToFit="false"/>
      <protection locked="true" hidden="false"/>
    </xf>
    <xf numFmtId="164" fontId="55" fillId="9" borderId="55" xfId="0" applyFont="true" applyBorder="true" applyAlignment="true" applyProtection="false">
      <alignment horizontal="center" vertical="center" textRotation="0" wrapText="false" indent="0" shrinkToFit="false"/>
      <protection locked="true" hidden="false"/>
    </xf>
    <xf numFmtId="164" fontId="54" fillId="0" borderId="55" xfId="0" applyFont="true" applyBorder="true" applyAlignment="true" applyProtection="false">
      <alignment horizontal="general" vertical="top" textRotation="0" wrapText="false" indent="0" shrinkToFit="false"/>
      <protection locked="true" hidden="false"/>
    </xf>
    <xf numFmtId="164" fontId="58" fillId="0" borderId="55" xfId="0" applyFont="true" applyBorder="true" applyAlignment="true" applyProtection="false">
      <alignment horizontal="general" vertical="top" textRotation="0" wrapText="false" indent="0" shrinkToFit="false"/>
      <protection locked="true" hidden="false"/>
    </xf>
    <xf numFmtId="217" fontId="54" fillId="0" borderId="55" xfId="0" applyFont="true" applyBorder="true" applyAlignment="true" applyProtection="false">
      <alignment horizontal="general" vertical="top" textRotation="0" wrapText="false" indent="0" shrinkToFit="false"/>
      <protection locked="true" hidden="false"/>
    </xf>
    <xf numFmtId="164" fontId="54" fillId="0" borderId="0" xfId="0" applyFont="true" applyBorder="false" applyAlignment="true" applyProtection="false">
      <alignment horizontal="right" vertical="top" textRotation="0" wrapText="false" indent="0" shrinkToFit="false"/>
      <protection locked="true" hidden="false"/>
    </xf>
    <xf numFmtId="171" fontId="54" fillId="0" borderId="0" xfId="0" applyFont="true" applyBorder="false" applyAlignment="true" applyProtection="false">
      <alignment horizontal="general" vertical="top" textRotation="0" wrapText="false" indent="0" shrinkToFit="false"/>
      <protection locked="true" hidden="false"/>
    </xf>
    <xf numFmtId="164" fontId="58" fillId="0" borderId="0" xfId="0" applyFont="true" applyBorder="false" applyAlignment="true" applyProtection="false">
      <alignment horizontal="right"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60" fillId="0" borderId="0" xfId="0" applyFont="true" applyBorder="false" applyAlignment="true" applyProtection="false">
      <alignment horizontal="general" vertical="center" textRotation="0" wrapText="false" indent="0" shrinkToFit="false"/>
      <protection locked="true" hidden="false"/>
    </xf>
    <xf numFmtId="164" fontId="61" fillId="0" borderId="0" xfId="0" applyFont="true" applyBorder="true" applyAlignment="true" applyProtection="false">
      <alignment horizontal="center" vertical="center" textRotation="0" wrapText="false" indent="0" shrinkToFit="false"/>
      <protection locked="true" hidden="false"/>
    </xf>
    <xf numFmtId="164" fontId="62" fillId="0" borderId="0" xfId="0" applyFont="true" applyBorder="false" applyAlignment="true" applyProtection="false">
      <alignment horizontal="center" vertical="center" textRotation="0" wrapText="false" indent="0" shrinkToFit="false"/>
      <protection locked="true" hidden="false"/>
    </xf>
    <xf numFmtId="164" fontId="63" fillId="0" borderId="0" xfId="0" applyFont="true" applyBorder="false" applyAlignment="true" applyProtection="false">
      <alignment horizontal="general" vertical="center" textRotation="0" wrapText="false" indent="0" shrinkToFit="false"/>
      <protection locked="true" hidden="false"/>
    </xf>
    <xf numFmtId="164" fontId="19" fillId="0" borderId="0" xfId="0" applyFont="true" applyBorder="true" applyAlignment="true" applyProtection="false">
      <alignment horizontal="center" vertical="center" textRotation="0" wrapText="false" indent="0" shrinkToFit="false"/>
      <protection locked="true" hidden="false"/>
    </xf>
    <xf numFmtId="164" fontId="63" fillId="0" borderId="0" xfId="0" applyFont="true" applyBorder="false" applyAlignment="true" applyProtection="false">
      <alignment horizontal="center" vertical="center" textRotation="0" wrapText="false" indent="0" shrinkToFit="false"/>
      <protection locked="true" hidden="false"/>
    </xf>
    <xf numFmtId="164" fontId="64" fillId="0" borderId="0" xfId="0" applyFont="true" applyBorder="false" applyAlignment="true" applyProtection="false">
      <alignment horizontal="general" vertical="center" textRotation="0" wrapText="false" indent="0" shrinkToFit="false"/>
      <protection locked="true" hidden="false"/>
    </xf>
    <xf numFmtId="164" fontId="63" fillId="0" borderId="55" xfId="0" applyFont="true" applyBorder="true" applyAlignment="true" applyProtection="false">
      <alignment horizontal="center" vertical="center" textRotation="0" wrapText="false" indent="0" shrinkToFit="false"/>
      <protection locked="true" hidden="false"/>
    </xf>
    <xf numFmtId="164" fontId="65" fillId="17" borderId="2" xfId="0" applyFont="true" applyBorder="true" applyAlignment="true" applyProtection="false">
      <alignment horizontal="center" vertical="center" textRotation="0" wrapText="false" indent="0" shrinkToFit="false"/>
      <protection locked="true" hidden="false"/>
    </xf>
    <xf numFmtId="213" fontId="66" fillId="17" borderId="2" xfId="0" applyFont="true" applyBorder="true" applyAlignment="true" applyProtection="false">
      <alignment horizontal="center" vertical="center" textRotation="0" wrapText="true" indent="0" shrinkToFit="false"/>
      <protection locked="true" hidden="false"/>
    </xf>
    <xf numFmtId="213" fontId="66" fillId="17" borderId="46" xfId="0" applyFont="true" applyBorder="true" applyAlignment="true" applyProtection="false">
      <alignment horizontal="center" vertical="center" textRotation="0" wrapText="true" indent="0" shrinkToFit="false"/>
      <protection locked="true" hidden="false"/>
    </xf>
    <xf numFmtId="213" fontId="66" fillId="17" borderId="45" xfId="0" applyFont="true" applyBorder="true" applyAlignment="true" applyProtection="false">
      <alignment horizontal="center" vertical="center" textRotation="0" wrapText="true" indent="0" shrinkToFit="false"/>
      <protection locked="true" hidden="false"/>
    </xf>
    <xf numFmtId="164" fontId="66" fillId="17" borderId="56" xfId="0" applyFont="true" applyBorder="true" applyAlignment="true" applyProtection="false">
      <alignment horizontal="center" vertical="center" textRotation="0" wrapText="false" indent="0" shrinkToFit="false"/>
      <protection locked="true" hidden="false"/>
    </xf>
    <xf numFmtId="213" fontId="66" fillId="17" borderId="39" xfId="0" applyFont="true" applyBorder="true" applyAlignment="true" applyProtection="false">
      <alignment horizontal="center" vertical="center" textRotation="0" wrapText="true" indent="0" shrinkToFit="false"/>
      <protection locked="true" hidden="false"/>
    </xf>
    <xf numFmtId="213" fontId="66" fillId="17" borderId="38" xfId="0" applyFont="true" applyBorder="true" applyAlignment="true" applyProtection="false">
      <alignment horizontal="center" vertical="center" textRotation="0" wrapText="true" indent="0" shrinkToFit="false"/>
      <protection locked="true" hidden="false"/>
    </xf>
    <xf numFmtId="164" fontId="66" fillId="17" borderId="57" xfId="0" applyFont="true" applyBorder="true" applyAlignment="true" applyProtection="false">
      <alignment horizontal="center" vertical="center" textRotation="0" wrapText="false" indent="0" shrinkToFit="false"/>
      <protection locked="true" hidden="false"/>
    </xf>
    <xf numFmtId="164" fontId="64" fillId="0" borderId="41" xfId="0" applyFont="true" applyBorder="true" applyAlignment="true" applyProtection="false">
      <alignment horizontal="general" vertical="center" textRotation="0" wrapText="false" indent="0" shrinkToFit="false"/>
      <protection locked="true" hidden="false"/>
    </xf>
    <xf numFmtId="164" fontId="67" fillId="0" borderId="0" xfId="0" applyFont="true" applyBorder="false" applyAlignment="true" applyProtection="false">
      <alignment horizontal="general" vertical="center" textRotation="0" wrapText="false" indent="0" shrinkToFit="false"/>
      <protection locked="true" hidden="false"/>
    </xf>
    <xf numFmtId="164" fontId="64" fillId="0" borderId="19" xfId="0" applyFont="true" applyBorder="true" applyAlignment="true" applyProtection="false">
      <alignment horizontal="general" vertical="center" textRotation="0" wrapText="false" indent="0" shrinkToFit="false"/>
      <protection locked="true" hidden="false"/>
    </xf>
    <xf numFmtId="165" fontId="68" fillId="0" borderId="41" xfId="0" applyFont="true" applyBorder="true" applyAlignment="true" applyProtection="false">
      <alignment horizontal="general" vertical="center" textRotation="0" wrapText="false" indent="0" shrinkToFit="false"/>
      <protection locked="true" hidden="false"/>
    </xf>
    <xf numFmtId="165" fontId="68" fillId="0" borderId="19" xfId="0" applyFont="true" applyBorder="true" applyAlignment="true" applyProtection="false">
      <alignment horizontal="general" vertical="center" textRotation="0" wrapText="false" indent="0" shrinkToFit="false"/>
      <protection locked="true" hidden="false"/>
    </xf>
    <xf numFmtId="165" fontId="68" fillId="0" borderId="0" xfId="0" applyFont="true" applyBorder="false" applyAlignment="true" applyProtection="false">
      <alignment horizontal="general" vertical="center" textRotation="0" wrapText="false" indent="0" shrinkToFit="false"/>
      <protection locked="true" hidden="false"/>
    </xf>
    <xf numFmtId="165" fontId="68" fillId="0" borderId="40" xfId="0" applyFont="true" applyBorder="true" applyAlignment="true" applyProtection="false">
      <alignment horizontal="general" vertical="center" textRotation="0" wrapText="false" indent="0" shrinkToFit="false"/>
      <protection locked="true" hidden="false"/>
    </xf>
    <xf numFmtId="165" fontId="63" fillId="0" borderId="0" xfId="0" applyFont="true" applyBorder="false" applyAlignment="true" applyProtection="false">
      <alignment horizontal="center" vertical="center" textRotation="0" wrapText="false" indent="0" shrinkToFit="false"/>
      <protection locked="true" hidden="false"/>
    </xf>
    <xf numFmtId="164" fontId="69" fillId="0" borderId="41" xfId="0" applyFont="true" applyBorder="true" applyAlignment="true" applyProtection="false">
      <alignment horizontal="general" vertical="center" textRotation="0" wrapText="false" indent="0" shrinkToFit="false"/>
      <protection locked="true" hidden="false"/>
    </xf>
    <xf numFmtId="218" fontId="64" fillId="0" borderId="0" xfId="0" applyFont="true" applyBorder="false" applyAlignment="true" applyProtection="false">
      <alignment horizontal="general" vertical="center" textRotation="0" wrapText="false" indent="0" shrinkToFit="false"/>
      <protection locked="true" hidden="false"/>
    </xf>
    <xf numFmtId="164" fontId="67" fillId="0" borderId="19" xfId="0" applyFont="true" applyBorder="true" applyAlignment="true" applyProtection="false">
      <alignment horizontal="general" vertical="center" textRotation="0" wrapText="false" indent="0" shrinkToFit="false"/>
      <protection locked="true" hidden="false"/>
    </xf>
    <xf numFmtId="165" fontId="70" fillId="0" borderId="41" xfId="0" applyFont="true" applyBorder="true" applyAlignment="true" applyProtection="false">
      <alignment horizontal="general" vertical="center" textRotation="0" wrapText="false" indent="0" shrinkToFit="false"/>
      <protection locked="true" hidden="false"/>
    </xf>
    <xf numFmtId="165" fontId="70" fillId="0" borderId="19" xfId="0" applyFont="true" applyBorder="true" applyAlignment="true" applyProtection="false">
      <alignment horizontal="general" vertical="center" textRotation="0" wrapText="false" indent="0" shrinkToFit="false"/>
      <protection locked="true" hidden="false"/>
    </xf>
    <xf numFmtId="165" fontId="70" fillId="0" borderId="0" xfId="0" applyFont="true" applyBorder="false" applyAlignment="true" applyProtection="false">
      <alignment horizontal="general" vertical="center" textRotation="0" wrapText="false" indent="0" shrinkToFit="false"/>
      <protection locked="true" hidden="false"/>
    </xf>
    <xf numFmtId="165" fontId="70" fillId="0" borderId="40" xfId="0" applyFont="true" applyBorder="true" applyAlignment="true" applyProtection="false">
      <alignment horizontal="general" vertical="center" textRotation="0" wrapText="false" indent="0" shrinkToFit="false"/>
      <protection locked="true" hidden="false"/>
    </xf>
    <xf numFmtId="164" fontId="69" fillId="0" borderId="0" xfId="0" applyFont="true" applyBorder="false" applyAlignment="true" applyProtection="false">
      <alignment horizontal="right" vertical="center" textRotation="0" wrapText="false" indent="0" shrinkToFit="false"/>
      <protection locked="true" hidden="false"/>
    </xf>
    <xf numFmtId="164" fontId="71" fillId="0" borderId="19" xfId="0" applyFont="true" applyBorder="true" applyAlignment="true" applyProtection="false">
      <alignment horizontal="general" vertical="center" textRotation="0" wrapText="false" indent="0" shrinkToFit="false"/>
      <protection locked="true" hidden="false"/>
    </xf>
    <xf numFmtId="165" fontId="70" fillId="9" borderId="40" xfId="0" applyFont="true" applyBorder="true" applyAlignment="true" applyProtection="false">
      <alignment horizontal="general" vertical="center" textRotation="0" wrapText="false" indent="0" shrinkToFit="false"/>
      <protection locked="true" hidden="false"/>
    </xf>
    <xf numFmtId="171" fontId="69" fillId="0" borderId="0" xfId="0" applyFont="true" applyBorder="false" applyAlignment="true" applyProtection="false">
      <alignment horizontal="general" vertical="center" textRotation="0" wrapText="false" indent="0" shrinkToFit="false"/>
      <protection locked="true" hidden="false"/>
    </xf>
    <xf numFmtId="164" fontId="71" fillId="0" borderId="0" xfId="0" applyFont="true" applyBorder="false" applyAlignment="true" applyProtection="false">
      <alignment horizontal="general" vertical="center" textRotation="0" wrapText="false" indent="0" shrinkToFit="false"/>
      <protection locked="true" hidden="false"/>
    </xf>
    <xf numFmtId="165" fontId="72" fillId="0" borderId="19" xfId="0" applyFont="true" applyBorder="true" applyAlignment="true" applyProtection="false">
      <alignment horizontal="general" vertical="center" textRotation="0" wrapText="false" indent="0" shrinkToFit="false"/>
      <protection locked="true" hidden="false"/>
    </xf>
    <xf numFmtId="164" fontId="74" fillId="0" borderId="0" xfId="0" applyFont="true" applyBorder="false" applyAlignment="true" applyProtection="false">
      <alignment horizontal="right" vertical="center" textRotation="0" wrapText="false" indent="0" shrinkToFit="false"/>
      <protection locked="true" hidden="false"/>
    </xf>
    <xf numFmtId="165" fontId="72" fillId="0" borderId="41" xfId="0" applyFont="true" applyBorder="true" applyAlignment="true" applyProtection="false">
      <alignment horizontal="general" vertical="center" textRotation="0" wrapText="false" indent="0" shrinkToFit="false"/>
      <protection locked="true" hidden="false"/>
    </xf>
    <xf numFmtId="164" fontId="69" fillId="0" borderId="58" xfId="0" applyFont="true" applyBorder="true" applyAlignment="true" applyProtection="false">
      <alignment horizontal="general" vertical="center" textRotation="0" wrapText="false" indent="0" shrinkToFit="false"/>
      <protection locked="true" hidden="false"/>
    </xf>
    <xf numFmtId="164" fontId="69" fillId="0" borderId="32" xfId="0" applyFont="true" applyBorder="true" applyAlignment="true" applyProtection="false">
      <alignment horizontal="general" vertical="center" textRotation="0" wrapText="false" indent="0" shrinkToFit="false"/>
      <protection locked="true" hidden="false"/>
    </xf>
    <xf numFmtId="164" fontId="69" fillId="0" borderId="59" xfId="0" applyFont="true" applyBorder="true" applyAlignment="true" applyProtection="false">
      <alignment horizontal="general" vertical="center" textRotation="0" wrapText="false" indent="0" shrinkToFit="false"/>
      <protection locked="true" hidden="false"/>
    </xf>
    <xf numFmtId="165" fontId="70" fillId="0" borderId="58" xfId="0" applyFont="true" applyBorder="true" applyAlignment="true" applyProtection="false">
      <alignment horizontal="general" vertical="center" textRotation="0" wrapText="false" indent="0" shrinkToFit="false"/>
      <protection locked="true" hidden="false"/>
    </xf>
    <xf numFmtId="165" fontId="70" fillId="0" borderId="59" xfId="0" applyFont="true" applyBorder="true" applyAlignment="true" applyProtection="false">
      <alignment horizontal="general" vertical="center" textRotation="0" wrapText="false" indent="0" shrinkToFit="false"/>
      <protection locked="true" hidden="false"/>
    </xf>
    <xf numFmtId="165" fontId="70" fillId="0" borderId="32" xfId="0" applyFont="true" applyBorder="true" applyAlignment="true" applyProtection="false">
      <alignment horizontal="general" vertical="center" textRotation="0" wrapText="false" indent="0" shrinkToFit="false"/>
      <protection locked="true" hidden="false"/>
    </xf>
    <xf numFmtId="165" fontId="70" fillId="0" borderId="60" xfId="0" applyFont="true" applyBorder="true" applyAlignment="true" applyProtection="false">
      <alignment horizontal="general" vertical="center" textRotation="0" wrapText="false" indent="0" shrinkToFit="false"/>
      <protection locked="true" hidden="false"/>
    </xf>
    <xf numFmtId="164" fontId="64" fillId="0" borderId="61" xfId="0" applyFont="true" applyBorder="true" applyAlignment="true" applyProtection="false">
      <alignment horizontal="general" vertical="center" textRotation="0" wrapText="false" indent="0" shrinkToFit="false"/>
      <protection locked="true" hidden="false"/>
    </xf>
    <xf numFmtId="164" fontId="67" fillId="0" borderId="62" xfId="0" applyFont="true" applyBorder="true" applyAlignment="true" applyProtection="false">
      <alignment horizontal="general" vertical="center" textRotation="0" wrapText="false" indent="0" shrinkToFit="false"/>
      <protection locked="true" hidden="false"/>
    </xf>
    <xf numFmtId="164" fontId="64" fillId="0" borderId="63" xfId="0" applyFont="true" applyBorder="true" applyAlignment="true" applyProtection="false">
      <alignment horizontal="general" vertical="center" textRotation="0" wrapText="false" indent="0" shrinkToFit="false"/>
      <protection locked="true" hidden="false"/>
    </xf>
    <xf numFmtId="165" fontId="68" fillId="0" borderId="61" xfId="0" applyFont="true" applyBorder="true" applyAlignment="true" applyProtection="false">
      <alignment horizontal="general" vertical="center" textRotation="0" wrapText="false" indent="0" shrinkToFit="false"/>
      <protection locked="true" hidden="false"/>
    </xf>
    <xf numFmtId="165" fontId="68" fillId="0" borderId="63" xfId="0" applyFont="true" applyBorder="true" applyAlignment="true" applyProtection="false">
      <alignment horizontal="general" vertical="center" textRotation="0" wrapText="false" indent="0" shrinkToFit="false"/>
      <protection locked="true" hidden="false"/>
    </xf>
    <xf numFmtId="165" fontId="68" fillId="0" borderId="62" xfId="0" applyFont="true" applyBorder="true" applyAlignment="true" applyProtection="false">
      <alignment horizontal="general" vertical="center" textRotation="0" wrapText="false" indent="0" shrinkToFit="false"/>
      <protection locked="true" hidden="false"/>
    </xf>
    <xf numFmtId="165" fontId="68" fillId="0" borderId="64" xfId="0" applyFont="true" applyBorder="true" applyAlignment="true" applyProtection="false">
      <alignment horizontal="general" vertical="center" textRotation="0" wrapText="false" indent="0" shrinkToFit="false"/>
      <protection locked="true" hidden="false"/>
    </xf>
    <xf numFmtId="165" fontId="70" fillId="9" borderId="0" xfId="0" applyFont="true" applyBorder="false" applyAlignment="true" applyProtection="false">
      <alignment horizontal="general" vertical="center" textRotation="0" wrapText="false" indent="0" shrinkToFit="false"/>
      <protection locked="true" hidden="false"/>
    </xf>
    <xf numFmtId="165" fontId="69" fillId="0" borderId="0" xfId="0" applyFont="true" applyBorder="false" applyAlignment="true" applyProtection="false">
      <alignment horizontal="general" vertical="center" textRotation="0" wrapText="false" indent="0" shrinkToFit="false"/>
      <protection locked="true" hidden="false"/>
    </xf>
    <xf numFmtId="165" fontId="70" fillId="9" borderId="41" xfId="0" applyFont="true" applyBorder="true" applyAlignment="true" applyProtection="false">
      <alignment horizontal="general" vertical="center" textRotation="0" wrapText="false" indent="0" shrinkToFit="false"/>
      <protection locked="true" hidden="false"/>
    </xf>
    <xf numFmtId="165" fontId="70" fillId="13" borderId="0" xfId="0" applyFont="true" applyBorder="false" applyAlignment="true" applyProtection="false">
      <alignment horizontal="general" vertical="center" textRotation="0" wrapText="false" indent="0" shrinkToFit="false"/>
      <protection locked="true" hidden="false"/>
    </xf>
    <xf numFmtId="165" fontId="64" fillId="0" borderId="0" xfId="0" applyFont="true" applyBorder="false" applyAlignment="true" applyProtection="false">
      <alignment horizontal="general" vertical="center" textRotation="0" wrapText="false" indent="0" shrinkToFit="false"/>
      <protection locked="true" hidden="false"/>
    </xf>
    <xf numFmtId="164" fontId="64" fillId="0" borderId="39" xfId="0" applyFont="true" applyBorder="true" applyAlignment="true" applyProtection="false">
      <alignment horizontal="general" vertical="center" textRotation="0" wrapText="false" indent="0" shrinkToFit="false"/>
      <protection locked="true" hidden="false"/>
    </xf>
    <xf numFmtId="164" fontId="67" fillId="0" borderId="55" xfId="0" applyFont="true" applyBorder="true" applyAlignment="true" applyProtection="false">
      <alignment horizontal="general" vertical="center" textRotation="0" wrapText="false" indent="0" shrinkToFit="false"/>
      <protection locked="true" hidden="false"/>
    </xf>
    <xf numFmtId="164" fontId="64" fillId="0" borderId="57" xfId="0" applyFont="true" applyBorder="true" applyAlignment="true" applyProtection="false">
      <alignment horizontal="general" vertical="center" textRotation="0" wrapText="false" indent="0" shrinkToFit="false"/>
      <protection locked="true" hidden="false"/>
    </xf>
    <xf numFmtId="165" fontId="68" fillId="0" borderId="39" xfId="0" applyFont="true" applyBorder="true" applyAlignment="true" applyProtection="false">
      <alignment horizontal="general" vertical="center" textRotation="0" wrapText="false" indent="0" shrinkToFit="false"/>
      <protection locked="true" hidden="false"/>
    </xf>
    <xf numFmtId="165" fontId="68" fillId="0" borderId="57" xfId="0" applyFont="true" applyBorder="true" applyAlignment="true" applyProtection="false">
      <alignment horizontal="general" vertical="center" textRotation="0" wrapText="false" indent="0" shrinkToFit="false"/>
      <protection locked="true" hidden="false"/>
    </xf>
    <xf numFmtId="165" fontId="68" fillId="0" borderId="55" xfId="0" applyFont="true" applyBorder="true" applyAlignment="true" applyProtection="false">
      <alignment horizontal="general" vertical="center" textRotation="0" wrapText="false" indent="0" shrinkToFit="false"/>
      <protection locked="true" hidden="false"/>
    </xf>
    <xf numFmtId="165" fontId="68" fillId="0" borderId="38" xfId="0" applyFont="true" applyBorder="true" applyAlignment="true" applyProtection="false">
      <alignment horizontal="general" vertical="center" textRotation="0" wrapText="false" indent="0" shrinkToFit="false"/>
      <protection locked="true" hidden="false"/>
    </xf>
    <xf numFmtId="207" fontId="69" fillId="0" borderId="0" xfId="0" applyFont="true" applyBorder="false" applyAlignment="true" applyProtection="false">
      <alignment horizontal="general" vertical="center" textRotation="0" wrapText="false" indent="0" shrinkToFit="false"/>
      <protection locked="true" hidden="false"/>
    </xf>
    <xf numFmtId="213" fontId="69" fillId="0" borderId="0" xfId="0" applyFont="true" applyBorder="false" applyAlignment="true" applyProtection="false">
      <alignment horizontal="general" vertical="center" textRotation="0" wrapText="false" indent="0" shrinkToFit="false"/>
      <protection locked="true" hidden="false"/>
    </xf>
    <xf numFmtId="213" fontId="69" fillId="9" borderId="0" xfId="0" applyFont="true" applyBorder="false" applyAlignment="true" applyProtection="false">
      <alignment horizontal="general" vertical="center" textRotation="0" wrapText="false" indent="0" shrinkToFit="false"/>
      <protection locked="true" hidden="false"/>
    </xf>
    <xf numFmtId="219" fontId="75" fillId="0" borderId="0" xfId="0" applyFont="true" applyBorder="false" applyAlignment="true" applyProtection="true">
      <alignment horizontal="general" vertical="bottom" textRotation="0" wrapText="false" indent="0" shrinkToFit="false"/>
      <protection locked="false" hidden="false"/>
    </xf>
    <xf numFmtId="219" fontId="69" fillId="0" borderId="0" xfId="0" applyFont="true" applyBorder="false" applyAlignment="true" applyProtection="false">
      <alignment horizontal="general" vertical="center" textRotation="0" wrapText="false" indent="0" shrinkToFit="false"/>
      <protection locked="true" hidden="false"/>
    </xf>
    <xf numFmtId="207" fontId="69" fillId="0" borderId="0" xfId="0" applyFont="true" applyBorder="false" applyAlignment="true" applyProtection="false">
      <alignment horizontal="center" vertical="center" textRotation="0" wrapText="false" indent="0" shrinkToFit="false"/>
      <protection locked="true" hidden="false"/>
    </xf>
    <xf numFmtId="220" fontId="69" fillId="0" borderId="0" xfId="0" applyFont="true" applyBorder="false" applyAlignment="true" applyProtection="false">
      <alignment horizontal="general" vertical="center" textRotation="0" wrapText="false" indent="0" shrinkToFit="false"/>
      <protection locked="true" hidden="false"/>
    </xf>
    <xf numFmtId="217" fontId="69" fillId="0" borderId="0" xfId="0" applyFont="true" applyBorder="false" applyAlignment="true" applyProtection="false">
      <alignment horizontal="general" vertical="center" textRotation="0" wrapText="false" indent="0" shrinkToFit="false"/>
      <protection locked="true" hidden="false"/>
    </xf>
    <xf numFmtId="164" fontId="71" fillId="0" borderId="2" xfId="0" applyFont="true" applyBorder="true" applyAlignment="true" applyProtection="false">
      <alignment horizontal="general" vertical="center" textRotation="0" wrapText="false" indent="0" shrinkToFit="false"/>
      <protection locked="true" hidden="false"/>
    </xf>
    <xf numFmtId="165" fontId="20" fillId="0" borderId="2" xfId="0" applyFont="true" applyBorder="true" applyAlignment="true" applyProtection="false">
      <alignment horizontal="general" vertical="center" textRotation="0" wrapText="false" indent="0" shrinkToFit="false"/>
      <protection locked="true" hidden="false"/>
    </xf>
    <xf numFmtId="164" fontId="69" fillId="0" borderId="2" xfId="0" applyFont="true" applyBorder="true" applyAlignment="true" applyProtection="false">
      <alignment horizontal="general" vertical="center" textRotation="0" wrapText="false" indent="0" shrinkToFit="false"/>
      <protection locked="true" hidden="false"/>
    </xf>
    <xf numFmtId="165" fontId="70" fillId="9" borderId="2" xfId="0" applyFont="true" applyBorder="true" applyAlignment="true" applyProtection="false">
      <alignment horizontal="general" vertical="center" textRotation="0" wrapText="false" indent="0" shrinkToFit="false"/>
      <protection locked="true" hidden="false"/>
    </xf>
    <xf numFmtId="164" fontId="69" fillId="18" borderId="2" xfId="0" applyFont="true" applyBorder="true" applyAlignment="true" applyProtection="false">
      <alignment horizontal="general" vertical="center" textRotation="0" wrapText="false" indent="0" shrinkToFit="false"/>
      <protection locked="true" hidden="false"/>
    </xf>
    <xf numFmtId="165" fontId="70" fillId="18" borderId="2" xfId="0" applyFont="true" applyBorder="true" applyAlignment="true" applyProtection="false">
      <alignment horizontal="general" vertical="center" textRotation="0" wrapText="false" indent="0" shrinkToFit="false"/>
      <protection locked="true" hidden="false"/>
    </xf>
    <xf numFmtId="164" fontId="69" fillId="0" borderId="0" xfId="0" applyFont="true" applyBorder="false" applyAlignment="true" applyProtection="false">
      <alignment horizontal="general" vertical="center" textRotation="0" wrapText="false" indent="0" shrinkToFit="false"/>
      <protection locked="true" hidden="false"/>
    </xf>
    <xf numFmtId="207" fontId="74" fillId="0" borderId="0" xfId="0" applyFont="true" applyBorder="false" applyAlignment="true" applyProtection="false">
      <alignment horizontal="general" vertical="center" textRotation="0" wrapText="false" indent="0" shrinkToFit="false"/>
      <protection locked="true" hidden="false"/>
    </xf>
    <xf numFmtId="165" fontId="77" fillId="0" borderId="32" xfId="0" applyFont="true" applyBorder="true" applyAlignment="true" applyProtection="false">
      <alignment horizontal="center" vertical="center" textRotation="0" wrapText="false" indent="0" shrinkToFit="false"/>
      <protection locked="true" hidden="false"/>
    </xf>
    <xf numFmtId="165" fontId="78" fillId="0" borderId="32" xfId="0" applyFont="true" applyBorder="true" applyAlignment="true" applyProtection="false">
      <alignment horizontal="center" vertical="center" textRotation="0" wrapText="false" indent="0" shrinkToFit="false"/>
      <protection locked="true" hidden="false"/>
    </xf>
    <xf numFmtId="164" fontId="79" fillId="0" borderId="46" xfId="0" applyFont="true" applyBorder="true" applyAlignment="true" applyProtection="false">
      <alignment horizontal="general" vertical="center" textRotation="0" wrapText="false" indent="0" shrinkToFit="false"/>
      <protection locked="true" hidden="false"/>
    </xf>
    <xf numFmtId="164" fontId="80" fillId="0" borderId="54" xfId="0" applyFont="true" applyBorder="true" applyAlignment="true" applyProtection="false">
      <alignment horizontal="general" vertical="center" textRotation="0" wrapText="false" indent="0" shrinkToFit="false"/>
      <protection locked="true" hidden="false"/>
    </xf>
    <xf numFmtId="164" fontId="81" fillId="0" borderId="54" xfId="0" applyFont="true" applyBorder="true" applyAlignment="true" applyProtection="false">
      <alignment horizontal="general" vertical="top" textRotation="0" wrapText="false" indent="0" shrinkToFit="false"/>
      <protection locked="true" hidden="false"/>
    </xf>
    <xf numFmtId="171" fontId="69" fillId="0" borderId="54" xfId="0" applyFont="true" applyBorder="true" applyAlignment="true" applyProtection="false">
      <alignment horizontal="general" vertical="center" textRotation="0" wrapText="false" indent="0" shrinkToFit="false"/>
      <protection locked="true" hidden="false"/>
    </xf>
    <xf numFmtId="165" fontId="78" fillId="0" borderId="54" xfId="0" applyFont="true" applyBorder="true" applyAlignment="true" applyProtection="false">
      <alignment horizontal="general" vertical="center" textRotation="0" wrapText="false" indent="0" shrinkToFit="false"/>
      <protection locked="true" hidden="false"/>
    </xf>
    <xf numFmtId="215" fontId="81" fillId="0" borderId="54" xfId="0" applyFont="true" applyBorder="true" applyAlignment="true" applyProtection="false">
      <alignment horizontal="general" vertical="center" textRotation="0" wrapText="false" indent="0" shrinkToFit="false"/>
      <protection locked="true" hidden="false"/>
    </xf>
    <xf numFmtId="164" fontId="80" fillId="0" borderId="39" xfId="0" applyFont="true" applyBorder="true" applyAlignment="true" applyProtection="false">
      <alignment horizontal="general" vertical="center" textRotation="0" wrapText="false" indent="0" shrinkToFit="false"/>
      <protection locked="true" hidden="false"/>
    </xf>
    <xf numFmtId="164" fontId="80" fillId="0" borderId="55" xfId="0" applyFont="true" applyBorder="true" applyAlignment="true" applyProtection="false">
      <alignment horizontal="general" vertical="center" textRotation="0" wrapText="false" indent="0" shrinkToFit="false"/>
      <protection locked="true" hidden="false"/>
    </xf>
    <xf numFmtId="164" fontId="81" fillId="0" borderId="55" xfId="0" applyFont="true" applyBorder="true" applyAlignment="true" applyProtection="false">
      <alignment horizontal="general" vertical="top" textRotation="0" wrapText="false" indent="0" shrinkToFit="false"/>
      <protection locked="true" hidden="false"/>
    </xf>
    <xf numFmtId="171" fontId="69" fillId="0" borderId="55" xfId="0" applyFont="true" applyBorder="true" applyAlignment="true" applyProtection="false">
      <alignment horizontal="general" vertical="center" textRotation="0" wrapText="false" indent="0" shrinkToFit="false"/>
      <protection locked="true" hidden="false"/>
    </xf>
    <xf numFmtId="217" fontId="83" fillId="9" borderId="55" xfId="0" applyFont="true" applyBorder="true" applyAlignment="true" applyProtection="false">
      <alignment horizontal="general" vertical="center" textRotation="0" wrapText="false" indent="0" shrinkToFit="false"/>
      <protection locked="true" hidden="false"/>
    </xf>
    <xf numFmtId="215" fontId="81" fillId="0" borderId="55" xfId="0" applyFont="true" applyBorder="true" applyAlignment="true" applyProtection="false">
      <alignment horizontal="general" vertical="center" textRotation="0" wrapText="false" indent="0" shrinkToFit="false"/>
      <protection locked="true" hidden="false"/>
    </xf>
    <xf numFmtId="165" fontId="81" fillId="0" borderId="0" xfId="0" applyFont="true" applyBorder="false" applyAlignment="true" applyProtection="false">
      <alignment horizontal="left" vertical="center" textRotation="0" wrapText="false" indent="0" shrinkToFit="false"/>
      <protection locked="true" hidden="false"/>
    </xf>
    <xf numFmtId="164" fontId="84" fillId="0" borderId="0" xfId="0" applyFont="true" applyBorder="false" applyAlignment="true" applyProtection="false">
      <alignment horizontal="left" vertical="center" textRotation="0" wrapText="false" indent="0" shrinkToFit="false"/>
      <protection locked="true" hidden="false"/>
    </xf>
    <xf numFmtId="164" fontId="84" fillId="0" borderId="0" xfId="0" applyFont="true" applyBorder="false" applyAlignment="true" applyProtection="false">
      <alignment horizontal="general" vertical="bottom" textRotation="0" wrapText="false" indent="0" shrinkToFit="false"/>
      <protection locked="true" hidden="false"/>
    </xf>
    <xf numFmtId="165" fontId="78" fillId="0" borderId="0" xfId="0" applyFont="true" applyBorder="false" applyAlignment="true" applyProtection="false">
      <alignment horizontal="general" vertical="center" textRotation="0" wrapText="false" indent="0" shrinkToFit="false"/>
      <protection locked="true" hidden="false"/>
    </xf>
    <xf numFmtId="164" fontId="84" fillId="0" borderId="0" xfId="0" applyFont="true" applyBorder="false" applyAlignment="true" applyProtection="false">
      <alignment horizontal="general" vertical="center" textRotation="0" wrapText="false" indent="0" shrinkToFit="false"/>
      <protection locked="true" hidden="false"/>
    </xf>
    <xf numFmtId="164" fontId="85" fillId="0" borderId="54" xfId="0" applyFont="true" applyBorder="true" applyAlignment="true" applyProtection="false">
      <alignment horizontal="general" vertical="center" textRotation="0" wrapText="false" indent="0" shrinkToFit="false"/>
      <protection locked="true" hidden="false"/>
    </xf>
    <xf numFmtId="164" fontId="80" fillId="0" borderId="41" xfId="0" applyFont="true" applyBorder="true" applyAlignment="true" applyProtection="false">
      <alignment horizontal="general" vertical="center" textRotation="0" wrapText="false" indent="0" shrinkToFit="false"/>
      <protection locked="true" hidden="false"/>
    </xf>
    <xf numFmtId="164" fontId="80" fillId="0" borderId="0" xfId="0" applyFont="true" applyBorder="false" applyAlignment="true" applyProtection="false">
      <alignment horizontal="general" vertical="center" textRotation="0" wrapText="false" indent="0" shrinkToFit="false"/>
      <protection locked="true" hidden="false"/>
    </xf>
    <xf numFmtId="164" fontId="81" fillId="0" borderId="0" xfId="0" applyFont="true" applyBorder="false" applyAlignment="true" applyProtection="false">
      <alignment horizontal="general" vertical="top" textRotation="0" wrapText="false" indent="0" shrinkToFit="false"/>
      <protection locked="true" hidden="false"/>
    </xf>
    <xf numFmtId="164" fontId="85" fillId="0" borderId="0" xfId="0" applyFont="true" applyBorder="false" applyAlignment="true" applyProtection="false">
      <alignment horizontal="general" vertical="center" textRotation="0" wrapText="false" indent="0" shrinkToFit="false"/>
      <protection locked="true" hidden="false"/>
    </xf>
    <xf numFmtId="164" fontId="79" fillId="0" borderId="41" xfId="0" applyFont="true" applyBorder="true" applyAlignment="true" applyProtection="false">
      <alignment horizontal="general" vertical="center" textRotation="0" wrapText="false" indent="0" shrinkToFit="false"/>
      <protection locked="true" hidden="false"/>
    </xf>
    <xf numFmtId="165" fontId="78" fillId="9" borderId="55" xfId="0" applyFont="true" applyBorder="true" applyAlignment="true" applyProtection="false">
      <alignment horizontal="general" vertical="center" textRotation="0" wrapText="false" indent="0" shrinkToFit="false"/>
      <protection locked="true" hidden="false"/>
    </xf>
    <xf numFmtId="164" fontId="85" fillId="0" borderId="55" xfId="0" applyFont="true" applyBorder="true" applyAlignment="true" applyProtection="false">
      <alignment horizontal="general" vertical="center" textRotation="0" wrapText="false" indent="0" shrinkToFit="false"/>
      <protection locked="true" hidden="false"/>
    </xf>
    <xf numFmtId="164" fontId="79" fillId="0" borderId="0" xfId="0" applyFont="true" applyBorder="false" applyAlignment="true" applyProtection="false">
      <alignment horizontal="left" vertical="bottom" textRotation="0" wrapText="false" indent="0" shrinkToFit="false"/>
      <protection locked="true" hidden="false"/>
    </xf>
    <xf numFmtId="164" fontId="71" fillId="0" borderId="46" xfId="0" applyFont="true" applyBorder="true" applyAlignment="true" applyProtection="false">
      <alignment horizontal="general" vertical="center" textRotation="0" wrapText="false" indent="0" shrinkToFit="false"/>
      <protection locked="true" hidden="false"/>
    </xf>
    <xf numFmtId="164" fontId="71" fillId="0" borderId="54" xfId="0" applyFont="true" applyBorder="true" applyAlignment="true" applyProtection="false">
      <alignment horizontal="general" vertical="center" textRotation="0" wrapText="false" indent="0" shrinkToFit="false"/>
      <protection locked="true" hidden="false"/>
    </xf>
    <xf numFmtId="220" fontId="69" fillId="0" borderId="54" xfId="0" applyFont="true" applyBorder="true" applyAlignment="true" applyProtection="false">
      <alignment horizontal="general" vertical="center" textRotation="0" wrapText="false" indent="0" shrinkToFit="false"/>
      <protection locked="true" hidden="false"/>
    </xf>
    <xf numFmtId="164" fontId="71" fillId="0" borderId="39" xfId="0" applyFont="true" applyBorder="true" applyAlignment="true" applyProtection="false">
      <alignment horizontal="general" vertical="center" textRotation="0" wrapText="false" indent="0" shrinkToFit="false"/>
      <protection locked="true" hidden="false"/>
    </xf>
    <xf numFmtId="164" fontId="71" fillId="0" borderId="55" xfId="0" applyFont="true" applyBorder="true" applyAlignment="true" applyProtection="false">
      <alignment horizontal="general" vertical="center" textRotation="0" wrapText="false" indent="0" shrinkToFit="false"/>
      <protection locked="true" hidden="false"/>
    </xf>
    <xf numFmtId="165" fontId="81" fillId="9" borderId="55" xfId="0" applyFont="true" applyBorder="true" applyAlignment="true" applyProtection="false">
      <alignment horizontal="general" vertical="center" textRotation="0" wrapText="false" indent="0" shrinkToFit="false"/>
      <protection locked="true" hidden="false"/>
    </xf>
    <xf numFmtId="220" fontId="69" fillId="0" borderId="55" xfId="0" applyFont="true" applyBorder="true" applyAlignment="true" applyProtection="false">
      <alignment horizontal="general" vertical="center" textRotation="0" wrapText="false" indent="0" shrinkToFit="false"/>
      <protection locked="true" hidden="false"/>
    </xf>
    <xf numFmtId="164" fontId="71" fillId="0" borderId="41" xfId="0" applyFont="true" applyBorder="true" applyAlignment="true" applyProtection="false">
      <alignment horizontal="general" vertical="center" textRotation="0" wrapText="false" indent="0" shrinkToFit="false"/>
      <protection locked="true" hidden="false"/>
    </xf>
    <xf numFmtId="165" fontId="69" fillId="9" borderId="0" xfId="0" applyFont="true" applyBorder="false" applyAlignment="true" applyProtection="false">
      <alignment horizontal="general" vertical="center" textRotation="0" wrapText="false" indent="0" shrinkToFit="false"/>
      <protection locked="true" hidden="false"/>
    </xf>
    <xf numFmtId="164" fontId="87"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false" hidden="false"/>
    </xf>
    <xf numFmtId="164" fontId="88" fillId="0" borderId="0" xfId="0" applyFont="true" applyBorder="false" applyAlignment="true" applyProtection="true">
      <alignment horizontal="general" vertical="bottom" textRotation="0" wrapText="false" indent="0" shrinkToFit="false"/>
      <protection locked="false" hidden="false"/>
    </xf>
    <xf numFmtId="164" fontId="19" fillId="6" borderId="2" xfId="0" applyFont="true" applyBorder="true" applyAlignment="true" applyProtection="true">
      <alignment horizontal="center" vertical="bottom" textRotation="0" wrapText="false" indent="0" shrinkToFit="false"/>
      <protection locked="false" hidden="false"/>
    </xf>
    <xf numFmtId="164" fontId="89" fillId="6" borderId="2" xfId="0" applyFont="true" applyBorder="true" applyAlignment="true" applyProtection="true">
      <alignment horizontal="center" vertical="bottom" textRotation="0" wrapText="false" indent="0" shrinkToFit="false"/>
      <protection locked="false" hidden="false"/>
    </xf>
    <xf numFmtId="164" fontId="19" fillId="0" borderId="2" xfId="0" applyFont="true" applyBorder="true" applyAlignment="true" applyProtection="true">
      <alignment horizontal="general" vertical="bottom" textRotation="0" wrapText="false" indent="0" shrinkToFit="false"/>
      <protection locked="false" hidden="false"/>
    </xf>
    <xf numFmtId="207" fontId="89" fillId="7" borderId="2" xfId="0" applyFont="true" applyBorder="true" applyAlignment="true" applyProtection="true">
      <alignment horizontal="general" vertical="bottom" textRotation="0" wrapText="false" indent="0" shrinkToFit="false"/>
      <protection locked="false" hidden="false"/>
    </xf>
    <xf numFmtId="213" fontId="90" fillId="0" borderId="0" xfId="0" applyFont="true" applyBorder="false" applyAlignment="true" applyProtection="false">
      <alignment horizontal="general" vertical="center" textRotation="0" wrapText="false" indent="0" shrinkToFit="false"/>
      <protection locked="true" hidden="false"/>
    </xf>
    <xf numFmtId="164" fontId="64" fillId="0" borderId="2" xfId="0" applyFont="true" applyBorder="true" applyAlignment="true" applyProtection="false">
      <alignment horizontal="general" vertical="center" textRotation="0" wrapText="false" indent="0" shrinkToFit="false"/>
      <protection locked="true" hidden="false"/>
    </xf>
    <xf numFmtId="164" fontId="67" fillId="0" borderId="2" xfId="0" applyFont="true" applyBorder="true" applyAlignment="true" applyProtection="false">
      <alignment horizontal="general" vertical="center" textRotation="0" wrapText="false" indent="0" shrinkToFit="false"/>
      <protection locked="true" hidden="false"/>
    </xf>
    <xf numFmtId="207" fontId="7" fillId="0" borderId="2" xfId="0" applyFont="true" applyBorder="true" applyAlignment="true" applyProtection="true">
      <alignment horizontal="general" vertical="bottom" textRotation="0" wrapText="false" indent="0" shrinkToFit="false"/>
      <protection locked="false" hidden="false"/>
    </xf>
    <xf numFmtId="207" fontId="7" fillId="7" borderId="2" xfId="0" applyFont="true" applyBorder="true" applyAlignment="true" applyProtection="true">
      <alignment horizontal="general" vertical="bottom" textRotation="0" wrapText="false" indent="0" shrinkToFit="false"/>
      <protection locked="false" hidden="false"/>
    </xf>
    <xf numFmtId="164" fontId="20" fillId="0" borderId="0" xfId="0" applyFont="true" applyBorder="true" applyAlignment="true" applyProtection="false">
      <alignment horizontal="center" vertical="center" textRotation="0" wrapText="false" indent="0" shrinkToFit="false"/>
      <protection locked="true" hidden="false"/>
    </xf>
    <xf numFmtId="164" fontId="20" fillId="0" borderId="2" xfId="0" applyFont="true" applyBorder="true" applyAlignment="true" applyProtection="true">
      <alignment horizontal="general" vertical="bottom" textRotation="0" wrapText="false" indent="0" shrinkToFit="false"/>
      <protection locked="false" hidden="false"/>
    </xf>
    <xf numFmtId="207" fontId="89" fillId="0" borderId="2" xfId="0" applyFont="true" applyBorder="true" applyAlignment="true" applyProtection="true">
      <alignment horizontal="general" vertical="bottom" textRotation="0" wrapText="false" indent="0" shrinkToFit="false"/>
      <protection locked="false" hidden="false"/>
    </xf>
    <xf numFmtId="164" fontId="52" fillId="0" borderId="0" xfId="0" applyFont="true" applyBorder="false" applyAlignment="true" applyProtection="false">
      <alignment horizontal="general" vertical="center" textRotation="0" wrapText="false" indent="0" shrinkToFit="false"/>
      <protection locked="true" hidden="false"/>
    </xf>
    <xf numFmtId="213" fontId="65" fillId="17" borderId="1" xfId="0" applyFont="true" applyBorder="true" applyAlignment="true" applyProtection="false">
      <alignment horizontal="center" vertical="center" textRotation="0" wrapText="true" indent="0" shrinkToFit="false"/>
      <protection locked="true" hidden="false"/>
    </xf>
    <xf numFmtId="164" fontId="66" fillId="17" borderId="45" xfId="0" applyFont="true" applyBorder="true" applyAlignment="true" applyProtection="false">
      <alignment horizontal="center" vertical="center" textRotation="0" wrapText="false" indent="0" shrinkToFit="false"/>
      <protection locked="true" hidden="false"/>
    </xf>
    <xf numFmtId="213" fontId="65" fillId="17" borderId="2" xfId="0" applyFont="true" applyBorder="true" applyAlignment="true" applyProtection="false">
      <alignment horizontal="center" vertical="center" textRotation="0" wrapText="true" indent="0" shrinkToFit="false"/>
      <protection locked="true" hidden="false"/>
    </xf>
    <xf numFmtId="164" fontId="30" fillId="0" borderId="2" xfId="0" applyFont="true" applyBorder="true" applyAlignment="true" applyProtection="true">
      <alignment horizontal="general" vertical="bottom" textRotation="0" wrapText="false" indent="0" shrinkToFit="false"/>
      <protection locked="false" hidden="false"/>
    </xf>
    <xf numFmtId="207" fontId="91" fillId="0" borderId="2" xfId="0" applyFont="true" applyBorder="true" applyAlignment="true" applyProtection="true">
      <alignment horizontal="general" vertical="bottom" textRotation="0" wrapText="false" indent="0" shrinkToFit="false"/>
      <protection locked="false" hidden="false"/>
    </xf>
    <xf numFmtId="207" fontId="92" fillId="0" borderId="2" xfId="0" applyFont="true" applyBorder="true" applyAlignment="true" applyProtection="true">
      <alignment horizontal="general" vertical="bottom" textRotation="0" wrapText="false" indent="0" shrinkToFit="false"/>
      <protection locked="false" hidden="false"/>
    </xf>
    <xf numFmtId="207" fontId="64" fillId="0" borderId="0" xfId="0" applyFont="true" applyBorder="false" applyAlignment="true" applyProtection="false">
      <alignment horizontal="general" vertical="center" textRotation="0" wrapText="false" indent="0" shrinkToFit="false"/>
      <protection locked="true" hidden="false"/>
    </xf>
    <xf numFmtId="164" fontId="66" fillId="17" borderId="38" xfId="0" applyFont="true" applyBorder="true" applyAlignment="true" applyProtection="false">
      <alignment horizontal="center" vertical="center" textRotation="0" wrapText="false" indent="0" shrinkToFit="false"/>
      <protection locked="true" hidden="false"/>
    </xf>
    <xf numFmtId="164" fontId="66" fillId="17" borderId="41" xfId="0" applyFont="true" applyBorder="true" applyAlignment="true" applyProtection="false">
      <alignment horizontal="center" vertical="center" textRotation="0" wrapText="false" indent="0" shrinkToFit="false"/>
      <protection locked="true" hidden="false"/>
    </xf>
    <xf numFmtId="164" fontId="66" fillId="17" borderId="0" xfId="0" applyFont="true" applyBorder="false" applyAlignment="true" applyProtection="false">
      <alignment horizontal="center" vertical="center" textRotation="0" wrapText="false" indent="0" shrinkToFit="false"/>
      <protection locked="true" hidden="false"/>
    </xf>
    <xf numFmtId="164" fontId="66" fillId="17" borderId="46" xfId="0" applyFont="true" applyBorder="true" applyAlignment="true" applyProtection="false">
      <alignment horizontal="center" vertical="center" textRotation="0" wrapText="false" indent="0" shrinkToFit="false"/>
      <protection locked="true" hidden="false"/>
    </xf>
    <xf numFmtId="164" fontId="66" fillId="17" borderId="54" xfId="0" applyFont="true" applyBorder="true" applyAlignment="true" applyProtection="false">
      <alignment horizontal="center" vertical="center" textRotation="0" wrapText="false" indent="0" shrinkToFit="false"/>
      <protection locked="true" hidden="false"/>
    </xf>
    <xf numFmtId="164" fontId="66" fillId="17" borderId="19" xfId="0" applyFont="true" applyBorder="true" applyAlignment="true" applyProtection="false">
      <alignment horizontal="center" vertical="center" textRotation="0" wrapText="false" indent="0" shrinkToFit="false"/>
      <protection locked="true" hidden="false"/>
    </xf>
    <xf numFmtId="165" fontId="63" fillId="0" borderId="0" xfId="0" applyFont="true" applyBorder="false" applyAlignment="true" applyProtection="false">
      <alignment horizontal="general" vertical="center" textRotation="0" wrapText="false" indent="0" shrinkToFit="false"/>
      <protection locked="true" hidden="false"/>
    </xf>
    <xf numFmtId="165" fontId="63" fillId="0" borderId="41" xfId="0" applyFont="true" applyBorder="true" applyAlignment="true" applyProtection="false">
      <alignment horizontal="general" vertical="center" textRotation="0" wrapText="false" indent="0" shrinkToFit="false"/>
      <protection locked="true" hidden="false"/>
    </xf>
    <xf numFmtId="165" fontId="63" fillId="0" borderId="19" xfId="0" applyFont="true" applyBorder="true" applyAlignment="true" applyProtection="false">
      <alignment horizontal="general" vertical="center" textRotation="0" wrapText="false" indent="0" shrinkToFit="false"/>
      <protection locked="true" hidden="false"/>
    </xf>
    <xf numFmtId="165" fontId="63" fillId="0" borderId="40" xfId="0" applyFont="true" applyBorder="true" applyAlignment="true" applyProtection="false">
      <alignment horizontal="general" vertical="center" textRotation="0" wrapText="false" indent="0" shrinkToFit="false"/>
      <protection locked="true" hidden="false"/>
    </xf>
    <xf numFmtId="165" fontId="87" fillId="0" borderId="0" xfId="0" applyFont="true" applyBorder="false" applyAlignment="true" applyProtection="false">
      <alignment horizontal="general" vertical="center" textRotation="0" wrapText="false" indent="0" shrinkToFit="false"/>
      <protection locked="true" hidden="false"/>
    </xf>
    <xf numFmtId="207" fontId="93" fillId="0" borderId="0" xfId="0" applyFont="true" applyBorder="false" applyAlignment="true" applyProtection="false">
      <alignment horizontal="general" vertical="center" textRotation="0" wrapText="false" indent="0" shrinkToFit="false"/>
      <protection locked="true" hidden="false"/>
    </xf>
    <xf numFmtId="165" fontId="60" fillId="0" borderId="0" xfId="0" applyFont="true" applyBorder="false" applyAlignment="true" applyProtection="false">
      <alignment horizontal="general" vertical="center" textRotation="0" wrapText="false" indent="0" shrinkToFit="false"/>
      <protection locked="true" hidden="false"/>
    </xf>
    <xf numFmtId="165" fontId="60" fillId="0" borderId="19" xfId="0" applyFont="true" applyBorder="true" applyAlignment="true" applyProtection="false">
      <alignment horizontal="general" vertical="center" textRotation="0" wrapText="false" indent="0" shrinkToFit="false"/>
      <protection locked="true" hidden="false"/>
    </xf>
    <xf numFmtId="165" fontId="60" fillId="0" borderId="40" xfId="0" applyFont="true" applyBorder="true" applyAlignment="true" applyProtection="false">
      <alignment horizontal="general" vertical="center" textRotation="0" wrapText="false" indent="0" shrinkToFit="false"/>
      <protection locked="true" hidden="false"/>
    </xf>
    <xf numFmtId="165" fontId="60" fillId="0" borderId="41" xfId="0" applyFont="true" applyBorder="true" applyAlignment="true" applyProtection="false">
      <alignment horizontal="general" vertical="center" textRotation="0" wrapText="false" indent="0" shrinkToFit="false"/>
      <protection locked="true" hidden="false"/>
    </xf>
    <xf numFmtId="165" fontId="74" fillId="0" borderId="0" xfId="0" applyFont="true" applyBorder="false" applyAlignment="true" applyProtection="false">
      <alignment horizontal="general" vertical="center" textRotation="0" wrapText="false" indent="0" shrinkToFit="false"/>
      <protection locked="true" hidden="false"/>
    </xf>
    <xf numFmtId="164" fontId="94" fillId="0" borderId="0" xfId="0" applyFont="true" applyBorder="false" applyAlignment="true" applyProtection="false">
      <alignment horizontal="general" vertical="center" textRotation="0" wrapText="false" indent="0" shrinkToFit="false"/>
      <protection locked="true" hidden="false"/>
    </xf>
    <xf numFmtId="165" fontId="95" fillId="0" borderId="41" xfId="0" applyFont="true" applyBorder="true" applyAlignment="true" applyProtection="false">
      <alignment horizontal="general" vertical="center" textRotation="0" wrapText="false" indent="0" shrinkToFit="false"/>
      <protection locked="true" hidden="false"/>
    </xf>
    <xf numFmtId="165" fontId="95" fillId="0" borderId="19" xfId="0" applyFont="true" applyBorder="true" applyAlignment="true" applyProtection="false">
      <alignment horizontal="general" vertical="center" textRotation="0" wrapText="false" indent="0" shrinkToFit="false"/>
      <protection locked="true" hidden="false"/>
    </xf>
    <xf numFmtId="165" fontId="67" fillId="0" borderId="0" xfId="0" applyFont="true" applyBorder="false" applyAlignment="true" applyProtection="false">
      <alignment horizontal="general" vertical="center" textRotation="0" wrapText="false" indent="0" shrinkToFit="false"/>
      <protection locked="true" hidden="false"/>
    </xf>
    <xf numFmtId="164" fontId="20" fillId="0" borderId="19" xfId="0" applyFont="true" applyBorder="true" applyAlignment="true" applyProtection="false">
      <alignment horizontal="general" vertical="center" textRotation="0" wrapText="false" indent="0" shrinkToFit="false"/>
      <protection locked="true" hidden="false"/>
    </xf>
    <xf numFmtId="165" fontId="64" fillId="0" borderId="54" xfId="0" applyFont="true" applyBorder="true" applyAlignment="true" applyProtection="false">
      <alignment horizontal="general" vertical="center" textRotation="0" wrapText="false" indent="0" shrinkToFit="false"/>
      <protection locked="true" hidden="false"/>
    </xf>
    <xf numFmtId="164" fontId="64" fillId="0" borderId="41" xfId="0" applyFont="true" applyBorder="true" applyAlignment="true" applyProtection="false">
      <alignment horizontal="right" vertical="center" textRotation="0" wrapText="false" indent="0" shrinkToFit="false"/>
      <protection locked="true" hidden="false"/>
    </xf>
    <xf numFmtId="164" fontId="74" fillId="0" borderId="41" xfId="0" applyFont="true" applyBorder="true" applyAlignment="true" applyProtection="false">
      <alignment horizontal="right" vertical="center" textRotation="0" wrapText="false" indent="0" shrinkToFit="false"/>
      <protection locked="true" hidden="false"/>
    </xf>
    <xf numFmtId="164" fontId="67" fillId="0" borderId="0" xfId="0" applyFont="true" applyBorder="false" applyAlignment="true" applyProtection="false">
      <alignment horizontal="right" vertical="center" textRotation="0" wrapText="false" indent="0" shrinkToFit="false"/>
      <protection locked="true" hidden="false"/>
    </xf>
    <xf numFmtId="165" fontId="95" fillId="0" borderId="0" xfId="0" applyFont="true" applyBorder="false" applyAlignment="true" applyProtection="false">
      <alignment horizontal="general" vertical="center" textRotation="0" wrapText="false" indent="0" shrinkToFit="false"/>
      <protection locked="true" hidden="false"/>
    </xf>
    <xf numFmtId="165" fontId="60" fillId="9" borderId="41" xfId="0" applyFont="true" applyBorder="true" applyAlignment="true" applyProtection="false">
      <alignment horizontal="general" vertical="center" textRotation="0" wrapText="false" indent="0" shrinkToFit="false"/>
      <protection locked="true" hidden="false"/>
    </xf>
    <xf numFmtId="164" fontId="69" fillId="0" borderId="41" xfId="0" applyFont="true" applyBorder="true" applyAlignment="true" applyProtection="false">
      <alignment horizontal="right" vertical="center" textRotation="0" wrapText="false" indent="0" shrinkToFit="false"/>
      <protection locked="true" hidden="false"/>
    </xf>
    <xf numFmtId="164" fontId="67" fillId="0" borderId="0" xfId="0" applyFont="true" applyBorder="false" applyAlignment="true" applyProtection="false">
      <alignment horizontal="left" vertical="center" textRotation="0" wrapText="false" indent="0" shrinkToFit="false"/>
      <protection locked="true" hidden="false"/>
    </xf>
    <xf numFmtId="165" fontId="60" fillId="13" borderId="41" xfId="0" applyFont="true" applyBorder="true" applyAlignment="true" applyProtection="false">
      <alignment horizontal="general" vertical="center" textRotation="0" wrapText="false" indent="0" shrinkToFit="false"/>
      <protection locked="true" hidden="false"/>
    </xf>
    <xf numFmtId="165" fontId="60" fillId="13" borderId="19" xfId="0" applyFont="true" applyBorder="true" applyAlignment="true" applyProtection="false">
      <alignment horizontal="general" vertical="center" textRotation="0" wrapText="false" indent="0" shrinkToFit="false"/>
      <protection locked="true" hidden="false"/>
    </xf>
    <xf numFmtId="165" fontId="63" fillId="0" borderId="55" xfId="0" applyFont="true" applyBorder="true" applyAlignment="true" applyProtection="false">
      <alignment horizontal="general" vertical="center" textRotation="0" wrapText="false" indent="0" shrinkToFit="false"/>
      <protection locked="true" hidden="false"/>
    </xf>
    <xf numFmtId="165" fontId="60" fillId="0" borderId="39" xfId="0" applyFont="true" applyBorder="true" applyAlignment="true" applyProtection="false">
      <alignment horizontal="general" vertical="center" textRotation="0" wrapText="false" indent="0" shrinkToFit="false"/>
      <protection locked="true" hidden="false"/>
    </xf>
    <xf numFmtId="165" fontId="63" fillId="0" borderId="57" xfId="0" applyFont="true" applyBorder="true" applyAlignment="true" applyProtection="false">
      <alignment horizontal="general" vertical="center" textRotation="0" wrapText="false" indent="0" shrinkToFit="false"/>
      <protection locked="true" hidden="false"/>
    </xf>
    <xf numFmtId="165" fontId="63" fillId="0" borderId="38" xfId="0" applyFont="true" applyBorder="true" applyAlignment="true" applyProtection="false">
      <alignment horizontal="general" vertical="center" textRotation="0" wrapText="false" indent="0" shrinkToFit="false"/>
      <protection locked="true" hidden="false"/>
    </xf>
    <xf numFmtId="165" fontId="63" fillId="0" borderId="39" xfId="0" applyFont="true" applyBorder="true" applyAlignment="true" applyProtection="false">
      <alignment horizontal="general" vertical="center" textRotation="0" wrapText="false" indent="0" shrinkToFit="false"/>
      <protection locked="true" hidden="false"/>
    </xf>
    <xf numFmtId="164" fontId="96" fillId="0" borderId="0" xfId="0" applyFont="true" applyBorder="false" applyAlignment="true" applyProtection="false">
      <alignment horizontal="general" vertical="bottom" textRotation="0" wrapText="false" indent="0" shrinkToFit="false"/>
      <protection locked="true" hidden="false"/>
    </xf>
    <xf numFmtId="208" fontId="15" fillId="4" borderId="0" xfId="0" applyFont="true" applyBorder="false" applyAlignment="true" applyProtection="false">
      <alignment horizontal="general" vertical="top" textRotation="0" wrapText="false" indent="0" shrinkToFit="false"/>
      <protection locked="true" hidden="false"/>
    </xf>
    <xf numFmtId="164" fontId="19" fillId="4" borderId="0" xfId="0" applyFont="true" applyBorder="false" applyAlignment="true" applyProtection="false">
      <alignment horizontal="general" vertical="top" textRotation="0" wrapText="false" indent="0" shrinkToFit="false"/>
      <protection locked="true" hidden="false"/>
    </xf>
    <xf numFmtId="208" fontId="15" fillId="4" borderId="65" xfId="0" applyFont="true" applyBorder="true" applyAlignment="true" applyProtection="false">
      <alignment horizontal="center" vertical="top" textRotation="0" wrapText="false" indent="0" shrinkToFit="false"/>
      <protection locked="true" hidden="false"/>
    </xf>
    <xf numFmtId="168" fontId="15" fillId="4" borderId="62" xfId="0" applyFont="true" applyBorder="true" applyAlignment="true" applyProtection="false">
      <alignment horizontal="center" vertical="top" textRotation="0" wrapText="false" indent="0" shrinkToFit="false"/>
      <protection locked="true" hidden="false"/>
    </xf>
    <xf numFmtId="208" fontId="15" fillId="4" borderId="36" xfId="0" applyFont="true" applyBorder="true" applyAlignment="true" applyProtection="false">
      <alignment horizontal="right" vertical="top" textRotation="0" wrapText="false" indent="0" shrinkToFit="false"/>
      <protection locked="true" hidden="false"/>
    </xf>
    <xf numFmtId="208" fontId="21" fillId="4" borderId="0" xfId="0" applyFont="true" applyBorder="false" applyAlignment="true" applyProtection="false">
      <alignment horizontal="center" vertical="top" textRotation="0" wrapText="false" indent="0" shrinkToFit="false"/>
      <protection locked="true" hidden="false"/>
    </xf>
    <xf numFmtId="208" fontId="15" fillId="4" borderId="0" xfId="0" applyFont="true" applyBorder="false" applyAlignment="true" applyProtection="false">
      <alignment horizontal="right" vertical="top" textRotation="0" wrapText="false" indent="0" shrinkToFit="false"/>
      <protection locked="true" hidden="false"/>
    </xf>
    <xf numFmtId="208" fontId="15" fillId="4" borderId="0" xfId="0" applyFont="true" applyBorder="false" applyAlignment="true" applyProtection="false">
      <alignment horizontal="center" vertical="top" textRotation="0" wrapText="false" indent="0" shrinkToFit="false"/>
      <protection locked="true" hidden="false"/>
    </xf>
    <xf numFmtId="208" fontId="15" fillId="4" borderId="0" xfId="0" applyFont="true" applyBorder="false" applyAlignment="true" applyProtection="false">
      <alignment horizontal="right" vertical="top" textRotation="0" wrapText="true" indent="0" shrinkToFit="false"/>
      <protection locked="true" hidden="false"/>
    </xf>
    <xf numFmtId="208" fontId="21" fillId="4" borderId="0" xfId="0" applyFont="true" applyBorder="false" applyAlignment="true" applyProtection="false">
      <alignment horizontal="general" vertical="top" textRotation="0" wrapText="false" indent="0" shrinkToFit="false"/>
      <protection locked="true" hidden="false"/>
    </xf>
    <xf numFmtId="164" fontId="20" fillId="4" borderId="0" xfId="0" applyFont="true" applyBorder="false" applyAlignment="true" applyProtection="false">
      <alignment horizontal="general" vertical="top" textRotation="0" wrapText="false" indent="0" shrinkToFit="false"/>
      <protection locked="true" hidden="false"/>
    </xf>
    <xf numFmtId="208" fontId="15" fillId="4" borderId="17" xfId="0" applyFont="true" applyBorder="true" applyAlignment="true" applyProtection="false">
      <alignment horizontal="center" vertical="top" textRotation="0" wrapText="false" indent="0" shrinkToFit="false"/>
      <protection locked="true" hidden="false"/>
    </xf>
    <xf numFmtId="168" fontId="15" fillId="4" borderId="0" xfId="0" applyFont="true" applyBorder="false" applyAlignment="true" applyProtection="false">
      <alignment horizontal="center" vertical="top" textRotation="0" wrapText="false" indent="0" shrinkToFit="false"/>
      <protection locked="true" hidden="false"/>
    </xf>
    <xf numFmtId="208" fontId="15" fillId="4" borderId="66" xfId="0" applyFont="true" applyBorder="true" applyAlignment="true" applyProtection="false">
      <alignment horizontal="right" vertical="top" textRotation="0" wrapText="false" indent="0" shrinkToFit="false"/>
      <protection locked="true" hidden="false"/>
    </xf>
    <xf numFmtId="208" fontId="15" fillId="4" borderId="67" xfId="0" applyFont="true" applyBorder="true" applyAlignment="true" applyProtection="false">
      <alignment horizontal="center" vertical="top" textRotation="0" wrapText="false" indent="0" shrinkToFit="false"/>
      <protection locked="true" hidden="false"/>
    </xf>
    <xf numFmtId="168" fontId="15" fillId="4" borderId="32" xfId="0" applyFont="true" applyBorder="true" applyAlignment="true" applyProtection="false">
      <alignment horizontal="center" vertical="top" textRotation="0" wrapText="false" indent="0" shrinkToFit="false"/>
      <protection locked="true" hidden="false"/>
    </xf>
    <xf numFmtId="208" fontId="15" fillId="4" borderId="68" xfId="0" applyFont="true" applyBorder="true" applyAlignment="true" applyProtection="false">
      <alignment horizontal="right" vertical="top" textRotation="0" wrapText="false" indent="0" shrinkToFit="false"/>
      <protection locked="true" hidden="false"/>
    </xf>
    <xf numFmtId="208" fontId="21" fillId="4" borderId="55" xfId="0" applyFont="true" applyBorder="true" applyAlignment="true" applyProtection="false">
      <alignment horizontal="center" vertical="top" textRotation="0" wrapText="false" indent="0" shrinkToFit="false"/>
      <protection locked="true" hidden="false"/>
    </xf>
    <xf numFmtId="164" fontId="97" fillId="17" borderId="2" xfId="0" applyFont="true" applyBorder="true" applyAlignment="true" applyProtection="false">
      <alignment horizontal="center" vertical="top" textRotation="0" wrapText="false" indent="0" shrinkToFit="false"/>
      <protection locked="true" hidden="false"/>
    </xf>
    <xf numFmtId="208" fontId="97" fillId="17" borderId="2" xfId="0" applyFont="true" applyBorder="true" applyAlignment="true" applyProtection="false">
      <alignment horizontal="center" vertical="top" textRotation="0" wrapText="true" indent="0" shrinkToFit="false"/>
      <protection locked="true" hidden="false"/>
    </xf>
    <xf numFmtId="208" fontId="98" fillId="17" borderId="46" xfId="0" applyFont="true" applyBorder="true" applyAlignment="true" applyProtection="false">
      <alignment horizontal="center" vertical="top" textRotation="0" wrapText="true" indent="0" shrinkToFit="false"/>
      <protection locked="true" hidden="false"/>
    </xf>
    <xf numFmtId="208" fontId="98" fillId="17" borderId="45" xfId="0" applyFont="true" applyBorder="true" applyAlignment="true" applyProtection="false">
      <alignment horizontal="center" vertical="top" textRotation="0" wrapText="true" indent="0" shrinkToFit="false"/>
      <protection locked="true" hidden="false"/>
    </xf>
    <xf numFmtId="208" fontId="98" fillId="17" borderId="45" xfId="0" applyFont="true" applyBorder="true" applyAlignment="true" applyProtection="false">
      <alignment horizontal="center" vertical="top" textRotation="0" wrapText="false" indent="0" shrinkToFit="false"/>
      <protection locked="true" hidden="false"/>
    </xf>
    <xf numFmtId="208" fontId="97" fillId="17" borderId="45" xfId="0" applyFont="true" applyBorder="true" applyAlignment="true" applyProtection="false">
      <alignment horizontal="center" vertical="top" textRotation="0" wrapText="true" indent="0" shrinkToFit="false"/>
      <protection locked="true" hidden="false"/>
    </xf>
    <xf numFmtId="208" fontId="98" fillId="17" borderId="2" xfId="0" applyFont="true" applyBorder="true" applyAlignment="true" applyProtection="false">
      <alignment horizontal="center" vertical="top" textRotation="0" wrapText="true" indent="0" shrinkToFit="false"/>
      <protection locked="true" hidden="false"/>
    </xf>
    <xf numFmtId="208" fontId="98" fillId="17" borderId="39" xfId="0" applyFont="true" applyBorder="true" applyAlignment="true" applyProtection="false">
      <alignment horizontal="center" vertical="top" textRotation="0" wrapText="true" indent="0" shrinkToFit="false"/>
      <protection locked="true" hidden="false"/>
    </xf>
    <xf numFmtId="208" fontId="98" fillId="17" borderId="38" xfId="0" applyFont="true" applyBorder="true" applyAlignment="true" applyProtection="false">
      <alignment horizontal="center" vertical="top" textRotation="0" wrapText="true" indent="0" shrinkToFit="false"/>
      <protection locked="true" hidden="false"/>
    </xf>
    <xf numFmtId="208" fontId="98" fillId="17" borderId="38" xfId="0" applyFont="true" applyBorder="true" applyAlignment="true" applyProtection="false">
      <alignment horizontal="center" vertical="top" textRotation="0" wrapText="false" indent="0" shrinkToFit="false"/>
      <protection locked="true" hidden="false"/>
    </xf>
    <xf numFmtId="208" fontId="97" fillId="17" borderId="39" xfId="0" applyFont="true" applyBorder="true" applyAlignment="true" applyProtection="false">
      <alignment horizontal="center" vertical="top" textRotation="0" wrapText="true" indent="0" shrinkToFit="false"/>
      <protection locked="true" hidden="false"/>
    </xf>
    <xf numFmtId="208" fontId="97" fillId="17" borderId="57" xfId="0" applyFont="true" applyBorder="true" applyAlignment="true" applyProtection="false">
      <alignment horizontal="center" vertical="top" textRotation="0" wrapText="true" indent="0" shrinkToFit="false"/>
      <protection locked="true" hidden="false"/>
    </xf>
    <xf numFmtId="164" fontId="21" fillId="0" borderId="41" xfId="0" applyFont="true" applyBorder="true" applyAlignment="true" applyProtection="false">
      <alignment horizontal="general" vertical="top" textRotation="0" wrapText="false" indent="0" shrinkToFit="false"/>
      <protection locked="true" hidden="false"/>
    </xf>
    <xf numFmtId="164" fontId="19" fillId="0" borderId="0" xfId="0" applyFont="true" applyBorder="false" applyAlignment="true" applyProtection="false">
      <alignment horizontal="general" vertical="top" textRotation="0" wrapText="false" indent="0" shrinkToFit="false"/>
      <protection locked="true" hidden="false"/>
    </xf>
    <xf numFmtId="164" fontId="21" fillId="0" borderId="19" xfId="0" applyFont="true" applyBorder="true" applyAlignment="true" applyProtection="false">
      <alignment horizontal="general" vertical="top" textRotation="0" wrapText="false" indent="0" shrinkToFit="false"/>
      <protection locked="true" hidden="false"/>
    </xf>
    <xf numFmtId="208" fontId="21" fillId="0" borderId="41" xfId="0" applyFont="true" applyBorder="true" applyAlignment="true" applyProtection="false">
      <alignment horizontal="general" vertical="top" textRotation="0" wrapText="false" indent="0" shrinkToFit="false"/>
      <protection locked="true" hidden="false"/>
    </xf>
    <xf numFmtId="208" fontId="21" fillId="0" borderId="19" xfId="0" applyFont="true" applyBorder="true" applyAlignment="true" applyProtection="false">
      <alignment horizontal="general" vertical="top" textRotation="0" wrapText="false" indent="0" shrinkToFit="false"/>
      <protection locked="true" hidden="false"/>
    </xf>
    <xf numFmtId="208" fontId="21" fillId="0" borderId="0" xfId="0" applyFont="true" applyBorder="false" applyAlignment="true" applyProtection="false">
      <alignment horizontal="general" vertical="top" textRotation="0" wrapText="false" indent="0" shrinkToFit="false"/>
      <protection locked="true" hidden="false"/>
    </xf>
    <xf numFmtId="208" fontId="21" fillId="0" borderId="40" xfId="0" applyFont="true" applyBorder="true" applyAlignment="true" applyProtection="false">
      <alignment horizontal="general" vertical="top" textRotation="0" wrapText="false" indent="0" shrinkToFit="false"/>
      <protection locked="true" hidden="false"/>
    </xf>
    <xf numFmtId="208" fontId="21" fillId="0" borderId="40" xfId="0" applyFont="true" applyBorder="true" applyAlignment="true" applyProtection="false">
      <alignment horizontal="center" vertical="top" textRotation="0" wrapText="false" indent="0" shrinkToFit="false"/>
      <protection locked="true" hidden="false"/>
    </xf>
    <xf numFmtId="208" fontId="21" fillId="0" borderId="40" xfId="0" applyFont="true" applyBorder="true" applyAlignment="true" applyProtection="false">
      <alignment horizontal="general" vertical="top" textRotation="0" wrapText="true" indent="0" shrinkToFit="false"/>
      <protection locked="true" hidden="false"/>
    </xf>
    <xf numFmtId="164" fontId="21" fillId="4" borderId="0" xfId="0" applyFont="true" applyBorder="false" applyAlignment="true" applyProtection="false">
      <alignment horizontal="center" vertical="top" textRotation="0" wrapText="false" indent="0" shrinkToFit="false"/>
      <protection locked="true" hidden="false"/>
    </xf>
    <xf numFmtId="211" fontId="23" fillId="0" borderId="19" xfId="0" applyFont="true" applyBorder="true" applyAlignment="true" applyProtection="false">
      <alignment horizontal="general" vertical="top" textRotation="0" wrapText="false" indent="0" shrinkToFit="false"/>
      <protection locked="true" hidden="false"/>
    </xf>
    <xf numFmtId="218" fontId="21" fillId="0" borderId="0" xfId="0" applyFont="true" applyBorder="false" applyAlignment="true" applyProtection="false">
      <alignment horizontal="general" vertical="top" textRotation="0" wrapText="false" indent="0" shrinkToFit="false"/>
      <protection locked="true" hidden="false"/>
    </xf>
    <xf numFmtId="164" fontId="19" fillId="0" borderId="19" xfId="0" applyFont="true" applyBorder="true" applyAlignment="true" applyProtection="false">
      <alignment horizontal="general" vertical="top" textRotation="0" wrapText="false" indent="0" shrinkToFit="false"/>
      <protection locked="true" hidden="false"/>
    </xf>
    <xf numFmtId="164" fontId="15" fillId="0" borderId="41" xfId="0" applyFont="true" applyBorder="tru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right" vertical="top" textRotation="0" wrapText="false" indent="0" shrinkToFit="false"/>
      <protection locked="true" hidden="false"/>
    </xf>
    <xf numFmtId="164" fontId="20" fillId="0" borderId="19" xfId="0" applyFont="true" applyBorder="true" applyAlignment="true" applyProtection="false">
      <alignment horizontal="general" vertical="top" textRotation="0" wrapText="false" indent="0" shrinkToFit="false"/>
      <protection locked="true" hidden="false"/>
    </xf>
    <xf numFmtId="208" fontId="15" fillId="0" borderId="41" xfId="0" applyFont="true" applyBorder="true" applyAlignment="true" applyProtection="false">
      <alignment horizontal="general" vertical="top" textRotation="0" wrapText="false" indent="0" shrinkToFit="false"/>
      <protection locked="true" hidden="false"/>
    </xf>
    <xf numFmtId="208" fontId="15" fillId="0" borderId="19" xfId="0" applyFont="true" applyBorder="true" applyAlignment="true" applyProtection="false">
      <alignment horizontal="general" vertical="top" textRotation="0" wrapText="false" indent="0" shrinkToFit="false"/>
      <protection locked="true" hidden="false"/>
    </xf>
    <xf numFmtId="208" fontId="15" fillId="0" borderId="40" xfId="0" applyFont="true" applyBorder="true" applyAlignment="true" applyProtection="false">
      <alignment horizontal="general" vertical="top" textRotation="0" wrapText="false" indent="0" shrinkToFit="false"/>
      <protection locked="true" hidden="false"/>
    </xf>
    <xf numFmtId="211" fontId="24" fillId="0" borderId="19" xfId="0" applyFont="true" applyBorder="true" applyAlignment="true" applyProtection="false">
      <alignment horizontal="general" vertical="top" textRotation="0" wrapText="false" indent="0" shrinkToFit="false"/>
      <protection locked="true" hidden="false"/>
    </xf>
    <xf numFmtId="208" fontId="15" fillId="0" borderId="40" xfId="0" applyFont="true" applyBorder="true" applyAlignment="true" applyProtection="false">
      <alignment horizontal="center" vertical="top" textRotation="0" wrapText="false" indent="0" shrinkToFit="false"/>
      <protection locked="true" hidden="false"/>
    </xf>
    <xf numFmtId="208" fontId="20" fillId="0" borderId="40" xfId="0" applyFont="true" applyBorder="true" applyAlignment="true" applyProtection="false">
      <alignment horizontal="center" vertical="top" textRotation="0" wrapText="false" indent="0" shrinkToFit="false"/>
      <protection locked="true" hidden="false"/>
    </xf>
    <xf numFmtId="208" fontId="15" fillId="0" borderId="40" xfId="0" applyFont="true" applyBorder="true" applyAlignment="true" applyProtection="false">
      <alignment horizontal="general" vertical="top" textRotation="0" wrapText="true" indent="0" shrinkToFit="false"/>
      <protection locked="true" hidden="false"/>
    </xf>
    <xf numFmtId="208" fontId="20" fillId="0" borderId="40" xfId="0" applyFont="true" applyBorder="true" applyAlignment="true" applyProtection="false">
      <alignment horizontal="general" vertical="top" textRotation="0" wrapText="true" indent="0" shrinkToFit="false"/>
      <protection locked="true" hidden="false"/>
    </xf>
    <xf numFmtId="165" fontId="21" fillId="4" borderId="0" xfId="0" applyFont="true" applyBorder="false" applyAlignment="true" applyProtection="false">
      <alignment horizontal="center" vertical="top" textRotation="0" wrapText="false" indent="0" shrinkToFit="false"/>
      <protection locked="true" hidden="false"/>
    </xf>
    <xf numFmtId="208" fontId="21" fillId="4" borderId="0" xfId="0" applyFont="true" applyBorder="false" applyAlignment="true" applyProtection="false">
      <alignment horizontal="left" vertical="top" textRotation="0" wrapText="false" indent="0" shrinkToFit="false"/>
      <protection locked="true" hidden="false"/>
    </xf>
    <xf numFmtId="208" fontId="99" fillId="0" borderId="0" xfId="0" applyFont="true" applyBorder="false" applyAlignment="true" applyProtection="false">
      <alignment horizontal="general" vertical="top" textRotation="0" wrapText="false" indent="0" shrinkToFit="false"/>
      <protection locked="true" hidden="false"/>
    </xf>
    <xf numFmtId="165" fontId="21" fillId="4" borderId="0" xfId="0" applyFont="true" applyBorder="false" applyAlignment="true" applyProtection="false">
      <alignment horizontal="general" vertical="top" textRotation="0" wrapText="false" indent="0" shrinkToFit="false"/>
      <protection locked="true" hidden="false"/>
    </xf>
    <xf numFmtId="208" fontId="16" fillId="0" borderId="40" xfId="0" applyFont="true" applyBorder="true" applyAlignment="true" applyProtection="false">
      <alignment horizontal="general" vertical="top" textRotation="0" wrapText="true" indent="0" shrinkToFit="false"/>
      <protection locked="true" hidden="false"/>
    </xf>
    <xf numFmtId="171" fontId="15" fillId="4" borderId="0" xfId="0" applyFont="true" applyBorder="false" applyAlignment="true" applyProtection="false">
      <alignment horizontal="general" vertical="top" textRotation="0" wrapText="false" indent="0" shrinkToFit="false"/>
      <protection locked="true" hidden="false"/>
    </xf>
    <xf numFmtId="164" fontId="21" fillId="0" borderId="0" xfId="0" applyFont="true" applyBorder="false" applyAlignment="true" applyProtection="false">
      <alignment horizontal="right" vertical="top" textRotation="0" wrapText="false" indent="0" shrinkToFit="false"/>
      <protection locked="true" hidden="false"/>
    </xf>
    <xf numFmtId="208" fontId="19" fillId="0" borderId="40" xfId="0" applyFont="true" applyBorder="true" applyAlignment="true" applyProtection="false">
      <alignment horizontal="center" vertical="top" textRotation="0" wrapText="false" indent="0" shrinkToFit="false"/>
      <protection locked="true" hidden="false"/>
    </xf>
    <xf numFmtId="164" fontId="21" fillId="0" borderId="58" xfId="0" applyFont="true" applyBorder="true" applyAlignment="true" applyProtection="false">
      <alignment horizontal="general" vertical="top" textRotation="0" wrapText="false" indent="0" shrinkToFit="false"/>
      <protection locked="true" hidden="false"/>
    </xf>
    <xf numFmtId="164" fontId="21" fillId="0" borderId="32" xfId="0" applyFont="true" applyBorder="true" applyAlignment="true" applyProtection="false">
      <alignment horizontal="general" vertical="top" textRotation="0" wrapText="false" indent="0" shrinkToFit="false"/>
      <protection locked="true" hidden="false"/>
    </xf>
    <xf numFmtId="164" fontId="21" fillId="0" borderId="59" xfId="0" applyFont="true" applyBorder="true" applyAlignment="true" applyProtection="false">
      <alignment horizontal="general" vertical="top" textRotation="0" wrapText="false" indent="0" shrinkToFit="false"/>
      <protection locked="true" hidden="false"/>
    </xf>
    <xf numFmtId="208" fontId="21" fillId="0" borderId="58" xfId="0" applyFont="true" applyBorder="true" applyAlignment="true" applyProtection="false">
      <alignment horizontal="general" vertical="top" textRotation="0" wrapText="false" indent="0" shrinkToFit="false"/>
      <protection locked="true" hidden="false"/>
    </xf>
    <xf numFmtId="208" fontId="21" fillId="0" borderId="59" xfId="0" applyFont="true" applyBorder="true" applyAlignment="true" applyProtection="false">
      <alignment horizontal="general" vertical="top" textRotation="0" wrapText="false" indent="0" shrinkToFit="false"/>
      <protection locked="true" hidden="false"/>
    </xf>
    <xf numFmtId="208" fontId="21" fillId="0" borderId="32" xfId="0" applyFont="true" applyBorder="true" applyAlignment="true" applyProtection="false">
      <alignment horizontal="general" vertical="top" textRotation="0" wrapText="false" indent="0" shrinkToFit="false"/>
      <protection locked="true" hidden="false"/>
    </xf>
    <xf numFmtId="208" fontId="21" fillId="0" borderId="60" xfId="0" applyFont="true" applyBorder="true" applyAlignment="true" applyProtection="false">
      <alignment horizontal="general" vertical="top" textRotation="0" wrapText="false" indent="0" shrinkToFit="false"/>
      <protection locked="true" hidden="false"/>
    </xf>
    <xf numFmtId="211" fontId="23" fillId="0" borderId="59" xfId="0" applyFont="true" applyBorder="true" applyAlignment="true" applyProtection="false">
      <alignment horizontal="general" vertical="top" textRotation="0" wrapText="false" indent="0" shrinkToFit="false"/>
      <protection locked="true" hidden="false"/>
    </xf>
    <xf numFmtId="208" fontId="21" fillId="0" borderId="60" xfId="0" applyFont="true" applyBorder="true" applyAlignment="true" applyProtection="false">
      <alignment horizontal="center" vertical="top" textRotation="0" wrapText="false" indent="0" shrinkToFit="false"/>
      <protection locked="true" hidden="false"/>
    </xf>
    <xf numFmtId="208" fontId="21" fillId="0" borderId="60" xfId="0" applyFont="true" applyBorder="true" applyAlignment="true" applyProtection="false">
      <alignment horizontal="general" vertical="top" textRotation="0" wrapText="true" indent="0" shrinkToFit="false"/>
      <protection locked="true" hidden="false"/>
    </xf>
    <xf numFmtId="164" fontId="21" fillId="0" borderId="61" xfId="0" applyFont="true" applyBorder="true" applyAlignment="true" applyProtection="false">
      <alignment horizontal="general" vertical="top" textRotation="0" wrapText="false" indent="0" shrinkToFit="false"/>
      <protection locked="true" hidden="false"/>
    </xf>
    <xf numFmtId="164" fontId="19" fillId="0" borderId="62" xfId="0" applyFont="true" applyBorder="true" applyAlignment="true" applyProtection="false">
      <alignment horizontal="general" vertical="top" textRotation="0" wrapText="false" indent="0" shrinkToFit="false"/>
      <protection locked="true" hidden="false"/>
    </xf>
    <xf numFmtId="164" fontId="21" fillId="0" borderId="63" xfId="0" applyFont="true" applyBorder="true" applyAlignment="true" applyProtection="false">
      <alignment horizontal="general" vertical="top" textRotation="0" wrapText="false" indent="0" shrinkToFit="false"/>
      <protection locked="true" hidden="false"/>
    </xf>
    <xf numFmtId="208" fontId="21" fillId="0" borderId="61" xfId="0" applyFont="true" applyBorder="true" applyAlignment="true" applyProtection="false">
      <alignment horizontal="general" vertical="top" textRotation="0" wrapText="false" indent="0" shrinkToFit="false"/>
      <protection locked="true" hidden="false"/>
    </xf>
    <xf numFmtId="208" fontId="21" fillId="0" borderId="63" xfId="0" applyFont="true" applyBorder="true" applyAlignment="true" applyProtection="false">
      <alignment horizontal="general" vertical="top" textRotation="0" wrapText="false" indent="0" shrinkToFit="false"/>
      <protection locked="true" hidden="false"/>
    </xf>
    <xf numFmtId="211" fontId="23" fillId="0" borderId="63" xfId="0" applyFont="true" applyBorder="true" applyAlignment="true" applyProtection="false">
      <alignment horizontal="general" vertical="top" textRotation="0" wrapText="false" indent="0" shrinkToFit="false"/>
      <protection locked="true" hidden="false"/>
    </xf>
    <xf numFmtId="208" fontId="21" fillId="0" borderId="64" xfId="0" applyFont="true" applyBorder="true" applyAlignment="true" applyProtection="false">
      <alignment horizontal="center" vertical="top" textRotation="0" wrapText="false" indent="0" shrinkToFit="false"/>
      <protection locked="true" hidden="false"/>
    </xf>
    <xf numFmtId="208" fontId="21" fillId="0" borderId="64" xfId="0" applyFont="true" applyBorder="true" applyAlignment="true" applyProtection="false">
      <alignment horizontal="general" vertical="top" textRotation="0" wrapText="true" indent="0" shrinkToFit="false"/>
      <protection locked="true" hidden="false"/>
    </xf>
    <xf numFmtId="208" fontId="14" fillId="4" borderId="0" xfId="0" applyFont="true" applyBorder="false" applyAlignment="true" applyProtection="false">
      <alignment horizontal="general" vertical="top" textRotation="0" wrapText="false" indent="0" shrinkToFit="false"/>
      <protection locked="true" hidden="false"/>
    </xf>
    <xf numFmtId="164" fontId="20" fillId="0" borderId="41" xfId="0" applyFont="true" applyBorder="true" applyAlignment="true" applyProtection="false">
      <alignment horizontal="general" vertical="top" textRotation="0" wrapText="false" indent="0" shrinkToFit="false"/>
      <protection locked="true" hidden="false"/>
    </xf>
    <xf numFmtId="165" fontId="15" fillId="4" borderId="0" xfId="0" applyFont="true" applyBorder="false" applyAlignment="true" applyProtection="false">
      <alignment horizontal="general" vertical="top" textRotation="0" wrapText="false" indent="0" shrinkToFit="false"/>
      <protection locked="true" hidden="false"/>
    </xf>
    <xf numFmtId="164" fontId="21" fillId="0" borderId="39" xfId="0" applyFont="true" applyBorder="true" applyAlignment="true" applyProtection="false">
      <alignment horizontal="general" vertical="top" textRotation="0" wrapText="false" indent="0" shrinkToFit="false"/>
      <protection locked="true" hidden="false"/>
    </xf>
    <xf numFmtId="164" fontId="19" fillId="0" borderId="55" xfId="0" applyFont="true" applyBorder="true" applyAlignment="true" applyProtection="false">
      <alignment horizontal="general" vertical="top" textRotation="0" wrapText="false" indent="0" shrinkToFit="false"/>
      <protection locked="true" hidden="false"/>
    </xf>
    <xf numFmtId="164" fontId="21" fillId="0" borderId="57" xfId="0" applyFont="true" applyBorder="true" applyAlignment="true" applyProtection="false">
      <alignment horizontal="general" vertical="top" textRotation="0" wrapText="false" indent="0" shrinkToFit="false"/>
      <protection locked="true" hidden="false"/>
    </xf>
    <xf numFmtId="208" fontId="21" fillId="0" borderId="39" xfId="0" applyFont="true" applyBorder="true" applyAlignment="true" applyProtection="false">
      <alignment horizontal="general" vertical="top" textRotation="0" wrapText="false" indent="0" shrinkToFit="false"/>
      <protection locked="true" hidden="false"/>
    </xf>
    <xf numFmtId="208" fontId="21" fillId="0" borderId="57" xfId="0" applyFont="true" applyBorder="true" applyAlignment="true" applyProtection="false">
      <alignment horizontal="general" vertical="top" textRotation="0" wrapText="false" indent="0" shrinkToFit="false"/>
      <protection locked="true" hidden="false"/>
    </xf>
    <xf numFmtId="208" fontId="15" fillId="0" borderId="39" xfId="0" applyFont="true" applyBorder="true" applyAlignment="true" applyProtection="false">
      <alignment horizontal="general" vertical="top" textRotation="0" wrapText="false" indent="0" shrinkToFit="false"/>
      <protection locked="true" hidden="false"/>
    </xf>
    <xf numFmtId="208" fontId="15" fillId="0" borderId="38" xfId="0" applyFont="true" applyBorder="true" applyAlignment="true" applyProtection="false">
      <alignment horizontal="general" vertical="top" textRotation="0" wrapText="false" indent="0" shrinkToFit="false"/>
      <protection locked="true" hidden="false"/>
    </xf>
    <xf numFmtId="208" fontId="15" fillId="0" borderId="55" xfId="0" applyFont="true" applyBorder="true" applyAlignment="true" applyProtection="false">
      <alignment horizontal="general" vertical="top" textRotation="0" wrapText="false" indent="0" shrinkToFit="false"/>
      <protection locked="true" hidden="false"/>
    </xf>
    <xf numFmtId="211" fontId="23" fillId="0" borderId="57" xfId="0" applyFont="true" applyBorder="true" applyAlignment="true" applyProtection="false">
      <alignment horizontal="general" vertical="top" textRotation="0" wrapText="false" indent="0" shrinkToFit="false"/>
      <protection locked="true" hidden="false"/>
    </xf>
    <xf numFmtId="208" fontId="21" fillId="0" borderId="38" xfId="0" applyFont="true" applyBorder="true" applyAlignment="true" applyProtection="false">
      <alignment horizontal="center" vertical="top" textRotation="0" wrapText="false" indent="0" shrinkToFit="false"/>
      <protection locked="true" hidden="false"/>
    </xf>
    <xf numFmtId="208" fontId="21" fillId="0" borderId="38" xfId="0" applyFont="true" applyBorder="true" applyAlignment="true" applyProtection="false">
      <alignment horizontal="general" vertical="top" textRotation="0" wrapText="true" indent="0" shrinkToFit="false"/>
      <protection locked="true" hidden="false"/>
    </xf>
    <xf numFmtId="164" fontId="15" fillId="4" borderId="0" xfId="0" applyFont="true" applyBorder="false" applyAlignment="true" applyProtection="false">
      <alignment horizontal="right" vertical="top" textRotation="0" wrapText="false" indent="0" shrinkToFit="false"/>
      <protection locked="true" hidden="false"/>
    </xf>
    <xf numFmtId="208" fontId="15" fillId="4" borderId="0" xfId="0" applyFont="true" applyBorder="false" applyAlignment="true" applyProtection="true">
      <alignment horizontal="general" vertical="top" textRotation="0" wrapText="false" indent="0" shrinkToFit="false"/>
      <protection locked="false" hidden="false"/>
    </xf>
    <xf numFmtId="164" fontId="21" fillId="4" borderId="0" xfId="0" applyFont="true" applyBorder="false" applyAlignment="true" applyProtection="false">
      <alignment horizontal="general" vertical="top" textRotation="0" wrapText="false" indent="0" shrinkToFit="false"/>
      <protection locked="true" hidden="false"/>
    </xf>
    <xf numFmtId="164" fontId="14" fillId="4" borderId="0" xfId="0" applyFont="true" applyBorder="false" applyAlignment="true" applyProtection="false">
      <alignment horizontal="general" vertical="top" textRotation="0" wrapText="false" indent="0" shrinkToFit="false"/>
      <protection locked="true" hidden="false"/>
    </xf>
    <xf numFmtId="164" fontId="21" fillId="4" borderId="0" xfId="0" applyFont="true" applyBorder="false" applyAlignment="true" applyProtection="false">
      <alignment horizontal="general" vertical="top" textRotation="0" wrapText="true" indent="0" shrinkToFit="false"/>
      <protection locked="true" hidden="false"/>
    </xf>
    <xf numFmtId="208" fontId="15" fillId="4" borderId="65" xfId="0" applyFont="true" applyBorder="true" applyAlignment="true" applyProtection="false">
      <alignment horizontal="center" vertical="top" textRotation="0" wrapText="true" indent="0" shrinkToFit="false"/>
      <protection locked="true" hidden="false"/>
    </xf>
    <xf numFmtId="168" fontId="15" fillId="4" borderId="62" xfId="0" applyFont="true" applyBorder="true" applyAlignment="true" applyProtection="false">
      <alignment horizontal="center" vertical="top" textRotation="0" wrapText="true" indent="0" shrinkToFit="false"/>
      <protection locked="true" hidden="false"/>
    </xf>
    <xf numFmtId="208" fontId="15" fillId="4" borderId="36" xfId="0" applyFont="true" applyBorder="true" applyAlignment="true" applyProtection="false">
      <alignment horizontal="right" vertical="top" textRotation="0" wrapText="true" indent="0" shrinkToFit="false"/>
      <protection locked="true" hidden="false"/>
    </xf>
    <xf numFmtId="208" fontId="21" fillId="4" borderId="0" xfId="0" applyFont="true" applyBorder="false" applyAlignment="true" applyProtection="false">
      <alignment horizontal="general" vertical="top" textRotation="0" wrapText="true" indent="0" shrinkToFit="false"/>
      <protection locked="true" hidden="false"/>
    </xf>
    <xf numFmtId="208" fontId="21" fillId="4" borderId="0" xfId="0" applyFont="true" applyBorder="false" applyAlignment="true" applyProtection="false">
      <alignment horizontal="center" vertical="top" textRotation="0" wrapText="true" indent="0" shrinkToFit="false"/>
      <protection locked="true" hidden="false"/>
    </xf>
    <xf numFmtId="164" fontId="15" fillId="4" borderId="0" xfId="0" applyFont="true" applyBorder="false" applyAlignment="true" applyProtection="false">
      <alignment horizontal="general" vertical="top" textRotation="0" wrapText="true" indent="0" shrinkToFit="false"/>
      <protection locked="true" hidden="false"/>
    </xf>
    <xf numFmtId="208" fontId="15" fillId="4" borderId="17" xfId="0" applyFont="true" applyBorder="true" applyAlignment="true" applyProtection="false">
      <alignment horizontal="center" vertical="top" textRotation="0" wrapText="true" indent="0" shrinkToFit="false"/>
      <protection locked="true" hidden="false"/>
    </xf>
    <xf numFmtId="168" fontId="15" fillId="4" borderId="0" xfId="0" applyFont="true" applyBorder="false" applyAlignment="true" applyProtection="false">
      <alignment horizontal="center" vertical="top" textRotation="0" wrapText="true" indent="0" shrinkToFit="false"/>
      <protection locked="true" hidden="false"/>
    </xf>
    <xf numFmtId="208" fontId="15" fillId="4" borderId="66" xfId="0" applyFont="true" applyBorder="true" applyAlignment="true" applyProtection="false">
      <alignment horizontal="right" vertical="top" textRotation="0" wrapText="true" indent="0" shrinkToFit="false"/>
      <protection locked="true" hidden="false"/>
    </xf>
    <xf numFmtId="208" fontId="15" fillId="4" borderId="67" xfId="0" applyFont="true" applyBorder="true" applyAlignment="true" applyProtection="false">
      <alignment horizontal="center" vertical="top" textRotation="0" wrapText="true" indent="0" shrinkToFit="false"/>
      <protection locked="true" hidden="false"/>
    </xf>
    <xf numFmtId="168" fontId="15" fillId="4" borderId="32" xfId="0" applyFont="true" applyBorder="true" applyAlignment="true" applyProtection="false">
      <alignment horizontal="center" vertical="top" textRotation="0" wrapText="true" indent="0" shrinkToFit="false"/>
      <protection locked="true" hidden="false"/>
    </xf>
    <xf numFmtId="208" fontId="15" fillId="4" borderId="68" xfId="0" applyFont="true" applyBorder="true" applyAlignment="true" applyProtection="false">
      <alignment horizontal="right" vertical="top" textRotation="0" wrapText="true" indent="0" shrinkToFit="false"/>
      <protection locked="true" hidden="false"/>
    </xf>
    <xf numFmtId="208" fontId="21" fillId="4" borderId="55" xfId="0" applyFont="true" applyBorder="true" applyAlignment="true" applyProtection="false">
      <alignment horizontal="center" vertical="top" textRotation="0" wrapText="true" indent="0" shrinkToFit="false"/>
      <protection locked="true" hidden="false"/>
    </xf>
    <xf numFmtId="164" fontId="97" fillId="17" borderId="2" xfId="0" applyFont="true" applyBorder="true" applyAlignment="true" applyProtection="false">
      <alignment horizontal="center" vertical="top" textRotation="0" wrapText="true" indent="0" shrinkToFit="false"/>
      <protection locked="true" hidden="false"/>
    </xf>
    <xf numFmtId="164" fontId="21" fillId="0" borderId="19" xfId="0" applyFont="true" applyBorder="true" applyAlignment="true" applyProtection="false">
      <alignment horizontal="general" vertical="top" textRotation="0" wrapText="true" indent="0" shrinkToFit="false"/>
      <protection locked="true" hidden="false"/>
    </xf>
    <xf numFmtId="208" fontId="21" fillId="0" borderId="0" xfId="0" applyFont="true" applyBorder="false" applyAlignment="true" applyProtection="false">
      <alignment horizontal="general" vertical="top" textRotation="0" wrapText="true" indent="0" shrinkToFit="false"/>
      <protection locked="true" hidden="false"/>
    </xf>
    <xf numFmtId="208" fontId="21" fillId="0" borderId="19" xfId="0" applyFont="true" applyBorder="true" applyAlignment="true" applyProtection="false">
      <alignment horizontal="general" vertical="top" textRotation="0" wrapText="true" indent="0" shrinkToFit="false"/>
      <protection locked="true" hidden="false"/>
    </xf>
    <xf numFmtId="208" fontId="21" fillId="0" borderId="41" xfId="0" applyFont="true" applyBorder="true" applyAlignment="true" applyProtection="false">
      <alignment horizontal="general" vertical="top" textRotation="0" wrapText="true" indent="0" shrinkToFit="false"/>
      <protection locked="true" hidden="false"/>
    </xf>
    <xf numFmtId="211" fontId="23" fillId="0" borderId="19" xfId="0" applyFont="true" applyBorder="true" applyAlignment="true" applyProtection="false">
      <alignment horizontal="general" vertical="top" textRotation="0" wrapText="true" indent="0" shrinkToFit="false"/>
      <protection locked="true" hidden="false"/>
    </xf>
    <xf numFmtId="208" fontId="21" fillId="0" borderId="40" xfId="0" applyFont="true" applyBorder="true" applyAlignment="true" applyProtection="false">
      <alignment horizontal="center" vertical="top" textRotation="0" wrapText="true" indent="0" shrinkToFit="false"/>
      <protection locked="true" hidden="false"/>
    </xf>
    <xf numFmtId="164" fontId="20" fillId="0" borderId="19" xfId="0" applyFont="true" applyBorder="true" applyAlignment="true" applyProtection="false">
      <alignment horizontal="general" vertical="top" textRotation="0" wrapText="true" indent="0" shrinkToFit="false"/>
      <protection locked="true" hidden="false"/>
    </xf>
    <xf numFmtId="208" fontId="15" fillId="0" borderId="0" xfId="0" applyFont="true" applyBorder="false" applyAlignment="true" applyProtection="false">
      <alignment horizontal="general" vertical="top" textRotation="0" wrapText="true" indent="0" shrinkToFit="false"/>
      <protection locked="true" hidden="false"/>
    </xf>
    <xf numFmtId="208" fontId="15" fillId="0" borderId="19" xfId="0" applyFont="true" applyBorder="true" applyAlignment="true" applyProtection="false">
      <alignment horizontal="general" vertical="top" textRotation="0" wrapText="true" indent="0" shrinkToFit="false"/>
      <protection locked="true" hidden="false"/>
    </xf>
    <xf numFmtId="208" fontId="15" fillId="0" borderId="41" xfId="0" applyFont="true" applyBorder="true" applyAlignment="true" applyProtection="false">
      <alignment horizontal="general" vertical="top" textRotation="0" wrapText="true" indent="0" shrinkToFit="false"/>
      <protection locked="true" hidden="false"/>
    </xf>
    <xf numFmtId="211" fontId="24" fillId="0" borderId="19" xfId="0" applyFont="true" applyBorder="true" applyAlignment="true" applyProtection="false">
      <alignment horizontal="general" vertical="top" textRotation="0" wrapText="true" indent="0" shrinkToFit="false"/>
      <protection locked="true" hidden="false"/>
    </xf>
    <xf numFmtId="208" fontId="20" fillId="0" borderId="40" xfId="0" applyFont="true" applyBorder="true" applyAlignment="true" applyProtection="false">
      <alignment horizontal="center" vertical="top" textRotation="0" wrapText="true" indent="0" shrinkToFit="false"/>
      <protection locked="true" hidden="false"/>
    </xf>
    <xf numFmtId="164" fontId="19" fillId="0" borderId="19" xfId="0" applyFont="true" applyBorder="true" applyAlignment="true" applyProtection="false">
      <alignment horizontal="general" vertical="top" textRotation="0" wrapText="true" indent="0" shrinkToFit="false"/>
      <protection locked="true" hidden="false"/>
    </xf>
    <xf numFmtId="208" fontId="19" fillId="0" borderId="40" xfId="0" applyFont="true" applyBorder="true" applyAlignment="true" applyProtection="false">
      <alignment horizontal="center" vertical="top" textRotation="0" wrapText="true" indent="0" shrinkToFit="false"/>
      <protection locked="true" hidden="false"/>
    </xf>
    <xf numFmtId="208" fontId="19" fillId="0" borderId="40" xfId="0" applyFont="true" applyBorder="true" applyAlignment="true" applyProtection="false">
      <alignment horizontal="general" vertical="top" textRotation="0" wrapText="true" indent="0" shrinkToFit="false"/>
      <protection locked="true" hidden="false"/>
    </xf>
    <xf numFmtId="164" fontId="21" fillId="0" borderId="41" xfId="0" applyFont="true" applyBorder="true" applyAlignment="true" applyProtection="false">
      <alignment horizontal="right" vertical="top" textRotation="0" wrapText="false" indent="0" shrinkToFit="false"/>
      <protection locked="true" hidden="false"/>
    </xf>
    <xf numFmtId="164" fontId="19" fillId="0" borderId="0" xfId="0" applyFont="true" applyBorder="false" applyAlignment="true" applyProtection="false">
      <alignment horizontal="left" vertical="top" textRotation="0" wrapText="false" indent="0" shrinkToFit="false"/>
      <protection locked="true" hidden="false"/>
    </xf>
    <xf numFmtId="211" fontId="23" fillId="0" borderId="40"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5" fontId="21" fillId="0" borderId="0" xfId="0" applyFont="true" applyBorder="false" applyAlignment="true" applyProtection="false">
      <alignment horizontal="general" vertical="top" textRotation="0" wrapText="false" indent="0" shrinkToFit="false"/>
      <protection locked="true" hidden="false"/>
    </xf>
    <xf numFmtId="208" fontId="15" fillId="0" borderId="40" xfId="0" applyFont="true" applyBorder="true" applyAlignment="true" applyProtection="false">
      <alignment horizontal="center" vertical="top" textRotation="0" wrapText="true" indent="0" shrinkToFit="false"/>
      <protection locked="true" hidden="false"/>
    </xf>
    <xf numFmtId="164" fontId="21" fillId="0" borderId="57" xfId="0" applyFont="true" applyBorder="true" applyAlignment="true" applyProtection="false">
      <alignment horizontal="general" vertical="top" textRotation="0" wrapText="true" indent="0" shrinkToFit="false"/>
      <protection locked="true" hidden="false"/>
    </xf>
    <xf numFmtId="208" fontId="21" fillId="0" borderId="55" xfId="0" applyFont="true" applyBorder="true" applyAlignment="true" applyProtection="false">
      <alignment horizontal="general" vertical="top" textRotation="0" wrapText="true" indent="0" shrinkToFit="false"/>
      <protection locked="true" hidden="false"/>
    </xf>
    <xf numFmtId="208" fontId="21" fillId="0" borderId="57" xfId="0" applyFont="true" applyBorder="true" applyAlignment="true" applyProtection="false">
      <alignment horizontal="general" vertical="top" textRotation="0" wrapText="true" indent="0" shrinkToFit="false"/>
      <protection locked="true" hidden="false"/>
    </xf>
    <xf numFmtId="208" fontId="15" fillId="0" borderId="39" xfId="0" applyFont="true" applyBorder="true" applyAlignment="true" applyProtection="false">
      <alignment horizontal="general" vertical="top" textRotation="0" wrapText="true" indent="0" shrinkToFit="false"/>
      <protection locked="true" hidden="false"/>
    </xf>
    <xf numFmtId="208" fontId="21" fillId="0" borderId="39" xfId="0" applyFont="true" applyBorder="true" applyAlignment="true" applyProtection="false">
      <alignment horizontal="general" vertical="top" textRotation="0" wrapText="true" indent="0" shrinkToFit="false"/>
      <protection locked="true" hidden="false"/>
    </xf>
    <xf numFmtId="211" fontId="23" fillId="0" borderId="57" xfId="0" applyFont="true" applyBorder="true" applyAlignment="true" applyProtection="false">
      <alignment horizontal="general" vertical="top" textRotation="0" wrapText="true" indent="0" shrinkToFit="false"/>
      <protection locked="true" hidden="false"/>
    </xf>
    <xf numFmtId="208" fontId="21" fillId="0" borderId="38" xfId="0" applyFont="true" applyBorder="true" applyAlignment="true" applyProtection="false">
      <alignment horizontal="center" vertical="top" textRotation="0" wrapText="true" indent="0" shrinkToFit="false"/>
      <protection locked="true" hidden="false"/>
    </xf>
    <xf numFmtId="208" fontId="15" fillId="4" borderId="0" xfId="0" applyFont="true" applyBorder="false" applyAlignment="true" applyProtection="false">
      <alignment horizontal="general" vertical="top" textRotation="0" wrapText="true" indent="0" shrinkToFit="false"/>
      <protection locked="true" hidden="false"/>
    </xf>
    <xf numFmtId="213" fontId="15" fillId="4" borderId="0" xfId="0" applyFont="true" applyBorder="false" applyAlignment="true" applyProtection="false">
      <alignment horizontal="general" vertical="top" textRotation="0" wrapText="true" indent="0" shrinkToFit="false"/>
      <protection locked="true" hidden="false"/>
    </xf>
    <xf numFmtId="164" fontId="15" fillId="4" borderId="0" xfId="0" applyFont="true" applyBorder="false" applyAlignment="true" applyProtection="true">
      <alignment horizontal="general" vertical="top" textRotation="0" wrapText="true" indent="0" shrinkToFit="false"/>
      <protection locked="false" hidden="false"/>
    </xf>
    <xf numFmtId="208" fontId="15" fillId="4" borderId="0" xfId="0" applyFont="true" applyBorder="false" applyAlignment="true" applyProtection="true">
      <alignment horizontal="general" vertical="top" textRotation="0" wrapText="true" indent="0" shrinkToFit="false"/>
      <protection locked="false" hidden="false"/>
    </xf>
    <xf numFmtId="208" fontId="14" fillId="4" borderId="0" xfId="0" applyFont="true" applyBorder="false" applyAlignment="true" applyProtection="false">
      <alignment horizontal="general" vertical="top" textRotation="0" wrapText="true" indent="0" shrinkToFit="false"/>
      <protection locked="true" hidden="false"/>
    </xf>
    <xf numFmtId="164" fontId="19" fillId="4" borderId="2" xfId="0" applyFont="true" applyBorder="true" applyAlignment="true" applyProtection="true">
      <alignment horizontal="center" vertical="top" textRotation="0" wrapText="true" indent="0" shrinkToFit="false"/>
      <protection locked="false" hidden="false"/>
    </xf>
    <xf numFmtId="208" fontId="21" fillId="4" borderId="2" xfId="0" applyFont="true" applyBorder="true" applyAlignment="true" applyProtection="true">
      <alignment horizontal="center" vertical="top" textRotation="0" wrapText="true" indent="0" shrinkToFit="false"/>
      <protection locked="false" hidden="false"/>
    </xf>
    <xf numFmtId="164" fontId="19" fillId="4" borderId="2" xfId="0" applyFont="true" applyBorder="true" applyAlignment="true" applyProtection="true">
      <alignment horizontal="general" vertical="top" textRotation="0" wrapText="true" indent="0" shrinkToFit="false"/>
      <protection locked="false" hidden="false"/>
    </xf>
    <xf numFmtId="208" fontId="21" fillId="4" borderId="2" xfId="0" applyFont="true" applyBorder="true" applyAlignment="true" applyProtection="true">
      <alignment horizontal="general" vertical="top" textRotation="0" wrapText="true" indent="0" shrinkToFit="false"/>
      <protection locked="false" hidden="false"/>
    </xf>
    <xf numFmtId="208" fontId="19" fillId="4" borderId="0" xfId="0" applyFont="true" applyBorder="false" applyAlignment="true" applyProtection="false">
      <alignment horizontal="general" vertical="top" textRotation="0" wrapText="true" indent="0" shrinkToFit="false"/>
      <protection locked="true" hidden="false"/>
    </xf>
    <xf numFmtId="208" fontId="15" fillId="4" borderId="2" xfId="0" applyFont="true" applyBorder="true" applyAlignment="true" applyProtection="true">
      <alignment horizontal="general" vertical="top" textRotation="0" wrapText="true" indent="0" shrinkToFit="false"/>
      <protection locked="false" hidden="false"/>
    </xf>
    <xf numFmtId="208" fontId="19" fillId="4" borderId="0" xfId="0" applyFont="true" applyBorder="false" applyAlignment="true" applyProtection="false">
      <alignment horizontal="general" vertical="top" textRotation="0" wrapText="false" indent="0" shrinkToFit="false"/>
      <protection locked="true" hidden="false"/>
    </xf>
    <xf numFmtId="164" fontId="20" fillId="4" borderId="2" xfId="0" applyFont="true" applyBorder="true" applyAlignment="true" applyProtection="true">
      <alignment horizontal="general" vertical="top" textRotation="0" wrapText="true" indent="0" shrinkToFit="false"/>
      <protection locked="false" hidden="false"/>
    </xf>
    <xf numFmtId="208" fontId="37" fillId="4" borderId="0" xfId="0" applyFont="true" applyBorder="false" applyAlignment="true" applyProtection="false">
      <alignment horizontal="general" vertical="top" textRotation="0" wrapText="true" indent="0" shrinkToFit="false"/>
      <protection locked="true" hidden="false"/>
    </xf>
    <xf numFmtId="164" fontId="30" fillId="4" borderId="2" xfId="0" applyFont="true" applyBorder="true" applyAlignment="true" applyProtection="true">
      <alignment horizontal="general" vertical="top" textRotation="0" wrapText="true" indent="0" shrinkToFit="false"/>
      <protection locked="false" hidden="false"/>
    </xf>
    <xf numFmtId="208" fontId="16" fillId="4" borderId="2" xfId="0" applyFont="true" applyBorder="true" applyAlignment="true" applyProtection="true">
      <alignment horizontal="general" vertical="top" textRotation="0" wrapText="true" indent="0" shrinkToFit="false"/>
      <protection locked="false" hidden="false"/>
    </xf>
    <xf numFmtId="208" fontId="18" fillId="4" borderId="0" xfId="0" applyFont="true" applyBorder="false" applyAlignment="true" applyProtection="false">
      <alignment horizontal="general" vertical="top" textRotation="0" wrapText="true" indent="0" shrinkToFit="false"/>
      <protection locked="true" hidden="false"/>
    </xf>
  </cellXfs>
  <cellStyles count="39660">
    <cellStyle name="Normal" xfId="0" builtinId="0"/>
    <cellStyle name="Comma" xfId="15" builtinId="3"/>
    <cellStyle name="Comma [0]" xfId="16" builtinId="6"/>
    <cellStyle name="Currency" xfId="17" builtinId="4"/>
    <cellStyle name="Currency [0]" xfId="18" builtinId="7"/>
    <cellStyle name="Percent" xfId="19" builtinId="5"/>
    <cellStyle name="_x0001_b" xfId="20"/>
    <cellStyle name="_x0004__x0002__x0002__x0003__x0001_$_x000c_&#9;" xfId="21"/>
    <cellStyle name="_x0004__x0004__x0004_-(_x0004_ _x000c_" xfId="22"/>
    <cellStyle name="_x0004_3;_x0018_" xfId="23"/>
    <cellStyle name="_x0006_%" xfId="24"/>
    <cellStyle name="_x0007_" xfId="25"/>
    <cellStyle name="_x0007__x000b_" xfId="26"/>
    <cellStyle name="&#10;386grabber=M" xfId="27"/>
    <cellStyle name="&#10;386grabber=M 2" xfId="28"/>
    <cellStyle name="&#10;386grabber=M 2 2" xfId="29"/>
    <cellStyle name="&#10;386grabber=M 2 3" xfId="30"/>
    <cellStyle name="&#10;386grabber=M 2 4" xfId="31"/>
    <cellStyle name="&#10;386grabber=M 2 5" xfId="32"/>
    <cellStyle name="&#10;386grabber=M 3" xfId="33"/>
    <cellStyle name="&#10;386grabber=M 4" xfId="34"/>
    <cellStyle name="&#10;386grabber=M 5" xfId="35"/>
    <cellStyle name="_x0014__x0010_" xfId="36"/>
    <cellStyle name="_x001d_@" xfId="37"/>
    <cellStyle name="_x001f_?--_x0004_ _x000c_&#9;_x0003__x000b__x0001_&#10;_x000b__x0002_--_x0008__x0004__x0002__x0002__x0007__x0007__x0007__x0007__x0007__x0007__x0007__x0007__x0007__x0007__x0007__x0007__x0007__x0007__x0002_-_x0004_ _x000c_&#9;_x0003__x000b__x0001_&#10;_x000b__x0002_--_x0008__x0002_" xfId="38"/>
    <cellStyle name="_x001f_?--_x0004_ _x000c_ _x0003__x000b__x0001_&#10;_x000b__x0002_--_x0008__x0004__x0002__x0002__x0007__x0007__x0007__x0007__x0007__x0007__x0007__x0007__x0007__x0007__x0007__x0007__x0007__x0007__x0002_-_x0004_ _x000c_ _x0003__x000b__x0001_&#10;_x000b__x0002_--_x0008__x0002_" xfId="39"/>
    <cellStyle name=" " xfId="40"/>
    <cellStyle name="          &#13;&#10;386grabber=AVGA.3GR&#13;" xfId="41"/>
    <cellStyle name="          &#13;&#10;386grabber=KSVGA.3GR" xfId="42"/>
    <cellStyle name="          &#13;&#10;386grabber=vga.3gr&#13;&#10;" xfId="43"/>
    <cellStyle name="          &#13;&#10;mouse.drv=lmouse.drv" xfId="44"/>
    <cellStyle name="          &#13;&#10;shell=progman.exe&#13;&#10;m" xfId="45"/>
    <cellStyle name=" 1" xfId="46"/>
    <cellStyle name=" [0]_인원95년" xfId="47"/>
    <cellStyle name=" 물류비_실시품의준_4-1실적" xfId="48"/>
    <cellStyle name=" 허용예산.xls]3v16ictONiIe4PXBkWMyPCb5O" xfId="49"/>
    <cellStyle name=" 허용예산.xls]3v16ictONiIe4PXBkWMyPCb5O 2" xfId="50"/>
    <cellStyle name=" 허용예산.xls]3v16ictONiIe4PXBkWMyPCb5O 3" xfId="51"/>
    <cellStyle name=" 허용예산.xls]3v16ictONiIe4PXBkWMyPCb5O 4" xfId="52"/>
    <cellStyle name="#" xfId="53"/>
    <cellStyle name="#,##0" xfId="54"/>
    <cellStyle name="#,##0!" xfId="55"/>
    <cellStyle name="#,##0$" xfId="56"/>
    <cellStyle name="#,##0$!" xfId="57"/>
    <cellStyle name="#,##0$$" xfId="58"/>
    <cellStyle name="#,##0$$!" xfId="59"/>
    <cellStyle name="#,##0$$$" xfId="60"/>
    <cellStyle name="#,##0$$$!" xfId="61"/>
    <cellStyle name="#,##0$$$$" xfId="62"/>
    <cellStyle name="#,##0$$$$!" xfId="63"/>
    <cellStyle name="#,##0$$$$$" xfId="64"/>
    <cellStyle name="#,##0$$$$$!" xfId="65"/>
    <cellStyle name="#,##0$$$$$$" xfId="66"/>
    <cellStyle name="#,##0$$$$$$!" xfId="67"/>
    <cellStyle name="#,##0$$$$$$$" xfId="68"/>
    <cellStyle name="#,##0$$$$$$$!" xfId="69"/>
    <cellStyle name="#,##0$$$$$$$$" xfId="70"/>
    <cellStyle name="#,##0$$$$$$_미정리예수금 " xfId="71"/>
    <cellStyle name="#,##0$$$$$_미정리예수금 " xfId="72"/>
    <cellStyle name="#,##0.0" xfId="73"/>
    <cellStyle name="#,##0.0$" xfId="74"/>
    <cellStyle name="#,##0.0$!" xfId="75"/>
    <cellStyle name="#,##0.0$$" xfId="76"/>
    <cellStyle name="#,##0.0$$!" xfId="77"/>
    <cellStyle name="#,##0.0$$$" xfId="78"/>
    <cellStyle name="#,##0.0$$$!" xfId="79"/>
    <cellStyle name="#,##0.0$$$$" xfId="80"/>
    <cellStyle name="#,##0.0$$$$!" xfId="81"/>
    <cellStyle name="#,##0.0$$$$$" xfId="82"/>
    <cellStyle name="#,##0.0$$$$$!" xfId="83"/>
    <cellStyle name="#,##0.0$$$$$$" xfId="84"/>
    <cellStyle name="#,##0.0$$$$$$!" xfId="85"/>
    <cellStyle name="#,##0.0$$$$$$_미정리예수금 " xfId="86"/>
    <cellStyle name="#,##0.0$$$$$_종합" xfId="87"/>
    <cellStyle name="#,##0.0$$$$_미정리예수금 " xfId="88"/>
    <cellStyle name="#,##0.0$$_미정리예수금 " xfId="89"/>
    <cellStyle name="#,##0.00" xfId="90"/>
    <cellStyle name="#,##0.000" xfId="91"/>
    <cellStyle name="$" xfId="92"/>
    <cellStyle name="$_db진흥" xfId="93"/>
    <cellStyle name="$_db진흥 2" xfId="94"/>
    <cellStyle name="$_~0065204" xfId="95"/>
    <cellStyle name="$_견적2" xfId="96"/>
    <cellStyle name="$_견적2 2" xfId="97"/>
    <cellStyle name="$_기아" xfId="98"/>
    <cellStyle name="$_기아 2" xfId="99"/>
    <cellStyle name="$_인계인수자금" xfId="100"/>
    <cellStyle name="$_인계인수자금_08년 1분기 퇴직충당금 추계액" xfId="101"/>
    <cellStyle name="$_인계인수자금_퇴직충당금 추계액" xfId="102"/>
    <cellStyle name="-" xfId="103"/>
    <cellStyle name="- 2" xfId="104"/>
    <cellStyle name="- 3" xfId="105"/>
    <cellStyle name="- 4" xfId="106"/>
    <cellStyle name="-#,###" xfId="107"/>
    <cellStyle name="-#,### 2" xfId="108"/>
    <cellStyle name="-#,### 3" xfId="109"/>
    <cellStyle name="-#,### 4" xfId="110"/>
    <cellStyle name="-$_x0002_" xfId="111"/>
    <cellStyle name="-156300" xfId="112"/>
    <cellStyle name="-1실적" xfId="113"/>
    <cellStyle name="-_2기분석조서" xfId="114"/>
    <cellStyle name="-_2기분석조서 2" xfId="115"/>
    <cellStyle name="-_2기분석조서 3" xfId="116"/>
    <cellStyle name="-_2기분석조서 4" xfId="117"/>
    <cellStyle name="-_2기분석조서_C.F Form(누계)" xfId="118"/>
    <cellStyle name="-_2기분석조서_C.F Form(월별)" xfId="119"/>
    <cellStyle name="-_2기분석조서_C.F작성양식" xfId="120"/>
    <cellStyle name="-_2기분석조서_SCL2006-FS-070910" xfId="121"/>
    <cellStyle name="-_C.F Form(누계)" xfId="122"/>
    <cellStyle name="-_C.F Form(월별)" xfId="123"/>
    <cellStyle name="-_C.F작성양식" xfId="124"/>
    <cellStyle name="-_SCL2006-FS-070910" xfId="125"/>
    <cellStyle name="-_단기투자, 장기투자의 양식(회계사요청)(1)" xfId="126"/>
    <cellStyle name="-_단기투자, 장기투자의 양식(회계사요청)(1) 2" xfId="127"/>
    <cellStyle name="-_단기투자, 장기투자의 양식(회계사요청)(1) 3" xfId="128"/>
    <cellStyle name="-_단기투자, 장기투자의 양식(회계사요청)(1) 4" xfId="129"/>
    <cellStyle name="-_단기투자, 장기투자의 양식(회계사요청)(1)_99Group center-04기말-LHY" xfId="130"/>
    <cellStyle name="-_단기투자, 장기투자의 양식(회계사요청)(1)_99Group center-04기말-LHY 2" xfId="131"/>
    <cellStyle name="-_단기투자, 장기투자의 양식(회계사요청)(1)_99Group center-04기말-LHY 3" xfId="132"/>
    <cellStyle name="-_단기투자, 장기투자의 양식(회계사요청)(1)_99Group center-04기말-LHY 4" xfId="133"/>
    <cellStyle name="-_단기투자, 장기투자의 양식(회계사요청)(1)_99Group center-04중간업데이트기말-LHY" xfId="134"/>
    <cellStyle name="-_단기투자, 장기투자의 양식(회계사요청)(1)_99Group center-04중간업데이트기말-LHY 2" xfId="135"/>
    <cellStyle name="-_단기투자, 장기투자의 양식(회계사요청)(1)_99Group center-04중간업데이트기말-LHY 3" xfId="136"/>
    <cellStyle name="-_단기투자, 장기투자의 양식(회계사요청)(1)_99Group center-04중간업데이트기말-LHY 4" xfId="137"/>
    <cellStyle name="-_단기투자, 장기투자의 양식(회계사요청)(1)_99Group center-ARP04기말-LHY" xfId="138"/>
    <cellStyle name="-_단기투자, 장기투자의 양식(회계사요청)(1)_99Group center-ARP04기말-LHY 2" xfId="139"/>
    <cellStyle name="-_단기투자, 장기투자의 양식(회계사요청)(1)_99Group center-ARP04기말-LHY 3" xfId="140"/>
    <cellStyle name="-_단기투자, 장기투자의 양식(회계사요청)(1)_99Group center-ARP04기말-LHY 4" xfId="141"/>
    <cellStyle name="-_대출채권 Sampling" xfId="142"/>
    <cellStyle name="-_대출채권 Sampling 2" xfId="143"/>
    <cellStyle name="-_대출채권 Sampling 3" xfId="144"/>
    <cellStyle name="-_대출채권 Sampling 4" xfId="145"/>
    <cellStyle name="-_대출채권 Sampling_99Group center-04기말-LHY" xfId="146"/>
    <cellStyle name="-_대출채권 Sampling_99Group center-04기말-LHY 2" xfId="147"/>
    <cellStyle name="-_대출채권 Sampling_99Group center-04기말-LHY 3" xfId="148"/>
    <cellStyle name="-_대출채권 Sampling_99Group center-04기말-LHY 4" xfId="149"/>
    <cellStyle name="-_대출채권 Sampling_99Group center-04중간업데이트기말-LHY" xfId="150"/>
    <cellStyle name="-_대출채권 Sampling_99Group center-04중간업데이트기말-LHY 2" xfId="151"/>
    <cellStyle name="-_대출채권 Sampling_99Group center-04중간업데이트기말-LHY 3" xfId="152"/>
    <cellStyle name="-_대출채권 Sampling_99Group center-04중간업데이트기말-LHY 4" xfId="153"/>
    <cellStyle name="-_대출채권 Sampling_99Group center-ARP04기말-LHY" xfId="154"/>
    <cellStyle name="-_대출채권 Sampling_99Group center-ARP04기말-LHY 2" xfId="155"/>
    <cellStyle name="-_대출채권 Sampling_99Group center-ARP04기말-LHY 3" xfId="156"/>
    <cellStyle name="-_대출채권 Sampling_99Group center-ARP04기말-LHY 4" xfId="157"/>
    <cellStyle name="-_동양매직-03(LHY)" xfId="158"/>
    <cellStyle name="-_동양매직-03(LHY) 2" xfId="159"/>
    <cellStyle name="-_동양매직-03(LHY) 3" xfId="160"/>
    <cellStyle name="-_동양매직-03(LHY) 4" xfId="161"/>
    <cellStyle name="-_동양매직-03(LHY)_99Group center-04기말-LHY" xfId="162"/>
    <cellStyle name="-_동양매직-03(LHY)_99Group center-04기말-LHY 2" xfId="163"/>
    <cellStyle name="-_동양매직-03(LHY)_99Group center-04기말-LHY 3" xfId="164"/>
    <cellStyle name="-_동양매직-03(LHY)_99Group center-04기말-LHY 4" xfId="165"/>
    <cellStyle name="-_동양매직-03(LHY)_99Group center-04중간업데이트기말-LHY" xfId="166"/>
    <cellStyle name="-_동양매직-03(LHY)_99Group center-04중간업데이트기말-LHY 2" xfId="167"/>
    <cellStyle name="-_동양매직-03(LHY)_99Group center-04중간업데이트기말-LHY 3" xfId="168"/>
    <cellStyle name="-_동양매직-03(LHY)_99Group center-04중간업데이트기말-LHY 4" xfId="169"/>
    <cellStyle name="-_동양매직-03(LHY)_99Group center-ARP04기말-LHY" xfId="170"/>
    <cellStyle name="-_동양매직-03(LHY)_99Group center-ARP04기말-LHY 2" xfId="171"/>
    <cellStyle name="-_동양매직-03(LHY)_99Group center-ARP04기말-LHY 3" xfId="172"/>
    <cellStyle name="-_동양매직-03(LHY)_99Group center-ARP04기말-LHY 4" xfId="173"/>
    <cellStyle name="-_매직산업(03기말-LHY)" xfId="174"/>
    <cellStyle name="-_매직산업(03기말-LHY) 2" xfId="175"/>
    <cellStyle name="-_매직산업(03기말-LHY) 3" xfId="176"/>
    <cellStyle name="-_매직산업(03기말-LHY) 4" xfId="177"/>
    <cellStyle name="-_매직산업(03기말-LHY)_99Group center-04기말-LHY" xfId="178"/>
    <cellStyle name="-_매직산업(03기말-LHY)_99Group center-04기말-LHY 2" xfId="179"/>
    <cellStyle name="-_매직산업(03기말-LHY)_99Group center-04기말-LHY 3" xfId="180"/>
    <cellStyle name="-_매직산업(03기말-LHY)_99Group center-04기말-LHY 4" xfId="181"/>
    <cellStyle name="-_매직산업(03기말-LHY)_99Group center-04중간업데이트기말-LHY" xfId="182"/>
    <cellStyle name="-_매직산업(03기말-LHY)_99Group center-04중간업데이트기말-LHY 2" xfId="183"/>
    <cellStyle name="-_매직산업(03기말-LHY)_99Group center-04중간업데이트기말-LHY 3" xfId="184"/>
    <cellStyle name="-_매직산업(03기말-LHY)_99Group center-04중간업데이트기말-LHY 4" xfId="185"/>
    <cellStyle name="-_매직산업(03기말-LHY)_99Group center-ARP04기말-LHY" xfId="186"/>
    <cellStyle name="-_매직산업(03기말-LHY)_99Group center-ARP04기말-LHY 2" xfId="187"/>
    <cellStyle name="-_매직산업(03기말-LHY)_99Group center-ARP04기말-LHY 3" xfId="188"/>
    <cellStyle name="-_매직산업(03기말-LHY)_99Group center-ARP04기말-LHY 4" xfId="189"/>
    <cellStyle name="-_벽산페인트(03,LHY)1" xfId="190"/>
    <cellStyle name="-_벽산페인트(03,LHY)1 2" xfId="191"/>
    <cellStyle name="-_벽산페인트(03,LHY)1 3" xfId="192"/>
    <cellStyle name="-_벽산페인트(03,LHY)1 4" xfId="193"/>
    <cellStyle name="-_벽산페인트(03,LHY)1_99Group center-04기말-LHY" xfId="194"/>
    <cellStyle name="-_벽산페인트(03,LHY)1_99Group center-04기말-LHY 2" xfId="195"/>
    <cellStyle name="-_벽산페인트(03,LHY)1_99Group center-04기말-LHY 3" xfId="196"/>
    <cellStyle name="-_벽산페인트(03,LHY)1_99Group center-04기말-LHY 4" xfId="197"/>
    <cellStyle name="-_벽산페인트(03,LHY)1_99Group center-04중간업데이트기말-LHY" xfId="198"/>
    <cellStyle name="-_벽산페인트(03,LHY)1_99Group center-04중간업데이트기말-LHY 2" xfId="199"/>
    <cellStyle name="-_벽산페인트(03,LHY)1_99Group center-04중간업데이트기말-LHY 3" xfId="200"/>
    <cellStyle name="-_벽산페인트(03,LHY)1_99Group center-04중간업데이트기말-LHY 4" xfId="201"/>
    <cellStyle name="-_벽산페인트(03,LHY)1_99Group center-ARP04기말-LHY" xfId="202"/>
    <cellStyle name="-_벽산페인트(03,LHY)1_99Group center-ARP04기말-LHY 2" xfId="203"/>
    <cellStyle name="-_벽산페인트(03,LHY)1_99Group center-ARP04기말-LHY 3" xfId="204"/>
    <cellStyle name="-_벽산페인트(03,LHY)1_99Group center-ARP04기말-LHY 4" xfId="205"/>
    <cellStyle name="-_부가세차이" xfId="206"/>
    <cellStyle name="-_부가세차이 2" xfId="207"/>
    <cellStyle name="-_부가세차이 3" xfId="208"/>
    <cellStyle name="-_부가세차이 4" xfId="209"/>
    <cellStyle name="-_부가세차이_99Group center-04기말-LHY" xfId="210"/>
    <cellStyle name="-_부가세차이_99Group center-04기말-LHY 2" xfId="211"/>
    <cellStyle name="-_부가세차이_99Group center-04기말-LHY 3" xfId="212"/>
    <cellStyle name="-_부가세차이_99Group center-04기말-LHY 4" xfId="213"/>
    <cellStyle name="-_부가세차이_99Group center-04중간업데이트기말-LHY" xfId="214"/>
    <cellStyle name="-_부가세차이_99Group center-04중간업데이트기말-LHY 2" xfId="215"/>
    <cellStyle name="-_부가세차이_99Group center-04중간업데이트기말-LHY 3" xfId="216"/>
    <cellStyle name="-_부가세차이_99Group center-04중간업데이트기말-LHY 4" xfId="217"/>
    <cellStyle name="-_부가세차이_99Group center-ARP04기말-LHY" xfId="218"/>
    <cellStyle name="-_부가세차이_99Group center-ARP04기말-LHY 2" xfId="219"/>
    <cellStyle name="-_부가세차이_99Group center-ARP04기말-LHY 3" xfId="220"/>
    <cellStyle name="-_부가세차이_99Group center-ARP04기말-LHY 4" xfId="221"/>
    <cellStyle name="-_분석조서" xfId="222"/>
    <cellStyle name="-_분석조서 2" xfId="223"/>
    <cellStyle name="-_분석조서 3" xfId="224"/>
    <cellStyle name="-_분석조서 4" xfId="225"/>
    <cellStyle name="-_분석조서_C.F Form(누계)" xfId="226"/>
    <cellStyle name="-_분석조서_C.F Form(월별)" xfId="227"/>
    <cellStyle name="-_분석조서_C.F작성양식" xfId="228"/>
    <cellStyle name="-_분석조서_SCL2006-FS-070910" xfId="229"/>
    <cellStyle name="-_분석조서_에임시스템(WTB-05_반기조서_SIB)" xfId="230"/>
    <cellStyle name="-_새누리상호저축(03-LHY)" xfId="231"/>
    <cellStyle name="-_새누리상호저축(03-LHY) 2" xfId="232"/>
    <cellStyle name="-_새누리상호저축(03-LHY) 3" xfId="233"/>
    <cellStyle name="-_새누리상호저축(03-LHY) 4" xfId="234"/>
    <cellStyle name="-_새누리상호저축(03-LHY)-new" xfId="235"/>
    <cellStyle name="-_새누리상호저축(03-LHY)-new 2" xfId="236"/>
    <cellStyle name="-_새누리상호저축(03-LHY)-new 3" xfId="237"/>
    <cellStyle name="-_새누리상호저축(03-LHY)-new 4" xfId="238"/>
    <cellStyle name="-_새누리상호저축(03-LHY)-new_99Group center-04기말-LHY" xfId="239"/>
    <cellStyle name="-_새누리상호저축(03-LHY)-new_99Group center-04기말-LHY 2" xfId="240"/>
    <cellStyle name="-_새누리상호저축(03-LHY)-new_99Group center-04기말-LHY 3" xfId="241"/>
    <cellStyle name="-_새누리상호저축(03-LHY)-new_99Group center-04기말-LHY 4" xfId="242"/>
    <cellStyle name="-_새누리상호저축(03-LHY)-new_99Group center-04중간업데이트기말-LHY" xfId="243"/>
    <cellStyle name="-_새누리상호저축(03-LHY)-new_99Group center-04중간업데이트기말-LHY 2" xfId="244"/>
    <cellStyle name="-_새누리상호저축(03-LHY)-new_99Group center-04중간업데이트기말-LHY 3" xfId="245"/>
    <cellStyle name="-_새누리상호저축(03-LHY)-new_99Group center-04중간업데이트기말-LHY 4" xfId="246"/>
    <cellStyle name="-_새누리상호저축(03-LHY)-new_99Group center-ARP04기말-LHY" xfId="247"/>
    <cellStyle name="-_새누리상호저축(03-LHY)-new_99Group center-ARP04기말-LHY 2" xfId="248"/>
    <cellStyle name="-_새누리상호저축(03-LHY)-new_99Group center-ARP04기말-LHY 3" xfId="249"/>
    <cellStyle name="-_새누리상호저축(03-LHY)-new_99Group center-ARP04기말-LHY 4" xfId="250"/>
    <cellStyle name="-_새누리상호저축(03-LHY)_99Group center-04기말-LHY" xfId="251"/>
    <cellStyle name="-_새누리상호저축(03-LHY)_99Group center-04기말-LHY 2" xfId="252"/>
    <cellStyle name="-_새누리상호저축(03-LHY)_99Group center-04기말-LHY 3" xfId="253"/>
    <cellStyle name="-_새누리상호저축(03-LHY)_99Group center-04기말-LHY 4" xfId="254"/>
    <cellStyle name="-_새누리상호저축(03-LHY)_99Group center-04중간업데이트기말-LHY" xfId="255"/>
    <cellStyle name="-_새누리상호저축(03-LHY)_99Group center-04중간업데이트기말-LHY 2" xfId="256"/>
    <cellStyle name="-_새누리상호저축(03-LHY)_99Group center-04중간업데이트기말-LHY 3" xfId="257"/>
    <cellStyle name="-_새누리상호저축(03-LHY)_99Group center-04중간업데이트기말-LHY 4" xfId="258"/>
    <cellStyle name="-_새누리상호저축(03-LHY)_99Group center-ARP04기말-LHY" xfId="259"/>
    <cellStyle name="-_새누리상호저축(03-LHY)_99Group center-ARP04기말-LHY 2" xfId="260"/>
    <cellStyle name="-_새누리상호저축(03-LHY)_99Group center-ARP04기말-LHY 3" xfId="261"/>
    <cellStyle name="-_새누리상호저축(03-LHY)_99Group center-ARP04기말-LHY 4" xfId="262"/>
    <cellStyle name="-_수정사항" xfId="263"/>
    <cellStyle name="-_수정사항 2" xfId="264"/>
    <cellStyle name="-_수정사항 3" xfId="265"/>
    <cellStyle name="-_수정사항 4" xfId="266"/>
    <cellStyle name="-_수정사항_C.F Form(누계)" xfId="267"/>
    <cellStyle name="-_수정사항_C.F Form(월별)" xfId="268"/>
    <cellStyle name="-_수정사항_C.F작성양식" xfId="269"/>
    <cellStyle name="-_수정사항_SCL2006-FS-070910" xfId="270"/>
    <cellStyle name="-_쌈지-04반기-(LHY)" xfId="271"/>
    <cellStyle name="-_쌈지-04반기-(LHY) 2" xfId="272"/>
    <cellStyle name="-_쌈지-04반기-(LHY) 3" xfId="273"/>
    <cellStyle name="-_쌈지-04반기-(LHY) 4" xfId="274"/>
    <cellStyle name="-_쌈지-04반기-(LHY)_99Group center-04기말-LHY" xfId="275"/>
    <cellStyle name="-_쌈지-04반기-(LHY)_99Group center-04기말-LHY 2" xfId="276"/>
    <cellStyle name="-_쌈지-04반기-(LHY)_99Group center-04기말-LHY 3" xfId="277"/>
    <cellStyle name="-_쌈지-04반기-(LHY)_99Group center-04기말-LHY 4" xfId="278"/>
    <cellStyle name="-_쌈지-04반기-(LHY)_99Group center-04중간업데이트기말-LHY" xfId="279"/>
    <cellStyle name="-_쌈지-04반기-(LHY)_99Group center-04중간업데이트기말-LHY 2" xfId="280"/>
    <cellStyle name="-_쌈지-04반기-(LHY)_99Group center-04중간업데이트기말-LHY 3" xfId="281"/>
    <cellStyle name="-_쌈지-04반기-(LHY)_99Group center-04중간업데이트기말-LHY 4" xfId="282"/>
    <cellStyle name="-_쌈지-04반기-(LHY)_99Group center-ARP04기말-LHY" xfId="283"/>
    <cellStyle name="-_쌈지-04반기-(LHY)_99Group center-ARP04기말-LHY 2" xfId="284"/>
    <cellStyle name="-_쌈지-04반기-(LHY)_99Group center-ARP04기말-LHY 3" xfId="285"/>
    <cellStyle name="-_쌈지-04반기-(LHY)_99Group center-ARP04기말-LHY 4" xfId="286"/>
    <cellStyle name="-_쌈지04년1분기(채권수정)" xfId="287"/>
    <cellStyle name="-_쌈지04년1분기(채권수정) 2" xfId="288"/>
    <cellStyle name="-_쌈지04년1분기(채권수정) 3" xfId="289"/>
    <cellStyle name="-_쌈지04년1분기(채권수정) 4" xfId="290"/>
    <cellStyle name="-_쌈지04년1분기(채권수정)_99Group center-04기말-LHY" xfId="291"/>
    <cellStyle name="-_쌈지04년1분기(채권수정)_99Group center-04기말-LHY 2" xfId="292"/>
    <cellStyle name="-_쌈지04년1분기(채권수정)_99Group center-04기말-LHY 3" xfId="293"/>
    <cellStyle name="-_쌈지04년1분기(채권수정)_99Group center-04기말-LHY 4" xfId="294"/>
    <cellStyle name="-_쌈지04년1분기(채권수정)_99Group center-04중간업데이트기말-LHY" xfId="295"/>
    <cellStyle name="-_쌈지04년1분기(채권수정)_99Group center-04중간업데이트기말-LHY 2" xfId="296"/>
    <cellStyle name="-_쌈지04년1분기(채권수정)_99Group center-04중간업데이트기말-LHY 3" xfId="297"/>
    <cellStyle name="-_쌈지04년1분기(채권수정)_99Group center-04중간업데이트기말-LHY 4" xfId="298"/>
    <cellStyle name="-_쌈지04년1분기(채권수정)_99Group center-ARP04기말-LHY" xfId="299"/>
    <cellStyle name="-_쌈지04년1분기(채권수정)_99Group center-ARP04기말-LHY 2" xfId="300"/>
    <cellStyle name="-_쌈지04년1분기(채권수정)_99Group center-ARP04기말-LHY 3" xfId="301"/>
    <cellStyle name="-_쌈지04년1분기(채권수정)_99Group center-ARP04기말-LHY 4" xfId="302"/>
    <cellStyle name="-_안진조서요약-유로넥스트(03)(LHY)" xfId="303"/>
    <cellStyle name="-_안진조서요약-유로넥스트(03)(LHY) 2" xfId="304"/>
    <cellStyle name="-_안진조서요약-유로넥스트(03)(LHY) 3" xfId="305"/>
    <cellStyle name="-_안진조서요약-유로넥스트(03)(LHY) 4" xfId="306"/>
    <cellStyle name="-_안진조서요약-유로넥스트(03)(LHY)_단기투자, 장기투자의 양식(회계사요청)(1)" xfId="307"/>
    <cellStyle name="-_안진조서요약-유로넥스트(03)(LHY)_단기투자, 장기투자의 양식(회계사요청)(1) 2" xfId="308"/>
    <cellStyle name="-_안진조서요약-유로넥스트(03)(LHY)_단기투자, 장기투자의 양식(회계사요청)(1) 3" xfId="309"/>
    <cellStyle name="-_안진조서요약-유로넥스트(03)(LHY)_단기투자, 장기투자의 양식(회계사요청)(1) 4" xfId="310"/>
    <cellStyle name="-_안진조서요약-유로넥스트(03)(LHY)_단기투자, 장기투자의 양식(회계사요청)(1)_99Group center-04기말-LHY" xfId="311"/>
    <cellStyle name="-_안진조서요약-유로넥스트(03)(LHY)_단기투자, 장기투자의 양식(회계사요청)(1)_99Group center-04기말-LHY 2" xfId="312"/>
    <cellStyle name="-_안진조서요약-유로넥스트(03)(LHY)_단기투자, 장기투자의 양식(회계사요청)(1)_99Group center-04기말-LHY 3" xfId="313"/>
    <cellStyle name="-_안진조서요약-유로넥스트(03)(LHY)_단기투자, 장기투자의 양식(회계사요청)(1)_99Group center-04기말-LHY 4" xfId="314"/>
    <cellStyle name="-_안진조서요약-유로넥스트(03)(LHY)_단기투자, 장기투자의 양식(회계사요청)(1)_99Group center-04중간업데이트기말-LHY" xfId="315"/>
    <cellStyle name="-_안진조서요약-유로넥스트(03)(LHY)_단기투자, 장기투자의 양식(회계사요청)(1)_99Group center-04중간업데이트기말-LHY 2" xfId="316"/>
    <cellStyle name="-_안진조서요약-유로넥스트(03)(LHY)_단기투자, 장기투자의 양식(회계사요청)(1)_99Group center-04중간업데이트기말-LHY 3" xfId="317"/>
    <cellStyle name="-_안진조서요약-유로넥스트(03)(LHY)_단기투자, 장기투자의 양식(회계사요청)(1)_99Group center-04중간업데이트기말-LHY 4" xfId="318"/>
    <cellStyle name="-_안진조서요약-유로넥스트(03)(LHY)_단기투자, 장기투자의 양식(회계사요청)(1)_99Group center-ARP04기말-LHY" xfId="319"/>
    <cellStyle name="-_안진조서요약-유로넥스트(03)(LHY)_단기투자, 장기투자의 양식(회계사요청)(1)_99Group center-ARP04기말-LHY 2" xfId="320"/>
    <cellStyle name="-_안진조서요약-유로넥스트(03)(LHY)_단기투자, 장기투자의 양식(회계사요청)(1)_99Group center-ARP04기말-LHY 3" xfId="321"/>
    <cellStyle name="-_안진조서요약-유로넥스트(03)(LHY)_단기투자, 장기투자의 양식(회계사요청)(1)_99Group center-ARP04기말-LHY 4" xfId="322"/>
    <cellStyle name="-_안진조서요약-유로넥스트(03)(LHY)_대출채권 Sampling" xfId="323"/>
    <cellStyle name="-_안진조서요약-유로넥스트(03)(LHY)_대출채권 Sampling 2" xfId="324"/>
    <cellStyle name="-_안진조서요약-유로넥스트(03)(LHY)_대출채권 Sampling 3" xfId="325"/>
    <cellStyle name="-_안진조서요약-유로넥스트(03)(LHY)_대출채권 Sampling 4" xfId="326"/>
    <cellStyle name="-_안진조서요약-유로넥스트(03)(LHY)_대출채권 Sampling_99Group center-04기말-LHY" xfId="327"/>
    <cellStyle name="-_안진조서요약-유로넥스트(03)(LHY)_대출채권 Sampling_99Group center-04기말-LHY 2" xfId="328"/>
    <cellStyle name="-_안진조서요약-유로넥스트(03)(LHY)_대출채권 Sampling_99Group center-04기말-LHY 3" xfId="329"/>
    <cellStyle name="-_안진조서요약-유로넥스트(03)(LHY)_대출채권 Sampling_99Group center-04기말-LHY 4" xfId="330"/>
    <cellStyle name="-_안진조서요약-유로넥스트(03)(LHY)_대출채권 Sampling_99Group center-04중간업데이트기말-LHY" xfId="331"/>
    <cellStyle name="-_안진조서요약-유로넥스트(03)(LHY)_대출채권 Sampling_99Group center-04중간업데이트기말-LHY 2" xfId="332"/>
    <cellStyle name="-_안진조서요약-유로넥스트(03)(LHY)_대출채권 Sampling_99Group center-04중간업데이트기말-LHY 3" xfId="333"/>
    <cellStyle name="-_안진조서요약-유로넥스트(03)(LHY)_대출채권 Sampling_99Group center-04중간업데이트기말-LHY 4" xfId="334"/>
    <cellStyle name="-_안진조서요약-유로넥스트(03)(LHY)_대출채권 Sampling_99Group center-ARP04기말-LHY" xfId="335"/>
    <cellStyle name="-_안진조서요약-유로넥스트(03)(LHY)_대출채권 Sampling_99Group center-ARP04기말-LHY 2" xfId="336"/>
    <cellStyle name="-_안진조서요약-유로넥스트(03)(LHY)_대출채권 Sampling_99Group center-ARP04기말-LHY 3" xfId="337"/>
    <cellStyle name="-_안진조서요약-유로넥스트(03)(LHY)_대출채권 Sampling_99Group center-ARP04기말-LHY 4" xfId="338"/>
    <cellStyle name="-_안진조서요약-유로넥스트(03)(LHY)_동양매직-03(LHY)" xfId="339"/>
    <cellStyle name="-_안진조서요약-유로넥스트(03)(LHY)_동양매직-03(LHY) 2" xfId="340"/>
    <cellStyle name="-_안진조서요약-유로넥스트(03)(LHY)_동양매직-03(LHY) 3" xfId="341"/>
    <cellStyle name="-_안진조서요약-유로넥스트(03)(LHY)_동양매직-03(LHY) 4" xfId="342"/>
    <cellStyle name="-_안진조서요약-유로넥스트(03)(LHY)_동양매직-03(LHY)_99Group center-04기말-LHY" xfId="343"/>
    <cellStyle name="-_안진조서요약-유로넥스트(03)(LHY)_동양매직-03(LHY)_99Group center-04기말-LHY 2" xfId="344"/>
    <cellStyle name="-_안진조서요약-유로넥스트(03)(LHY)_동양매직-03(LHY)_99Group center-04기말-LHY 3" xfId="345"/>
    <cellStyle name="-_안진조서요약-유로넥스트(03)(LHY)_동양매직-03(LHY)_99Group center-04기말-LHY 4" xfId="346"/>
    <cellStyle name="-_안진조서요약-유로넥스트(03)(LHY)_동양매직-03(LHY)_99Group center-04중간업데이트기말-LHY" xfId="347"/>
    <cellStyle name="-_안진조서요약-유로넥스트(03)(LHY)_동양매직-03(LHY)_99Group center-04중간업데이트기말-LHY 2" xfId="348"/>
    <cellStyle name="-_안진조서요약-유로넥스트(03)(LHY)_동양매직-03(LHY)_99Group center-04중간업데이트기말-LHY 3" xfId="349"/>
    <cellStyle name="-_안진조서요약-유로넥스트(03)(LHY)_동양매직-03(LHY)_99Group center-04중간업데이트기말-LHY 4" xfId="350"/>
    <cellStyle name="-_안진조서요약-유로넥스트(03)(LHY)_동양매직-03(LHY)_99Group center-ARP04기말-LHY" xfId="351"/>
    <cellStyle name="-_안진조서요약-유로넥스트(03)(LHY)_동양매직-03(LHY)_99Group center-ARP04기말-LHY 2" xfId="352"/>
    <cellStyle name="-_안진조서요약-유로넥스트(03)(LHY)_동양매직-03(LHY)_99Group center-ARP04기말-LHY 3" xfId="353"/>
    <cellStyle name="-_안진조서요약-유로넥스트(03)(LHY)_동양매직-03(LHY)_99Group center-ARP04기말-LHY 4" xfId="354"/>
    <cellStyle name="-_안진조서요약-유로넥스트(03)(LHY)_매직산업(03기말-LHY)" xfId="355"/>
    <cellStyle name="-_안진조서요약-유로넥스트(03)(LHY)_매직산업(03기말-LHY) 2" xfId="356"/>
    <cellStyle name="-_안진조서요약-유로넥스트(03)(LHY)_매직산업(03기말-LHY) 3" xfId="357"/>
    <cellStyle name="-_안진조서요약-유로넥스트(03)(LHY)_매직산업(03기말-LHY) 4" xfId="358"/>
    <cellStyle name="-_안진조서요약-유로넥스트(03)(LHY)_매직산업(03기말-LHY)_99Group center-04기말-LHY" xfId="359"/>
    <cellStyle name="-_안진조서요약-유로넥스트(03)(LHY)_매직산업(03기말-LHY)_99Group center-04기말-LHY 2" xfId="360"/>
    <cellStyle name="-_안진조서요약-유로넥스트(03)(LHY)_매직산업(03기말-LHY)_99Group center-04기말-LHY 3" xfId="361"/>
    <cellStyle name="-_안진조서요약-유로넥스트(03)(LHY)_매직산업(03기말-LHY)_99Group center-04기말-LHY 4" xfId="362"/>
    <cellStyle name="-_안진조서요약-유로넥스트(03)(LHY)_매직산업(03기말-LHY)_99Group center-04중간업데이트기말-LHY" xfId="363"/>
    <cellStyle name="-_안진조서요약-유로넥스트(03)(LHY)_매직산업(03기말-LHY)_99Group center-04중간업데이트기말-LHY 2" xfId="364"/>
    <cellStyle name="-_안진조서요약-유로넥스트(03)(LHY)_매직산업(03기말-LHY)_99Group center-04중간업데이트기말-LHY 3" xfId="365"/>
    <cellStyle name="-_안진조서요약-유로넥스트(03)(LHY)_매직산업(03기말-LHY)_99Group center-04중간업데이트기말-LHY 4" xfId="366"/>
    <cellStyle name="-_안진조서요약-유로넥스트(03)(LHY)_매직산업(03기말-LHY)_99Group center-ARP04기말-LHY" xfId="367"/>
    <cellStyle name="-_안진조서요약-유로넥스트(03)(LHY)_매직산업(03기말-LHY)_99Group center-ARP04기말-LHY 2" xfId="368"/>
    <cellStyle name="-_안진조서요약-유로넥스트(03)(LHY)_매직산업(03기말-LHY)_99Group center-ARP04기말-LHY 3" xfId="369"/>
    <cellStyle name="-_안진조서요약-유로넥스트(03)(LHY)_매직산업(03기말-LHY)_99Group center-ARP04기말-LHY 4" xfId="370"/>
    <cellStyle name="-_안진조서요약-유로넥스트(03)(LHY)_벽산페인트(03,LHY)1" xfId="371"/>
    <cellStyle name="-_안진조서요약-유로넥스트(03)(LHY)_벽산페인트(03,LHY)1 2" xfId="372"/>
    <cellStyle name="-_안진조서요약-유로넥스트(03)(LHY)_벽산페인트(03,LHY)1 3" xfId="373"/>
    <cellStyle name="-_안진조서요약-유로넥스트(03)(LHY)_벽산페인트(03,LHY)1 4" xfId="374"/>
    <cellStyle name="-_안진조서요약-유로넥스트(03)(LHY)_벽산페인트(03,LHY)1_99Group center-04기말-LHY" xfId="375"/>
    <cellStyle name="-_안진조서요약-유로넥스트(03)(LHY)_벽산페인트(03,LHY)1_99Group center-04기말-LHY 2" xfId="376"/>
    <cellStyle name="-_안진조서요약-유로넥스트(03)(LHY)_벽산페인트(03,LHY)1_99Group center-04기말-LHY 3" xfId="377"/>
    <cellStyle name="-_안진조서요약-유로넥스트(03)(LHY)_벽산페인트(03,LHY)1_99Group center-04기말-LHY 4" xfId="378"/>
    <cellStyle name="-_안진조서요약-유로넥스트(03)(LHY)_벽산페인트(03,LHY)1_99Group center-04중간업데이트기말-LHY" xfId="379"/>
    <cellStyle name="-_안진조서요약-유로넥스트(03)(LHY)_벽산페인트(03,LHY)1_99Group center-04중간업데이트기말-LHY 2" xfId="380"/>
    <cellStyle name="-_안진조서요약-유로넥스트(03)(LHY)_벽산페인트(03,LHY)1_99Group center-04중간업데이트기말-LHY 3" xfId="381"/>
    <cellStyle name="-_안진조서요약-유로넥스트(03)(LHY)_벽산페인트(03,LHY)1_99Group center-04중간업데이트기말-LHY 4" xfId="382"/>
    <cellStyle name="-_안진조서요약-유로넥스트(03)(LHY)_벽산페인트(03,LHY)1_99Group center-ARP04기말-LHY" xfId="383"/>
    <cellStyle name="-_안진조서요약-유로넥스트(03)(LHY)_벽산페인트(03,LHY)1_99Group center-ARP04기말-LHY 2" xfId="384"/>
    <cellStyle name="-_안진조서요약-유로넥스트(03)(LHY)_벽산페인트(03,LHY)1_99Group center-ARP04기말-LHY 3" xfId="385"/>
    <cellStyle name="-_안진조서요약-유로넥스트(03)(LHY)_벽산페인트(03,LHY)1_99Group center-ARP04기말-LHY 4" xfId="386"/>
    <cellStyle name="-_안진조서요약-유로넥스트(03)(LHY)_새누리상호저축(03-LHY)" xfId="387"/>
    <cellStyle name="-_안진조서요약-유로넥스트(03)(LHY)_새누리상호저축(03-LHY) 2" xfId="388"/>
    <cellStyle name="-_안진조서요약-유로넥스트(03)(LHY)_새누리상호저축(03-LHY) 3" xfId="389"/>
    <cellStyle name="-_안진조서요약-유로넥스트(03)(LHY)_새누리상호저축(03-LHY) 4" xfId="390"/>
    <cellStyle name="-_안진조서요약-유로넥스트(03)(LHY)_새누리상호저축(03-LHY)-new" xfId="391"/>
    <cellStyle name="-_안진조서요약-유로넥스트(03)(LHY)_새누리상호저축(03-LHY)-new 2" xfId="392"/>
    <cellStyle name="-_안진조서요약-유로넥스트(03)(LHY)_새누리상호저축(03-LHY)-new 3" xfId="393"/>
    <cellStyle name="-_안진조서요약-유로넥스트(03)(LHY)_새누리상호저축(03-LHY)-new 4" xfId="394"/>
    <cellStyle name="-_안진조서요약-유로넥스트(03)(LHY)_새누리상호저축(03-LHY)-new_99Group center-04기말-LHY" xfId="395"/>
    <cellStyle name="-_안진조서요약-유로넥스트(03)(LHY)_새누리상호저축(03-LHY)-new_99Group center-04기말-LHY 2" xfId="396"/>
    <cellStyle name="-_안진조서요약-유로넥스트(03)(LHY)_새누리상호저축(03-LHY)-new_99Group center-04기말-LHY 3" xfId="397"/>
    <cellStyle name="-_안진조서요약-유로넥스트(03)(LHY)_새누리상호저축(03-LHY)-new_99Group center-04기말-LHY 4" xfId="398"/>
    <cellStyle name="-_안진조서요약-유로넥스트(03)(LHY)_새누리상호저축(03-LHY)-new_99Group center-04중간업데이트기말-LHY" xfId="399"/>
    <cellStyle name="-_안진조서요약-유로넥스트(03)(LHY)_새누리상호저축(03-LHY)-new_99Group center-04중간업데이트기말-LHY 2" xfId="400"/>
    <cellStyle name="-_안진조서요약-유로넥스트(03)(LHY)_새누리상호저축(03-LHY)-new_99Group center-04중간업데이트기말-LHY 3" xfId="401"/>
    <cellStyle name="-_안진조서요약-유로넥스트(03)(LHY)_새누리상호저축(03-LHY)-new_99Group center-04중간업데이트기말-LHY 4" xfId="402"/>
    <cellStyle name="-_안진조서요약-유로넥스트(03)(LHY)_새누리상호저축(03-LHY)-new_99Group center-ARP04기말-LHY" xfId="403"/>
    <cellStyle name="-_안진조서요약-유로넥스트(03)(LHY)_새누리상호저축(03-LHY)-new_99Group center-ARP04기말-LHY 2" xfId="404"/>
    <cellStyle name="-_안진조서요약-유로넥스트(03)(LHY)_새누리상호저축(03-LHY)-new_99Group center-ARP04기말-LHY 3" xfId="405"/>
    <cellStyle name="-_안진조서요약-유로넥스트(03)(LHY)_새누리상호저축(03-LHY)-new_99Group center-ARP04기말-LHY 4" xfId="406"/>
    <cellStyle name="-_안진조서요약-유로넥스트(03)(LHY)_새누리상호저축(03-LHY)_99Group center-04기말-LHY" xfId="407"/>
    <cellStyle name="-_안진조서요약-유로넥스트(03)(LHY)_새누리상호저축(03-LHY)_99Group center-04기말-LHY 2" xfId="408"/>
    <cellStyle name="-_안진조서요약-유로넥스트(03)(LHY)_새누리상호저축(03-LHY)_99Group center-04기말-LHY 3" xfId="409"/>
    <cellStyle name="-_안진조서요약-유로넥스트(03)(LHY)_새누리상호저축(03-LHY)_99Group center-04기말-LHY 4" xfId="410"/>
    <cellStyle name="-_안진조서요약-유로넥스트(03)(LHY)_새누리상호저축(03-LHY)_99Group center-04중간업데이트기말-LHY" xfId="411"/>
    <cellStyle name="-_안진조서요약-유로넥스트(03)(LHY)_새누리상호저축(03-LHY)_99Group center-04중간업데이트기말-LHY 2" xfId="412"/>
    <cellStyle name="-_안진조서요약-유로넥스트(03)(LHY)_새누리상호저축(03-LHY)_99Group center-04중간업데이트기말-LHY 3" xfId="413"/>
    <cellStyle name="-_안진조서요약-유로넥스트(03)(LHY)_새누리상호저축(03-LHY)_99Group center-04중간업데이트기말-LHY 4" xfId="414"/>
    <cellStyle name="-_안진조서요약-유로넥스트(03)(LHY)_새누리상호저축(03-LHY)_99Group center-ARP04기말-LHY" xfId="415"/>
    <cellStyle name="-_안진조서요약-유로넥스트(03)(LHY)_새누리상호저축(03-LHY)_99Group center-ARP04기말-LHY 2" xfId="416"/>
    <cellStyle name="-_안진조서요약-유로넥스트(03)(LHY)_새누리상호저축(03-LHY)_99Group center-ARP04기말-LHY 3" xfId="417"/>
    <cellStyle name="-_안진조서요약-유로넥스트(03)(LHY)_새누리상호저축(03-LHY)_99Group center-ARP04기말-LHY 4" xfId="418"/>
    <cellStyle name="-_안진조서요약-유로넥스트(03)(LHY)_쌈지-04반기-(LHY)" xfId="419"/>
    <cellStyle name="-_안진조서요약-유로넥스트(03)(LHY)_쌈지-04반기-(LHY) 2" xfId="420"/>
    <cellStyle name="-_안진조서요약-유로넥스트(03)(LHY)_쌈지-04반기-(LHY) 3" xfId="421"/>
    <cellStyle name="-_안진조서요약-유로넥스트(03)(LHY)_쌈지-04반기-(LHY) 4" xfId="422"/>
    <cellStyle name="-_안진조서요약-유로넥스트(03)(LHY)_쌈지-04반기-(LHY)_99Group center-04기말-LHY" xfId="423"/>
    <cellStyle name="-_안진조서요약-유로넥스트(03)(LHY)_쌈지-04반기-(LHY)_99Group center-04기말-LHY 2" xfId="424"/>
    <cellStyle name="-_안진조서요약-유로넥스트(03)(LHY)_쌈지-04반기-(LHY)_99Group center-04기말-LHY 3" xfId="425"/>
    <cellStyle name="-_안진조서요약-유로넥스트(03)(LHY)_쌈지-04반기-(LHY)_99Group center-04기말-LHY 4" xfId="426"/>
    <cellStyle name="-_안진조서요약-유로넥스트(03)(LHY)_쌈지-04반기-(LHY)_99Group center-04중간업데이트기말-LHY" xfId="427"/>
    <cellStyle name="-_안진조서요약-유로넥스트(03)(LHY)_쌈지-04반기-(LHY)_99Group center-04중간업데이트기말-LHY 2" xfId="428"/>
    <cellStyle name="-_안진조서요약-유로넥스트(03)(LHY)_쌈지-04반기-(LHY)_99Group center-04중간업데이트기말-LHY 3" xfId="429"/>
    <cellStyle name="-_안진조서요약-유로넥스트(03)(LHY)_쌈지-04반기-(LHY)_99Group center-04중간업데이트기말-LHY 4" xfId="430"/>
    <cellStyle name="-_안진조서요약-유로넥스트(03)(LHY)_쌈지-04반기-(LHY)_99Group center-ARP04기말-LHY" xfId="431"/>
    <cellStyle name="-_안진조서요약-유로넥스트(03)(LHY)_쌈지-04반기-(LHY)_99Group center-ARP04기말-LHY 2" xfId="432"/>
    <cellStyle name="-_안진조서요약-유로넥스트(03)(LHY)_쌈지-04반기-(LHY)_99Group center-ARP04기말-LHY 3" xfId="433"/>
    <cellStyle name="-_안진조서요약-유로넥스트(03)(LHY)_쌈지-04반기-(LHY)_99Group center-ARP04기말-LHY 4" xfId="434"/>
    <cellStyle name="-_안진조서요약-유로넥스트(03)(LHY)_안진조서요약-유로넥스트(03)(LHY)" xfId="435"/>
    <cellStyle name="-_안진조서요약-유로넥스트(03)(LHY)_안진조서요약-유로넥스트(03)(LHY) 2" xfId="436"/>
    <cellStyle name="-_안진조서요약-유로넥스트(03)(LHY)_안진조서요약-유로넥스트(03)(LHY) 3" xfId="437"/>
    <cellStyle name="-_안진조서요약-유로넥스트(03)(LHY)_안진조서요약-유로넥스트(03)(LHY) 4" xfId="438"/>
    <cellStyle name="-_안진조서요약-유로넥스트(03)(LHY)_안진조서요약-유로넥스트(03)(LHY)_단기투자, 장기투자의 양식(회계사요청)(1)" xfId="439"/>
    <cellStyle name="-_안진조서요약-유로넥스트(03)(LHY)_안진조서요약-유로넥스트(03)(LHY)_단기투자, 장기투자의 양식(회계사요청)(1) 2" xfId="440"/>
    <cellStyle name="-_안진조서요약-유로넥스트(03)(LHY)_안진조서요약-유로넥스트(03)(LHY)_단기투자, 장기투자의 양식(회계사요청)(1) 3" xfId="441"/>
    <cellStyle name="-_안진조서요약-유로넥스트(03)(LHY)_안진조서요약-유로넥스트(03)(LHY)_단기투자, 장기투자의 양식(회계사요청)(1) 4" xfId="442"/>
    <cellStyle name="-_안진조서요약-유로넥스트(03)(LHY)_안진조서요약-유로넥스트(03)(LHY)_단기투자, 장기투자의 양식(회계사요청)(1)_99Group center-04기말-LHY" xfId="443"/>
    <cellStyle name="-_안진조서요약-유로넥스트(03)(LHY)_안진조서요약-유로넥스트(03)(LHY)_단기투자, 장기투자의 양식(회계사요청)(1)_99Group center-04기말-LHY 2" xfId="444"/>
    <cellStyle name="-_안진조서요약-유로넥스트(03)(LHY)_안진조서요약-유로넥스트(03)(LHY)_단기투자, 장기투자의 양식(회계사요청)(1)_99Group center-04기말-LHY 3" xfId="445"/>
    <cellStyle name="-_안진조서요약-유로넥스트(03)(LHY)_안진조서요약-유로넥스트(03)(LHY)_단기투자, 장기투자의 양식(회계사요청)(1)_99Group center-04기말-LHY 4" xfId="446"/>
    <cellStyle name="-_안진조서요약-유로넥스트(03)(LHY)_안진조서요약-유로넥스트(03)(LHY)_단기투자, 장기투자의 양식(회계사요청)(1)_99Group center-04중간업데이트기말-LHY" xfId="447"/>
    <cellStyle name="-_안진조서요약-유로넥스트(03)(LHY)_안진조서요약-유로넥스트(03)(LHY)_단기투자, 장기투자의 양식(회계사요청)(1)_99Group center-04중간업데이트기말-LHY 2" xfId="448"/>
    <cellStyle name="-_안진조서요약-유로넥스트(03)(LHY)_안진조서요약-유로넥스트(03)(LHY)_단기투자, 장기투자의 양식(회계사요청)(1)_99Group center-04중간업데이트기말-LHY 3" xfId="449"/>
    <cellStyle name="-_안진조서요약-유로넥스트(03)(LHY)_안진조서요약-유로넥스트(03)(LHY)_단기투자, 장기투자의 양식(회계사요청)(1)_99Group center-04중간업데이트기말-LHY 4" xfId="450"/>
    <cellStyle name="-_안진조서요약-유로넥스트(03)(LHY)_안진조서요약-유로넥스트(03)(LHY)_단기투자, 장기투자의 양식(회계사요청)(1)_99Group center-ARP04기말-LHY" xfId="451"/>
    <cellStyle name="-_안진조서요약-유로넥스트(03)(LHY)_안진조서요약-유로넥스트(03)(LHY)_단기투자, 장기투자의 양식(회계사요청)(1)_99Group center-ARP04기말-LHY 2" xfId="452"/>
    <cellStyle name="-_안진조서요약-유로넥스트(03)(LHY)_안진조서요약-유로넥스트(03)(LHY)_단기투자, 장기투자의 양식(회계사요청)(1)_99Group center-ARP04기말-LHY 3" xfId="453"/>
    <cellStyle name="-_안진조서요약-유로넥스트(03)(LHY)_안진조서요약-유로넥스트(03)(LHY)_단기투자, 장기투자의 양식(회계사요청)(1)_99Group center-ARP04기말-LHY 4" xfId="454"/>
    <cellStyle name="-_안진조서요약-유로넥스트(03)(LHY)_안진조서요약-유로넥스트(03)(LHY)_대출채권 Sampling" xfId="455"/>
    <cellStyle name="-_안진조서요약-유로넥스트(03)(LHY)_안진조서요약-유로넥스트(03)(LHY)_대출채권 Sampling 2" xfId="456"/>
    <cellStyle name="-_안진조서요약-유로넥스트(03)(LHY)_안진조서요약-유로넥스트(03)(LHY)_대출채권 Sampling 3" xfId="457"/>
    <cellStyle name="-_안진조서요약-유로넥스트(03)(LHY)_안진조서요약-유로넥스트(03)(LHY)_대출채권 Sampling 4" xfId="458"/>
    <cellStyle name="-_안진조서요약-유로넥스트(03)(LHY)_안진조서요약-유로넥스트(03)(LHY)_대출채권 Sampling_99Group center-04기말-LHY" xfId="459"/>
    <cellStyle name="-_안진조서요약-유로넥스트(03)(LHY)_안진조서요약-유로넥스트(03)(LHY)_대출채권 Sampling_99Group center-04기말-LHY 2" xfId="460"/>
    <cellStyle name="-_안진조서요약-유로넥스트(03)(LHY)_안진조서요약-유로넥스트(03)(LHY)_대출채권 Sampling_99Group center-04기말-LHY 3" xfId="461"/>
    <cellStyle name="-_안진조서요약-유로넥스트(03)(LHY)_안진조서요약-유로넥스트(03)(LHY)_대출채권 Sampling_99Group center-04기말-LHY 4" xfId="462"/>
    <cellStyle name="-_안진조서요약-유로넥스트(03)(LHY)_안진조서요약-유로넥스트(03)(LHY)_대출채권 Sampling_99Group center-04중간업데이트기말-LHY" xfId="463"/>
    <cellStyle name="-_안진조서요약-유로넥스트(03)(LHY)_안진조서요약-유로넥스트(03)(LHY)_대출채권 Sampling_99Group center-04중간업데이트기말-LHY 2" xfId="464"/>
    <cellStyle name="-_안진조서요약-유로넥스트(03)(LHY)_안진조서요약-유로넥스트(03)(LHY)_대출채권 Sampling_99Group center-04중간업데이트기말-LHY 3" xfId="465"/>
    <cellStyle name="-_안진조서요약-유로넥스트(03)(LHY)_안진조서요약-유로넥스트(03)(LHY)_대출채권 Sampling_99Group center-04중간업데이트기말-LHY 4" xfId="466"/>
    <cellStyle name="-_안진조서요약-유로넥스트(03)(LHY)_안진조서요약-유로넥스트(03)(LHY)_대출채권 Sampling_99Group center-ARP04기말-LHY" xfId="467"/>
    <cellStyle name="-_안진조서요약-유로넥스트(03)(LHY)_안진조서요약-유로넥스트(03)(LHY)_대출채권 Sampling_99Group center-ARP04기말-LHY 2" xfId="468"/>
    <cellStyle name="-_안진조서요약-유로넥스트(03)(LHY)_안진조서요약-유로넥스트(03)(LHY)_대출채권 Sampling_99Group center-ARP04기말-LHY 3" xfId="469"/>
    <cellStyle name="-_안진조서요약-유로넥스트(03)(LHY)_안진조서요약-유로넥스트(03)(LHY)_대출채권 Sampling_99Group center-ARP04기말-LHY 4" xfId="470"/>
    <cellStyle name="-_안진조서요약-유로넥스트(03)(LHY)_안진조서요약-유로넥스트(03)(LHY)_동양매직-03(LHY)" xfId="471"/>
    <cellStyle name="-_안진조서요약-유로넥스트(03)(LHY)_안진조서요약-유로넥스트(03)(LHY)_동양매직-03(LHY) 2" xfId="472"/>
    <cellStyle name="-_안진조서요약-유로넥스트(03)(LHY)_안진조서요약-유로넥스트(03)(LHY)_동양매직-03(LHY) 3" xfId="473"/>
    <cellStyle name="-_안진조서요약-유로넥스트(03)(LHY)_안진조서요약-유로넥스트(03)(LHY)_동양매직-03(LHY) 4" xfId="474"/>
    <cellStyle name="-_안진조서요약-유로넥스트(03)(LHY)_안진조서요약-유로넥스트(03)(LHY)_동양매직-03(LHY)_99Group center-04기말-LHY" xfId="475"/>
    <cellStyle name="-_안진조서요약-유로넥스트(03)(LHY)_안진조서요약-유로넥스트(03)(LHY)_동양매직-03(LHY)_99Group center-04기말-LHY 2" xfId="476"/>
    <cellStyle name="-_안진조서요약-유로넥스트(03)(LHY)_안진조서요약-유로넥스트(03)(LHY)_동양매직-03(LHY)_99Group center-04기말-LHY 3" xfId="477"/>
    <cellStyle name="-_안진조서요약-유로넥스트(03)(LHY)_안진조서요약-유로넥스트(03)(LHY)_동양매직-03(LHY)_99Group center-04기말-LHY 4" xfId="478"/>
    <cellStyle name="-_안진조서요약-유로넥스트(03)(LHY)_안진조서요약-유로넥스트(03)(LHY)_동양매직-03(LHY)_99Group center-04중간업데이트기말-LHY" xfId="479"/>
    <cellStyle name="-_안진조서요약-유로넥스트(03)(LHY)_안진조서요약-유로넥스트(03)(LHY)_동양매직-03(LHY)_99Group center-04중간업데이트기말-LHY 2" xfId="480"/>
    <cellStyle name="-_안진조서요약-유로넥스트(03)(LHY)_안진조서요약-유로넥스트(03)(LHY)_동양매직-03(LHY)_99Group center-04중간업데이트기말-LHY 3" xfId="481"/>
    <cellStyle name="-_안진조서요약-유로넥스트(03)(LHY)_안진조서요약-유로넥스트(03)(LHY)_동양매직-03(LHY)_99Group center-04중간업데이트기말-LHY 4" xfId="482"/>
    <cellStyle name="-_안진조서요약-유로넥스트(03)(LHY)_안진조서요약-유로넥스트(03)(LHY)_동양매직-03(LHY)_99Group center-ARP04기말-LHY" xfId="483"/>
    <cellStyle name="-_안진조서요약-유로넥스트(03)(LHY)_안진조서요약-유로넥스트(03)(LHY)_동양매직-03(LHY)_99Group center-ARP04기말-LHY 2" xfId="484"/>
    <cellStyle name="-_안진조서요약-유로넥스트(03)(LHY)_안진조서요약-유로넥스트(03)(LHY)_동양매직-03(LHY)_99Group center-ARP04기말-LHY 3" xfId="485"/>
    <cellStyle name="-_안진조서요약-유로넥스트(03)(LHY)_안진조서요약-유로넥스트(03)(LHY)_동양매직-03(LHY)_99Group center-ARP04기말-LHY 4" xfId="486"/>
    <cellStyle name="-_안진조서요약-유로넥스트(03)(LHY)_안진조서요약-유로넥스트(03)(LHY)_매직산업(03기말-LHY)" xfId="487"/>
    <cellStyle name="-_안진조서요약-유로넥스트(03)(LHY)_안진조서요약-유로넥스트(03)(LHY)_매직산업(03기말-LHY) 2" xfId="488"/>
    <cellStyle name="-_안진조서요약-유로넥스트(03)(LHY)_안진조서요약-유로넥스트(03)(LHY)_매직산업(03기말-LHY) 3" xfId="489"/>
    <cellStyle name="-_안진조서요약-유로넥스트(03)(LHY)_안진조서요약-유로넥스트(03)(LHY)_매직산업(03기말-LHY) 4" xfId="490"/>
    <cellStyle name="-_안진조서요약-유로넥스트(03)(LHY)_안진조서요약-유로넥스트(03)(LHY)_매직산업(03기말-LHY)_99Group center-04기말-LHY" xfId="491"/>
    <cellStyle name="-_안진조서요약-유로넥스트(03)(LHY)_안진조서요약-유로넥스트(03)(LHY)_매직산업(03기말-LHY)_99Group center-04기말-LHY 2" xfId="492"/>
    <cellStyle name="-_안진조서요약-유로넥스트(03)(LHY)_안진조서요약-유로넥스트(03)(LHY)_매직산업(03기말-LHY)_99Group center-04기말-LHY 3" xfId="493"/>
    <cellStyle name="-_안진조서요약-유로넥스트(03)(LHY)_안진조서요약-유로넥스트(03)(LHY)_매직산업(03기말-LHY)_99Group center-04기말-LHY 4" xfId="494"/>
    <cellStyle name="-_안진조서요약-유로넥스트(03)(LHY)_안진조서요약-유로넥스트(03)(LHY)_매직산업(03기말-LHY)_99Group center-04중간업데이트기말-LHY" xfId="495"/>
    <cellStyle name="-_안진조서요약-유로넥스트(03)(LHY)_안진조서요약-유로넥스트(03)(LHY)_매직산업(03기말-LHY)_99Group center-04중간업데이트기말-LHY 2" xfId="496"/>
    <cellStyle name="-_안진조서요약-유로넥스트(03)(LHY)_안진조서요약-유로넥스트(03)(LHY)_매직산업(03기말-LHY)_99Group center-04중간업데이트기말-LHY 3" xfId="497"/>
    <cellStyle name="-_안진조서요약-유로넥스트(03)(LHY)_안진조서요약-유로넥스트(03)(LHY)_매직산업(03기말-LHY)_99Group center-04중간업데이트기말-LHY 4" xfId="498"/>
    <cellStyle name="-_안진조서요약-유로넥스트(03)(LHY)_안진조서요약-유로넥스트(03)(LHY)_매직산업(03기말-LHY)_99Group center-ARP04기말-LHY" xfId="499"/>
    <cellStyle name="-_안진조서요약-유로넥스트(03)(LHY)_안진조서요약-유로넥스트(03)(LHY)_매직산업(03기말-LHY)_99Group center-ARP04기말-LHY 2" xfId="500"/>
    <cellStyle name="-_안진조서요약-유로넥스트(03)(LHY)_안진조서요약-유로넥스트(03)(LHY)_매직산업(03기말-LHY)_99Group center-ARP04기말-LHY 3" xfId="501"/>
    <cellStyle name="-_안진조서요약-유로넥스트(03)(LHY)_안진조서요약-유로넥스트(03)(LHY)_매직산업(03기말-LHY)_99Group center-ARP04기말-LHY 4" xfId="502"/>
    <cellStyle name="-_안진조서요약-유로넥스트(03)(LHY)_안진조서요약-유로넥스트(03)(LHY)_벽산페인트(03,LHY)1" xfId="503"/>
    <cellStyle name="-_안진조서요약-유로넥스트(03)(LHY)_안진조서요약-유로넥스트(03)(LHY)_벽산페인트(03,LHY)1 2" xfId="504"/>
    <cellStyle name="-_안진조서요약-유로넥스트(03)(LHY)_안진조서요약-유로넥스트(03)(LHY)_벽산페인트(03,LHY)1 3" xfId="505"/>
    <cellStyle name="-_안진조서요약-유로넥스트(03)(LHY)_안진조서요약-유로넥스트(03)(LHY)_벽산페인트(03,LHY)1 4" xfId="506"/>
    <cellStyle name="-_안진조서요약-유로넥스트(03)(LHY)_안진조서요약-유로넥스트(03)(LHY)_벽산페인트(03,LHY)1_99Group center-04기말-LHY" xfId="507"/>
    <cellStyle name="-_안진조서요약-유로넥스트(03)(LHY)_안진조서요약-유로넥스트(03)(LHY)_벽산페인트(03,LHY)1_99Group center-04기말-LHY 2" xfId="508"/>
    <cellStyle name="-_안진조서요약-유로넥스트(03)(LHY)_안진조서요약-유로넥스트(03)(LHY)_벽산페인트(03,LHY)1_99Group center-04기말-LHY 3" xfId="509"/>
    <cellStyle name="-_안진조서요약-유로넥스트(03)(LHY)_안진조서요약-유로넥스트(03)(LHY)_벽산페인트(03,LHY)1_99Group center-04기말-LHY 4" xfId="510"/>
    <cellStyle name="-_안진조서요약-유로넥스트(03)(LHY)_안진조서요약-유로넥스트(03)(LHY)_벽산페인트(03,LHY)1_99Group center-04중간업데이트기말-LHY" xfId="511"/>
    <cellStyle name="-_안진조서요약-유로넥스트(03)(LHY)_안진조서요약-유로넥스트(03)(LHY)_벽산페인트(03,LHY)1_99Group center-04중간업데이트기말-LHY 2" xfId="512"/>
    <cellStyle name="-_안진조서요약-유로넥스트(03)(LHY)_안진조서요약-유로넥스트(03)(LHY)_벽산페인트(03,LHY)1_99Group center-04중간업데이트기말-LHY 3" xfId="513"/>
    <cellStyle name="-_안진조서요약-유로넥스트(03)(LHY)_안진조서요약-유로넥스트(03)(LHY)_벽산페인트(03,LHY)1_99Group center-04중간업데이트기말-LHY 4" xfId="514"/>
    <cellStyle name="-_안진조서요약-유로넥스트(03)(LHY)_안진조서요약-유로넥스트(03)(LHY)_벽산페인트(03,LHY)1_99Group center-ARP04기말-LHY" xfId="515"/>
    <cellStyle name="-_안진조서요약-유로넥스트(03)(LHY)_안진조서요약-유로넥스트(03)(LHY)_벽산페인트(03,LHY)1_99Group center-ARP04기말-LHY 2" xfId="516"/>
    <cellStyle name="-_안진조서요약-유로넥스트(03)(LHY)_안진조서요약-유로넥스트(03)(LHY)_벽산페인트(03,LHY)1_99Group center-ARP04기말-LHY 3" xfId="517"/>
    <cellStyle name="-_안진조서요약-유로넥스트(03)(LHY)_안진조서요약-유로넥스트(03)(LHY)_벽산페인트(03,LHY)1_99Group center-ARP04기말-LHY 4" xfId="518"/>
    <cellStyle name="-_안진조서요약-유로넥스트(03)(LHY)_안진조서요약-유로넥스트(03)(LHY)_새누리상호저축(03-LHY)" xfId="519"/>
    <cellStyle name="-_안진조서요약-유로넥스트(03)(LHY)_안진조서요약-유로넥스트(03)(LHY)_새누리상호저축(03-LHY) 2" xfId="520"/>
    <cellStyle name="-_안진조서요약-유로넥스트(03)(LHY)_안진조서요약-유로넥스트(03)(LHY)_새누리상호저축(03-LHY) 3" xfId="521"/>
    <cellStyle name="-_안진조서요약-유로넥스트(03)(LHY)_안진조서요약-유로넥스트(03)(LHY)_새누리상호저축(03-LHY) 4" xfId="522"/>
    <cellStyle name="-_안진조서요약-유로넥스트(03)(LHY)_안진조서요약-유로넥스트(03)(LHY)_새누리상호저축(03-LHY)-new" xfId="523"/>
    <cellStyle name="-_안진조서요약-유로넥스트(03)(LHY)_안진조서요약-유로넥스트(03)(LHY)_새누리상호저축(03-LHY)-new 2" xfId="524"/>
    <cellStyle name="-_안진조서요약-유로넥스트(03)(LHY)_안진조서요약-유로넥스트(03)(LHY)_새누리상호저축(03-LHY)-new 3" xfId="525"/>
    <cellStyle name="-_안진조서요약-유로넥스트(03)(LHY)_안진조서요약-유로넥스트(03)(LHY)_새누리상호저축(03-LHY)-new 4" xfId="526"/>
    <cellStyle name="-_안진조서요약-유로넥스트(03)(LHY)_안진조서요약-유로넥스트(03)(LHY)_새누리상호저축(03-LHY)-new_99Group center-04기말-LHY" xfId="527"/>
    <cellStyle name="-_안진조서요약-유로넥스트(03)(LHY)_안진조서요약-유로넥스트(03)(LHY)_새누리상호저축(03-LHY)-new_99Group center-04기말-LHY 2" xfId="528"/>
    <cellStyle name="-_안진조서요약-유로넥스트(03)(LHY)_안진조서요약-유로넥스트(03)(LHY)_새누리상호저축(03-LHY)-new_99Group center-04기말-LHY 3" xfId="529"/>
    <cellStyle name="-_안진조서요약-유로넥스트(03)(LHY)_안진조서요약-유로넥스트(03)(LHY)_새누리상호저축(03-LHY)-new_99Group center-04기말-LHY 4" xfId="530"/>
    <cellStyle name="-_안진조서요약-유로넥스트(03)(LHY)_안진조서요약-유로넥스트(03)(LHY)_새누리상호저축(03-LHY)-new_99Group center-04중간업데이트기말-LHY" xfId="531"/>
    <cellStyle name="-_안진조서요약-유로넥스트(03)(LHY)_안진조서요약-유로넥스트(03)(LHY)_새누리상호저축(03-LHY)-new_99Group center-04중간업데이트기말-LHY 2" xfId="532"/>
    <cellStyle name="-_안진조서요약-유로넥스트(03)(LHY)_안진조서요약-유로넥스트(03)(LHY)_새누리상호저축(03-LHY)-new_99Group center-04중간업데이트기말-LHY 3" xfId="533"/>
    <cellStyle name="-_안진조서요약-유로넥스트(03)(LHY)_안진조서요약-유로넥스트(03)(LHY)_새누리상호저축(03-LHY)-new_99Group center-04중간업데이트기말-LHY 4" xfId="534"/>
    <cellStyle name="-_안진조서요약-유로넥스트(03)(LHY)_안진조서요약-유로넥스트(03)(LHY)_새누리상호저축(03-LHY)-new_99Group center-ARP04기말-LHY" xfId="535"/>
    <cellStyle name="-_안진조서요약-유로넥스트(03)(LHY)_안진조서요약-유로넥스트(03)(LHY)_새누리상호저축(03-LHY)-new_99Group center-ARP04기말-LHY 2" xfId="536"/>
    <cellStyle name="-_안진조서요약-유로넥스트(03)(LHY)_안진조서요약-유로넥스트(03)(LHY)_새누리상호저축(03-LHY)-new_99Group center-ARP04기말-LHY 3" xfId="537"/>
    <cellStyle name="-_안진조서요약-유로넥스트(03)(LHY)_안진조서요약-유로넥스트(03)(LHY)_새누리상호저축(03-LHY)-new_99Group center-ARP04기말-LHY 4" xfId="538"/>
    <cellStyle name="-_안진조서요약-유로넥스트(03)(LHY)_안진조서요약-유로넥스트(03)(LHY)_새누리상호저축(03-LHY)_99Group center-04기말-LHY" xfId="539"/>
    <cellStyle name="-_안진조서요약-유로넥스트(03)(LHY)_안진조서요약-유로넥스트(03)(LHY)_새누리상호저축(03-LHY)_99Group center-04기말-LHY 2" xfId="540"/>
    <cellStyle name="-_안진조서요약-유로넥스트(03)(LHY)_안진조서요약-유로넥스트(03)(LHY)_새누리상호저축(03-LHY)_99Group center-04기말-LHY 3" xfId="541"/>
    <cellStyle name="-_안진조서요약-유로넥스트(03)(LHY)_안진조서요약-유로넥스트(03)(LHY)_새누리상호저축(03-LHY)_99Group center-04기말-LHY 4" xfId="542"/>
    <cellStyle name="-_안진조서요약-유로넥스트(03)(LHY)_안진조서요약-유로넥스트(03)(LHY)_새누리상호저축(03-LHY)_99Group center-04중간업데이트기말-LHY" xfId="543"/>
    <cellStyle name="-_안진조서요약-유로넥스트(03)(LHY)_안진조서요약-유로넥스트(03)(LHY)_새누리상호저축(03-LHY)_99Group center-04중간업데이트기말-LHY 2" xfId="544"/>
    <cellStyle name="-_안진조서요약-유로넥스트(03)(LHY)_안진조서요약-유로넥스트(03)(LHY)_새누리상호저축(03-LHY)_99Group center-04중간업데이트기말-LHY 3" xfId="545"/>
    <cellStyle name="-_안진조서요약-유로넥스트(03)(LHY)_안진조서요약-유로넥스트(03)(LHY)_새누리상호저축(03-LHY)_99Group center-04중간업데이트기말-LHY 4" xfId="546"/>
    <cellStyle name="-_안진조서요약-유로넥스트(03)(LHY)_안진조서요약-유로넥스트(03)(LHY)_새누리상호저축(03-LHY)_99Group center-ARP04기말-LHY" xfId="547"/>
    <cellStyle name="-_안진조서요약-유로넥스트(03)(LHY)_안진조서요약-유로넥스트(03)(LHY)_새누리상호저축(03-LHY)_99Group center-ARP04기말-LHY 2" xfId="548"/>
    <cellStyle name="-_안진조서요약-유로넥스트(03)(LHY)_안진조서요약-유로넥스트(03)(LHY)_새누리상호저축(03-LHY)_99Group center-ARP04기말-LHY 3" xfId="549"/>
    <cellStyle name="-_안진조서요약-유로넥스트(03)(LHY)_안진조서요약-유로넥스트(03)(LHY)_새누리상호저축(03-LHY)_99Group center-ARP04기말-LHY 4" xfId="550"/>
    <cellStyle name="-_안진조서요약-유로넥스트(03)(LHY)_안진조서요약-유로넥스트(03)(LHY)_쌈지-04반기-(LHY)" xfId="551"/>
    <cellStyle name="-_안진조서요약-유로넥스트(03)(LHY)_안진조서요약-유로넥스트(03)(LHY)_쌈지-04반기-(LHY) 2" xfId="552"/>
    <cellStyle name="-_안진조서요약-유로넥스트(03)(LHY)_안진조서요약-유로넥스트(03)(LHY)_쌈지-04반기-(LHY) 3" xfId="553"/>
    <cellStyle name="-_안진조서요약-유로넥스트(03)(LHY)_안진조서요약-유로넥스트(03)(LHY)_쌈지-04반기-(LHY) 4" xfId="554"/>
    <cellStyle name="-_안진조서요약-유로넥스트(03)(LHY)_안진조서요약-유로넥스트(03)(LHY)_쌈지-04반기-(LHY)_99Group center-04기말-LHY" xfId="555"/>
    <cellStyle name="-_안진조서요약-유로넥스트(03)(LHY)_안진조서요약-유로넥스트(03)(LHY)_쌈지-04반기-(LHY)_99Group center-04기말-LHY 2" xfId="556"/>
    <cellStyle name="-_안진조서요약-유로넥스트(03)(LHY)_안진조서요약-유로넥스트(03)(LHY)_쌈지-04반기-(LHY)_99Group center-04기말-LHY 3" xfId="557"/>
    <cellStyle name="-_안진조서요약-유로넥스트(03)(LHY)_안진조서요약-유로넥스트(03)(LHY)_쌈지-04반기-(LHY)_99Group center-04기말-LHY 4" xfId="558"/>
    <cellStyle name="-_안진조서요약-유로넥스트(03)(LHY)_안진조서요약-유로넥스트(03)(LHY)_쌈지-04반기-(LHY)_99Group center-04중간업데이트기말-LHY" xfId="559"/>
    <cellStyle name="-_안진조서요약-유로넥스트(03)(LHY)_안진조서요약-유로넥스트(03)(LHY)_쌈지-04반기-(LHY)_99Group center-04중간업데이트기말-LHY 2" xfId="560"/>
    <cellStyle name="-_안진조서요약-유로넥스트(03)(LHY)_안진조서요약-유로넥스트(03)(LHY)_쌈지-04반기-(LHY)_99Group center-04중간업데이트기말-LHY 3" xfId="561"/>
    <cellStyle name="-_안진조서요약-유로넥스트(03)(LHY)_안진조서요약-유로넥스트(03)(LHY)_쌈지-04반기-(LHY)_99Group center-04중간업데이트기말-LHY 4" xfId="562"/>
    <cellStyle name="-_안진조서요약-유로넥스트(03)(LHY)_안진조서요약-유로넥스트(03)(LHY)_쌈지-04반기-(LHY)_99Group center-ARP04기말-LHY" xfId="563"/>
    <cellStyle name="-_안진조서요약-유로넥스트(03)(LHY)_안진조서요약-유로넥스트(03)(LHY)_쌈지-04반기-(LHY)_99Group center-ARP04기말-LHY 2" xfId="564"/>
    <cellStyle name="-_안진조서요약-유로넥스트(03)(LHY)_안진조서요약-유로넥스트(03)(LHY)_쌈지-04반기-(LHY)_99Group center-ARP04기말-LHY 3" xfId="565"/>
    <cellStyle name="-_안진조서요약-유로넥스트(03)(LHY)_안진조서요약-유로넥스트(03)(LHY)_쌈지-04반기-(LHY)_99Group center-ARP04기말-LHY 4" xfId="566"/>
    <cellStyle name="-_안진조서요약-유로넥스트(03)(LHY)_안진조서요약-유로넥스트(03)(LHY)_엠비즈-03-기말(LHY)" xfId="567"/>
    <cellStyle name="-_안진조서요약-유로넥스트(03)(LHY)_안진조서요약-유로넥스트(03)(LHY)_엠비즈-03-기말(LHY) 2" xfId="568"/>
    <cellStyle name="-_안진조서요약-유로넥스트(03)(LHY)_안진조서요약-유로넥스트(03)(LHY)_엠비즈-03-기말(LHY) 3" xfId="569"/>
    <cellStyle name="-_안진조서요약-유로넥스트(03)(LHY)_안진조서요약-유로넥스트(03)(LHY)_엠비즈-03-기말(LHY) 4" xfId="570"/>
    <cellStyle name="-_안진조서요약-유로넥스트(03)(LHY)_안진조서요약-유로넥스트(03)(LHY)_엠비즈-03-기말(LHY)_99Group center-04기말-LHY" xfId="571"/>
    <cellStyle name="-_안진조서요약-유로넥스트(03)(LHY)_안진조서요약-유로넥스트(03)(LHY)_엠비즈-03-기말(LHY)_99Group center-04기말-LHY 2" xfId="572"/>
    <cellStyle name="-_안진조서요약-유로넥스트(03)(LHY)_안진조서요약-유로넥스트(03)(LHY)_엠비즈-03-기말(LHY)_99Group center-04기말-LHY 3" xfId="573"/>
    <cellStyle name="-_안진조서요약-유로넥스트(03)(LHY)_안진조서요약-유로넥스트(03)(LHY)_엠비즈-03-기말(LHY)_99Group center-04기말-LHY 4" xfId="574"/>
    <cellStyle name="-_안진조서요약-유로넥스트(03)(LHY)_안진조서요약-유로넥스트(03)(LHY)_엠비즈-03-기말(LHY)_99Group center-04중간업데이트기말-LHY" xfId="575"/>
    <cellStyle name="-_안진조서요약-유로넥스트(03)(LHY)_안진조서요약-유로넥스트(03)(LHY)_엠비즈-03-기말(LHY)_99Group center-04중간업데이트기말-LHY 2" xfId="576"/>
    <cellStyle name="-_안진조서요약-유로넥스트(03)(LHY)_안진조서요약-유로넥스트(03)(LHY)_엠비즈-03-기말(LHY)_99Group center-04중간업데이트기말-LHY 3" xfId="577"/>
    <cellStyle name="-_안진조서요약-유로넥스트(03)(LHY)_안진조서요약-유로넥스트(03)(LHY)_엠비즈-03-기말(LHY)_99Group center-04중간업데이트기말-LHY 4" xfId="578"/>
    <cellStyle name="-_안진조서요약-유로넥스트(03)(LHY)_안진조서요약-유로넥스트(03)(LHY)_엠비즈-03-기말(LHY)_99Group center-ARP04기말-LHY" xfId="579"/>
    <cellStyle name="-_안진조서요약-유로넥스트(03)(LHY)_안진조서요약-유로넥스트(03)(LHY)_엠비즈-03-기말(LHY)_99Group center-ARP04기말-LHY 2" xfId="580"/>
    <cellStyle name="-_안진조서요약-유로넥스트(03)(LHY)_안진조서요약-유로넥스트(03)(LHY)_엠비즈-03-기말(LHY)_99Group center-ARP04기말-LHY 3" xfId="581"/>
    <cellStyle name="-_안진조서요약-유로넥스트(03)(LHY)_안진조서요약-유로넥스트(03)(LHY)_엠비즈-03-기말(LHY)_99Group center-ARP04기말-LHY 4" xfId="582"/>
    <cellStyle name="-_안진조서요약-유로넥스트(03)(LHY)_안진조서요약-유로넥스트(03)(LHY)_원가율검-조정" xfId="583"/>
    <cellStyle name="-_안진조서요약-유로넥스트(03)(LHY)_안진조서요약-유로넥스트(03)(LHY)_원가율검-조정 2" xfId="584"/>
    <cellStyle name="-_안진조서요약-유로넥스트(03)(LHY)_안진조서요약-유로넥스트(03)(LHY)_원가율검-조정 3" xfId="585"/>
    <cellStyle name="-_안진조서요약-유로넥스트(03)(LHY)_안진조서요약-유로넥스트(03)(LHY)_원가율검-조정 4" xfId="586"/>
    <cellStyle name="-_안진조서요약-유로넥스트(03)(LHY)_안진조서요약-유로넥스트(03)(LHY)_원가율검-조정_99Group center-04기말-LHY" xfId="587"/>
    <cellStyle name="-_안진조서요약-유로넥스트(03)(LHY)_안진조서요약-유로넥스트(03)(LHY)_원가율검-조정_99Group center-04기말-LHY 2" xfId="588"/>
    <cellStyle name="-_안진조서요약-유로넥스트(03)(LHY)_안진조서요약-유로넥스트(03)(LHY)_원가율검-조정_99Group center-04기말-LHY 3" xfId="589"/>
    <cellStyle name="-_안진조서요약-유로넥스트(03)(LHY)_안진조서요약-유로넥스트(03)(LHY)_원가율검-조정_99Group center-04기말-LHY 4" xfId="590"/>
    <cellStyle name="-_안진조서요약-유로넥스트(03)(LHY)_안진조서요약-유로넥스트(03)(LHY)_원가율검-조정_99Group center-04중간업데이트기말-LHY" xfId="591"/>
    <cellStyle name="-_안진조서요약-유로넥스트(03)(LHY)_안진조서요약-유로넥스트(03)(LHY)_원가율검-조정_99Group center-04중간업데이트기말-LHY 2" xfId="592"/>
    <cellStyle name="-_안진조서요약-유로넥스트(03)(LHY)_안진조서요약-유로넥스트(03)(LHY)_원가율검-조정_99Group center-04중간업데이트기말-LHY 3" xfId="593"/>
    <cellStyle name="-_안진조서요약-유로넥스트(03)(LHY)_안진조서요약-유로넥스트(03)(LHY)_원가율검-조정_99Group center-04중간업데이트기말-LHY 4" xfId="594"/>
    <cellStyle name="-_안진조서요약-유로넥스트(03)(LHY)_안진조서요약-유로넥스트(03)(LHY)_원가율검-조정_99Group center-ARP04기말-LHY" xfId="595"/>
    <cellStyle name="-_안진조서요약-유로넥스트(03)(LHY)_안진조서요약-유로넥스트(03)(LHY)_원가율검-조정_99Group center-ARP04기말-LHY 2" xfId="596"/>
    <cellStyle name="-_안진조서요약-유로넥스트(03)(LHY)_안진조서요약-유로넥스트(03)(LHY)_원가율검-조정_99Group center-ARP04기말-LHY 3" xfId="597"/>
    <cellStyle name="-_안진조서요약-유로넥스트(03)(LHY)_안진조서요약-유로넥스트(03)(LHY)_원가율검-조정_99Group center-ARP04기말-LHY 4" xfId="598"/>
    <cellStyle name="-_안진조서요약-유로넥스트(03)(LHY)_안진조서요약-유로넥스트(03)(LHY)_유로넥스트(03)(LHY)" xfId="599"/>
    <cellStyle name="-_안진조서요약-유로넥스트(03)(LHY)_안진조서요약-유로넥스트(03)(LHY)_유로넥스트(03)(LHY) 2" xfId="600"/>
    <cellStyle name="-_안진조서요약-유로넥스트(03)(LHY)_안진조서요약-유로넥스트(03)(LHY)_유로넥스트(03)(LHY) 3" xfId="601"/>
    <cellStyle name="-_안진조서요약-유로넥스트(03)(LHY)_안진조서요약-유로넥스트(03)(LHY)_유로넥스트(03)(LHY) 4" xfId="602"/>
    <cellStyle name="-_안진조서요약-유로넥스트(03)(LHY)_안진조서요약-유로넥스트(03)(LHY)_유로넥스트(03)(LHY)_단기투자, 장기투자의 양식(회계사요청)(1)" xfId="603"/>
    <cellStyle name="-_안진조서요약-유로넥스트(03)(LHY)_안진조서요약-유로넥스트(03)(LHY)_유로넥스트(03)(LHY)_단기투자, 장기투자의 양식(회계사요청)(1) 2" xfId="604"/>
    <cellStyle name="-_안진조서요약-유로넥스트(03)(LHY)_안진조서요약-유로넥스트(03)(LHY)_유로넥스트(03)(LHY)_단기투자, 장기투자의 양식(회계사요청)(1) 3" xfId="605"/>
    <cellStyle name="-_안진조서요약-유로넥스트(03)(LHY)_안진조서요약-유로넥스트(03)(LHY)_유로넥스트(03)(LHY)_단기투자, 장기투자의 양식(회계사요청)(1) 4" xfId="606"/>
    <cellStyle name="-_안진조서요약-유로넥스트(03)(LHY)_안진조서요약-유로넥스트(03)(LHY)_유로넥스트(03)(LHY)_단기투자, 장기투자의 양식(회계사요청)(1)_99Group center-04기말-LHY" xfId="607"/>
    <cellStyle name="-_안진조서요약-유로넥스트(03)(LHY)_안진조서요약-유로넥스트(03)(LHY)_유로넥스트(03)(LHY)_단기투자, 장기투자의 양식(회계사요청)(1)_99Group center-04기말-LHY 2" xfId="608"/>
    <cellStyle name="-_안진조서요약-유로넥스트(03)(LHY)_안진조서요약-유로넥스트(03)(LHY)_유로넥스트(03)(LHY)_단기투자, 장기투자의 양식(회계사요청)(1)_99Group center-04기말-LHY 3" xfId="609"/>
    <cellStyle name="-_안진조서요약-유로넥스트(03)(LHY)_안진조서요약-유로넥스트(03)(LHY)_유로넥스트(03)(LHY)_단기투자, 장기투자의 양식(회계사요청)(1)_99Group center-04기말-LHY 4" xfId="610"/>
    <cellStyle name="-_안진조서요약-유로넥스트(03)(LHY)_안진조서요약-유로넥스트(03)(LHY)_유로넥스트(03)(LHY)_단기투자, 장기투자의 양식(회계사요청)(1)_99Group center-04중간업데이트기말-LHY" xfId="611"/>
    <cellStyle name="-_안진조서요약-유로넥스트(03)(LHY)_안진조서요약-유로넥스트(03)(LHY)_유로넥스트(03)(LHY)_단기투자, 장기투자의 양식(회계사요청)(1)_99Group center-04중간업데이트기말-LHY 2" xfId="612"/>
    <cellStyle name="-_안진조서요약-유로넥스트(03)(LHY)_안진조서요약-유로넥스트(03)(LHY)_유로넥스트(03)(LHY)_단기투자, 장기투자의 양식(회계사요청)(1)_99Group center-04중간업데이트기말-LHY 3" xfId="613"/>
    <cellStyle name="-_안진조서요약-유로넥스트(03)(LHY)_안진조서요약-유로넥스트(03)(LHY)_유로넥스트(03)(LHY)_단기투자, 장기투자의 양식(회계사요청)(1)_99Group center-04중간업데이트기말-LHY 4" xfId="614"/>
    <cellStyle name="-_안진조서요약-유로넥스트(03)(LHY)_안진조서요약-유로넥스트(03)(LHY)_유로넥스트(03)(LHY)_단기투자, 장기투자의 양식(회계사요청)(1)_99Group center-ARP04기말-LHY" xfId="615"/>
    <cellStyle name="-_안진조서요약-유로넥스트(03)(LHY)_안진조서요약-유로넥스트(03)(LHY)_유로넥스트(03)(LHY)_단기투자, 장기투자의 양식(회계사요청)(1)_99Group center-ARP04기말-LHY 2" xfId="616"/>
    <cellStyle name="-_안진조서요약-유로넥스트(03)(LHY)_안진조서요약-유로넥스트(03)(LHY)_유로넥스트(03)(LHY)_단기투자, 장기투자의 양식(회계사요청)(1)_99Group center-ARP04기말-LHY 3" xfId="617"/>
    <cellStyle name="-_안진조서요약-유로넥스트(03)(LHY)_안진조서요약-유로넥스트(03)(LHY)_유로넥스트(03)(LHY)_단기투자, 장기투자의 양식(회계사요청)(1)_99Group center-ARP04기말-LHY 4" xfId="618"/>
    <cellStyle name="-_안진조서요약-유로넥스트(03)(LHY)_안진조서요약-유로넥스트(03)(LHY)_유로넥스트(03)(LHY)_대출채권 Sampling" xfId="619"/>
    <cellStyle name="-_안진조서요약-유로넥스트(03)(LHY)_안진조서요약-유로넥스트(03)(LHY)_유로넥스트(03)(LHY)_대출채권 Sampling 2" xfId="620"/>
    <cellStyle name="-_안진조서요약-유로넥스트(03)(LHY)_안진조서요약-유로넥스트(03)(LHY)_유로넥스트(03)(LHY)_대출채권 Sampling 3" xfId="621"/>
    <cellStyle name="-_안진조서요약-유로넥스트(03)(LHY)_안진조서요약-유로넥스트(03)(LHY)_유로넥스트(03)(LHY)_대출채권 Sampling 4" xfId="622"/>
    <cellStyle name="-_안진조서요약-유로넥스트(03)(LHY)_안진조서요약-유로넥스트(03)(LHY)_유로넥스트(03)(LHY)_대출채권 Sampling_99Group center-04기말-LHY" xfId="623"/>
    <cellStyle name="-_안진조서요약-유로넥스트(03)(LHY)_안진조서요약-유로넥스트(03)(LHY)_유로넥스트(03)(LHY)_대출채권 Sampling_99Group center-04기말-LHY 2" xfId="624"/>
    <cellStyle name="-_안진조서요약-유로넥스트(03)(LHY)_안진조서요약-유로넥스트(03)(LHY)_유로넥스트(03)(LHY)_대출채권 Sampling_99Group center-04기말-LHY 3" xfId="625"/>
    <cellStyle name="-_안진조서요약-유로넥스트(03)(LHY)_안진조서요약-유로넥스트(03)(LHY)_유로넥스트(03)(LHY)_대출채권 Sampling_99Group center-04기말-LHY 4" xfId="626"/>
    <cellStyle name="-_안진조서요약-유로넥스트(03)(LHY)_안진조서요약-유로넥스트(03)(LHY)_유로넥스트(03)(LHY)_대출채권 Sampling_99Group center-04중간업데이트기말-LHY" xfId="627"/>
    <cellStyle name="-_안진조서요약-유로넥스트(03)(LHY)_안진조서요약-유로넥스트(03)(LHY)_유로넥스트(03)(LHY)_대출채권 Sampling_99Group center-04중간업데이트기말-LHY 2" xfId="628"/>
    <cellStyle name="-_안진조서요약-유로넥스트(03)(LHY)_안진조서요약-유로넥스트(03)(LHY)_유로넥스트(03)(LHY)_대출채권 Sampling_99Group center-04중간업데이트기말-LHY 3" xfId="629"/>
    <cellStyle name="-_안진조서요약-유로넥스트(03)(LHY)_안진조서요약-유로넥스트(03)(LHY)_유로넥스트(03)(LHY)_대출채권 Sampling_99Group center-04중간업데이트기말-LHY 4" xfId="630"/>
    <cellStyle name="-_안진조서요약-유로넥스트(03)(LHY)_안진조서요약-유로넥스트(03)(LHY)_유로넥스트(03)(LHY)_대출채권 Sampling_99Group center-ARP04기말-LHY" xfId="631"/>
    <cellStyle name="-_안진조서요약-유로넥스트(03)(LHY)_안진조서요약-유로넥스트(03)(LHY)_유로넥스트(03)(LHY)_대출채권 Sampling_99Group center-ARP04기말-LHY 2" xfId="632"/>
    <cellStyle name="-_안진조서요약-유로넥스트(03)(LHY)_안진조서요약-유로넥스트(03)(LHY)_유로넥스트(03)(LHY)_대출채권 Sampling_99Group center-ARP04기말-LHY 3" xfId="633"/>
    <cellStyle name="-_안진조서요약-유로넥스트(03)(LHY)_안진조서요약-유로넥스트(03)(LHY)_유로넥스트(03)(LHY)_대출채권 Sampling_99Group center-ARP04기말-LHY 4" xfId="634"/>
    <cellStyle name="-_안진조서요약-유로넥스트(03)(LHY)_안진조서요약-유로넥스트(03)(LHY)_유로넥스트(03)(LHY)_동양매직-03(LHY)" xfId="635"/>
    <cellStyle name="-_안진조서요약-유로넥스트(03)(LHY)_안진조서요약-유로넥스트(03)(LHY)_유로넥스트(03)(LHY)_동양매직-03(LHY) 2" xfId="636"/>
    <cellStyle name="-_안진조서요약-유로넥스트(03)(LHY)_안진조서요약-유로넥스트(03)(LHY)_유로넥스트(03)(LHY)_동양매직-03(LHY) 3" xfId="637"/>
    <cellStyle name="-_안진조서요약-유로넥스트(03)(LHY)_안진조서요약-유로넥스트(03)(LHY)_유로넥스트(03)(LHY)_동양매직-03(LHY) 4" xfId="638"/>
    <cellStyle name="-_안진조서요약-유로넥스트(03)(LHY)_안진조서요약-유로넥스트(03)(LHY)_유로넥스트(03)(LHY)_동양매직-03(LHY)_99Group center-04기말-LHY" xfId="639"/>
    <cellStyle name="-_안진조서요약-유로넥스트(03)(LHY)_안진조서요약-유로넥스트(03)(LHY)_유로넥스트(03)(LHY)_동양매직-03(LHY)_99Group center-04기말-LHY 2" xfId="640"/>
    <cellStyle name="-_안진조서요약-유로넥스트(03)(LHY)_안진조서요약-유로넥스트(03)(LHY)_유로넥스트(03)(LHY)_동양매직-03(LHY)_99Group center-04기말-LHY 3" xfId="641"/>
    <cellStyle name="-_안진조서요약-유로넥스트(03)(LHY)_안진조서요약-유로넥스트(03)(LHY)_유로넥스트(03)(LHY)_동양매직-03(LHY)_99Group center-04기말-LHY 4" xfId="642"/>
    <cellStyle name="-_안진조서요약-유로넥스트(03)(LHY)_안진조서요약-유로넥스트(03)(LHY)_유로넥스트(03)(LHY)_동양매직-03(LHY)_99Group center-04중간업데이트기말-LHY" xfId="643"/>
    <cellStyle name="-_안진조서요약-유로넥스트(03)(LHY)_안진조서요약-유로넥스트(03)(LHY)_유로넥스트(03)(LHY)_동양매직-03(LHY)_99Group center-04중간업데이트기말-LHY 2" xfId="644"/>
    <cellStyle name="-_안진조서요약-유로넥스트(03)(LHY)_안진조서요약-유로넥스트(03)(LHY)_유로넥스트(03)(LHY)_동양매직-03(LHY)_99Group center-04중간업데이트기말-LHY 3" xfId="645"/>
    <cellStyle name="-_안진조서요약-유로넥스트(03)(LHY)_안진조서요약-유로넥스트(03)(LHY)_유로넥스트(03)(LHY)_동양매직-03(LHY)_99Group center-04중간업데이트기말-LHY 4" xfId="646"/>
    <cellStyle name="-_안진조서요약-유로넥스트(03)(LHY)_안진조서요약-유로넥스트(03)(LHY)_유로넥스트(03)(LHY)_동양매직-03(LHY)_99Group center-ARP04기말-LHY" xfId="647"/>
    <cellStyle name="-_안진조서요약-유로넥스트(03)(LHY)_안진조서요약-유로넥스트(03)(LHY)_유로넥스트(03)(LHY)_동양매직-03(LHY)_99Group center-ARP04기말-LHY 2" xfId="648"/>
    <cellStyle name="-_안진조서요약-유로넥스트(03)(LHY)_안진조서요약-유로넥스트(03)(LHY)_유로넥스트(03)(LHY)_동양매직-03(LHY)_99Group center-ARP04기말-LHY 3" xfId="649"/>
    <cellStyle name="-_안진조서요약-유로넥스트(03)(LHY)_안진조서요약-유로넥스트(03)(LHY)_유로넥스트(03)(LHY)_동양매직-03(LHY)_99Group center-ARP04기말-LHY 4" xfId="650"/>
    <cellStyle name="-_안진조서요약-유로넥스트(03)(LHY)_안진조서요약-유로넥스트(03)(LHY)_유로넥스트(03)(LHY)_매직산업(03기말-LHY)" xfId="651"/>
    <cellStyle name="-_안진조서요약-유로넥스트(03)(LHY)_안진조서요약-유로넥스트(03)(LHY)_유로넥스트(03)(LHY)_매직산업(03기말-LHY) 2" xfId="652"/>
    <cellStyle name="-_안진조서요약-유로넥스트(03)(LHY)_안진조서요약-유로넥스트(03)(LHY)_유로넥스트(03)(LHY)_매직산업(03기말-LHY) 3" xfId="653"/>
    <cellStyle name="-_안진조서요약-유로넥스트(03)(LHY)_안진조서요약-유로넥스트(03)(LHY)_유로넥스트(03)(LHY)_매직산업(03기말-LHY) 4" xfId="654"/>
    <cellStyle name="-_안진조서요약-유로넥스트(03)(LHY)_안진조서요약-유로넥스트(03)(LHY)_유로넥스트(03)(LHY)_매직산업(03기말-LHY)_99Group center-04기말-LHY" xfId="655"/>
    <cellStyle name="-_안진조서요약-유로넥스트(03)(LHY)_안진조서요약-유로넥스트(03)(LHY)_유로넥스트(03)(LHY)_매직산업(03기말-LHY)_99Group center-04기말-LHY 2" xfId="656"/>
    <cellStyle name="-_안진조서요약-유로넥스트(03)(LHY)_안진조서요약-유로넥스트(03)(LHY)_유로넥스트(03)(LHY)_매직산업(03기말-LHY)_99Group center-04기말-LHY 3" xfId="657"/>
    <cellStyle name="-_안진조서요약-유로넥스트(03)(LHY)_안진조서요약-유로넥스트(03)(LHY)_유로넥스트(03)(LHY)_매직산업(03기말-LHY)_99Group center-04기말-LHY 4" xfId="658"/>
    <cellStyle name="-_안진조서요약-유로넥스트(03)(LHY)_안진조서요약-유로넥스트(03)(LHY)_유로넥스트(03)(LHY)_매직산업(03기말-LHY)_99Group center-04중간업데이트기말-LHY" xfId="659"/>
    <cellStyle name="-_안진조서요약-유로넥스트(03)(LHY)_안진조서요약-유로넥스트(03)(LHY)_유로넥스트(03)(LHY)_매직산업(03기말-LHY)_99Group center-04중간업데이트기말-LHY 2" xfId="660"/>
    <cellStyle name="-_안진조서요약-유로넥스트(03)(LHY)_안진조서요약-유로넥스트(03)(LHY)_유로넥스트(03)(LHY)_매직산업(03기말-LHY)_99Group center-04중간업데이트기말-LHY 3" xfId="661"/>
    <cellStyle name="-_안진조서요약-유로넥스트(03)(LHY)_안진조서요약-유로넥스트(03)(LHY)_유로넥스트(03)(LHY)_매직산업(03기말-LHY)_99Group center-04중간업데이트기말-LHY 4" xfId="662"/>
    <cellStyle name="-_안진조서요약-유로넥스트(03)(LHY)_안진조서요약-유로넥스트(03)(LHY)_유로넥스트(03)(LHY)_매직산업(03기말-LHY)_99Group center-ARP04기말-LHY" xfId="663"/>
    <cellStyle name="-_안진조서요약-유로넥스트(03)(LHY)_안진조서요약-유로넥스트(03)(LHY)_유로넥스트(03)(LHY)_매직산업(03기말-LHY)_99Group center-ARP04기말-LHY 2" xfId="664"/>
    <cellStyle name="-_안진조서요약-유로넥스트(03)(LHY)_안진조서요약-유로넥스트(03)(LHY)_유로넥스트(03)(LHY)_매직산업(03기말-LHY)_99Group center-ARP04기말-LHY 3" xfId="665"/>
    <cellStyle name="-_안진조서요약-유로넥스트(03)(LHY)_안진조서요약-유로넥스트(03)(LHY)_유로넥스트(03)(LHY)_매직산업(03기말-LHY)_99Group center-ARP04기말-LHY 4" xfId="666"/>
    <cellStyle name="-_안진조서요약-유로넥스트(03)(LHY)_안진조서요약-유로넥스트(03)(LHY)_유로넥스트(03)(LHY)_벽산페인트(03,LHY)1" xfId="667"/>
    <cellStyle name="-_안진조서요약-유로넥스트(03)(LHY)_안진조서요약-유로넥스트(03)(LHY)_유로넥스트(03)(LHY)_벽산페인트(03,LHY)1 2" xfId="668"/>
    <cellStyle name="-_안진조서요약-유로넥스트(03)(LHY)_안진조서요약-유로넥스트(03)(LHY)_유로넥스트(03)(LHY)_벽산페인트(03,LHY)1 3" xfId="669"/>
    <cellStyle name="-_안진조서요약-유로넥스트(03)(LHY)_안진조서요약-유로넥스트(03)(LHY)_유로넥스트(03)(LHY)_벽산페인트(03,LHY)1 4" xfId="670"/>
    <cellStyle name="-_안진조서요약-유로넥스트(03)(LHY)_안진조서요약-유로넥스트(03)(LHY)_유로넥스트(03)(LHY)_벽산페인트(03,LHY)1_99Group center-04기말-LHY" xfId="671"/>
    <cellStyle name="-_안진조서요약-유로넥스트(03)(LHY)_안진조서요약-유로넥스트(03)(LHY)_유로넥스트(03)(LHY)_벽산페인트(03,LHY)1_99Group center-04기말-LHY 2" xfId="672"/>
    <cellStyle name="-_안진조서요약-유로넥스트(03)(LHY)_안진조서요약-유로넥스트(03)(LHY)_유로넥스트(03)(LHY)_벽산페인트(03,LHY)1_99Group center-04기말-LHY 3" xfId="673"/>
    <cellStyle name="-_안진조서요약-유로넥스트(03)(LHY)_안진조서요약-유로넥스트(03)(LHY)_유로넥스트(03)(LHY)_벽산페인트(03,LHY)1_99Group center-04기말-LHY 4" xfId="674"/>
    <cellStyle name="-_안진조서요약-유로넥스트(03)(LHY)_안진조서요약-유로넥스트(03)(LHY)_유로넥스트(03)(LHY)_벽산페인트(03,LHY)1_99Group center-04중간업데이트기말-LHY" xfId="675"/>
    <cellStyle name="-_안진조서요약-유로넥스트(03)(LHY)_안진조서요약-유로넥스트(03)(LHY)_유로넥스트(03)(LHY)_벽산페인트(03,LHY)1_99Group center-04중간업데이트기말-LHY 2" xfId="676"/>
    <cellStyle name="-_안진조서요약-유로넥스트(03)(LHY)_안진조서요약-유로넥스트(03)(LHY)_유로넥스트(03)(LHY)_벽산페인트(03,LHY)1_99Group center-04중간업데이트기말-LHY 3" xfId="677"/>
    <cellStyle name="-_안진조서요약-유로넥스트(03)(LHY)_안진조서요약-유로넥스트(03)(LHY)_유로넥스트(03)(LHY)_벽산페인트(03,LHY)1_99Group center-04중간업데이트기말-LHY 4" xfId="678"/>
    <cellStyle name="-_안진조서요약-유로넥스트(03)(LHY)_안진조서요약-유로넥스트(03)(LHY)_유로넥스트(03)(LHY)_벽산페인트(03,LHY)1_99Group center-ARP04기말-LHY" xfId="679"/>
    <cellStyle name="-_안진조서요약-유로넥스트(03)(LHY)_안진조서요약-유로넥스트(03)(LHY)_유로넥스트(03)(LHY)_벽산페인트(03,LHY)1_99Group center-ARP04기말-LHY 2" xfId="680"/>
    <cellStyle name="-_안진조서요약-유로넥스트(03)(LHY)_안진조서요약-유로넥스트(03)(LHY)_유로넥스트(03)(LHY)_벽산페인트(03,LHY)1_99Group center-ARP04기말-LHY 3" xfId="681"/>
    <cellStyle name="-_안진조서요약-유로넥스트(03)(LHY)_안진조서요약-유로넥스트(03)(LHY)_유로넥스트(03)(LHY)_벽산페인트(03,LHY)1_99Group center-ARP04기말-LHY 4" xfId="682"/>
    <cellStyle name="-_안진조서요약-유로넥스트(03)(LHY)_안진조서요약-유로넥스트(03)(LHY)_유로넥스트(03)(LHY)_새누리상호저축(03-LHY)" xfId="683"/>
    <cellStyle name="-_안진조서요약-유로넥스트(03)(LHY)_안진조서요약-유로넥스트(03)(LHY)_유로넥스트(03)(LHY)_새누리상호저축(03-LHY) 2" xfId="684"/>
    <cellStyle name="-_안진조서요약-유로넥스트(03)(LHY)_안진조서요약-유로넥스트(03)(LHY)_유로넥스트(03)(LHY)_새누리상호저축(03-LHY) 3" xfId="685"/>
    <cellStyle name="-_안진조서요약-유로넥스트(03)(LHY)_안진조서요약-유로넥스트(03)(LHY)_유로넥스트(03)(LHY)_새누리상호저축(03-LHY) 4" xfId="686"/>
    <cellStyle name="-_안진조서요약-유로넥스트(03)(LHY)_안진조서요약-유로넥스트(03)(LHY)_유로넥스트(03)(LHY)_새누리상호저축(03-LHY)-new" xfId="687"/>
    <cellStyle name="-_안진조서요약-유로넥스트(03)(LHY)_안진조서요약-유로넥스트(03)(LHY)_유로넥스트(03)(LHY)_새누리상호저축(03-LHY)-new 2" xfId="688"/>
    <cellStyle name="-_안진조서요약-유로넥스트(03)(LHY)_안진조서요약-유로넥스트(03)(LHY)_유로넥스트(03)(LHY)_새누리상호저축(03-LHY)-new 3" xfId="689"/>
    <cellStyle name="-_안진조서요약-유로넥스트(03)(LHY)_안진조서요약-유로넥스트(03)(LHY)_유로넥스트(03)(LHY)_새누리상호저축(03-LHY)-new 4" xfId="690"/>
    <cellStyle name="-_안진조서요약-유로넥스트(03)(LHY)_안진조서요약-유로넥스트(03)(LHY)_유로넥스트(03)(LHY)_새누리상호저축(03-LHY)-new_99Group center-04기말-LHY" xfId="691"/>
    <cellStyle name="-_안진조서요약-유로넥스트(03)(LHY)_안진조서요약-유로넥스트(03)(LHY)_유로넥스트(03)(LHY)_새누리상호저축(03-LHY)-new_99Group center-04기말-LHY 2" xfId="692"/>
    <cellStyle name="-_안진조서요약-유로넥스트(03)(LHY)_안진조서요약-유로넥스트(03)(LHY)_유로넥스트(03)(LHY)_새누리상호저축(03-LHY)-new_99Group center-04기말-LHY 3" xfId="693"/>
    <cellStyle name="-_안진조서요약-유로넥스트(03)(LHY)_안진조서요약-유로넥스트(03)(LHY)_유로넥스트(03)(LHY)_새누리상호저축(03-LHY)-new_99Group center-04기말-LHY 4" xfId="694"/>
    <cellStyle name="-_안진조서요약-유로넥스트(03)(LHY)_안진조서요약-유로넥스트(03)(LHY)_유로넥스트(03)(LHY)_새누리상호저축(03-LHY)-new_99Group center-04중간업데이트기말-LHY" xfId="695"/>
    <cellStyle name="-_안진조서요약-유로넥스트(03)(LHY)_안진조서요약-유로넥스트(03)(LHY)_유로넥스트(03)(LHY)_새누리상호저축(03-LHY)-new_99Group center-04중간업데이트기말-LHY 2" xfId="696"/>
    <cellStyle name="-_안진조서요약-유로넥스트(03)(LHY)_안진조서요약-유로넥스트(03)(LHY)_유로넥스트(03)(LHY)_새누리상호저축(03-LHY)-new_99Group center-04중간업데이트기말-LHY 3" xfId="697"/>
    <cellStyle name="-_안진조서요약-유로넥스트(03)(LHY)_안진조서요약-유로넥스트(03)(LHY)_유로넥스트(03)(LHY)_새누리상호저축(03-LHY)-new_99Group center-04중간업데이트기말-LHY 4" xfId="698"/>
    <cellStyle name="-_안진조서요약-유로넥스트(03)(LHY)_안진조서요약-유로넥스트(03)(LHY)_유로넥스트(03)(LHY)_새누리상호저축(03-LHY)-new_99Group center-ARP04기말-LHY" xfId="699"/>
    <cellStyle name="-_안진조서요약-유로넥스트(03)(LHY)_안진조서요약-유로넥스트(03)(LHY)_유로넥스트(03)(LHY)_새누리상호저축(03-LHY)-new_99Group center-ARP04기말-LHY 2" xfId="700"/>
    <cellStyle name="-_안진조서요약-유로넥스트(03)(LHY)_안진조서요약-유로넥스트(03)(LHY)_유로넥스트(03)(LHY)_새누리상호저축(03-LHY)-new_99Group center-ARP04기말-LHY 3" xfId="701"/>
    <cellStyle name="-_안진조서요약-유로넥스트(03)(LHY)_안진조서요약-유로넥스트(03)(LHY)_유로넥스트(03)(LHY)_새누리상호저축(03-LHY)-new_99Group center-ARP04기말-LHY 4" xfId="702"/>
    <cellStyle name="-_안진조서요약-유로넥스트(03)(LHY)_안진조서요약-유로넥스트(03)(LHY)_유로넥스트(03)(LHY)_새누리상호저축(03-LHY)_99Group center-04기말-LHY" xfId="703"/>
    <cellStyle name="-_안진조서요약-유로넥스트(03)(LHY)_안진조서요약-유로넥스트(03)(LHY)_유로넥스트(03)(LHY)_새누리상호저축(03-LHY)_99Group center-04기말-LHY 2" xfId="704"/>
    <cellStyle name="-_안진조서요약-유로넥스트(03)(LHY)_안진조서요약-유로넥스트(03)(LHY)_유로넥스트(03)(LHY)_새누리상호저축(03-LHY)_99Group center-04기말-LHY 3" xfId="705"/>
    <cellStyle name="-_안진조서요약-유로넥스트(03)(LHY)_안진조서요약-유로넥스트(03)(LHY)_유로넥스트(03)(LHY)_새누리상호저축(03-LHY)_99Group center-04기말-LHY 4" xfId="706"/>
    <cellStyle name="-_안진조서요약-유로넥스트(03)(LHY)_안진조서요약-유로넥스트(03)(LHY)_유로넥스트(03)(LHY)_새누리상호저축(03-LHY)_99Group center-04중간업데이트기말-LHY" xfId="707"/>
    <cellStyle name="-_안진조서요약-유로넥스트(03)(LHY)_안진조서요약-유로넥스트(03)(LHY)_유로넥스트(03)(LHY)_새누리상호저축(03-LHY)_99Group center-04중간업데이트기말-LHY 2" xfId="708"/>
    <cellStyle name="-_안진조서요약-유로넥스트(03)(LHY)_안진조서요약-유로넥스트(03)(LHY)_유로넥스트(03)(LHY)_새누리상호저축(03-LHY)_99Group center-04중간업데이트기말-LHY 3" xfId="709"/>
    <cellStyle name="-_안진조서요약-유로넥스트(03)(LHY)_안진조서요약-유로넥스트(03)(LHY)_유로넥스트(03)(LHY)_새누리상호저축(03-LHY)_99Group center-04중간업데이트기말-LHY 4" xfId="710"/>
    <cellStyle name="-_안진조서요약-유로넥스트(03)(LHY)_안진조서요약-유로넥스트(03)(LHY)_유로넥스트(03)(LHY)_새누리상호저축(03-LHY)_99Group center-ARP04기말-LHY" xfId="711"/>
    <cellStyle name="-_안진조서요약-유로넥스트(03)(LHY)_안진조서요약-유로넥스트(03)(LHY)_유로넥스트(03)(LHY)_새누리상호저축(03-LHY)_99Group center-ARP04기말-LHY 2" xfId="712"/>
    <cellStyle name="-_안진조서요약-유로넥스트(03)(LHY)_안진조서요약-유로넥스트(03)(LHY)_유로넥스트(03)(LHY)_새누리상호저축(03-LHY)_99Group center-ARP04기말-LHY 3" xfId="713"/>
    <cellStyle name="-_안진조서요약-유로넥스트(03)(LHY)_안진조서요약-유로넥스트(03)(LHY)_유로넥스트(03)(LHY)_새누리상호저축(03-LHY)_99Group center-ARP04기말-LHY 4" xfId="714"/>
    <cellStyle name="-_안진조서요약-유로넥스트(03)(LHY)_안진조서요약-유로넥스트(03)(LHY)_유로넥스트(03)(LHY)_쌈지-04반기-(LHY)" xfId="715"/>
    <cellStyle name="-_안진조서요약-유로넥스트(03)(LHY)_안진조서요약-유로넥스트(03)(LHY)_유로넥스트(03)(LHY)_쌈지-04반기-(LHY) 2" xfId="716"/>
    <cellStyle name="-_안진조서요약-유로넥스트(03)(LHY)_안진조서요약-유로넥스트(03)(LHY)_유로넥스트(03)(LHY)_쌈지-04반기-(LHY) 3" xfId="717"/>
    <cellStyle name="-_안진조서요약-유로넥스트(03)(LHY)_안진조서요약-유로넥스트(03)(LHY)_유로넥스트(03)(LHY)_쌈지-04반기-(LHY) 4" xfId="718"/>
    <cellStyle name="-_안진조서요약-유로넥스트(03)(LHY)_안진조서요약-유로넥스트(03)(LHY)_유로넥스트(03)(LHY)_쌈지-04반기-(LHY)_99Group center-04기말-LHY" xfId="719"/>
    <cellStyle name="-_안진조서요약-유로넥스트(03)(LHY)_안진조서요약-유로넥스트(03)(LHY)_유로넥스트(03)(LHY)_쌈지-04반기-(LHY)_99Group center-04기말-LHY 2" xfId="720"/>
    <cellStyle name="-_안진조서요약-유로넥스트(03)(LHY)_안진조서요약-유로넥스트(03)(LHY)_유로넥스트(03)(LHY)_쌈지-04반기-(LHY)_99Group center-04기말-LHY 3" xfId="721"/>
    <cellStyle name="-_안진조서요약-유로넥스트(03)(LHY)_안진조서요약-유로넥스트(03)(LHY)_유로넥스트(03)(LHY)_쌈지-04반기-(LHY)_99Group center-04기말-LHY 4" xfId="722"/>
    <cellStyle name="-_안진조서요약-유로넥스트(03)(LHY)_안진조서요약-유로넥스트(03)(LHY)_유로넥스트(03)(LHY)_쌈지-04반기-(LHY)_99Group center-04중간업데이트기말-LHY" xfId="723"/>
    <cellStyle name="-_안진조서요약-유로넥스트(03)(LHY)_안진조서요약-유로넥스트(03)(LHY)_유로넥스트(03)(LHY)_쌈지-04반기-(LHY)_99Group center-04중간업데이트기말-LHY 2" xfId="724"/>
    <cellStyle name="-_안진조서요약-유로넥스트(03)(LHY)_안진조서요약-유로넥스트(03)(LHY)_유로넥스트(03)(LHY)_쌈지-04반기-(LHY)_99Group center-04중간업데이트기말-LHY 3" xfId="725"/>
    <cellStyle name="-_안진조서요약-유로넥스트(03)(LHY)_안진조서요약-유로넥스트(03)(LHY)_유로넥스트(03)(LHY)_쌈지-04반기-(LHY)_99Group center-04중간업데이트기말-LHY 4" xfId="726"/>
    <cellStyle name="-_안진조서요약-유로넥스트(03)(LHY)_안진조서요약-유로넥스트(03)(LHY)_유로넥스트(03)(LHY)_쌈지-04반기-(LHY)_99Group center-ARP04기말-LHY" xfId="727"/>
    <cellStyle name="-_안진조서요약-유로넥스트(03)(LHY)_안진조서요약-유로넥스트(03)(LHY)_유로넥스트(03)(LHY)_쌈지-04반기-(LHY)_99Group center-ARP04기말-LHY 2" xfId="728"/>
    <cellStyle name="-_안진조서요약-유로넥스트(03)(LHY)_안진조서요약-유로넥스트(03)(LHY)_유로넥스트(03)(LHY)_쌈지-04반기-(LHY)_99Group center-ARP04기말-LHY 3" xfId="729"/>
    <cellStyle name="-_안진조서요약-유로넥스트(03)(LHY)_안진조서요약-유로넥스트(03)(LHY)_유로넥스트(03)(LHY)_쌈지-04반기-(LHY)_99Group center-ARP04기말-LHY 4" xfId="730"/>
    <cellStyle name="-_안진조서요약-유로넥스트(03)(LHY)_안진조서요약-유로넥스트(03)(LHY)_유로넥스트(03)(LHY)_엠비즈-03-기말(LHY)" xfId="731"/>
    <cellStyle name="-_안진조서요약-유로넥스트(03)(LHY)_안진조서요약-유로넥스트(03)(LHY)_유로넥스트(03)(LHY)_엠비즈-03-기말(LHY) 2" xfId="732"/>
    <cellStyle name="-_안진조서요약-유로넥스트(03)(LHY)_안진조서요약-유로넥스트(03)(LHY)_유로넥스트(03)(LHY)_엠비즈-03-기말(LHY) 3" xfId="733"/>
    <cellStyle name="-_안진조서요약-유로넥스트(03)(LHY)_안진조서요약-유로넥스트(03)(LHY)_유로넥스트(03)(LHY)_엠비즈-03-기말(LHY) 4" xfId="734"/>
    <cellStyle name="-_안진조서요약-유로넥스트(03)(LHY)_안진조서요약-유로넥스트(03)(LHY)_유로넥스트(03)(LHY)_엠비즈-03-기말(LHY)_99Group center-04기말-LHY" xfId="735"/>
    <cellStyle name="-_안진조서요약-유로넥스트(03)(LHY)_안진조서요약-유로넥스트(03)(LHY)_유로넥스트(03)(LHY)_엠비즈-03-기말(LHY)_99Group center-04기말-LHY 2" xfId="736"/>
    <cellStyle name="-_안진조서요약-유로넥스트(03)(LHY)_안진조서요약-유로넥스트(03)(LHY)_유로넥스트(03)(LHY)_엠비즈-03-기말(LHY)_99Group center-04기말-LHY 3" xfId="737"/>
    <cellStyle name="-_안진조서요약-유로넥스트(03)(LHY)_안진조서요약-유로넥스트(03)(LHY)_유로넥스트(03)(LHY)_엠비즈-03-기말(LHY)_99Group center-04기말-LHY 4" xfId="738"/>
    <cellStyle name="-_안진조서요약-유로넥스트(03)(LHY)_안진조서요약-유로넥스트(03)(LHY)_유로넥스트(03)(LHY)_엠비즈-03-기말(LHY)_99Group center-04중간업데이트기말-LHY" xfId="739"/>
    <cellStyle name="-_안진조서요약-유로넥스트(03)(LHY)_안진조서요약-유로넥스트(03)(LHY)_유로넥스트(03)(LHY)_엠비즈-03-기말(LHY)_99Group center-04중간업데이트기말-LHY 2" xfId="740"/>
    <cellStyle name="-_안진조서요약-유로넥스트(03)(LHY)_안진조서요약-유로넥스트(03)(LHY)_유로넥스트(03)(LHY)_엠비즈-03-기말(LHY)_99Group center-04중간업데이트기말-LHY 3" xfId="741"/>
    <cellStyle name="-_안진조서요약-유로넥스트(03)(LHY)_안진조서요약-유로넥스트(03)(LHY)_유로넥스트(03)(LHY)_엠비즈-03-기말(LHY)_99Group center-04중간업데이트기말-LHY 4" xfId="742"/>
    <cellStyle name="-_안진조서요약-유로넥스트(03)(LHY)_안진조서요약-유로넥스트(03)(LHY)_유로넥스트(03)(LHY)_엠비즈-03-기말(LHY)_99Group center-ARP04기말-LHY" xfId="743"/>
    <cellStyle name="-_안진조서요약-유로넥스트(03)(LHY)_안진조서요약-유로넥스트(03)(LHY)_유로넥스트(03)(LHY)_엠비즈-03-기말(LHY)_99Group center-ARP04기말-LHY 2" xfId="744"/>
    <cellStyle name="-_안진조서요약-유로넥스트(03)(LHY)_안진조서요약-유로넥스트(03)(LHY)_유로넥스트(03)(LHY)_엠비즈-03-기말(LHY)_99Group center-ARP04기말-LHY 3" xfId="745"/>
    <cellStyle name="-_안진조서요약-유로넥스트(03)(LHY)_안진조서요약-유로넥스트(03)(LHY)_유로넥스트(03)(LHY)_엠비즈-03-기말(LHY)_99Group center-ARP04기말-LHY 4" xfId="746"/>
    <cellStyle name="-_안진조서요약-유로넥스트(03)(LHY)_안진조서요약-유로넥스트(03)(LHY)_유로넥스트(03)(LHY)_원가율검-조정" xfId="747"/>
    <cellStyle name="-_안진조서요약-유로넥스트(03)(LHY)_안진조서요약-유로넥스트(03)(LHY)_유로넥스트(03)(LHY)_원가율검-조정 2" xfId="748"/>
    <cellStyle name="-_안진조서요약-유로넥스트(03)(LHY)_안진조서요약-유로넥스트(03)(LHY)_유로넥스트(03)(LHY)_원가율검-조정 3" xfId="749"/>
    <cellStyle name="-_안진조서요약-유로넥스트(03)(LHY)_안진조서요약-유로넥스트(03)(LHY)_유로넥스트(03)(LHY)_원가율검-조정 4" xfId="750"/>
    <cellStyle name="-_안진조서요약-유로넥스트(03)(LHY)_안진조서요약-유로넥스트(03)(LHY)_유로넥스트(03)(LHY)_원가율검-조정_99Group center-04기말-LHY" xfId="751"/>
    <cellStyle name="-_안진조서요약-유로넥스트(03)(LHY)_안진조서요약-유로넥스트(03)(LHY)_유로넥스트(03)(LHY)_원가율검-조정_99Group center-04기말-LHY 2" xfId="752"/>
    <cellStyle name="-_안진조서요약-유로넥스트(03)(LHY)_안진조서요약-유로넥스트(03)(LHY)_유로넥스트(03)(LHY)_원가율검-조정_99Group center-04기말-LHY 3" xfId="753"/>
    <cellStyle name="-_안진조서요약-유로넥스트(03)(LHY)_안진조서요약-유로넥스트(03)(LHY)_유로넥스트(03)(LHY)_원가율검-조정_99Group center-04기말-LHY 4" xfId="754"/>
    <cellStyle name="-_안진조서요약-유로넥스트(03)(LHY)_안진조서요약-유로넥스트(03)(LHY)_유로넥스트(03)(LHY)_원가율검-조정_99Group center-04중간업데이트기말-LHY" xfId="755"/>
    <cellStyle name="-_안진조서요약-유로넥스트(03)(LHY)_안진조서요약-유로넥스트(03)(LHY)_유로넥스트(03)(LHY)_원가율검-조정_99Group center-04중간업데이트기말-LHY 2" xfId="756"/>
    <cellStyle name="-_안진조서요약-유로넥스트(03)(LHY)_안진조서요약-유로넥스트(03)(LHY)_유로넥스트(03)(LHY)_원가율검-조정_99Group center-04중간업데이트기말-LHY 3" xfId="757"/>
    <cellStyle name="-_안진조서요약-유로넥스트(03)(LHY)_안진조서요약-유로넥스트(03)(LHY)_유로넥스트(03)(LHY)_원가율검-조정_99Group center-04중간업데이트기말-LHY 4" xfId="758"/>
    <cellStyle name="-_안진조서요약-유로넥스트(03)(LHY)_안진조서요약-유로넥스트(03)(LHY)_유로넥스트(03)(LHY)_원가율검-조정_99Group center-ARP04기말-LHY" xfId="759"/>
    <cellStyle name="-_안진조서요약-유로넥스트(03)(LHY)_안진조서요약-유로넥스트(03)(LHY)_유로넥스트(03)(LHY)_원가율검-조정_99Group center-ARP04기말-LHY 2" xfId="760"/>
    <cellStyle name="-_안진조서요약-유로넥스트(03)(LHY)_안진조서요약-유로넥스트(03)(LHY)_유로넥스트(03)(LHY)_원가율검-조정_99Group center-ARP04기말-LHY 3" xfId="761"/>
    <cellStyle name="-_안진조서요약-유로넥스트(03)(LHY)_안진조서요약-유로넥스트(03)(LHY)_유로넥스트(03)(LHY)_원가율검-조정_99Group center-ARP04기말-LHY 4" xfId="762"/>
    <cellStyle name="-_안진조서요약-유로넥스트(03)(LHY)_안진조서요약-유로넥스트(03)(LHY)_유로넥스트(03)(LHY)_유엔젤반기(04-LHY)" xfId="763"/>
    <cellStyle name="-_안진조서요약-유로넥스트(03)(LHY)_안진조서요약-유로넥스트(03)(LHY)_유로넥스트(03)(LHY)_유엔젤반기(04-LHY) 2" xfId="764"/>
    <cellStyle name="-_안진조서요약-유로넥스트(03)(LHY)_안진조서요약-유로넥스트(03)(LHY)_유로넥스트(03)(LHY)_유엔젤반기(04-LHY) 3" xfId="765"/>
    <cellStyle name="-_안진조서요약-유로넥스트(03)(LHY)_안진조서요약-유로넥스트(03)(LHY)_유로넥스트(03)(LHY)_유엔젤반기(04-LHY) 4" xfId="766"/>
    <cellStyle name="-_안진조서요약-유로넥스트(03)(LHY)_안진조서요약-유로넥스트(03)(LHY)_유로넥스트(03)(LHY)_유엔젤반기(04-LHY)_99Group center-04기말-LHY" xfId="767"/>
    <cellStyle name="-_안진조서요약-유로넥스트(03)(LHY)_안진조서요약-유로넥스트(03)(LHY)_유로넥스트(03)(LHY)_유엔젤반기(04-LHY)_99Group center-04기말-LHY 2" xfId="768"/>
    <cellStyle name="-_안진조서요약-유로넥스트(03)(LHY)_안진조서요약-유로넥스트(03)(LHY)_유로넥스트(03)(LHY)_유엔젤반기(04-LHY)_99Group center-04기말-LHY 3" xfId="769"/>
    <cellStyle name="-_안진조서요약-유로넥스트(03)(LHY)_안진조서요약-유로넥스트(03)(LHY)_유로넥스트(03)(LHY)_유엔젤반기(04-LHY)_99Group center-04기말-LHY 4" xfId="770"/>
    <cellStyle name="-_안진조서요약-유로넥스트(03)(LHY)_안진조서요약-유로넥스트(03)(LHY)_유로넥스트(03)(LHY)_유엔젤반기(04-LHY)_99Group center-04중간업데이트기말-LHY" xfId="771"/>
    <cellStyle name="-_안진조서요약-유로넥스트(03)(LHY)_안진조서요약-유로넥스트(03)(LHY)_유로넥스트(03)(LHY)_유엔젤반기(04-LHY)_99Group center-04중간업데이트기말-LHY 2" xfId="772"/>
    <cellStyle name="-_안진조서요약-유로넥스트(03)(LHY)_안진조서요약-유로넥스트(03)(LHY)_유로넥스트(03)(LHY)_유엔젤반기(04-LHY)_99Group center-04중간업데이트기말-LHY 3" xfId="773"/>
    <cellStyle name="-_안진조서요약-유로넥스트(03)(LHY)_안진조서요약-유로넥스트(03)(LHY)_유로넥스트(03)(LHY)_유엔젤반기(04-LHY)_99Group center-04중간업데이트기말-LHY 4" xfId="774"/>
    <cellStyle name="-_안진조서요약-유로넥스트(03)(LHY)_안진조서요약-유로넥스트(03)(LHY)_유로넥스트(03)(LHY)_유엔젤반기(04-LHY)_99Group center-ARP04기말-LHY" xfId="775"/>
    <cellStyle name="-_안진조서요약-유로넥스트(03)(LHY)_안진조서요약-유로넥스트(03)(LHY)_유로넥스트(03)(LHY)_유엔젤반기(04-LHY)_99Group center-ARP04기말-LHY 2" xfId="776"/>
    <cellStyle name="-_안진조서요약-유로넥스트(03)(LHY)_안진조서요약-유로넥스트(03)(LHY)_유로넥스트(03)(LHY)_유엔젤반기(04-LHY)_99Group center-ARP04기말-LHY 3" xfId="777"/>
    <cellStyle name="-_안진조서요약-유로넥스트(03)(LHY)_안진조서요약-유로넥스트(03)(LHY)_유로넥스트(03)(LHY)_유엔젤반기(04-LHY)_99Group center-ARP04기말-LHY 4" xfId="778"/>
    <cellStyle name="-_안진조서요약-유로넥스트(03)(LHY)_안진조서요약-유로넥스트(03)(LHY)_유로넥스트(03)(LHY)_투자유가증권 주석(진짜)03-LHY" xfId="779"/>
    <cellStyle name="-_안진조서요약-유로넥스트(03)(LHY)_안진조서요약-유로넥스트(03)(LHY)_유로넥스트(03)(LHY)_투자유가증권 주석(진짜)03-LHY 2" xfId="780"/>
    <cellStyle name="-_안진조서요약-유로넥스트(03)(LHY)_안진조서요약-유로넥스트(03)(LHY)_유로넥스트(03)(LHY)_투자유가증권 주석(진짜)03-LHY 3" xfId="781"/>
    <cellStyle name="-_안진조서요약-유로넥스트(03)(LHY)_안진조서요약-유로넥스트(03)(LHY)_유로넥스트(03)(LHY)_투자유가증권 주석(진짜)03-LHY 4" xfId="782"/>
    <cellStyle name="-_안진조서요약-유로넥스트(03)(LHY)_안진조서요약-유로넥스트(03)(LHY)_유로넥스트(03)(LHY)_투자유가증권 주석(진짜)03-LHY_99Group center-04기말-LHY" xfId="783"/>
    <cellStyle name="-_안진조서요약-유로넥스트(03)(LHY)_안진조서요약-유로넥스트(03)(LHY)_유로넥스트(03)(LHY)_투자유가증권 주석(진짜)03-LHY_99Group center-04기말-LHY 2" xfId="784"/>
    <cellStyle name="-_안진조서요약-유로넥스트(03)(LHY)_안진조서요약-유로넥스트(03)(LHY)_유로넥스트(03)(LHY)_투자유가증권 주석(진짜)03-LHY_99Group center-04기말-LHY 3" xfId="785"/>
    <cellStyle name="-_안진조서요약-유로넥스트(03)(LHY)_안진조서요약-유로넥스트(03)(LHY)_유로넥스트(03)(LHY)_투자유가증권 주석(진짜)03-LHY_99Group center-04기말-LHY 4" xfId="786"/>
    <cellStyle name="-_안진조서요약-유로넥스트(03)(LHY)_안진조서요약-유로넥스트(03)(LHY)_유로넥스트(03)(LHY)_투자유가증권 주석(진짜)03-LHY_99Group center-04중간업데이트기말-LHY" xfId="787"/>
    <cellStyle name="-_안진조서요약-유로넥스트(03)(LHY)_안진조서요약-유로넥스트(03)(LHY)_유로넥스트(03)(LHY)_투자유가증권 주석(진짜)03-LHY_99Group center-04중간업데이트기말-LHY 2" xfId="788"/>
    <cellStyle name="-_안진조서요약-유로넥스트(03)(LHY)_안진조서요약-유로넥스트(03)(LHY)_유로넥스트(03)(LHY)_투자유가증권 주석(진짜)03-LHY_99Group center-04중간업데이트기말-LHY 3" xfId="789"/>
    <cellStyle name="-_안진조서요약-유로넥스트(03)(LHY)_안진조서요약-유로넥스트(03)(LHY)_유로넥스트(03)(LHY)_투자유가증권 주석(진짜)03-LHY_99Group center-04중간업데이트기말-LHY 4" xfId="790"/>
    <cellStyle name="-_안진조서요약-유로넥스트(03)(LHY)_안진조서요약-유로넥스트(03)(LHY)_유로넥스트(03)(LHY)_투자유가증권 주석(진짜)03-LHY_99Group center-ARP04기말-LHY" xfId="791"/>
    <cellStyle name="-_안진조서요약-유로넥스트(03)(LHY)_안진조서요약-유로넥스트(03)(LHY)_유로넥스트(03)(LHY)_투자유가증권 주석(진짜)03-LHY_99Group center-ARP04기말-LHY 2" xfId="792"/>
    <cellStyle name="-_안진조서요약-유로넥스트(03)(LHY)_안진조서요약-유로넥스트(03)(LHY)_유로넥스트(03)(LHY)_투자유가증권 주석(진짜)03-LHY_99Group center-ARP04기말-LHY 3" xfId="793"/>
    <cellStyle name="-_안진조서요약-유로넥스트(03)(LHY)_안진조서요약-유로넥스트(03)(LHY)_유로넥스트(03)(LHY)_투자유가증권 주석(진짜)03-LHY_99Group center-ARP04기말-LHY 4" xfId="794"/>
    <cellStyle name="-_안진조서요약-유로넥스트(03)(LHY)_안진조서요약-유로넥스트(03)(LHY)_유로넥스트(03)(LHY)_투자유가증권양식" xfId="795"/>
    <cellStyle name="-_안진조서요약-유로넥스트(03)(LHY)_안진조서요약-유로넥스트(03)(LHY)_유로넥스트(03)(LHY)_투자유가증권양식 2" xfId="796"/>
    <cellStyle name="-_안진조서요약-유로넥스트(03)(LHY)_안진조서요약-유로넥스트(03)(LHY)_유로넥스트(03)(LHY)_투자유가증권양식 3" xfId="797"/>
    <cellStyle name="-_안진조서요약-유로넥스트(03)(LHY)_안진조서요약-유로넥스트(03)(LHY)_유로넥스트(03)(LHY)_투자유가증권양식 4" xfId="798"/>
    <cellStyle name="-_안진조서요약-유로넥스트(03)(LHY)_안진조서요약-유로넥스트(03)(LHY)_유로넥스트(03)(LHY)_투자유가증권양식_99Group center-04기말-LHY" xfId="799"/>
    <cellStyle name="-_안진조서요약-유로넥스트(03)(LHY)_안진조서요약-유로넥스트(03)(LHY)_유로넥스트(03)(LHY)_투자유가증권양식_99Group center-04기말-LHY 2" xfId="800"/>
    <cellStyle name="-_안진조서요약-유로넥스트(03)(LHY)_안진조서요약-유로넥스트(03)(LHY)_유로넥스트(03)(LHY)_투자유가증권양식_99Group center-04기말-LHY 3" xfId="801"/>
    <cellStyle name="-_안진조서요약-유로넥스트(03)(LHY)_안진조서요약-유로넥스트(03)(LHY)_유로넥스트(03)(LHY)_투자유가증권양식_99Group center-04기말-LHY 4" xfId="802"/>
    <cellStyle name="-_안진조서요약-유로넥스트(03)(LHY)_안진조서요약-유로넥스트(03)(LHY)_유로넥스트(03)(LHY)_투자유가증권양식_99Group center-04중간업데이트기말-LHY" xfId="803"/>
    <cellStyle name="-_안진조서요약-유로넥스트(03)(LHY)_안진조서요약-유로넥스트(03)(LHY)_유로넥스트(03)(LHY)_투자유가증권양식_99Group center-04중간업데이트기말-LHY 2" xfId="804"/>
    <cellStyle name="-_안진조서요약-유로넥스트(03)(LHY)_안진조서요약-유로넥스트(03)(LHY)_유로넥스트(03)(LHY)_투자유가증권양식_99Group center-04중간업데이트기말-LHY 3" xfId="805"/>
    <cellStyle name="-_안진조서요약-유로넥스트(03)(LHY)_안진조서요약-유로넥스트(03)(LHY)_유로넥스트(03)(LHY)_투자유가증권양식_99Group center-04중간업데이트기말-LHY 4" xfId="806"/>
    <cellStyle name="-_안진조서요약-유로넥스트(03)(LHY)_안진조서요약-유로넥스트(03)(LHY)_유로넥스트(03)(LHY)_투자유가증권양식_99Group center-ARP04기말-LHY" xfId="807"/>
    <cellStyle name="-_안진조서요약-유로넥스트(03)(LHY)_안진조서요약-유로넥스트(03)(LHY)_유로넥스트(03)(LHY)_투자유가증권양식_99Group center-ARP04기말-LHY 2" xfId="808"/>
    <cellStyle name="-_안진조서요약-유로넥스트(03)(LHY)_안진조서요약-유로넥스트(03)(LHY)_유로넥스트(03)(LHY)_투자유가증권양식_99Group center-ARP04기말-LHY 3" xfId="809"/>
    <cellStyle name="-_안진조서요약-유로넥스트(03)(LHY)_안진조서요약-유로넥스트(03)(LHY)_유로넥스트(03)(LHY)_투자유가증권양식_99Group center-ARP04기말-LHY 4" xfId="810"/>
    <cellStyle name="-_안진조서요약-유로넥스트(03)(LHY)_안진조서요약-유로넥스트(03)(LHY)_유로넥스트(03)(LHY)_풀무원스프라우트-04반기-LHY" xfId="811"/>
    <cellStyle name="-_안진조서요약-유로넥스트(03)(LHY)_안진조서요약-유로넥스트(03)(LHY)_유로넥스트(03)(LHY)_풀무원스프라우트-04반기-LHY 2" xfId="812"/>
    <cellStyle name="-_안진조서요약-유로넥스트(03)(LHY)_안진조서요약-유로넥스트(03)(LHY)_유로넥스트(03)(LHY)_풀무원스프라우트-04반기-LHY 3" xfId="813"/>
    <cellStyle name="-_안진조서요약-유로넥스트(03)(LHY)_안진조서요약-유로넥스트(03)(LHY)_유로넥스트(03)(LHY)_풀무원스프라우트-04반기-LHY 4" xfId="814"/>
    <cellStyle name="-_안진조서요약-유로넥스트(03)(LHY)_안진조서요약-유로넥스트(03)(LHY)_유로넥스트(03)(LHY)_풀무원스프라우트-04반기-LHY_99Group center-04기말-LHY" xfId="815"/>
    <cellStyle name="-_안진조서요약-유로넥스트(03)(LHY)_안진조서요약-유로넥스트(03)(LHY)_유로넥스트(03)(LHY)_풀무원스프라우트-04반기-LHY_99Group center-04기말-LHY 2" xfId="816"/>
    <cellStyle name="-_안진조서요약-유로넥스트(03)(LHY)_안진조서요약-유로넥스트(03)(LHY)_유로넥스트(03)(LHY)_풀무원스프라우트-04반기-LHY_99Group center-04기말-LHY 3" xfId="817"/>
    <cellStyle name="-_안진조서요약-유로넥스트(03)(LHY)_안진조서요약-유로넥스트(03)(LHY)_유로넥스트(03)(LHY)_풀무원스프라우트-04반기-LHY_99Group center-04기말-LHY 4" xfId="818"/>
    <cellStyle name="-_안진조서요약-유로넥스트(03)(LHY)_안진조서요약-유로넥스트(03)(LHY)_유로넥스트(03)(LHY)_풀무원스프라우트-04반기-LHY_99Group center-04중간업데이트기말-LHY" xfId="819"/>
    <cellStyle name="-_안진조서요약-유로넥스트(03)(LHY)_안진조서요약-유로넥스트(03)(LHY)_유로넥스트(03)(LHY)_풀무원스프라우트-04반기-LHY_99Group center-04중간업데이트기말-LHY 2" xfId="820"/>
    <cellStyle name="-_안진조서요약-유로넥스트(03)(LHY)_안진조서요약-유로넥스트(03)(LHY)_유로넥스트(03)(LHY)_풀무원스프라우트-04반기-LHY_99Group center-04중간업데이트기말-LHY 3" xfId="821"/>
    <cellStyle name="-_안진조서요약-유로넥스트(03)(LHY)_안진조서요약-유로넥스트(03)(LHY)_유로넥스트(03)(LHY)_풀무원스프라우트-04반기-LHY_99Group center-04중간업데이트기말-LHY 4" xfId="822"/>
    <cellStyle name="-_안진조서요약-유로넥스트(03)(LHY)_안진조서요약-유로넥스트(03)(LHY)_유로넥스트(03)(LHY)_풀무원스프라우트-04반기-LHY_99Group center-ARP04기말-LHY" xfId="823"/>
    <cellStyle name="-_안진조서요약-유로넥스트(03)(LHY)_안진조서요약-유로넥스트(03)(LHY)_유로넥스트(03)(LHY)_풀무원스프라우트-04반기-LHY_99Group center-ARP04기말-LHY 2" xfId="824"/>
    <cellStyle name="-_안진조서요약-유로넥스트(03)(LHY)_안진조서요약-유로넥스트(03)(LHY)_유로넥스트(03)(LHY)_풀무원스프라우트-04반기-LHY_99Group center-ARP04기말-LHY 3" xfId="825"/>
    <cellStyle name="-_안진조서요약-유로넥스트(03)(LHY)_안진조서요약-유로넥스트(03)(LHY)_유로넥스트(03)(LHY)_풀무원스프라우트-04반기-LHY_99Group center-ARP04기말-LHY 4" xfId="826"/>
    <cellStyle name="-_안진조서요약-유로넥스트(03)(LHY)_안진조서요약-유로넥스트(03)(LHY)_유로넥스트(03)(LHY)_한국유업-03(LHY)" xfId="827"/>
    <cellStyle name="-_안진조서요약-유로넥스트(03)(LHY)_안진조서요약-유로넥스트(03)(LHY)_유로넥스트(03)(LHY)_한국유업-03(LHY) 2" xfId="828"/>
    <cellStyle name="-_안진조서요약-유로넥스트(03)(LHY)_안진조서요약-유로넥스트(03)(LHY)_유로넥스트(03)(LHY)_한국유업-03(LHY) 3" xfId="829"/>
    <cellStyle name="-_안진조서요약-유로넥스트(03)(LHY)_안진조서요약-유로넥스트(03)(LHY)_유로넥스트(03)(LHY)_한국유업-03(LHY) 4" xfId="830"/>
    <cellStyle name="-_안진조서요약-유로넥스트(03)(LHY)_안진조서요약-유로넥스트(03)(LHY)_유로넥스트(03)(LHY)_한국유업-03(LHY)_99Group center-04기말-LHY" xfId="831"/>
    <cellStyle name="-_안진조서요약-유로넥스트(03)(LHY)_안진조서요약-유로넥스트(03)(LHY)_유로넥스트(03)(LHY)_한국유업-03(LHY)_99Group center-04기말-LHY 2" xfId="832"/>
    <cellStyle name="-_안진조서요약-유로넥스트(03)(LHY)_안진조서요약-유로넥스트(03)(LHY)_유로넥스트(03)(LHY)_한국유업-03(LHY)_99Group center-04기말-LHY 3" xfId="833"/>
    <cellStyle name="-_안진조서요약-유로넥스트(03)(LHY)_안진조서요약-유로넥스트(03)(LHY)_유로넥스트(03)(LHY)_한국유업-03(LHY)_99Group center-04기말-LHY 4" xfId="834"/>
    <cellStyle name="-_안진조서요약-유로넥스트(03)(LHY)_안진조서요약-유로넥스트(03)(LHY)_유로넥스트(03)(LHY)_한국유업-03(LHY)_99Group center-04중간업데이트기말-LHY" xfId="835"/>
    <cellStyle name="-_안진조서요약-유로넥스트(03)(LHY)_안진조서요약-유로넥스트(03)(LHY)_유로넥스트(03)(LHY)_한국유업-03(LHY)_99Group center-04중간업데이트기말-LHY 2" xfId="836"/>
    <cellStyle name="-_안진조서요약-유로넥스트(03)(LHY)_안진조서요약-유로넥스트(03)(LHY)_유로넥스트(03)(LHY)_한국유업-03(LHY)_99Group center-04중간업데이트기말-LHY 3" xfId="837"/>
    <cellStyle name="-_안진조서요약-유로넥스트(03)(LHY)_안진조서요약-유로넥스트(03)(LHY)_유로넥스트(03)(LHY)_한국유업-03(LHY)_99Group center-04중간업데이트기말-LHY 4" xfId="838"/>
    <cellStyle name="-_안진조서요약-유로넥스트(03)(LHY)_안진조서요약-유로넥스트(03)(LHY)_유로넥스트(03)(LHY)_한국유업-03(LHY)_99Group center-ARP04기말-LHY" xfId="839"/>
    <cellStyle name="-_안진조서요약-유로넥스트(03)(LHY)_안진조서요약-유로넥스트(03)(LHY)_유로넥스트(03)(LHY)_한국유업-03(LHY)_99Group center-ARP04기말-LHY 2" xfId="840"/>
    <cellStyle name="-_안진조서요약-유로넥스트(03)(LHY)_안진조서요약-유로넥스트(03)(LHY)_유로넥스트(03)(LHY)_한국유업-03(LHY)_99Group center-ARP04기말-LHY 3" xfId="841"/>
    <cellStyle name="-_안진조서요약-유로넥스트(03)(LHY)_안진조서요약-유로넥스트(03)(LHY)_유로넥스트(03)(LHY)_한국유업-03(LHY)_99Group center-ARP04기말-LHY 4" xfId="842"/>
    <cellStyle name="-_안진조서요약-유로넥스트(03)(LHY)_안진조서요약-유로넥스트(03)(LHY)_유로넥스트(03)(LHY)_한국유업-03(LHY)_매직산업(03기말-LHY)" xfId="843"/>
    <cellStyle name="-_안진조서요약-유로넥스트(03)(LHY)_안진조서요약-유로넥스트(03)(LHY)_유로넥스트(03)(LHY)_한국유업-03(LHY)_매직산업(03기말-LHY) 2" xfId="844"/>
    <cellStyle name="-_안진조서요약-유로넥스트(03)(LHY)_안진조서요약-유로넥스트(03)(LHY)_유로넥스트(03)(LHY)_한국유업-03(LHY)_매직산업(03기말-LHY) 3" xfId="845"/>
    <cellStyle name="-_안진조서요약-유로넥스트(03)(LHY)_안진조서요약-유로넥스트(03)(LHY)_유로넥스트(03)(LHY)_한국유업-03(LHY)_매직산업(03기말-LHY) 4" xfId="846"/>
    <cellStyle name="-_안진조서요약-유로넥스트(03)(LHY)_안진조서요약-유로넥스트(03)(LHY)_유로넥스트(03)(LHY)_한국유업-03(LHY)_매직산업(03기말-LHY)_99Group center-04기말-LHY" xfId="847"/>
    <cellStyle name="-_안진조서요약-유로넥스트(03)(LHY)_안진조서요약-유로넥스트(03)(LHY)_유로넥스트(03)(LHY)_한국유업-03(LHY)_매직산업(03기말-LHY)_99Group center-04기말-LHY 2" xfId="848"/>
    <cellStyle name="-_안진조서요약-유로넥스트(03)(LHY)_안진조서요약-유로넥스트(03)(LHY)_유로넥스트(03)(LHY)_한국유업-03(LHY)_매직산업(03기말-LHY)_99Group center-04기말-LHY 3" xfId="849"/>
    <cellStyle name="-_안진조서요약-유로넥스트(03)(LHY)_안진조서요약-유로넥스트(03)(LHY)_유로넥스트(03)(LHY)_한국유업-03(LHY)_매직산업(03기말-LHY)_99Group center-04기말-LHY 4" xfId="850"/>
    <cellStyle name="-_안진조서요약-유로넥스트(03)(LHY)_안진조서요약-유로넥스트(03)(LHY)_유로넥스트(03)(LHY)_한국유업-03(LHY)_매직산업(03기말-LHY)_99Group center-04중간업데이트기말-LHY" xfId="851"/>
    <cellStyle name="-_안진조서요약-유로넥스트(03)(LHY)_안진조서요약-유로넥스트(03)(LHY)_유로넥스트(03)(LHY)_한국유업-03(LHY)_매직산업(03기말-LHY)_99Group center-04중간업데이트기말-LHY 2" xfId="852"/>
    <cellStyle name="-_안진조서요약-유로넥스트(03)(LHY)_안진조서요약-유로넥스트(03)(LHY)_유로넥스트(03)(LHY)_한국유업-03(LHY)_매직산업(03기말-LHY)_99Group center-04중간업데이트기말-LHY 3" xfId="853"/>
    <cellStyle name="-_안진조서요약-유로넥스트(03)(LHY)_안진조서요약-유로넥스트(03)(LHY)_유로넥스트(03)(LHY)_한국유업-03(LHY)_매직산업(03기말-LHY)_99Group center-04중간업데이트기말-LHY 4" xfId="854"/>
    <cellStyle name="-_안진조서요약-유로넥스트(03)(LHY)_안진조서요약-유로넥스트(03)(LHY)_유로넥스트(03)(LHY)_한국유업-03(LHY)_매직산업(03기말-LHY)_99Group center-ARP04기말-LHY" xfId="855"/>
    <cellStyle name="-_안진조서요약-유로넥스트(03)(LHY)_안진조서요약-유로넥스트(03)(LHY)_유로넥스트(03)(LHY)_한국유업-03(LHY)_매직산업(03기말-LHY)_99Group center-ARP04기말-LHY 2" xfId="856"/>
    <cellStyle name="-_안진조서요약-유로넥스트(03)(LHY)_안진조서요약-유로넥스트(03)(LHY)_유로넥스트(03)(LHY)_한국유업-03(LHY)_매직산업(03기말-LHY)_99Group center-ARP04기말-LHY 3" xfId="857"/>
    <cellStyle name="-_안진조서요약-유로넥스트(03)(LHY)_안진조서요약-유로넥스트(03)(LHY)_유로넥스트(03)(LHY)_한국유업-03(LHY)_매직산업(03기말-LHY)_99Group center-ARP04기말-LHY 4" xfId="858"/>
    <cellStyle name="-_안진조서요약-유로넥스트(03)(LHY)_안진조서요약-유로넥스트(03)(LHY)_유엔젤반기(04-LHY)" xfId="859"/>
    <cellStyle name="-_안진조서요약-유로넥스트(03)(LHY)_안진조서요약-유로넥스트(03)(LHY)_유엔젤반기(04-LHY) 2" xfId="860"/>
    <cellStyle name="-_안진조서요약-유로넥스트(03)(LHY)_안진조서요약-유로넥스트(03)(LHY)_유엔젤반기(04-LHY) 3" xfId="861"/>
    <cellStyle name="-_안진조서요약-유로넥스트(03)(LHY)_안진조서요약-유로넥스트(03)(LHY)_유엔젤반기(04-LHY) 4" xfId="862"/>
    <cellStyle name="-_안진조서요약-유로넥스트(03)(LHY)_안진조서요약-유로넥스트(03)(LHY)_유엔젤반기(04-LHY)_99Group center-04기말-LHY" xfId="863"/>
    <cellStyle name="-_안진조서요약-유로넥스트(03)(LHY)_안진조서요약-유로넥스트(03)(LHY)_유엔젤반기(04-LHY)_99Group center-04기말-LHY 2" xfId="864"/>
    <cellStyle name="-_안진조서요약-유로넥스트(03)(LHY)_안진조서요약-유로넥스트(03)(LHY)_유엔젤반기(04-LHY)_99Group center-04기말-LHY 3" xfId="865"/>
    <cellStyle name="-_안진조서요약-유로넥스트(03)(LHY)_안진조서요약-유로넥스트(03)(LHY)_유엔젤반기(04-LHY)_99Group center-04기말-LHY 4" xfId="866"/>
    <cellStyle name="-_안진조서요약-유로넥스트(03)(LHY)_안진조서요약-유로넥스트(03)(LHY)_유엔젤반기(04-LHY)_99Group center-04중간업데이트기말-LHY" xfId="867"/>
    <cellStyle name="-_안진조서요약-유로넥스트(03)(LHY)_안진조서요약-유로넥스트(03)(LHY)_유엔젤반기(04-LHY)_99Group center-04중간업데이트기말-LHY 2" xfId="868"/>
    <cellStyle name="-_안진조서요약-유로넥스트(03)(LHY)_안진조서요약-유로넥스트(03)(LHY)_유엔젤반기(04-LHY)_99Group center-04중간업데이트기말-LHY 3" xfId="869"/>
    <cellStyle name="-_안진조서요약-유로넥스트(03)(LHY)_안진조서요약-유로넥스트(03)(LHY)_유엔젤반기(04-LHY)_99Group center-04중간업데이트기말-LHY 4" xfId="870"/>
    <cellStyle name="-_안진조서요약-유로넥스트(03)(LHY)_안진조서요약-유로넥스트(03)(LHY)_유엔젤반기(04-LHY)_99Group center-ARP04기말-LHY" xfId="871"/>
    <cellStyle name="-_안진조서요약-유로넥스트(03)(LHY)_안진조서요약-유로넥스트(03)(LHY)_유엔젤반기(04-LHY)_99Group center-ARP04기말-LHY 2" xfId="872"/>
    <cellStyle name="-_안진조서요약-유로넥스트(03)(LHY)_안진조서요약-유로넥스트(03)(LHY)_유엔젤반기(04-LHY)_99Group center-ARP04기말-LHY 3" xfId="873"/>
    <cellStyle name="-_안진조서요약-유로넥스트(03)(LHY)_안진조서요약-유로넥스트(03)(LHY)_유엔젤반기(04-LHY)_99Group center-ARP04기말-LHY 4" xfId="874"/>
    <cellStyle name="-_안진조서요약-유로넥스트(03)(LHY)_안진조서요약-유로넥스트(03)(LHY)_투자유가증권 주석(진짜)03-LHY" xfId="875"/>
    <cellStyle name="-_안진조서요약-유로넥스트(03)(LHY)_안진조서요약-유로넥스트(03)(LHY)_투자유가증권 주석(진짜)03-LHY 2" xfId="876"/>
    <cellStyle name="-_안진조서요약-유로넥스트(03)(LHY)_안진조서요약-유로넥스트(03)(LHY)_투자유가증권 주석(진짜)03-LHY 3" xfId="877"/>
    <cellStyle name="-_안진조서요약-유로넥스트(03)(LHY)_안진조서요약-유로넥스트(03)(LHY)_투자유가증권 주석(진짜)03-LHY 4" xfId="878"/>
    <cellStyle name="-_안진조서요약-유로넥스트(03)(LHY)_안진조서요약-유로넥스트(03)(LHY)_투자유가증권 주석(진짜)03-LHY_99Group center-04기말-LHY" xfId="879"/>
    <cellStyle name="-_안진조서요약-유로넥스트(03)(LHY)_안진조서요약-유로넥스트(03)(LHY)_투자유가증권 주석(진짜)03-LHY_99Group center-04기말-LHY 2" xfId="880"/>
    <cellStyle name="-_안진조서요약-유로넥스트(03)(LHY)_안진조서요약-유로넥스트(03)(LHY)_투자유가증권 주석(진짜)03-LHY_99Group center-04기말-LHY 3" xfId="881"/>
    <cellStyle name="-_안진조서요약-유로넥스트(03)(LHY)_안진조서요약-유로넥스트(03)(LHY)_투자유가증권 주석(진짜)03-LHY_99Group center-04기말-LHY 4" xfId="882"/>
    <cellStyle name="-_안진조서요약-유로넥스트(03)(LHY)_안진조서요약-유로넥스트(03)(LHY)_투자유가증권 주석(진짜)03-LHY_99Group center-04중간업데이트기말-LHY" xfId="883"/>
    <cellStyle name="-_안진조서요약-유로넥스트(03)(LHY)_안진조서요약-유로넥스트(03)(LHY)_투자유가증권 주석(진짜)03-LHY_99Group center-04중간업데이트기말-LHY 2" xfId="884"/>
    <cellStyle name="-_안진조서요약-유로넥스트(03)(LHY)_안진조서요약-유로넥스트(03)(LHY)_투자유가증권 주석(진짜)03-LHY_99Group center-04중간업데이트기말-LHY 3" xfId="885"/>
    <cellStyle name="-_안진조서요약-유로넥스트(03)(LHY)_안진조서요약-유로넥스트(03)(LHY)_투자유가증권 주석(진짜)03-LHY_99Group center-04중간업데이트기말-LHY 4" xfId="886"/>
    <cellStyle name="-_안진조서요약-유로넥스트(03)(LHY)_안진조서요약-유로넥스트(03)(LHY)_투자유가증권 주석(진짜)03-LHY_99Group center-ARP04기말-LHY" xfId="887"/>
    <cellStyle name="-_안진조서요약-유로넥스트(03)(LHY)_안진조서요약-유로넥스트(03)(LHY)_투자유가증권 주석(진짜)03-LHY_99Group center-ARP04기말-LHY 2" xfId="888"/>
    <cellStyle name="-_안진조서요약-유로넥스트(03)(LHY)_안진조서요약-유로넥스트(03)(LHY)_투자유가증권 주석(진짜)03-LHY_99Group center-ARP04기말-LHY 3" xfId="889"/>
    <cellStyle name="-_안진조서요약-유로넥스트(03)(LHY)_안진조서요약-유로넥스트(03)(LHY)_투자유가증권 주석(진짜)03-LHY_99Group center-ARP04기말-LHY 4" xfId="890"/>
    <cellStyle name="-_안진조서요약-유로넥스트(03)(LHY)_안진조서요약-유로넥스트(03)(LHY)_투자유가증권양식" xfId="891"/>
    <cellStyle name="-_안진조서요약-유로넥스트(03)(LHY)_안진조서요약-유로넥스트(03)(LHY)_투자유가증권양식 2" xfId="892"/>
    <cellStyle name="-_안진조서요약-유로넥스트(03)(LHY)_안진조서요약-유로넥스트(03)(LHY)_투자유가증권양식 3" xfId="893"/>
    <cellStyle name="-_안진조서요약-유로넥스트(03)(LHY)_안진조서요약-유로넥스트(03)(LHY)_투자유가증권양식 4" xfId="894"/>
    <cellStyle name="-_안진조서요약-유로넥스트(03)(LHY)_안진조서요약-유로넥스트(03)(LHY)_투자유가증권양식_99Group center-04기말-LHY" xfId="895"/>
    <cellStyle name="-_안진조서요약-유로넥스트(03)(LHY)_안진조서요약-유로넥스트(03)(LHY)_투자유가증권양식_99Group center-04기말-LHY 2" xfId="896"/>
    <cellStyle name="-_안진조서요약-유로넥스트(03)(LHY)_안진조서요약-유로넥스트(03)(LHY)_투자유가증권양식_99Group center-04기말-LHY 3" xfId="897"/>
    <cellStyle name="-_안진조서요약-유로넥스트(03)(LHY)_안진조서요약-유로넥스트(03)(LHY)_투자유가증권양식_99Group center-04기말-LHY 4" xfId="898"/>
    <cellStyle name="-_안진조서요약-유로넥스트(03)(LHY)_안진조서요약-유로넥스트(03)(LHY)_투자유가증권양식_99Group center-04중간업데이트기말-LHY" xfId="899"/>
    <cellStyle name="-_안진조서요약-유로넥스트(03)(LHY)_안진조서요약-유로넥스트(03)(LHY)_투자유가증권양식_99Group center-04중간업데이트기말-LHY 2" xfId="900"/>
    <cellStyle name="-_안진조서요약-유로넥스트(03)(LHY)_안진조서요약-유로넥스트(03)(LHY)_투자유가증권양식_99Group center-04중간업데이트기말-LHY 3" xfId="901"/>
    <cellStyle name="-_안진조서요약-유로넥스트(03)(LHY)_안진조서요약-유로넥스트(03)(LHY)_투자유가증권양식_99Group center-04중간업데이트기말-LHY 4" xfId="902"/>
    <cellStyle name="-_안진조서요약-유로넥스트(03)(LHY)_안진조서요약-유로넥스트(03)(LHY)_투자유가증권양식_99Group center-ARP04기말-LHY" xfId="903"/>
    <cellStyle name="-_안진조서요약-유로넥스트(03)(LHY)_안진조서요약-유로넥스트(03)(LHY)_투자유가증권양식_99Group center-ARP04기말-LHY 2" xfId="904"/>
    <cellStyle name="-_안진조서요약-유로넥스트(03)(LHY)_안진조서요약-유로넥스트(03)(LHY)_투자유가증권양식_99Group center-ARP04기말-LHY 3" xfId="905"/>
    <cellStyle name="-_안진조서요약-유로넥스트(03)(LHY)_안진조서요약-유로넥스트(03)(LHY)_투자유가증권양식_99Group center-ARP04기말-LHY 4" xfId="906"/>
    <cellStyle name="-_안진조서요약-유로넥스트(03)(LHY)_안진조서요약-유로넥스트(03)(LHY)_풀무원스프라우트-04반기-LHY" xfId="907"/>
    <cellStyle name="-_안진조서요약-유로넥스트(03)(LHY)_안진조서요약-유로넥스트(03)(LHY)_풀무원스프라우트-04반기-LHY 2" xfId="908"/>
    <cellStyle name="-_안진조서요약-유로넥스트(03)(LHY)_안진조서요약-유로넥스트(03)(LHY)_풀무원스프라우트-04반기-LHY 3" xfId="909"/>
    <cellStyle name="-_안진조서요약-유로넥스트(03)(LHY)_안진조서요약-유로넥스트(03)(LHY)_풀무원스프라우트-04반기-LHY 4" xfId="910"/>
    <cellStyle name="-_안진조서요약-유로넥스트(03)(LHY)_안진조서요약-유로넥스트(03)(LHY)_풀무원스프라우트-04반기-LHY_99Group center-04기말-LHY" xfId="911"/>
    <cellStyle name="-_안진조서요약-유로넥스트(03)(LHY)_안진조서요약-유로넥스트(03)(LHY)_풀무원스프라우트-04반기-LHY_99Group center-04기말-LHY 2" xfId="912"/>
    <cellStyle name="-_안진조서요약-유로넥스트(03)(LHY)_안진조서요약-유로넥스트(03)(LHY)_풀무원스프라우트-04반기-LHY_99Group center-04기말-LHY 3" xfId="913"/>
    <cellStyle name="-_안진조서요약-유로넥스트(03)(LHY)_안진조서요약-유로넥스트(03)(LHY)_풀무원스프라우트-04반기-LHY_99Group center-04기말-LHY 4" xfId="914"/>
    <cellStyle name="-_안진조서요약-유로넥스트(03)(LHY)_안진조서요약-유로넥스트(03)(LHY)_풀무원스프라우트-04반기-LHY_99Group center-04중간업데이트기말-LHY" xfId="915"/>
    <cellStyle name="-_안진조서요약-유로넥스트(03)(LHY)_안진조서요약-유로넥스트(03)(LHY)_풀무원스프라우트-04반기-LHY_99Group center-04중간업데이트기말-LHY 2" xfId="916"/>
    <cellStyle name="-_안진조서요약-유로넥스트(03)(LHY)_안진조서요약-유로넥스트(03)(LHY)_풀무원스프라우트-04반기-LHY_99Group center-04중간업데이트기말-LHY 3" xfId="917"/>
    <cellStyle name="-_안진조서요약-유로넥스트(03)(LHY)_안진조서요약-유로넥스트(03)(LHY)_풀무원스프라우트-04반기-LHY_99Group center-04중간업데이트기말-LHY 4" xfId="918"/>
    <cellStyle name="-_안진조서요약-유로넥스트(03)(LHY)_안진조서요약-유로넥스트(03)(LHY)_풀무원스프라우트-04반기-LHY_99Group center-ARP04기말-LHY" xfId="919"/>
    <cellStyle name="-_안진조서요약-유로넥스트(03)(LHY)_안진조서요약-유로넥스트(03)(LHY)_풀무원스프라우트-04반기-LHY_99Group center-ARP04기말-LHY 2" xfId="920"/>
    <cellStyle name="-_안진조서요약-유로넥스트(03)(LHY)_안진조서요약-유로넥스트(03)(LHY)_풀무원스프라우트-04반기-LHY_99Group center-ARP04기말-LHY 3" xfId="921"/>
    <cellStyle name="-_안진조서요약-유로넥스트(03)(LHY)_안진조서요약-유로넥스트(03)(LHY)_풀무원스프라우트-04반기-LHY_99Group center-ARP04기말-LHY 4" xfId="922"/>
    <cellStyle name="-_안진조서요약-유로넥스트(03)(LHY)_안진조서요약-유로넥스트(03)(LHY)_한국유업-03(LHY)" xfId="923"/>
    <cellStyle name="-_안진조서요약-유로넥스트(03)(LHY)_안진조서요약-유로넥스트(03)(LHY)_한국유업-03(LHY) 2" xfId="924"/>
    <cellStyle name="-_안진조서요약-유로넥스트(03)(LHY)_안진조서요약-유로넥스트(03)(LHY)_한국유업-03(LHY) 3" xfId="925"/>
    <cellStyle name="-_안진조서요약-유로넥스트(03)(LHY)_안진조서요약-유로넥스트(03)(LHY)_한국유업-03(LHY) 4" xfId="926"/>
    <cellStyle name="-_안진조서요약-유로넥스트(03)(LHY)_안진조서요약-유로넥스트(03)(LHY)_한국유업-03(LHY)_99Group center-04기말-LHY" xfId="927"/>
    <cellStyle name="-_안진조서요약-유로넥스트(03)(LHY)_안진조서요약-유로넥스트(03)(LHY)_한국유업-03(LHY)_99Group center-04기말-LHY 2" xfId="928"/>
    <cellStyle name="-_안진조서요약-유로넥스트(03)(LHY)_안진조서요약-유로넥스트(03)(LHY)_한국유업-03(LHY)_99Group center-04기말-LHY 3" xfId="929"/>
    <cellStyle name="-_안진조서요약-유로넥스트(03)(LHY)_안진조서요약-유로넥스트(03)(LHY)_한국유업-03(LHY)_99Group center-04기말-LHY 4" xfId="930"/>
    <cellStyle name="-_안진조서요약-유로넥스트(03)(LHY)_안진조서요약-유로넥스트(03)(LHY)_한국유업-03(LHY)_99Group center-04중간업데이트기말-LHY" xfId="931"/>
    <cellStyle name="-_안진조서요약-유로넥스트(03)(LHY)_안진조서요약-유로넥스트(03)(LHY)_한국유업-03(LHY)_99Group center-04중간업데이트기말-LHY 2" xfId="932"/>
    <cellStyle name="-_안진조서요약-유로넥스트(03)(LHY)_안진조서요약-유로넥스트(03)(LHY)_한국유업-03(LHY)_99Group center-04중간업데이트기말-LHY 3" xfId="933"/>
    <cellStyle name="-_안진조서요약-유로넥스트(03)(LHY)_안진조서요약-유로넥스트(03)(LHY)_한국유업-03(LHY)_99Group center-04중간업데이트기말-LHY 4" xfId="934"/>
    <cellStyle name="-_안진조서요약-유로넥스트(03)(LHY)_안진조서요약-유로넥스트(03)(LHY)_한국유업-03(LHY)_99Group center-ARP04기말-LHY" xfId="935"/>
    <cellStyle name="-_안진조서요약-유로넥스트(03)(LHY)_안진조서요약-유로넥스트(03)(LHY)_한국유업-03(LHY)_99Group center-ARP04기말-LHY 2" xfId="936"/>
    <cellStyle name="-_안진조서요약-유로넥스트(03)(LHY)_안진조서요약-유로넥스트(03)(LHY)_한국유업-03(LHY)_99Group center-ARP04기말-LHY 3" xfId="937"/>
    <cellStyle name="-_안진조서요약-유로넥스트(03)(LHY)_안진조서요약-유로넥스트(03)(LHY)_한국유업-03(LHY)_99Group center-ARP04기말-LHY 4" xfId="938"/>
    <cellStyle name="-_안진조서요약-유로넥스트(03)(LHY)_안진조서요약-유로넥스트(03)(LHY)_한국유업-03(LHY)_매직산업(03기말-LHY)" xfId="939"/>
    <cellStyle name="-_안진조서요약-유로넥스트(03)(LHY)_안진조서요약-유로넥스트(03)(LHY)_한국유업-03(LHY)_매직산업(03기말-LHY) 2" xfId="940"/>
    <cellStyle name="-_안진조서요약-유로넥스트(03)(LHY)_안진조서요약-유로넥스트(03)(LHY)_한국유업-03(LHY)_매직산업(03기말-LHY) 3" xfId="941"/>
    <cellStyle name="-_안진조서요약-유로넥스트(03)(LHY)_안진조서요약-유로넥스트(03)(LHY)_한국유업-03(LHY)_매직산업(03기말-LHY) 4" xfId="942"/>
    <cellStyle name="-_안진조서요약-유로넥스트(03)(LHY)_안진조서요약-유로넥스트(03)(LHY)_한국유업-03(LHY)_매직산업(03기말-LHY)_99Group center-04기말-LHY" xfId="943"/>
    <cellStyle name="-_안진조서요약-유로넥스트(03)(LHY)_안진조서요약-유로넥스트(03)(LHY)_한국유업-03(LHY)_매직산업(03기말-LHY)_99Group center-04기말-LHY 2" xfId="944"/>
    <cellStyle name="-_안진조서요약-유로넥스트(03)(LHY)_안진조서요약-유로넥스트(03)(LHY)_한국유업-03(LHY)_매직산업(03기말-LHY)_99Group center-04기말-LHY 3" xfId="945"/>
    <cellStyle name="-_안진조서요약-유로넥스트(03)(LHY)_안진조서요약-유로넥스트(03)(LHY)_한국유업-03(LHY)_매직산업(03기말-LHY)_99Group center-04기말-LHY 4" xfId="946"/>
    <cellStyle name="-_안진조서요약-유로넥스트(03)(LHY)_안진조서요약-유로넥스트(03)(LHY)_한국유업-03(LHY)_매직산업(03기말-LHY)_99Group center-04중간업데이트기말-LHY" xfId="947"/>
    <cellStyle name="-_안진조서요약-유로넥스트(03)(LHY)_안진조서요약-유로넥스트(03)(LHY)_한국유업-03(LHY)_매직산업(03기말-LHY)_99Group center-04중간업데이트기말-LHY 2" xfId="948"/>
    <cellStyle name="-_안진조서요약-유로넥스트(03)(LHY)_안진조서요약-유로넥스트(03)(LHY)_한국유업-03(LHY)_매직산업(03기말-LHY)_99Group center-04중간업데이트기말-LHY 3" xfId="949"/>
    <cellStyle name="-_안진조서요약-유로넥스트(03)(LHY)_안진조서요약-유로넥스트(03)(LHY)_한국유업-03(LHY)_매직산업(03기말-LHY)_99Group center-04중간업데이트기말-LHY 4" xfId="950"/>
    <cellStyle name="-_안진조서요약-유로넥스트(03)(LHY)_안진조서요약-유로넥스트(03)(LHY)_한국유업-03(LHY)_매직산업(03기말-LHY)_99Group center-ARP04기말-LHY" xfId="951"/>
    <cellStyle name="-_안진조서요약-유로넥스트(03)(LHY)_안진조서요약-유로넥스트(03)(LHY)_한국유업-03(LHY)_매직산업(03기말-LHY)_99Group center-ARP04기말-LHY 2" xfId="952"/>
    <cellStyle name="-_안진조서요약-유로넥스트(03)(LHY)_안진조서요약-유로넥스트(03)(LHY)_한국유업-03(LHY)_매직산업(03기말-LHY)_99Group center-ARP04기말-LHY 3" xfId="953"/>
    <cellStyle name="-_안진조서요약-유로넥스트(03)(LHY)_안진조서요약-유로넥스트(03)(LHY)_한국유업-03(LHY)_매직산업(03기말-LHY)_99Group center-ARP04기말-LHY 4" xfId="954"/>
    <cellStyle name="-_안진조서요약-유로넥스트(03)(LHY)_엠비즈-03-기말(LHY)" xfId="955"/>
    <cellStyle name="-_안진조서요약-유로넥스트(03)(LHY)_엠비즈-03-기말(LHY) 2" xfId="956"/>
    <cellStyle name="-_안진조서요약-유로넥스트(03)(LHY)_엠비즈-03-기말(LHY) 3" xfId="957"/>
    <cellStyle name="-_안진조서요약-유로넥스트(03)(LHY)_엠비즈-03-기말(LHY) 4" xfId="958"/>
    <cellStyle name="-_안진조서요약-유로넥스트(03)(LHY)_엠비즈-03-기말(LHY)_99Group center-04기말-LHY" xfId="959"/>
    <cellStyle name="-_안진조서요약-유로넥스트(03)(LHY)_엠비즈-03-기말(LHY)_99Group center-04기말-LHY 2" xfId="960"/>
    <cellStyle name="-_안진조서요약-유로넥스트(03)(LHY)_엠비즈-03-기말(LHY)_99Group center-04기말-LHY 3" xfId="961"/>
    <cellStyle name="-_안진조서요약-유로넥스트(03)(LHY)_엠비즈-03-기말(LHY)_99Group center-04기말-LHY 4" xfId="962"/>
    <cellStyle name="-_안진조서요약-유로넥스트(03)(LHY)_엠비즈-03-기말(LHY)_99Group center-04중간업데이트기말-LHY" xfId="963"/>
    <cellStyle name="-_안진조서요약-유로넥스트(03)(LHY)_엠비즈-03-기말(LHY)_99Group center-04중간업데이트기말-LHY 2" xfId="964"/>
    <cellStyle name="-_안진조서요약-유로넥스트(03)(LHY)_엠비즈-03-기말(LHY)_99Group center-04중간업데이트기말-LHY 3" xfId="965"/>
    <cellStyle name="-_안진조서요약-유로넥스트(03)(LHY)_엠비즈-03-기말(LHY)_99Group center-04중간업데이트기말-LHY 4" xfId="966"/>
    <cellStyle name="-_안진조서요약-유로넥스트(03)(LHY)_엠비즈-03-기말(LHY)_99Group center-ARP04기말-LHY" xfId="967"/>
    <cellStyle name="-_안진조서요약-유로넥스트(03)(LHY)_엠비즈-03-기말(LHY)_99Group center-ARP04기말-LHY 2" xfId="968"/>
    <cellStyle name="-_안진조서요약-유로넥스트(03)(LHY)_엠비즈-03-기말(LHY)_99Group center-ARP04기말-LHY 3" xfId="969"/>
    <cellStyle name="-_안진조서요약-유로넥스트(03)(LHY)_엠비즈-03-기말(LHY)_99Group center-ARP04기말-LHY 4" xfId="970"/>
    <cellStyle name="-_안진조서요약-유로넥스트(03)(LHY)_원가율검-조정" xfId="971"/>
    <cellStyle name="-_안진조서요약-유로넥스트(03)(LHY)_원가율검-조정 2" xfId="972"/>
    <cellStyle name="-_안진조서요약-유로넥스트(03)(LHY)_원가율검-조정 3" xfId="973"/>
    <cellStyle name="-_안진조서요약-유로넥스트(03)(LHY)_원가율검-조정 4" xfId="974"/>
    <cellStyle name="-_안진조서요약-유로넥스트(03)(LHY)_원가율검-조정_99Group center-04기말-LHY" xfId="975"/>
    <cellStyle name="-_안진조서요약-유로넥스트(03)(LHY)_원가율검-조정_99Group center-04기말-LHY 2" xfId="976"/>
    <cellStyle name="-_안진조서요약-유로넥스트(03)(LHY)_원가율검-조정_99Group center-04기말-LHY 3" xfId="977"/>
    <cellStyle name="-_안진조서요약-유로넥스트(03)(LHY)_원가율검-조정_99Group center-04기말-LHY 4" xfId="978"/>
    <cellStyle name="-_안진조서요약-유로넥스트(03)(LHY)_원가율검-조정_99Group center-04중간업데이트기말-LHY" xfId="979"/>
    <cellStyle name="-_안진조서요약-유로넥스트(03)(LHY)_원가율검-조정_99Group center-04중간업데이트기말-LHY 2" xfId="980"/>
    <cellStyle name="-_안진조서요약-유로넥스트(03)(LHY)_원가율검-조정_99Group center-04중간업데이트기말-LHY 3" xfId="981"/>
    <cellStyle name="-_안진조서요약-유로넥스트(03)(LHY)_원가율검-조정_99Group center-04중간업데이트기말-LHY 4" xfId="982"/>
    <cellStyle name="-_안진조서요약-유로넥스트(03)(LHY)_원가율검-조정_99Group center-ARP04기말-LHY" xfId="983"/>
    <cellStyle name="-_안진조서요약-유로넥스트(03)(LHY)_원가율검-조정_99Group center-ARP04기말-LHY 2" xfId="984"/>
    <cellStyle name="-_안진조서요약-유로넥스트(03)(LHY)_원가율검-조정_99Group center-ARP04기말-LHY 3" xfId="985"/>
    <cellStyle name="-_안진조서요약-유로넥스트(03)(LHY)_원가율검-조정_99Group center-ARP04기말-LHY 4" xfId="986"/>
    <cellStyle name="-_안진조서요약-유로넥스트(03)(LHY)_유로넥스트(03)(LHY)" xfId="987"/>
    <cellStyle name="-_안진조서요약-유로넥스트(03)(LHY)_유로넥스트(03)(LHY) 2" xfId="988"/>
    <cellStyle name="-_안진조서요약-유로넥스트(03)(LHY)_유로넥스트(03)(LHY) 3" xfId="989"/>
    <cellStyle name="-_안진조서요약-유로넥스트(03)(LHY)_유로넥스트(03)(LHY) 4" xfId="990"/>
    <cellStyle name="-_안진조서요약-유로넥스트(03)(LHY)_유로넥스트(03)(LHY)_단기투자, 장기투자의 양식(회계사요청)(1)" xfId="991"/>
    <cellStyle name="-_안진조서요약-유로넥스트(03)(LHY)_유로넥스트(03)(LHY)_단기투자, 장기투자의 양식(회계사요청)(1) 2" xfId="992"/>
    <cellStyle name="-_안진조서요약-유로넥스트(03)(LHY)_유로넥스트(03)(LHY)_단기투자, 장기투자의 양식(회계사요청)(1) 3" xfId="993"/>
    <cellStyle name="-_안진조서요약-유로넥스트(03)(LHY)_유로넥스트(03)(LHY)_단기투자, 장기투자의 양식(회계사요청)(1) 4" xfId="994"/>
    <cellStyle name="-_안진조서요약-유로넥스트(03)(LHY)_유로넥스트(03)(LHY)_단기투자, 장기투자의 양식(회계사요청)(1)_99Group center-04기말-LHY" xfId="995"/>
    <cellStyle name="-_안진조서요약-유로넥스트(03)(LHY)_유로넥스트(03)(LHY)_단기투자, 장기투자의 양식(회계사요청)(1)_99Group center-04기말-LHY 2" xfId="996"/>
    <cellStyle name="-_안진조서요약-유로넥스트(03)(LHY)_유로넥스트(03)(LHY)_단기투자, 장기투자의 양식(회계사요청)(1)_99Group center-04기말-LHY 3" xfId="997"/>
    <cellStyle name="-_안진조서요약-유로넥스트(03)(LHY)_유로넥스트(03)(LHY)_단기투자, 장기투자의 양식(회계사요청)(1)_99Group center-04기말-LHY 4" xfId="998"/>
    <cellStyle name="-_안진조서요약-유로넥스트(03)(LHY)_유로넥스트(03)(LHY)_단기투자, 장기투자의 양식(회계사요청)(1)_99Group center-04중간업데이트기말-LHY" xfId="999"/>
    <cellStyle name="-_안진조서요약-유로넥스트(03)(LHY)_유로넥스트(03)(LHY)_단기투자, 장기투자의 양식(회계사요청)(1)_99Group center-04중간업데이트기말-LHY 2" xfId="1000"/>
    <cellStyle name="-_안진조서요약-유로넥스트(03)(LHY)_유로넥스트(03)(LHY)_단기투자, 장기투자의 양식(회계사요청)(1)_99Group center-04중간업데이트기말-LHY 3" xfId="1001"/>
    <cellStyle name="-_안진조서요약-유로넥스트(03)(LHY)_유로넥스트(03)(LHY)_단기투자, 장기투자의 양식(회계사요청)(1)_99Group center-04중간업데이트기말-LHY 4" xfId="1002"/>
    <cellStyle name="-_안진조서요약-유로넥스트(03)(LHY)_유로넥스트(03)(LHY)_단기투자, 장기투자의 양식(회계사요청)(1)_99Group center-ARP04기말-LHY" xfId="1003"/>
    <cellStyle name="-_안진조서요약-유로넥스트(03)(LHY)_유로넥스트(03)(LHY)_단기투자, 장기투자의 양식(회계사요청)(1)_99Group center-ARP04기말-LHY 2" xfId="1004"/>
    <cellStyle name="-_안진조서요약-유로넥스트(03)(LHY)_유로넥스트(03)(LHY)_단기투자, 장기투자의 양식(회계사요청)(1)_99Group center-ARP04기말-LHY 3" xfId="1005"/>
    <cellStyle name="-_안진조서요약-유로넥스트(03)(LHY)_유로넥스트(03)(LHY)_단기투자, 장기투자의 양식(회계사요청)(1)_99Group center-ARP04기말-LHY 4" xfId="1006"/>
    <cellStyle name="-_안진조서요약-유로넥스트(03)(LHY)_유로넥스트(03)(LHY)_대출채권 Sampling" xfId="1007"/>
    <cellStyle name="-_안진조서요약-유로넥스트(03)(LHY)_유로넥스트(03)(LHY)_대출채권 Sampling 2" xfId="1008"/>
    <cellStyle name="-_안진조서요약-유로넥스트(03)(LHY)_유로넥스트(03)(LHY)_대출채권 Sampling 3" xfId="1009"/>
    <cellStyle name="-_안진조서요약-유로넥스트(03)(LHY)_유로넥스트(03)(LHY)_대출채권 Sampling 4" xfId="1010"/>
    <cellStyle name="-_안진조서요약-유로넥스트(03)(LHY)_유로넥스트(03)(LHY)_대출채권 Sampling_99Group center-04기말-LHY" xfId="1011"/>
    <cellStyle name="-_안진조서요약-유로넥스트(03)(LHY)_유로넥스트(03)(LHY)_대출채권 Sampling_99Group center-04기말-LHY 2" xfId="1012"/>
    <cellStyle name="-_안진조서요약-유로넥스트(03)(LHY)_유로넥스트(03)(LHY)_대출채권 Sampling_99Group center-04기말-LHY 3" xfId="1013"/>
    <cellStyle name="-_안진조서요약-유로넥스트(03)(LHY)_유로넥스트(03)(LHY)_대출채권 Sampling_99Group center-04기말-LHY 4" xfId="1014"/>
    <cellStyle name="-_안진조서요약-유로넥스트(03)(LHY)_유로넥스트(03)(LHY)_대출채권 Sampling_99Group center-04중간업데이트기말-LHY" xfId="1015"/>
    <cellStyle name="-_안진조서요약-유로넥스트(03)(LHY)_유로넥스트(03)(LHY)_대출채권 Sampling_99Group center-04중간업데이트기말-LHY 2" xfId="1016"/>
    <cellStyle name="-_안진조서요약-유로넥스트(03)(LHY)_유로넥스트(03)(LHY)_대출채권 Sampling_99Group center-04중간업데이트기말-LHY 3" xfId="1017"/>
    <cellStyle name="-_안진조서요약-유로넥스트(03)(LHY)_유로넥스트(03)(LHY)_대출채권 Sampling_99Group center-04중간업데이트기말-LHY 4" xfId="1018"/>
    <cellStyle name="-_안진조서요약-유로넥스트(03)(LHY)_유로넥스트(03)(LHY)_대출채권 Sampling_99Group center-ARP04기말-LHY" xfId="1019"/>
    <cellStyle name="-_안진조서요약-유로넥스트(03)(LHY)_유로넥스트(03)(LHY)_대출채권 Sampling_99Group center-ARP04기말-LHY 2" xfId="1020"/>
    <cellStyle name="-_안진조서요약-유로넥스트(03)(LHY)_유로넥스트(03)(LHY)_대출채권 Sampling_99Group center-ARP04기말-LHY 3" xfId="1021"/>
    <cellStyle name="-_안진조서요약-유로넥스트(03)(LHY)_유로넥스트(03)(LHY)_대출채권 Sampling_99Group center-ARP04기말-LHY 4" xfId="1022"/>
    <cellStyle name="-_안진조서요약-유로넥스트(03)(LHY)_유로넥스트(03)(LHY)_동양매직-03(LHY)" xfId="1023"/>
    <cellStyle name="-_안진조서요약-유로넥스트(03)(LHY)_유로넥스트(03)(LHY)_동양매직-03(LHY) 2" xfId="1024"/>
    <cellStyle name="-_안진조서요약-유로넥스트(03)(LHY)_유로넥스트(03)(LHY)_동양매직-03(LHY) 3" xfId="1025"/>
    <cellStyle name="-_안진조서요약-유로넥스트(03)(LHY)_유로넥스트(03)(LHY)_동양매직-03(LHY) 4" xfId="1026"/>
    <cellStyle name="-_안진조서요약-유로넥스트(03)(LHY)_유로넥스트(03)(LHY)_동양매직-03(LHY)_99Group center-04기말-LHY" xfId="1027"/>
    <cellStyle name="-_안진조서요약-유로넥스트(03)(LHY)_유로넥스트(03)(LHY)_동양매직-03(LHY)_99Group center-04기말-LHY 2" xfId="1028"/>
    <cellStyle name="-_안진조서요약-유로넥스트(03)(LHY)_유로넥스트(03)(LHY)_동양매직-03(LHY)_99Group center-04기말-LHY 3" xfId="1029"/>
    <cellStyle name="-_안진조서요약-유로넥스트(03)(LHY)_유로넥스트(03)(LHY)_동양매직-03(LHY)_99Group center-04기말-LHY 4" xfId="1030"/>
    <cellStyle name="-_안진조서요약-유로넥스트(03)(LHY)_유로넥스트(03)(LHY)_동양매직-03(LHY)_99Group center-04중간업데이트기말-LHY" xfId="1031"/>
    <cellStyle name="-_안진조서요약-유로넥스트(03)(LHY)_유로넥스트(03)(LHY)_동양매직-03(LHY)_99Group center-04중간업데이트기말-LHY 2" xfId="1032"/>
    <cellStyle name="-_안진조서요약-유로넥스트(03)(LHY)_유로넥스트(03)(LHY)_동양매직-03(LHY)_99Group center-04중간업데이트기말-LHY 3" xfId="1033"/>
    <cellStyle name="-_안진조서요약-유로넥스트(03)(LHY)_유로넥스트(03)(LHY)_동양매직-03(LHY)_99Group center-04중간업데이트기말-LHY 4" xfId="1034"/>
    <cellStyle name="-_안진조서요약-유로넥스트(03)(LHY)_유로넥스트(03)(LHY)_동양매직-03(LHY)_99Group center-ARP04기말-LHY" xfId="1035"/>
    <cellStyle name="-_안진조서요약-유로넥스트(03)(LHY)_유로넥스트(03)(LHY)_동양매직-03(LHY)_99Group center-ARP04기말-LHY 2" xfId="1036"/>
    <cellStyle name="-_안진조서요약-유로넥스트(03)(LHY)_유로넥스트(03)(LHY)_동양매직-03(LHY)_99Group center-ARP04기말-LHY 3" xfId="1037"/>
    <cellStyle name="-_안진조서요약-유로넥스트(03)(LHY)_유로넥스트(03)(LHY)_동양매직-03(LHY)_99Group center-ARP04기말-LHY 4" xfId="1038"/>
    <cellStyle name="-_안진조서요약-유로넥스트(03)(LHY)_유로넥스트(03)(LHY)_매직산업(03기말-LHY)" xfId="1039"/>
    <cellStyle name="-_안진조서요약-유로넥스트(03)(LHY)_유로넥스트(03)(LHY)_매직산업(03기말-LHY) 2" xfId="1040"/>
    <cellStyle name="-_안진조서요약-유로넥스트(03)(LHY)_유로넥스트(03)(LHY)_매직산업(03기말-LHY) 3" xfId="1041"/>
    <cellStyle name="-_안진조서요약-유로넥스트(03)(LHY)_유로넥스트(03)(LHY)_매직산업(03기말-LHY) 4" xfId="1042"/>
    <cellStyle name="-_안진조서요약-유로넥스트(03)(LHY)_유로넥스트(03)(LHY)_매직산업(03기말-LHY)_99Group center-04기말-LHY" xfId="1043"/>
    <cellStyle name="-_안진조서요약-유로넥스트(03)(LHY)_유로넥스트(03)(LHY)_매직산업(03기말-LHY)_99Group center-04기말-LHY 2" xfId="1044"/>
    <cellStyle name="-_안진조서요약-유로넥스트(03)(LHY)_유로넥스트(03)(LHY)_매직산업(03기말-LHY)_99Group center-04기말-LHY 3" xfId="1045"/>
    <cellStyle name="-_안진조서요약-유로넥스트(03)(LHY)_유로넥스트(03)(LHY)_매직산업(03기말-LHY)_99Group center-04기말-LHY 4" xfId="1046"/>
    <cellStyle name="-_안진조서요약-유로넥스트(03)(LHY)_유로넥스트(03)(LHY)_매직산업(03기말-LHY)_99Group center-04중간업데이트기말-LHY" xfId="1047"/>
    <cellStyle name="-_안진조서요약-유로넥스트(03)(LHY)_유로넥스트(03)(LHY)_매직산업(03기말-LHY)_99Group center-04중간업데이트기말-LHY 2" xfId="1048"/>
    <cellStyle name="-_안진조서요약-유로넥스트(03)(LHY)_유로넥스트(03)(LHY)_매직산업(03기말-LHY)_99Group center-04중간업데이트기말-LHY 3" xfId="1049"/>
    <cellStyle name="-_안진조서요약-유로넥스트(03)(LHY)_유로넥스트(03)(LHY)_매직산업(03기말-LHY)_99Group center-04중간업데이트기말-LHY 4" xfId="1050"/>
    <cellStyle name="-_안진조서요약-유로넥스트(03)(LHY)_유로넥스트(03)(LHY)_매직산업(03기말-LHY)_99Group center-ARP04기말-LHY" xfId="1051"/>
    <cellStyle name="-_안진조서요약-유로넥스트(03)(LHY)_유로넥스트(03)(LHY)_매직산업(03기말-LHY)_99Group center-ARP04기말-LHY 2" xfId="1052"/>
    <cellStyle name="-_안진조서요약-유로넥스트(03)(LHY)_유로넥스트(03)(LHY)_매직산업(03기말-LHY)_99Group center-ARP04기말-LHY 3" xfId="1053"/>
    <cellStyle name="-_안진조서요약-유로넥스트(03)(LHY)_유로넥스트(03)(LHY)_매직산업(03기말-LHY)_99Group center-ARP04기말-LHY 4" xfId="1054"/>
    <cellStyle name="-_안진조서요약-유로넥스트(03)(LHY)_유로넥스트(03)(LHY)_벽산페인트(03,LHY)1" xfId="1055"/>
    <cellStyle name="-_안진조서요약-유로넥스트(03)(LHY)_유로넥스트(03)(LHY)_벽산페인트(03,LHY)1 2" xfId="1056"/>
    <cellStyle name="-_안진조서요약-유로넥스트(03)(LHY)_유로넥스트(03)(LHY)_벽산페인트(03,LHY)1 3" xfId="1057"/>
    <cellStyle name="-_안진조서요약-유로넥스트(03)(LHY)_유로넥스트(03)(LHY)_벽산페인트(03,LHY)1 4" xfId="1058"/>
    <cellStyle name="-_안진조서요약-유로넥스트(03)(LHY)_유로넥스트(03)(LHY)_벽산페인트(03,LHY)1_99Group center-04기말-LHY" xfId="1059"/>
    <cellStyle name="-_안진조서요약-유로넥스트(03)(LHY)_유로넥스트(03)(LHY)_벽산페인트(03,LHY)1_99Group center-04기말-LHY 2" xfId="1060"/>
    <cellStyle name="-_안진조서요약-유로넥스트(03)(LHY)_유로넥스트(03)(LHY)_벽산페인트(03,LHY)1_99Group center-04기말-LHY 3" xfId="1061"/>
    <cellStyle name="-_안진조서요약-유로넥스트(03)(LHY)_유로넥스트(03)(LHY)_벽산페인트(03,LHY)1_99Group center-04기말-LHY 4" xfId="1062"/>
    <cellStyle name="-_안진조서요약-유로넥스트(03)(LHY)_유로넥스트(03)(LHY)_벽산페인트(03,LHY)1_99Group center-04중간업데이트기말-LHY" xfId="1063"/>
    <cellStyle name="-_안진조서요약-유로넥스트(03)(LHY)_유로넥스트(03)(LHY)_벽산페인트(03,LHY)1_99Group center-04중간업데이트기말-LHY 2" xfId="1064"/>
    <cellStyle name="-_안진조서요약-유로넥스트(03)(LHY)_유로넥스트(03)(LHY)_벽산페인트(03,LHY)1_99Group center-04중간업데이트기말-LHY 3" xfId="1065"/>
    <cellStyle name="-_안진조서요약-유로넥스트(03)(LHY)_유로넥스트(03)(LHY)_벽산페인트(03,LHY)1_99Group center-04중간업데이트기말-LHY 4" xfId="1066"/>
    <cellStyle name="-_안진조서요약-유로넥스트(03)(LHY)_유로넥스트(03)(LHY)_벽산페인트(03,LHY)1_99Group center-ARP04기말-LHY" xfId="1067"/>
    <cellStyle name="-_안진조서요약-유로넥스트(03)(LHY)_유로넥스트(03)(LHY)_벽산페인트(03,LHY)1_99Group center-ARP04기말-LHY 2" xfId="1068"/>
    <cellStyle name="-_안진조서요약-유로넥스트(03)(LHY)_유로넥스트(03)(LHY)_벽산페인트(03,LHY)1_99Group center-ARP04기말-LHY 3" xfId="1069"/>
    <cellStyle name="-_안진조서요약-유로넥스트(03)(LHY)_유로넥스트(03)(LHY)_벽산페인트(03,LHY)1_99Group center-ARP04기말-LHY 4" xfId="1070"/>
    <cellStyle name="-_안진조서요약-유로넥스트(03)(LHY)_유로넥스트(03)(LHY)_새누리상호저축(03-LHY)" xfId="1071"/>
    <cellStyle name="-_안진조서요약-유로넥스트(03)(LHY)_유로넥스트(03)(LHY)_새누리상호저축(03-LHY) 2" xfId="1072"/>
    <cellStyle name="-_안진조서요약-유로넥스트(03)(LHY)_유로넥스트(03)(LHY)_새누리상호저축(03-LHY) 3" xfId="1073"/>
    <cellStyle name="-_안진조서요약-유로넥스트(03)(LHY)_유로넥스트(03)(LHY)_새누리상호저축(03-LHY) 4" xfId="1074"/>
    <cellStyle name="-_안진조서요약-유로넥스트(03)(LHY)_유로넥스트(03)(LHY)_새누리상호저축(03-LHY)-new" xfId="1075"/>
    <cellStyle name="-_안진조서요약-유로넥스트(03)(LHY)_유로넥스트(03)(LHY)_새누리상호저축(03-LHY)-new 2" xfId="1076"/>
    <cellStyle name="-_안진조서요약-유로넥스트(03)(LHY)_유로넥스트(03)(LHY)_새누리상호저축(03-LHY)-new 3" xfId="1077"/>
    <cellStyle name="-_안진조서요약-유로넥스트(03)(LHY)_유로넥스트(03)(LHY)_새누리상호저축(03-LHY)-new 4" xfId="1078"/>
    <cellStyle name="-_안진조서요약-유로넥스트(03)(LHY)_유로넥스트(03)(LHY)_새누리상호저축(03-LHY)-new_99Group center-04기말-LHY" xfId="1079"/>
    <cellStyle name="-_안진조서요약-유로넥스트(03)(LHY)_유로넥스트(03)(LHY)_새누리상호저축(03-LHY)-new_99Group center-04기말-LHY 2" xfId="1080"/>
    <cellStyle name="-_안진조서요약-유로넥스트(03)(LHY)_유로넥스트(03)(LHY)_새누리상호저축(03-LHY)-new_99Group center-04기말-LHY 3" xfId="1081"/>
    <cellStyle name="-_안진조서요약-유로넥스트(03)(LHY)_유로넥스트(03)(LHY)_새누리상호저축(03-LHY)-new_99Group center-04기말-LHY 4" xfId="1082"/>
    <cellStyle name="-_안진조서요약-유로넥스트(03)(LHY)_유로넥스트(03)(LHY)_새누리상호저축(03-LHY)-new_99Group center-04중간업데이트기말-LHY" xfId="1083"/>
    <cellStyle name="-_안진조서요약-유로넥스트(03)(LHY)_유로넥스트(03)(LHY)_새누리상호저축(03-LHY)-new_99Group center-04중간업데이트기말-LHY 2" xfId="1084"/>
    <cellStyle name="-_안진조서요약-유로넥스트(03)(LHY)_유로넥스트(03)(LHY)_새누리상호저축(03-LHY)-new_99Group center-04중간업데이트기말-LHY 3" xfId="1085"/>
    <cellStyle name="-_안진조서요약-유로넥스트(03)(LHY)_유로넥스트(03)(LHY)_새누리상호저축(03-LHY)-new_99Group center-04중간업데이트기말-LHY 4" xfId="1086"/>
    <cellStyle name="-_안진조서요약-유로넥스트(03)(LHY)_유로넥스트(03)(LHY)_새누리상호저축(03-LHY)-new_99Group center-ARP04기말-LHY" xfId="1087"/>
    <cellStyle name="-_안진조서요약-유로넥스트(03)(LHY)_유로넥스트(03)(LHY)_새누리상호저축(03-LHY)-new_99Group center-ARP04기말-LHY 2" xfId="1088"/>
    <cellStyle name="-_안진조서요약-유로넥스트(03)(LHY)_유로넥스트(03)(LHY)_새누리상호저축(03-LHY)-new_99Group center-ARP04기말-LHY 3" xfId="1089"/>
    <cellStyle name="-_안진조서요약-유로넥스트(03)(LHY)_유로넥스트(03)(LHY)_새누리상호저축(03-LHY)-new_99Group center-ARP04기말-LHY 4" xfId="1090"/>
    <cellStyle name="-_안진조서요약-유로넥스트(03)(LHY)_유로넥스트(03)(LHY)_새누리상호저축(03-LHY)_99Group center-04기말-LHY" xfId="1091"/>
    <cellStyle name="-_안진조서요약-유로넥스트(03)(LHY)_유로넥스트(03)(LHY)_새누리상호저축(03-LHY)_99Group center-04기말-LHY 2" xfId="1092"/>
    <cellStyle name="-_안진조서요약-유로넥스트(03)(LHY)_유로넥스트(03)(LHY)_새누리상호저축(03-LHY)_99Group center-04기말-LHY 3" xfId="1093"/>
    <cellStyle name="-_안진조서요약-유로넥스트(03)(LHY)_유로넥스트(03)(LHY)_새누리상호저축(03-LHY)_99Group center-04기말-LHY 4" xfId="1094"/>
    <cellStyle name="-_안진조서요약-유로넥스트(03)(LHY)_유로넥스트(03)(LHY)_새누리상호저축(03-LHY)_99Group center-04중간업데이트기말-LHY" xfId="1095"/>
    <cellStyle name="-_안진조서요약-유로넥스트(03)(LHY)_유로넥스트(03)(LHY)_새누리상호저축(03-LHY)_99Group center-04중간업데이트기말-LHY 2" xfId="1096"/>
    <cellStyle name="-_안진조서요약-유로넥스트(03)(LHY)_유로넥스트(03)(LHY)_새누리상호저축(03-LHY)_99Group center-04중간업데이트기말-LHY 3" xfId="1097"/>
    <cellStyle name="-_안진조서요약-유로넥스트(03)(LHY)_유로넥스트(03)(LHY)_새누리상호저축(03-LHY)_99Group center-04중간업데이트기말-LHY 4" xfId="1098"/>
    <cellStyle name="-_안진조서요약-유로넥스트(03)(LHY)_유로넥스트(03)(LHY)_새누리상호저축(03-LHY)_99Group center-ARP04기말-LHY" xfId="1099"/>
    <cellStyle name="-_안진조서요약-유로넥스트(03)(LHY)_유로넥스트(03)(LHY)_새누리상호저축(03-LHY)_99Group center-ARP04기말-LHY 2" xfId="1100"/>
    <cellStyle name="-_안진조서요약-유로넥스트(03)(LHY)_유로넥스트(03)(LHY)_새누리상호저축(03-LHY)_99Group center-ARP04기말-LHY 3" xfId="1101"/>
    <cellStyle name="-_안진조서요약-유로넥스트(03)(LHY)_유로넥스트(03)(LHY)_새누리상호저축(03-LHY)_99Group center-ARP04기말-LHY 4" xfId="1102"/>
    <cellStyle name="-_안진조서요약-유로넥스트(03)(LHY)_유로넥스트(03)(LHY)_쌈지-04반기-(LHY)" xfId="1103"/>
    <cellStyle name="-_안진조서요약-유로넥스트(03)(LHY)_유로넥스트(03)(LHY)_쌈지-04반기-(LHY) 2" xfId="1104"/>
    <cellStyle name="-_안진조서요약-유로넥스트(03)(LHY)_유로넥스트(03)(LHY)_쌈지-04반기-(LHY) 3" xfId="1105"/>
    <cellStyle name="-_안진조서요약-유로넥스트(03)(LHY)_유로넥스트(03)(LHY)_쌈지-04반기-(LHY) 4" xfId="1106"/>
    <cellStyle name="-_안진조서요약-유로넥스트(03)(LHY)_유로넥스트(03)(LHY)_쌈지-04반기-(LHY)_99Group center-04기말-LHY" xfId="1107"/>
    <cellStyle name="-_안진조서요약-유로넥스트(03)(LHY)_유로넥스트(03)(LHY)_쌈지-04반기-(LHY)_99Group center-04기말-LHY 2" xfId="1108"/>
    <cellStyle name="-_안진조서요약-유로넥스트(03)(LHY)_유로넥스트(03)(LHY)_쌈지-04반기-(LHY)_99Group center-04기말-LHY 3" xfId="1109"/>
    <cellStyle name="-_안진조서요약-유로넥스트(03)(LHY)_유로넥스트(03)(LHY)_쌈지-04반기-(LHY)_99Group center-04기말-LHY 4" xfId="1110"/>
    <cellStyle name="-_안진조서요약-유로넥스트(03)(LHY)_유로넥스트(03)(LHY)_쌈지-04반기-(LHY)_99Group center-04중간업데이트기말-LHY" xfId="1111"/>
    <cellStyle name="-_안진조서요약-유로넥스트(03)(LHY)_유로넥스트(03)(LHY)_쌈지-04반기-(LHY)_99Group center-04중간업데이트기말-LHY 2" xfId="1112"/>
    <cellStyle name="-_안진조서요약-유로넥스트(03)(LHY)_유로넥스트(03)(LHY)_쌈지-04반기-(LHY)_99Group center-04중간업데이트기말-LHY 3" xfId="1113"/>
    <cellStyle name="-_안진조서요약-유로넥스트(03)(LHY)_유로넥스트(03)(LHY)_쌈지-04반기-(LHY)_99Group center-04중간업데이트기말-LHY 4" xfId="1114"/>
    <cellStyle name="-_안진조서요약-유로넥스트(03)(LHY)_유로넥스트(03)(LHY)_쌈지-04반기-(LHY)_99Group center-ARP04기말-LHY" xfId="1115"/>
    <cellStyle name="-_안진조서요약-유로넥스트(03)(LHY)_유로넥스트(03)(LHY)_쌈지-04반기-(LHY)_99Group center-ARP04기말-LHY 2" xfId="1116"/>
    <cellStyle name="-_안진조서요약-유로넥스트(03)(LHY)_유로넥스트(03)(LHY)_쌈지-04반기-(LHY)_99Group center-ARP04기말-LHY 3" xfId="1117"/>
    <cellStyle name="-_안진조서요약-유로넥스트(03)(LHY)_유로넥스트(03)(LHY)_쌈지-04반기-(LHY)_99Group center-ARP04기말-LHY 4" xfId="1118"/>
    <cellStyle name="-_안진조서요약-유로넥스트(03)(LHY)_유로넥스트(03)(LHY)_엠비즈-03-기말(LHY)" xfId="1119"/>
    <cellStyle name="-_안진조서요약-유로넥스트(03)(LHY)_유로넥스트(03)(LHY)_엠비즈-03-기말(LHY) 2" xfId="1120"/>
    <cellStyle name="-_안진조서요약-유로넥스트(03)(LHY)_유로넥스트(03)(LHY)_엠비즈-03-기말(LHY) 3" xfId="1121"/>
    <cellStyle name="-_안진조서요약-유로넥스트(03)(LHY)_유로넥스트(03)(LHY)_엠비즈-03-기말(LHY) 4" xfId="1122"/>
    <cellStyle name="-_안진조서요약-유로넥스트(03)(LHY)_유로넥스트(03)(LHY)_엠비즈-03-기말(LHY)_99Group center-04기말-LHY" xfId="1123"/>
    <cellStyle name="-_안진조서요약-유로넥스트(03)(LHY)_유로넥스트(03)(LHY)_엠비즈-03-기말(LHY)_99Group center-04기말-LHY 2" xfId="1124"/>
    <cellStyle name="-_안진조서요약-유로넥스트(03)(LHY)_유로넥스트(03)(LHY)_엠비즈-03-기말(LHY)_99Group center-04기말-LHY 3" xfId="1125"/>
    <cellStyle name="-_안진조서요약-유로넥스트(03)(LHY)_유로넥스트(03)(LHY)_엠비즈-03-기말(LHY)_99Group center-04기말-LHY 4" xfId="1126"/>
    <cellStyle name="-_안진조서요약-유로넥스트(03)(LHY)_유로넥스트(03)(LHY)_엠비즈-03-기말(LHY)_99Group center-04중간업데이트기말-LHY" xfId="1127"/>
    <cellStyle name="-_안진조서요약-유로넥스트(03)(LHY)_유로넥스트(03)(LHY)_엠비즈-03-기말(LHY)_99Group center-04중간업데이트기말-LHY 2" xfId="1128"/>
    <cellStyle name="-_안진조서요약-유로넥스트(03)(LHY)_유로넥스트(03)(LHY)_엠비즈-03-기말(LHY)_99Group center-04중간업데이트기말-LHY 3" xfId="1129"/>
    <cellStyle name="-_안진조서요약-유로넥스트(03)(LHY)_유로넥스트(03)(LHY)_엠비즈-03-기말(LHY)_99Group center-04중간업데이트기말-LHY 4" xfId="1130"/>
    <cellStyle name="-_안진조서요약-유로넥스트(03)(LHY)_유로넥스트(03)(LHY)_엠비즈-03-기말(LHY)_99Group center-ARP04기말-LHY" xfId="1131"/>
    <cellStyle name="-_안진조서요약-유로넥스트(03)(LHY)_유로넥스트(03)(LHY)_엠비즈-03-기말(LHY)_99Group center-ARP04기말-LHY 2" xfId="1132"/>
    <cellStyle name="-_안진조서요약-유로넥스트(03)(LHY)_유로넥스트(03)(LHY)_엠비즈-03-기말(LHY)_99Group center-ARP04기말-LHY 3" xfId="1133"/>
    <cellStyle name="-_안진조서요약-유로넥스트(03)(LHY)_유로넥스트(03)(LHY)_엠비즈-03-기말(LHY)_99Group center-ARP04기말-LHY 4" xfId="1134"/>
    <cellStyle name="-_안진조서요약-유로넥스트(03)(LHY)_유로넥스트(03)(LHY)_원가율검-조정" xfId="1135"/>
    <cellStyle name="-_안진조서요약-유로넥스트(03)(LHY)_유로넥스트(03)(LHY)_원가율검-조정 2" xfId="1136"/>
    <cellStyle name="-_안진조서요약-유로넥스트(03)(LHY)_유로넥스트(03)(LHY)_원가율검-조정 3" xfId="1137"/>
    <cellStyle name="-_안진조서요약-유로넥스트(03)(LHY)_유로넥스트(03)(LHY)_원가율검-조정 4" xfId="1138"/>
    <cellStyle name="-_안진조서요약-유로넥스트(03)(LHY)_유로넥스트(03)(LHY)_원가율검-조정_99Group center-04기말-LHY" xfId="1139"/>
    <cellStyle name="-_안진조서요약-유로넥스트(03)(LHY)_유로넥스트(03)(LHY)_원가율검-조정_99Group center-04기말-LHY 2" xfId="1140"/>
    <cellStyle name="-_안진조서요약-유로넥스트(03)(LHY)_유로넥스트(03)(LHY)_원가율검-조정_99Group center-04기말-LHY 3" xfId="1141"/>
    <cellStyle name="-_안진조서요약-유로넥스트(03)(LHY)_유로넥스트(03)(LHY)_원가율검-조정_99Group center-04기말-LHY 4" xfId="1142"/>
    <cellStyle name="-_안진조서요약-유로넥스트(03)(LHY)_유로넥스트(03)(LHY)_원가율검-조정_99Group center-04중간업데이트기말-LHY" xfId="1143"/>
    <cellStyle name="-_안진조서요약-유로넥스트(03)(LHY)_유로넥스트(03)(LHY)_원가율검-조정_99Group center-04중간업데이트기말-LHY 2" xfId="1144"/>
    <cellStyle name="-_안진조서요약-유로넥스트(03)(LHY)_유로넥스트(03)(LHY)_원가율검-조정_99Group center-04중간업데이트기말-LHY 3" xfId="1145"/>
    <cellStyle name="-_안진조서요약-유로넥스트(03)(LHY)_유로넥스트(03)(LHY)_원가율검-조정_99Group center-04중간업데이트기말-LHY 4" xfId="1146"/>
    <cellStyle name="-_안진조서요약-유로넥스트(03)(LHY)_유로넥스트(03)(LHY)_원가율검-조정_99Group center-ARP04기말-LHY" xfId="1147"/>
    <cellStyle name="-_안진조서요약-유로넥스트(03)(LHY)_유로넥스트(03)(LHY)_원가율검-조정_99Group center-ARP04기말-LHY 2" xfId="1148"/>
    <cellStyle name="-_안진조서요약-유로넥스트(03)(LHY)_유로넥스트(03)(LHY)_원가율검-조정_99Group center-ARP04기말-LHY 3" xfId="1149"/>
    <cellStyle name="-_안진조서요약-유로넥스트(03)(LHY)_유로넥스트(03)(LHY)_원가율검-조정_99Group center-ARP04기말-LHY 4" xfId="1150"/>
    <cellStyle name="-_안진조서요약-유로넥스트(03)(LHY)_유로넥스트(03)(LHY)_유로넥스트(03)(LHY)" xfId="1151"/>
    <cellStyle name="-_안진조서요약-유로넥스트(03)(LHY)_유로넥스트(03)(LHY)_유로넥스트(03)(LHY) 2" xfId="1152"/>
    <cellStyle name="-_안진조서요약-유로넥스트(03)(LHY)_유로넥스트(03)(LHY)_유로넥스트(03)(LHY) 3" xfId="1153"/>
    <cellStyle name="-_안진조서요약-유로넥스트(03)(LHY)_유로넥스트(03)(LHY)_유로넥스트(03)(LHY) 4" xfId="1154"/>
    <cellStyle name="-_안진조서요약-유로넥스트(03)(LHY)_유로넥스트(03)(LHY)_유로넥스트(03)(LHY)_단기투자, 장기투자의 양식(회계사요청)(1)" xfId="1155"/>
    <cellStyle name="-_안진조서요약-유로넥스트(03)(LHY)_유로넥스트(03)(LHY)_유로넥스트(03)(LHY)_단기투자, 장기투자의 양식(회계사요청)(1) 2" xfId="1156"/>
    <cellStyle name="-_안진조서요약-유로넥스트(03)(LHY)_유로넥스트(03)(LHY)_유로넥스트(03)(LHY)_단기투자, 장기투자의 양식(회계사요청)(1) 3" xfId="1157"/>
    <cellStyle name="-_안진조서요약-유로넥스트(03)(LHY)_유로넥스트(03)(LHY)_유로넥스트(03)(LHY)_단기투자, 장기투자의 양식(회계사요청)(1) 4" xfId="1158"/>
    <cellStyle name="-_안진조서요약-유로넥스트(03)(LHY)_유로넥스트(03)(LHY)_유로넥스트(03)(LHY)_단기투자, 장기투자의 양식(회계사요청)(1)_99Group center-04기말-LHY" xfId="1159"/>
    <cellStyle name="-_안진조서요약-유로넥스트(03)(LHY)_유로넥스트(03)(LHY)_유로넥스트(03)(LHY)_단기투자, 장기투자의 양식(회계사요청)(1)_99Group center-04기말-LHY 2" xfId="1160"/>
    <cellStyle name="-_안진조서요약-유로넥스트(03)(LHY)_유로넥스트(03)(LHY)_유로넥스트(03)(LHY)_단기투자, 장기투자의 양식(회계사요청)(1)_99Group center-04기말-LHY 3" xfId="1161"/>
    <cellStyle name="-_안진조서요약-유로넥스트(03)(LHY)_유로넥스트(03)(LHY)_유로넥스트(03)(LHY)_단기투자, 장기투자의 양식(회계사요청)(1)_99Group center-04기말-LHY 4" xfId="1162"/>
    <cellStyle name="-_안진조서요약-유로넥스트(03)(LHY)_유로넥스트(03)(LHY)_유로넥스트(03)(LHY)_단기투자, 장기투자의 양식(회계사요청)(1)_99Group center-04중간업데이트기말-LHY" xfId="1163"/>
    <cellStyle name="-_안진조서요약-유로넥스트(03)(LHY)_유로넥스트(03)(LHY)_유로넥스트(03)(LHY)_단기투자, 장기투자의 양식(회계사요청)(1)_99Group center-04중간업데이트기말-LHY 2" xfId="1164"/>
    <cellStyle name="-_안진조서요약-유로넥스트(03)(LHY)_유로넥스트(03)(LHY)_유로넥스트(03)(LHY)_단기투자, 장기투자의 양식(회계사요청)(1)_99Group center-04중간업데이트기말-LHY 3" xfId="1165"/>
    <cellStyle name="-_안진조서요약-유로넥스트(03)(LHY)_유로넥스트(03)(LHY)_유로넥스트(03)(LHY)_단기투자, 장기투자의 양식(회계사요청)(1)_99Group center-04중간업데이트기말-LHY 4" xfId="1166"/>
    <cellStyle name="-_안진조서요약-유로넥스트(03)(LHY)_유로넥스트(03)(LHY)_유로넥스트(03)(LHY)_단기투자, 장기투자의 양식(회계사요청)(1)_99Group center-ARP04기말-LHY" xfId="1167"/>
    <cellStyle name="-_안진조서요약-유로넥스트(03)(LHY)_유로넥스트(03)(LHY)_유로넥스트(03)(LHY)_단기투자, 장기투자의 양식(회계사요청)(1)_99Group center-ARP04기말-LHY 2" xfId="1168"/>
    <cellStyle name="-_안진조서요약-유로넥스트(03)(LHY)_유로넥스트(03)(LHY)_유로넥스트(03)(LHY)_단기투자, 장기투자의 양식(회계사요청)(1)_99Group center-ARP04기말-LHY 3" xfId="1169"/>
    <cellStyle name="-_안진조서요약-유로넥스트(03)(LHY)_유로넥스트(03)(LHY)_유로넥스트(03)(LHY)_단기투자, 장기투자의 양식(회계사요청)(1)_99Group center-ARP04기말-LHY 4" xfId="1170"/>
    <cellStyle name="-_안진조서요약-유로넥스트(03)(LHY)_유로넥스트(03)(LHY)_유로넥스트(03)(LHY)_대출채권 Sampling" xfId="1171"/>
    <cellStyle name="-_안진조서요약-유로넥스트(03)(LHY)_유로넥스트(03)(LHY)_유로넥스트(03)(LHY)_대출채권 Sampling 2" xfId="1172"/>
    <cellStyle name="-_안진조서요약-유로넥스트(03)(LHY)_유로넥스트(03)(LHY)_유로넥스트(03)(LHY)_대출채권 Sampling 3" xfId="1173"/>
    <cellStyle name="-_안진조서요약-유로넥스트(03)(LHY)_유로넥스트(03)(LHY)_유로넥스트(03)(LHY)_대출채권 Sampling 4" xfId="1174"/>
    <cellStyle name="-_안진조서요약-유로넥스트(03)(LHY)_유로넥스트(03)(LHY)_유로넥스트(03)(LHY)_대출채권 Sampling_99Group center-04기말-LHY" xfId="1175"/>
    <cellStyle name="-_안진조서요약-유로넥스트(03)(LHY)_유로넥스트(03)(LHY)_유로넥스트(03)(LHY)_대출채권 Sampling_99Group center-04기말-LHY 2" xfId="1176"/>
    <cellStyle name="-_안진조서요약-유로넥스트(03)(LHY)_유로넥스트(03)(LHY)_유로넥스트(03)(LHY)_대출채권 Sampling_99Group center-04기말-LHY 3" xfId="1177"/>
    <cellStyle name="-_안진조서요약-유로넥스트(03)(LHY)_유로넥스트(03)(LHY)_유로넥스트(03)(LHY)_대출채권 Sampling_99Group center-04기말-LHY 4" xfId="1178"/>
    <cellStyle name="-_안진조서요약-유로넥스트(03)(LHY)_유로넥스트(03)(LHY)_유로넥스트(03)(LHY)_대출채권 Sampling_99Group center-04중간업데이트기말-LHY" xfId="1179"/>
    <cellStyle name="-_안진조서요약-유로넥스트(03)(LHY)_유로넥스트(03)(LHY)_유로넥스트(03)(LHY)_대출채권 Sampling_99Group center-04중간업데이트기말-LHY 2" xfId="1180"/>
    <cellStyle name="-_안진조서요약-유로넥스트(03)(LHY)_유로넥스트(03)(LHY)_유로넥스트(03)(LHY)_대출채권 Sampling_99Group center-04중간업데이트기말-LHY 3" xfId="1181"/>
    <cellStyle name="-_안진조서요약-유로넥스트(03)(LHY)_유로넥스트(03)(LHY)_유로넥스트(03)(LHY)_대출채권 Sampling_99Group center-04중간업데이트기말-LHY 4" xfId="1182"/>
    <cellStyle name="-_안진조서요약-유로넥스트(03)(LHY)_유로넥스트(03)(LHY)_유로넥스트(03)(LHY)_대출채권 Sampling_99Group center-ARP04기말-LHY" xfId="1183"/>
    <cellStyle name="-_안진조서요약-유로넥스트(03)(LHY)_유로넥스트(03)(LHY)_유로넥스트(03)(LHY)_대출채권 Sampling_99Group center-ARP04기말-LHY 2" xfId="1184"/>
    <cellStyle name="-_안진조서요약-유로넥스트(03)(LHY)_유로넥스트(03)(LHY)_유로넥스트(03)(LHY)_대출채권 Sampling_99Group center-ARP04기말-LHY 3" xfId="1185"/>
    <cellStyle name="-_안진조서요약-유로넥스트(03)(LHY)_유로넥스트(03)(LHY)_유로넥스트(03)(LHY)_대출채권 Sampling_99Group center-ARP04기말-LHY 4" xfId="1186"/>
    <cellStyle name="-_안진조서요약-유로넥스트(03)(LHY)_유로넥스트(03)(LHY)_유로넥스트(03)(LHY)_동양매직-03(LHY)" xfId="1187"/>
    <cellStyle name="-_안진조서요약-유로넥스트(03)(LHY)_유로넥스트(03)(LHY)_유로넥스트(03)(LHY)_동양매직-03(LHY) 2" xfId="1188"/>
    <cellStyle name="-_안진조서요약-유로넥스트(03)(LHY)_유로넥스트(03)(LHY)_유로넥스트(03)(LHY)_동양매직-03(LHY) 3" xfId="1189"/>
    <cellStyle name="-_안진조서요약-유로넥스트(03)(LHY)_유로넥스트(03)(LHY)_유로넥스트(03)(LHY)_동양매직-03(LHY) 4" xfId="1190"/>
    <cellStyle name="-_안진조서요약-유로넥스트(03)(LHY)_유로넥스트(03)(LHY)_유로넥스트(03)(LHY)_동양매직-03(LHY)_99Group center-04기말-LHY" xfId="1191"/>
    <cellStyle name="-_안진조서요약-유로넥스트(03)(LHY)_유로넥스트(03)(LHY)_유로넥스트(03)(LHY)_동양매직-03(LHY)_99Group center-04기말-LHY 2" xfId="1192"/>
    <cellStyle name="-_안진조서요약-유로넥스트(03)(LHY)_유로넥스트(03)(LHY)_유로넥스트(03)(LHY)_동양매직-03(LHY)_99Group center-04기말-LHY 3" xfId="1193"/>
    <cellStyle name="-_안진조서요약-유로넥스트(03)(LHY)_유로넥스트(03)(LHY)_유로넥스트(03)(LHY)_동양매직-03(LHY)_99Group center-04기말-LHY 4" xfId="1194"/>
    <cellStyle name="-_안진조서요약-유로넥스트(03)(LHY)_유로넥스트(03)(LHY)_유로넥스트(03)(LHY)_동양매직-03(LHY)_99Group center-04중간업데이트기말-LHY" xfId="1195"/>
    <cellStyle name="-_안진조서요약-유로넥스트(03)(LHY)_유로넥스트(03)(LHY)_유로넥스트(03)(LHY)_동양매직-03(LHY)_99Group center-04중간업데이트기말-LHY 2" xfId="1196"/>
    <cellStyle name="-_안진조서요약-유로넥스트(03)(LHY)_유로넥스트(03)(LHY)_유로넥스트(03)(LHY)_동양매직-03(LHY)_99Group center-04중간업데이트기말-LHY 3" xfId="1197"/>
    <cellStyle name="-_안진조서요약-유로넥스트(03)(LHY)_유로넥스트(03)(LHY)_유로넥스트(03)(LHY)_동양매직-03(LHY)_99Group center-04중간업데이트기말-LHY 4" xfId="1198"/>
    <cellStyle name="-_안진조서요약-유로넥스트(03)(LHY)_유로넥스트(03)(LHY)_유로넥스트(03)(LHY)_동양매직-03(LHY)_99Group center-ARP04기말-LHY" xfId="1199"/>
    <cellStyle name="-_안진조서요약-유로넥스트(03)(LHY)_유로넥스트(03)(LHY)_유로넥스트(03)(LHY)_동양매직-03(LHY)_99Group center-ARP04기말-LHY 2" xfId="1200"/>
    <cellStyle name="-_안진조서요약-유로넥스트(03)(LHY)_유로넥스트(03)(LHY)_유로넥스트(03)(LHY)_동양매직-03(LHY)_99Group center-ARP04기말-LHY 3" xfId="1201"/>
    <cellStyle name="-_안진조서요약-유로넥스트(03)(LHY)_유로넥스트(03)(LHY)_유로넥스트(03)(LHY)_동양매직-03(LHY)_99Group center-ARP04기말-LHY 4" xfId="1202"/>
    <cellStyle name="-_안진조서요약-유로넥스트(03)(LHY)_유로넥스트(03)(LHY)_유로넥스트(03)(LHY)_매직산업(03기말-LHY)" xfId="1203"/>
    <cellStyle name="-_안진조서요약-유로넥스트(03)(LHY)_유로넥스트(03)(LHY)_유로넥스트(03)(LHY)_매직산업(03기말-LHY) 2" xfId="1204"/>
    <cellStyle name="-_안진조서요약-유로넥스트(03)(LHY)_유로넥스트(03)(LHY)_유로넥스트(03)(LHY)_매직산업(03기말-LHY) 3" xfId="1205"/>
    <cellStyle name="-_안진조서요약-유로넥스트(03)(LHY)_유로넥스트(03)(LHY)_유로넥스트(03)(LHY)_매직산업(03기말-LHY) 4" xfId="1206"/>
    <cellStyle name="-_안진조서요약-유로넥스트(03)(LHY)_유로넥스트(03)(LHY)_유로넥스트(03)(LHY)_매직산업(03기말-LHY)_99Group center-04기말-LHY" xfId="1207"/>
    <cellStyle name="-_안진조서요약-유로넥스트(03)(LHY)_유로넥스트(03)(LHY)_유로넥스트(03)(LHY)_매직산업(03기말-LHY)_99Group center-04기말-LHY 2" xfId="1208"/>
    <cellStyle name="-_안진조서요약-유로넥스트(03)(LHY)_유로넥스트(03)(LHY)_유로넥스트(03)(LHY)_매직산업(03기말-LHY)_99Group center-04기말-LHY 3" xfId="1209"/>
    <cellStyle name="-_안진조서요약-유로넥스트(03)(LHY)_유로넥스트(03)(LHY)_유로넥스트(03)(LHY)_매직산업(03기말-LHY)_99Group center-04기말-LHY 4" xfId="1210"/>
    <cellStyle name="-_안진조서요약-유로넥스트(03)(LHY)_유로넥스트(03)(LHY)_유로넥스트(03)(LHY)_매직산업(03기말-LHY)_99Group center-04중간업데이트기말-LHY" xfId="1211"/>
    <cellStyle name="-_안진조서요약-유로넥스트(03)(LHY)_유로넥스트(03)(LHY)_유로넥스트(03)(LHY)_매직산업(03기말-LHY)_99Group center-04중간업데이트기말-LHY 2" xfId="1212"/>
    <cellStyle name="-_안진조서요약-유로넥스트(03)(LHY)_유로넥스트(03)(LHY)_유로넥스트(03)(LHY)_매직산업(03기말-LHY)_99Group center-04중간업데이트기말-LHY 3" xfId="1213"/>
    <cellStyle name="-_안진조서요약-유로넥스트(03)(LHY)_유로넥스트(03)(LHY)_유로넥스트(03)(LHY)_매직산업(03기말-LHY)_99Group center-04중간업데이트기말-LHY 4" xfId="1214"/>
    <cellStyle name="-_안진조서요약-유로넥스트(03)(LHY)_유로넥스트(03)(LHY)_유로넥스트(03)(LHY)_매직산업(03기말-LHY)_99Group center-ARP04기말-LHY" xfId="1215"/>
    <cellStyle name="-_안진조서요약-유로넥스트(03)(LHY)_유로넥스트(03)(LHY)_유로넥스트(03)(LHY)_매직산업(03기말-LHY)_99Group center-ARP04기말-LHY 2" xfId="1216"/>
    <cellStyle name="-_안진조서요약-유로넥스트(03)(LHY)_유로넥스트(03)(LHY)_유로넥스트(03)(LHY)_매직산업(03기말-LHY)_99Group center-ARP04기말-LHY 3" xfId="1217"/>
    <cellStyle name="-_안진조서요약-유로넥스트(03)(LHY)_유로넥스트(03)(LHY)_유로넥스트(03)(LHY)_매직산업(03기말-LHY)_99Group center-ARP04기말-LHY 4" xfId="1218"/>
    <cellStyle name="-_안진조서요약-유로넥스트(03)(LHY)_유로넥스트(03)(LHY)_유로넥스트(03)(LHY)_벽산페인트(03,LHY)1" xfId="1219"/>
    <cellStyle name="-_안진조서요약-유로넥스트(03)(LHY)_유로넥스트(03)(LHY)_유로넥스트(03)(LHY)_벽산페인트(03,LHY)1 2" xfId="1220"/>
    <cellStyle name="-_안진조서요약-유로넥스트(03)(LHY)_유로넥스트(03)(LHY)_유로넥스트(03)(LHY)_벽산페인트(03,LHY)1 3" xfId="1221"/>
    <cellStyle name="-_안진조서요약-유로넥스트(03)(LHY)_유로넥스트(03)(LHY)_유로넥스트(03)(LHY)_벽산페인트(03,LHY)1 4" xfId="1222"/>
    <cellStyle name="-_안진조서요약-유로넥스트(03)(LHY)_유로넥스트(03)(LHY)_유로넥스트(03)(LHY)_벽산페인트(03,LHY)1_99Group center-04기말-LHY" xfId="1223"/>
    <cellStyle name="-_안진조서요약-유로넥스트(03)(LHY)_유로넥스트(03)(LHY)_유로넥스트(03)(LHY)_벽산페인트(03,LHY)1_99Group center-04기말-LHY 2" xfId="1224"/>
    <cellStyle name="-_안진조서요약-유로넥스트(03)(LHY)_유로넥스트(03)(LHY)_유로넥스트(03)(LHY)_벽산페인트(03,LHY)1_99Group center-04기말-LHY 3" xfId="1225"/>
    <cellStyle name="-_안진조서요약-유로넥스트(03)(LHY)_유로넥스트(03)(LHY)_유로넥스트(03)(LHY)_벽산페인트(03,LHY)1_99Group center-04기말-LHY 4" xfId="1226"/>
    <cellStyle name="-_안진조서요약-유로넥스트(03)(LHY)_유로넥스트(03)(LHY)_유로넥스트(03)(LHY)_벽산페인트(03,LHY)1_99Group center-04중간업데이트기말-LHY" xfId="1227"/>
    <cellStyle name="-_안진조서요약-유로넥스트(03)(LHY)_유로넥스트(03)(LHY)_유로넥스트(03)(LHY)_벽산페인트(03,LHY)1_99Group center-04중간업데이트기말-LHY 2" xfId="1228"/>
    <cellStyle name="-_안진조서요약-유로넥스트(03)(LHY)_유로넥스트(03)(LHY)_유로넥스트(03)(LHY)_벽산페인트(03,LHY)1_99Group center-04중간업데이트기말-LHY 3" xfId="1229"/>
    <cellStyle name="-_안진조서요약-유로넥스트(03)(LHY)_유로넥스트(03)(LHY)_유로넥스트(03)(LHY)_벽산페인트(03,LHY)1_99Group center-04중간업데이트기말-LHY 4" xfId="1230"/>
    <cellStyle name="-_안진조서요약-유로넥스트(03)(LHY)_유로넥스트(03)(LHY)_유로넥스트(03)(LHY)_벽산페인트(03,LHY)1_99Group center-ARP04기말-LHY" xfId="1231"/>
    <cellStyle name="-_안진조서요약-유로넥스트(03)(LHY)_유로넥스트(03)(LHY)_유로넥스트(03)(LHY)_벽산페인트(03,LHY)1_99Group center-ARP04기말-LHY 2" xfId="1232"/>
    <cellStyle name="-_안진조서요약-유로넥스트(03)(LHY)_유로넥스트(03)(LHY)_유로넥스트(03)(LHY)_벽산페인트(03,LHY)1_99Group center-ARP04기말-LHY 3" xfId="1233"/>
    <cellStyle name="-_안진조서요약-유로넥스트(03)(LHY)_유로넥스트(03)(LHY)_유로넥스트(03)(LHY)_벽산페인트(03,LHY)1_99Group center-ARP04기말-LHY 4" xfId="1234"/>
    <cellStyle name="-_안진조서요약-유로넥스트(03)(LHY)_유로넥스트(03)(LHY)_유로넥스트(03)(LHY)_새누리상호저축(03-LHY)" xfId="1235"/>
    <cellStyle name="-_안진조서요약-유로넥스트(03)(LHY)_유로넥스트(03)(LHY)_유로넥스트(03)(LHY)_새누리상호저축(03-LHY) 2" xfId="1236"/>
    <cellStyle name="-_안진조서요약-유로넥스트(03)(LHY)_유로넥스트(03)(LHY)_유로넥스트(03)(LHY)_새누리상호저축(03-LHY) 3" xfId="1237"/>
    <cellStyle name="-_안진조서요약-유로넥스트(03)(LHY)_유로넥스트(03)(LHY)_유로넥스트(03)(LHY)_새누리상호저축(03-LHY) 4" xfId="1238"/>
    <cellStyle name="-_안진조서요약-유로넥스트(03)(LHY)_유로넥스트(03)(LHY)_유로넥스트(03)(LHY)_새누리상호저축(03-LHY)-new" xfId="1239"/>
    <cellStyle name="-_안진조서요약-유로넥스트(03)(LHY)_유로넥스트(03)(LHY)_유로넥스트(03)(LHY)_새누리상호저축(03-LHY)-new 2" xfId="1240"/>
    <cellStyle name="-_안진조서요약-유로넥스트(03)(LHY)_유로넥스트(03)(LHY)_유로넥스트(03)(LHY)_새누리상호저축(03-LHY)-new 3" xfId="1241"/>
    <cellStyle name="-_안진조서요약-유로넥스트(03)(LHY)_유로넥스트(03)(LHY)_유로넥스트(03)(LHY)_새누리상호저축(03-LHY)-new 4" xfId="1242"/>
    <cellStyle name="-_안진조서요약-유로넥스트(03)(LHY)_유로넥스트(03)(LHY)_유로넥스트(03)(LHY)_새누리상호저축(03-LHY)-new_99Group center-04기말-LHY" xfId="1243"/>
    <cellStyle name="-_안진조서요약-유로넥스트(03)(LHY)_유로넥스트(03)(LHY)_유로넥스트(03)(LHY)_새누리상호저축(03-LHY)-new_99Group center-04기말-LHY 2" xfId="1244"/>
    <cellStyle name="-_안진조서요약-유로넥스트(03)(LHY)_유로넥스트(03)(LHY)_유로넥스트(03)(LHY)_새누리상호저축(03-LHY)-new_99Group center-04기말-LHY 3" xfId="1245"/>
    <cellStyle name="-_안진조서요약-유로넥스트(03)(LHY)_유로넥스트(03)(LHY)_유로넥스트(03)(LHY)_새누리상호저축(03-LHY)-new_99Group center-04기말-LHY 4" xfId="1246"/>
    <cellStyle name="-_안진조서요약-유로넥스트(03)(LHY)_유로넥스트(03)(LHY)_유로넥스트(03)(LHY)_새누리상호저축(03-LHY)-new_99Group center-04중간업데이트기말-LHY" xfId="1247"/>
    <cellStyle name="-_안진조서요약-유로넥스트(03)(LHY)_유로넥스트(03)(LHY)_유로넥스트(03)(LHY)_새누리상호저축(03-LHY)-new_99Group center-04중간업데이트기말-LHY 2" xfId="1248"/>
    <cellStyle name="-_안진조서요약-유로넥스트(03)(LHY)_유로넥스트(03)(LHY)_유로넥스트(03)(LHY)_새누리상호저축(03-LHY)-new_99Group center-04중간업데이트기말-LHY 3" xfId="1249"/>
    <cellStyle name="-_안진조서요약-유로넥스트(03)(LHY)_유로넥스트(03)(LHY)_유로넥스트(03)(LHY)_새누리상호저축(03-LHY)-new_99Group center-04중간업데이트기말-LHY 4" xfId="1250"/>
    <cellStyle name="-_안진조서요약-유로넥스트(03)(LHY)_유로넥스트(03)(LHY)_유로넥스트(03)(LHY)_새누리상호저축(03-LHY)-new_99Group center-ARP04기말-LHY" xfId="1251"/>
    <cellStyle name="-_안진조서요약-유로넥스트(03)(LHY)_유로넥스트(03)(LHY)_유로넥스트(03)(LHY)_새누리상호저축(03-LHY)-new_99Group center-ARP04기말-LHY 2" xfId="1252"/>
    <cellStyle name="-_안진조서요약-유로넥스트(03)(LHY)_유로넥스트(03)(LHY)_유로넥스트(03)(LHY)_새누리상호저축(03-LHY)-new_99Group center-ARP04기말-LHY 3" xfId="1253"/>
    <cellStyle name="-_안진조서요약-유로넥스트(03)(LHY)_유로넥스트(03)(LHY)_유로넥스트(03)(LHY)_새누리상호저축(03-LHY)-new_99Group center-ARP04기말-LHY 4" xfId="1254"/>
    <cellStyle name="-_안진조서요약-유로넥스트(03)(LHY)_유로넥스트(03)(LHY)_유로넥스트(03)(LHY)_새누리상호저축(03-LHY)_99Group center-04기말-LHY" xfId="1255"/>
    <cellStyle name="-_안진조서요약-유로넥스트(03)(LHY)_유로넥스트(03)(LHY)_유로넥스트(03)(LHY)_새누리상호저축(03-LHY)_99Group center-04기말-LHY 2" xfId="1256"/>
    <cellStyle name="-_안진조서요약-유로넥스트(03)(LHY)_유로넥스트(03)(LHY)_유로넥스트(03)(LHY)_새누리상호저축(03-LHY)_99Group center-04기말-LHY 3" xfId="1257"/>
    <cellStyle name="-_안진조서요약-유로넥스트(03)(LHY)_유로넥스트(03)(LHY)_유로넥스트(03)(LHY)_새누리상호저축(03-LHY)_99Group center-04기말-LHY 4" xfId="1258"/>
    <cellStyle name="-_안진조서요약-유로넥스트(03)(LHY)_유로넥스트(03)(LHY)_유로넥스트(03)(LHY)_새누리상호저축(03-LHY)_99Group center-04중간업데이트기말-LHY" xfId="1259"/>
    <cellStyle name="-_안진조서요약-유로넥스트(03)(LHY)_유로넥스트(03)(LHY)_유로넥스트(03)(LHY)_새누리상호저축(03-LHY)_99Group center-04중간업데이트기말-LHY 2" xfId="1260"/>
    <cellStyle name="-_안진조서요약-유로넥스트(03)(LHY)_유로넥스트(03)(LHY)_유로넥스트(03)(LHY)_새누리상호저축(03-LHY)_99Group center-04중간업데이트기말-LHY 3" xfId="1261"/>
    <cellStyle name="-_안진조서요약-유로넥스트(03)(LHY)_유로넥스트(03)(LHY)_유로넥스트(03)(LHY)_새누리상호저축(03-LHY)_99Group center-04중간업데이트기말-LHY 4" xfId="1262"/>
    <cellStyle name="-_안진조서요약-유로넥스트(03)(LHY)_유로넥스트(03)(LHY)_유로넥스트(03)(LHY)_새누리상호저축(03-LHY)_99Group center-ARP04기말-LHY" xfId="1263"/>
    <cellStyle name="-_안진조서요약-유로넥스트(03)(LHY)_유로넥스트(03)(LHY)_유로넥스트(03)(LHY)_새누리상호저축(03-LHY)_99Group center-ARP04기말-LHY 2" xfId="1264"/>
    <cellStyle name="-_안진조서요약-유로넥스트(03)(LHY)_유로넥스트(03)(LHY)_유로넥스트(03)(LHY)_새누리상호저축(03-LHY)_99Group center-ARP04기말-LHY 3" xfId="1265"/>
    <cellStyle name="-_안진조서요약-유로넥스트(03)(LHY)_유로넥스트(03)(LHY)_유로넥스트(03)(LHY)_새누리상호저축(03-LHY)_99Group center-ARP04기말-LHY 4" xfId="1266"/>
    <cellStyle name="-_안진조서요약-유로넥스트(03)(LHY)_유로넥스트(03)(LHY)_유로넥스트(03)(LHY)_쌈지-04반기-(LHY)" xfId="1267"/>
    <cellStyle name="-_안진조서요약-유로넥스트(03)(LHY)_유로넥스트(03)(LHY)_유로넥스트(03)(LHY)_쌈지-04반기-(LHY) 2" xfId="1268"/>
    <cellStyle name="-_안진조서요약-유로넥스트(03)(LHY)_유로넥스트(03)(LHY)_유로넥스트(03)(LHY)_쌈지-04반기-(LHY) 3" xfId="1269"/>
    <cellStyle name="-_안진조서요약-유로넥스트(03)(LHY)_유로넥스트(03)(LHY)_유로넥스트(03)(LHY)_쌈지-04반기-(LHY) 4" xfId="1270"/>
    <cellStyle name="-_안진조서요약-유로넥스트(03)(LHY)_유로넥스트(03)(LHY)_유로넥스트(03)(LHY)_쌈지-04반기-(LHY)_99Group center-04기말-LHY" xfId="1271"/>
    <cellStyle name="-_안진조서요약-유로넥스트(03)(LHY)_유로넥스트(03)(LHY)_유로넥스트(03)(LHY)_쌈지-04반기-(LHY)_99Group center-04기말-LHY 2" xfId="1272"/>
    <cellStyle name="-_안진조서요약-유로넥스트(03)(LHY)_유로넥스트(03)(LHY)_유로넥스트(03)(LHY)_쌈지-04반기-(LHY)_99Group center-04기말-LHY 3" xfId="1273"/>
    <cellStyle name="-_안진조서요약-유로넥스트(03)(LHY)_유로넥스트(03)(LHY)_유로넥스트(03)(LHY)_쌈지-04반기-(LHY)_99Group center-04기말-LHY 4" xfId="1274"/>
    <cellStyle name="-_안진조서요약-유로넥스트(03)(LHY)_유로넥스트(03)(LHY)_유로넥스트(03)(LHY)_쌈지-04반기-(LHY)_99Group center-04중간업데이트기말-LHY" xfId="1275"/>
    <cellStyle name="-_안진조서요약-유로넥스트(03)(LHY)_유로넥스트(03)(LHY)_유로넥스트(03)(LHY)_쌈지-04반기-(LHY)_99Group center-04중간업데이트기말-LHY 2" xfId="1276"/>
    <cellStyle name="-_안진조서요약-유로넥스트(03)(LHY)_유로넥스트(03)(LHY)_유로넥스트(03)(LHY)_쌈지-04반기-(LHY)_99Group center-04중간업데이트기말-LHY 3" xfId="1277"/>
    <cellStyle name="-_안진조서요약-유로넥스트(03)(LHY)_유로넥스트(03)(LHY)_유로넥스트(03)(LHY)_쌈지-04반기-(LHY)_99Group center-04중간업데이트기말-LHY 4" xfId="1278"/>
    <cellStyle name="-_안진조서요약-유로넥스트(03)(LHY)_유로넥스트(03)(LHY)_유로넥스트(03)(LHY)_쌈지-04반기-(LHY)_99Group center-ARP04기말-LHY" xfId="1279"/>
    <cellStyle name="-_안진조서요약-유로넥스트(03)(LHY)_유로넥스트(03)(LHY)_유로넥스트(03)(LHY)_쌈지-04반기-(LHY)_99Group center-ARP04기말-LHY 2" xfId="1280"/>
    <cellStyle name="-_안진조서요약-유로넥스트(03)(LHY)_유로넥스트(03)(LHY)_유로넥스트(03)(LHY)_쌈지-04반기-(LHY)_99Group center-ARP04기말-LHY 3" xfId="1281"/>
    <cellStyle name="-_안진조서요약-유로넥스트(03)(LHY)_유로넥스트(03)(LHY)_유로넥스트(03)(LHY)_쌈지-04반기-(LHY)_99Group center-ARP04기말-LHY 4" xfId="1282"/>
    <cellStyle name="-_안진조서요약-유로넥스트(03)(LHY)_유로넥스트(03)(LHY)_유로넥스트(03)(LHY)_엠비즈-03-기말(LHY)" xfId="1283"/>
    <cellStyle name="-_안진조서요약-유로넥스트(03)(LHY)_유로넥스트(03)(LHY)_유로넥스트(03)(LHY)_엠비즈-03-기말(LHY) 2" xfId="1284"/>
    <cellStyle name="-_안진조서요약-유로넥스트(03)(LHY)_유로넥스트(03)(LHY)_유로넥스트(03)(LHY)_엠비즈-03-기말(LHY) 3" xfId="1285"/>
    <cellStyle name="-_안진조서요약-유로넥스트(03)(LHY)_유로넥스트(03)(LHY)_유로넥스트(03)(LHY)_엠비즈-03-기말(LHY) 4" xfId="1286"/>
    <cellStyle name="-_안진조서요약-유로넥스트(03)(LHY)_유로넥스트(03)(LHY)_유로넥스트(03)(LHY)_엠비즈-03-기말(LHY)_99Group center-04기말-LHY" xfId="1287"/>
    <cellStyle name="-_안진조서요약-유로넥스트(03)(LHY)_유로넥스트(03)(LHY)_유로넥스트(03)(LHY)_엠비즈-03-기말(LHY)_99Group center-04기말-LHY 2" xfId="1288"/>
    <cellStyle name="-_안진조서요약-유로넥스트(03)(LHY)_유로넥스트(03)(LHY)_유로넥스트(03)(LHY)_엠비즈-03-기말(LHY)_99Group center-04기말-LHY 3" xfId="1289"/>
    <cellStyle name="-_안진조서요약-유로넥스트(03)(LHY)_유로넥스트(03)(LHY)_유로넥스트(03)(LHY)_엠비즈-03-기말(LHY)_99Group center-04기말-LHY 4" xfId="1290"/>
    <cellStyle name="-_안진조서요약-유로넥스트(03)(LHY)_유로넥스트(03)(LHY)_유로넥스트(03)(LHY)_엠비즈-03-기말(LHY)_99Group center-04중간업데이트기말-LHY" xfId="1291"/>
    <cellStyle name="-_안진조서요약-유로넥스트(03)(LHY)_유로넥스트(03)(LHY)_유로넥스트(03)(LHY)_엠비즈-03-기말(LHY)_99Group center-04중간업데이트기말-LHY 2" xfId="1292"/>
    <cellStyle name="-_안진조서요약-유로넥스트(03)(LHY)_유로넥스트(03)(LHY)_유로넥스트(03)(LHY)_엠비즈-03-기말(LHY)_99Group center-04중간업데이트기말-LHY 3" xfId="1293"/>
    <cellStyle name="-_안진조서요약-유로넥스트(03)(LHY)_유로넥스트(03)(LHY)_유로넥스트(03)(LHY)_엠비즈-03-기말(LHY)_99Group center-04중간업데이트기말-LHY 4" xfId="1294"/>
    <cellStyle name="-_안진조서요약-유로넥스트(03)(LHY)_유로넥스트(03)(LHY)_유로넥스트(03)(LHY)_엠비즈-03-기말(LHY)_99Group center-ARP04기말-LHY" xfId="1295"/>
    <cellStyle name="-_안진조서요약-유로넥스트(03)(LHY)_유로넥스트(03)(LHY)_유로넥스트(03)(LHY)_엠비즈-03-기말(LHY)_99Group center-ARP04기말-LHY 2" xfId="1296"/>
    <cellStyle name="-_안진조서요약-유로넥스트(03)(LHY)_유로넥스트(03)(LHY)_유로넥스트(03)(LHY)_엠비즈-03-기말(LHY)_99Group center-ARP04기말-LHY 3" xfId="1297"/>
    <cellStyle name="-_안진조서요약-유로넥스트(03)(LHY)_유로넥스트(03)(LHY)_유로넥스트(03)(LHY)_엠비즈-03-기말(LHY)_99Group center-ARP04기말-LHY 4" xfId="1298"/>
    <cellStyle name="-_안진조서요약-유로넥스트(03)(LHY)_유로넥스트(03)(LHY)_유로넥스트(03)(LHY)_원가율검-조정" xfId="1299"/>
    <cellStyle name="-_안진조서요약-유로넥스트(03)(LHY)_유로넥스트(03)(LHY)_유로넥스트(03)(LHY)_원가율검-조정 2" xfId="1300"/>
    <cellStyle name="-_안진조서요약-유로넥스트(03)(LHY)_유로넥스트(03)(LHY)_유로넥스트(03)(LHY)_원가율검-조정 3" xfId="1301"/>
    <cellStyle name="-_안진조서요약-유로넥스트(03)(LHY)_유로넥스트(03)(LHY)_유로넥스트(03)(LHY)_원가율검-조정 4" xfId="1302"/>
    <cellStyle name="-_안진조서요약-유로넥스트(03)(LHY)_유로넥스트(03)(LHY)_유로넥스트(03)(LHY)_원가율검-조정_99Group center-04기말-LHY" xfId="1303"/>
    <cellStyle name="-_안진조서요약-유로넥스트(03)(LHY)_유로넥스트(03)(LHY)_유로넥스트(03)(LHY)_원가율검-조정_99Group center-04기말-LHY 2" xfId="1304"/>
    <cellStyle name="-_안진조서요약-유로넥스트(03)(LHY)_유로넥스트(03)(LHY)_유로넥스트(03)(LHY)_원가율검-조정_99Group center-04기말-LHY 3" xfId="1305"/>
    <cellStyle name="-_안진조서요약-유로넥스트(03)(LHY)_유로넥스트(03)(LHY)_유로넥스트(03)(LHY)_원가율검-조정_99Group center-04기말-LHY 4" xfId="1306"/>
    <cellStyle name="-_안진조서요약-유로넥스트(03)(LHY)_유로넥스트(03)(LHY)_유로넥스트(03)(LHY)_원가율검-조정_99Group center-04중간업데이트기말-LHY" xfId="1307"/>
    <cellStyle name="-_안진조서요약-유로넥스트(03)(LHY)_유로넥스트(03)(LHY)_유로넥스트(03)(LHY)_원가율검-조정_99Group center-04중간업데이트기말-LHY 2" xfId="1308"/>
    <cellStyle name="-_안진조서요약-유로넥스트(03)(LHY)_유로넥스트(03)(LHY)_유로넥스트(03)(LHY)_원가율검-조정_99Group center-04중간업데이트기말-LHY 3" xfId="1309"/>
    <cellStyle name="-_안진조서요약-유로넥스트(03)(LHY)_유로넥스트(03)(LHY)_유로넥스트(03)(LHY)_원가율검-조정_99Group center-04중간업데이트기말-LHY 4" xfId="1310"/>
    <cellStyle name="-_안진조서요약-유로넥스트(03)(LHY)_유로넥스트(03)(LHY)_유로넥스트(03)(LHY)_원가율검-조정_99Group center-ARP04기말-LHY" xfId="1311"/>
    <cellStyle name="-_안진조서요약-유로넥스트(03)(LHY)_유로넥스트(03)(LHY)_유로넥스트(03)(LHY)_원가율검-조정_99Group center-ARP04기말-LHY 2" xfId="1312"/>
    <cellStyle name="-_안진조서요약-유로넥스트(03)(LHY)_유로넥스트(03)(LHY)_유로넥스트(03)(LHY)_원가율검-조정_99Group center-ARP04기말-LHY 3" xfId="1313"/>
    <cellStyle name="-_안진조서요약-유로넥스트(03)(LHY)_유로넥스트(03)(LHY)_유로넥스트(03)(LHY)_원가율검-조정_99Group center-ARP04기말-LHY 4" xfId="1314"/>
    <cellStyle name="-_안진조서요약-유로넥스트(03)(LHY)_유로넥스트(03)(LHY)_유로넥스트(03)(LHY)_유엔젤반기(04-LHY)" xfId="1315"/>
    <cellStyle name="-_안진조서요약-유로넥스트(03)(LHY)_유로넥스트(03)(LHY)_유로넥스트(03)(LHY)_유엔젤반기(04-LHY) 2" xfId="1316"/>
    <cellStyle name="-_안진조서요약-유로넥스트(03)(LHY)_유로넥스트(03)(LHY)_유로넥스트(03)(LHY)_유엔젤반기(04-LHY) 3" xfId="1317"/>
    <cellStyle name="-_안진조서요약-유로넥스트(03)(LHY)_유로넥스트(03)(LHY)_유로넥스트(03)(LHY)_유엔젤반기(04-LHY) 4" xfId="1318"/>
    <cellStyle name="-_안진조서요약-유로넥스트(03)(LHY)_유로넥스트(03)(LHY)_유로넥스트(03)(LHY)_유엔젤반기(04-LHY)_99Group center-04기말-LHY" xfId="1319"/>
    <cellStyle name="-_안진조서요약-유로넥스트(03)(LHY)_유로넥스트(03)(LHY)_유로넥스트(03)(LHY)_유엔젤반기(04-LHY)_99Group center-04기말-LHY 2" xfId="1320"/>
    <cellStyle name="-_안진조서요약-유로넥스트(03)(LHY)_유로넥스트(03)(LHY)_유로넥스트(03)(LHY)_유엔젤반기(04-LHY)_99Group center-04기말-LHY 3" xfId="1321"/>
    <cellStyle name="-_안진조서요약-유로넥스트(03)(LHY)_유로넥스트(03)(LHY)_유로넥스트(03)(LHY)_유엔젤반기(04-LHY)_99Group center-04기말-LHY 4" xfId="1322"/>
    <cellStyle name="-_안진조서요약-유로넥스트(03)(LHY)_유로넥스트(03)(LHY)_유로넥스트(03)(LHY)_유엔젤반기(04-LHY)_99Group center-04중간업데이트기말-LHY" xfId="1323"/>
    <cellStyle name="-_안진조서요약-유로넥스트(03)(LHY)_유로넥스트(03)(LHY)_유로넥스트(03)(LHY)_유엔젤반기(04-LHY)_99Group center-04중간업데이트기말-LHY 2" xfId="1324"/>
    <cellStyle name="-_안진조서요약-유로넥스트(03)(LHY)_유로넥스트(03)(LHY)_유로넥스트(03)(LHY)_유엔젤반기(04-LHY)_99Group center-04중간업데이트기말-LHY 3" xfId="1325"/>
    <cellStyle name="-_안진조서요약-유로넥스트(03)(LHY)_유로넥스트(03)(LHY)_유로넥스트(03)(LHY)_유엔젤반기(04-LHY)_99Group center-04중간업데이트기말-LHY 4" xfId="1326"/>
    <cellStyle name="-_안진조서요약-유로넥스트(03)(LHY)_유로넥스트(03)(LHY)_유로넥스트(03)(LHY)_유엔젤반기(04-LHY)_99Group center-ARP04기말-LHY" xfId="1327"/>
    <cellStyle name="-_안진조서요약-유로넥스트(03)(LHY)_유로넥스트(03)(LHY)_유로넥스트(03)(LHY)_유엔젤반기(04-LHY)_99Group center-ARP04기말-LHY 2" xfId="1328"/>
    <cellStyle name="-_안진조서요약-유로넥스트(03)(LHY)_유로넥스트(03)(LHY)_유로넥스트(03)(LHY)_유엔젤반기(04-LHY)_99Group center-ARP04기말-LHY 3" xfId="1329"/>
    <cellStyle name="-_안진조서요약-유로넥스트(03)(LHY)_유로넥스트(03)(LHY)_유로넥스트(03)(LHY)_유엔젤반기(04-LHY)_99Group center-ARP04기말-LHY 4" xfId="1330"/>
    <cellStyle name="-_안진조서요약-유로넥스트(03)(LHY)_유로넥스트(03)(LHY)_유로넥스트(03)(LHY)_투자유가증권 주석(진짜)03-LHY" xfId="1331"/>
    <cellStyle name="-_안진조서요약-유로넥스트(03)(LHY)_유로넥스트(03)(LHY)_유로넥스트(03)(LHY)_투자유가증권 주석(진짜)03-LHY 2" xfId="1332"/>
    <cellStyle name="-_안진조서요약-유로넥스트(03)(LHY)_유로넥스트(03)(LHY)_유로넥스트(03)(LHY)_투자유가증권 주석(진짜)03-LHY 3" xfId="1333"/>
    <cellStyle name="-_안진조서요약-유로넥스트(03)(LHY)_유로넥스트(03)(LHY)_유로넥스트(03)(LHY)_투자유가증권 주석(진짜)03-LHY 4" xfId="1334"/>
    <cellStyle name="-_안진조서요약-유로넥스트(03)(LHY)_유로넥스트(03)(LHY)_유로넥스트(03)(LHY)_투자유가증권 주석(진짜)03-LHY_99Group center-04기말-LHY" xfId="1335"/>
    <cellStyle name="-_안진조서요약-유로넥스트(03)(LHY)_유로넥스트(03)(LHY)_유로넥스트(03)(LHY)_투자유가증권 주석(진짜)03-LHY_99Group center-04기말-LHY 2" xfId="1336"/>
    <cellStyle name="-_안진조서요약-유로넥스트(03)(LHY)_유로넥스트(03)(LHY)_유로넥스트(03)(LHY)_투자유가증권 주석(진짜)03-LHY_99Group center-04기말-LHY 3" xfId="1337"/>
    <cellStyle name="-_안진조서요약-유로넥스트(03)(LHY)_유로넥스트(03)(LHY)_유로넥스트(03)(LHY)_투자유가증권 주석(진짜)03-LHY_99Group center-04기말-LHY 4" xfId="1338"/>
    <cellStyle name="-_안진조서요약-유로넥스트(03)(LHY)_유로넥스트(03)(LHY)_유로넥스트(03)(LHY)_투자유가증권 주석(진짜)03-LHY_99Group center-04중간업데이트기말-LHY" xfId="1339"/>
    <cellStyle name="-_안진조서요약-유로넥스트(03)(LHY)_유로넥스트(03)(LHY)_유로넥스트(03)(LHY)_투자유가증권 주석(진짜)03-LHY_99Group center-04중간업데이트기말-LHY 2" xfId="1340"/>
    <cellStyle name="-_안진조서요약-유로넥스트(03)(LHY)_유로넥스트(03)(LHY)_유로넥스트(03)(LHY)_투자유가증권 주석(진짜)03-LHY_99Group center-04중간업데이트기말-LHY 3" xfId="1341"/>
    <cellStyle name="-_안진조서요약-유로넥스트(03)(LHY)_유로넥스트(03)(LHY)_유로넥스트(03)(LHY)_투자유가증권 주석(진짜)03-LHY_99Group center-04중간업데이트기말-LHY 4" xfId="1342"/>
    <cellStyle name="-_안진조서요약-유로넥스트(03)(LHY)_유로넥스트(03)(LHY)_유로넥스트(03)(LHY)_투자유가증권 주석(진짜)03-LHY_99Group center-ARP04기말-LHY" xfId="1343"/>
    <cellStyle name="-_안진조서요약-유로넥스트(03)(LHY)_유로넥스트(03)(LHY)_유로넥스트(03)(LHY)_투자유가증권 주석(진짜)03-LHY_99Group center-ARP04기말-LHY 2" xfId="1344"/>
    <cellStyle name="-_안진조서요약-유로넥스트(03)(LHY)_유로넥스트(03)(LHY)_유로넥스트(03)(LHY)_투자유가증권 주석(진짜)03-LHY_99Group center-ARP04기말-LHY 3" xfId="1345"/>
    <cellStyle name="-_안진조서요약-유로넥스트(03)(LHY)_유로넥스트(03)(LHY)_유로넥스트(03)(LHY)_투자유가증권 주석(진짜)03-LHY_99Group center-ARP04기말-LHY 4" xfId="1346"/>
    <cellStyle name="-_안진조서요약-유로넥스트(03)(LHY)_유로넥스트(03)(LHY)_유로넥스트(03)(LHY)_투자유가증권양식" xfId="1347"/>
    <cellStyle name="-_안진조서요약-유로넥스트(03)(LHY)_유로넥스트(03)(LHY)_유로넥스트(03)(LHY)_투자유가증권양식 2" xfId="1348"/>
    <cellStyle name="-_안진조서요약-유로넥스트(03)(LHY)_유로넥스트(03)(LHY)_유로넥스트(03)(LHY)_투자유가증권양식 3" xfId="1349"/>
    <cellStyle name="-_안진조서요약-유로넥스트(03)(LHY)_유로넥스트(03)(LHY)_유로넥스트(03)(LHY)_투자유가증권양식 4" xfId="1350"/>
    <cellStyle name="-_안진조서요약-유로넥스트(03)(LHY)_유로넥스트(03)(LHY)_유로넥스트(03)(LHY)_투자유가증권양식_99Group center-04기말-LHY" xfId="1351"/>
    <cellStyle name="-_안진조서요약-유로넥스트(03)(LHY)_유로넥스트(03)(LHY)_유로넥스트(03)(LHY)_투자유가증권양식_99Group center-04기말-LHY 2" xfId="1352"/>
    <cellStyle name="-_안진조서요약-유로넥스트(03)(LHY)_유로넥스트(03)(LHY)_유로넥스트(03)(LHY)_투자유가증권양식_99Group center-04기말-LHY 3" xfId="1353"/>
    <cellStyle name="-_안진조서요약-유로넥스트(03)(LHY)_유로넥스트(03)(LHY)_유로넥스트(03)(LHY)_투자유가증권양식_99Group center-04기말-LHY 4" xfId="1354"/>
    <cellStyle name="-_안진조서요약-유로넥스트(03)(LHY)_유로넥스트(03)(LHY)_유로넥스트(03)(LHY)_투자유가증권양식_99Group center-04중간업데이트기말-LHY" xfId="1355"/>
    <cellStyle name="-_안진조서요약-유로넥스트(03)(LHY)_유로넥스트(03)(LHY)_유로넥스트(03)(LHY)_투자유가증권양식_99Group center-04중간업데이트기말-LHY 2" xfId="1356"/>
    <cellStyle name="-_안진조서요약-유로넥스트(03)(LHY)_유로넥스트(03)(LHY)_유로넥스트(03)(LHY)_투자유가증권양식_99Group center-04중간업데이트기말-LHY 3" xfId="1357"/>
    <cellStyle name="-_안진조서요약-유로넥스트(03)(LHY)_유로넥스트(03)(LHY)_유로넥스트(03)(LHY)_투자유가증권양식_99Group center-04중간업데이트기말-LHY 4" xfId="1358"/>
    <cellStyle name="-_안진조서요약-유로넥스트(03)(LHY)_유로넥스트(03)(LHY)_유로넥스트(03)(LHY)_투자유가증권양식_99Group center-ARP04기말-LHY" xfId="1359"/>
    <cellStyle name="-_안진조서요약-유로넥스트(03)(LHY)_유로넥스트(03)(LHY)_유로넥스트(03)(LHY)_투자유가증권양식_99Group center-ARP04기말-LHY 2" xfId="1360"/>
    <cellStyle name="-_안진조서요약-유로넥스트(03)(LHY)_유로넥스트(03)(LHY)_유로넥스트(03)(LHY)_투자유가증권양식_99Group center-ARP04기말-LHY 3" xfId="1361"/>
    <cellStyle name="-_안진조서요약-유로넥스트(03)(LHY)_유로넥스트(03)(LHY)_유로넥스트(03)(LHY)_투자유가증권양식_99Group center-ARP04기말-LHY 4" xfId="1362"/>
    <cellStyle name="-_안진조서요약-유로넥스트(03)(LHY)_유로넥스트(03)(LHY)_유로넥스트(03)(LHY)_풀무원스프라우트-04반기-LHY" xfId="1363"/>
    <cellStyle name="-_안진조서요약-유로넥스트(03)(LHY)_유로넥스트(03)(LHY)_유로넥스트(03)(LHY)_풀무원스프라우트-04반기-LHY 2" xfId="1364"/>
    <cellStyle name="-_안진조서요약-유로넥스트(03)(LHY)_유로넥스트(03)(LHY)_유로넥스트(03)(LHY)_풀무원스프라우트-04반기-LHY 3" xfId="1365"/>
    <cellStyle name="-_안진조서요약-유로넥스트(03)(LHY)_유로넥스트(03)(LHY)_유로넥스트(03)(LHY)_풀무원스프라우트-04반기-LHY 4" xfId="1366"/>
    <cellStyle name="-_안진조서요약-유로넥스트(03)(LHY)_유로넥스트(03)(LHY)_유로넥스트(03)(LHY)_풀무원스프라우트-04반기-LHY_99Group center-04기말-LHY" xfId="1367"/>
    <cellStyle name="-_안진조서요약-유로넥스트(03)(LHY)_유로넥스트(03)(LHY)_유로넥스트(03)(LHY)_풀무원스프라우트-04반기-LHY_99Group center-04기말-LHY 2" xfId="1368"/>
    <cellStyle name="-_안진조서요약-유로넥스트(03)(LHY)_유로넥스트(03)(LHY)_유로넥스트(03)(LHY)_풀무원스프라우트-04반기-LHY_99Group center-04기말-LHY 3" xfId="1369"/>
    <cellStyle name="-_안진조서요약-유로넥스트(03)(LHY)_유로넥스트(03)(LHY)_유로넥스트(03)(LHY)_풀무원스프라우트-04반기-LHY_99Group center-04기말-LHY 4" xfId="1370"/>
    <cellStyle name="-_안진조서요약-유로넥스트(03)(LHY)_유로넥스트(03)(LHY)_유로넥스트(03)(LHY)_풀무원스프라우트-04반기-LHY_99Group center-04중간업데이트기말-LHY" xfId="1371"/>
    <cellStyle name="-_안진조서요약-유로넥스트(03)(LHY)_유로넥스트(03)(LHY)_유로넥스트(03)(LHY)_풀무원스프라우트-04반기-LHY_99Group center-04중간업데이트기말-LHY 2" xfId="1372"/>
    <cellStyle name="-_안진조서요약-유로넥스트(03)(LHY)_유로넥스트(03)(LHY)_유로넥스트(03)(LHY)_풀무원스프라우트-04반기-LHY_99Group center-04중간업데이트기말-LHY 3" xfId="1373"/>
    <cellStyle name="-_안진조서요약-유로넥스트(03)(LHY)_유로넥스트(03)(LHY)_유로넥스트(03)(LHY)_풀무원스프라우트-04반기-LHY_99Group center-04중간업데이트기말-LHY 4" xfId="1374"/>
    <cellStyle name="-_안진조서요약-유로넥스트(03)(LHY)_유로넥스트(03)(LHY)_유로넥스트(03)(LHY)_풀무원스프라우트-04반기-LHY_99Group center-ARP04기말-LHY" xfId="1375"/>
    <cellStyle name="-_안진조서요약-유로넥스트(03)(LHY)_유로넥스트(03)(LHY)_유로넥스트(03)(LHY)_풀무원스프라우트-04반기-LHY_99Group center-ARP04기말-LHY 2" xfId="1376"/>
    <cellStyle name="-_안진조서요약-유로넥스트(03)(LHY)_유로넥스트(03)(LHY)_유로넥스트(03)(LHY)_풀무원스프라우트-04반기-LHY_99Group center-ARP04기말-LHY 3" xfId="1377"/>
    <cellStyle name="-_안진조서요약-유로넥스트(03)(LHY)_유로넥스트(03)(LHY)_유로넥스트(03)(LHY)_풀무원스프라우트-04반기-LHY_99Group center-ARP04기말-LHY 4" xfId="1378"/>
    <cellStyle name="-_안진조서요약-유로넥스트(03)(LHY)_유로넥스트(03)(LHY)_유로넥스트(03)(LHY)_한국유업-03(LHY)" xfId="1379"/>
    <cellStyle name="-_안진조서요약-유로넥스트(03)(LHY)_유로넥스트(03)(LHY)_유로넥스트(03)(LHY)_한국유업-03(LHY) 2" xfId="1380"/>
    <cellStyle name="-_안진조서요약-유로넥스트(03)(LHY)_유로넥스트(03)(LHY)_유로넥스트(03)(LHY)_한국유업-03(LHY) 3" xfId="1381"/>
    <cellStyle name="-_안진조서요약-유로넥스트(03)(LHY)_유로넥스트(03)(LHY)_유로넥스트(03)(LHY)_한국유업-03(LHY) 4" xfId="1382"/>
    <cellStyle name="-_안진조서요약-유로넥스트(03)(LHY)_유로넥스트(03)(LHY)_유로넥스트(03)(LHY)_한국유업-03(LHY)_99Group center-04기말-LHY" xfId="1383"/>
    <cellStyle name="-_안진조서요약-유로넥스트(03)(LHY)_유로넥스트(03)(LHY)_유로넥스트(03)(LHY)_한국유업-03(LHY)_99Group center-04기말-LHY 2" xfId="1384"/>
    <cellStyle name="-_안진조서요약-유로넥스트(03)(LHY)_유로넥스트(03)(LHY)_유로넥스트(03)(LHY)_한국유업-03(LHY)_99Group center-04기말-LHY 3" xfId="1385"/>
    <cellStyle name="-_안진조서요약-유로넥스트(03)(LHY)_유로넥스트(03)(LHY)_유로넥스트(03)(LHY)_한국유업-03(LHY)_99Group center-04기말-LHY 4" xfId="1386"/>
    <cellStyle name="-_안진조서요약-유로넥스트(03)(LHY)_유로넥스트(03)(LHY)_유로넥스트(03)(LHY)_한국유업-03(LHY)_99Group center-04중간업데이트기말-LHY" xfId="1387"/>
    <cellStyle name="-_안진조서요약-유로넥스트(03)(LHY)_유로넥스트(03)(LHY)_유로넥스트(03)(LHY)_한국유업-03(LHY)_99Group center-04중간업데이트기말-LHY 2" xfId="1388"/>
    <cellStyle name="-_안진조서요약-유로넥스트(03)(LHY)_유로넥스트(03)(LHY)_유로넥스트(03)(LHY)_한국유업-03(LHY)_99Group center-04중간업데이트기말-LHY 3" xfId="1389"/>
    <cellStyle name="-_안진조서요약-유로넥스트(03)(LHY)_유로넥스트(03)(LHY)_유로넥스트(03)(LHY)_한국유업-03(LHY)_99Group center-04중간업데이트기말-LHY 4" xfId="1390"/>
    <cellStyle name="-_안진조서요약-유로넥스트(03)(LHY)_유로넥스트(03)(LHY)_유로넥스트(03)(LHY)_한국유업-03(LHY)_99Group center-ARP04기말-LHY" xfId="1391"/>
    <cellStyle name="-_안진조서요약-유로넥스트(03)(LHY)_유로넥스트(03)(LHY)_유로넥스트(03)(LHY)_한국유업-03(LHY)_99Group center-ARP04기말-LHY 2" xfId="1392"/>
    <cellStyle name="-_안진조서요약-유로넥스트(03)(LHY)_유로넥스트(03)(LHY)_유로넥스트(03)(LHY)_한국유업-03(LHY)_99Group center-ARP04기말-LHY 3" xfId="1393"/>
    <cellStyle name="-_안진조서요약-유로넥스트(03)(LHY)_유로넥스트(03)(LHY)_유로넥스트(03)(LHY)_한국유업-03(LHY)_99Group center-ARP04기말-LHY 4" xfId="1394"/>
    <cellStyle name="-_안진조서요약-유로넥스트(03)(LHY)_유로넥스트(03)(LHY)_유로넥스트(03)(LHY)_한국유업-03(LHY)_매직산업(03기말-LHY)" xfId="1395"/>
    <cellStyle name="-_안진조서요약-유로넥스트(03)(LHY)_유로넥스트(03)(LHY)_유로넥스트(03)(LHY)_한국유업-03(LHY)_매직산업(03기말-LHY) 2" xfId="1396"/>
    <cellStyle name="-_안진조서요약-유로넥스트(03)(LHY)_유로넥스트(03)(LHY)_유로넥스트(03)(LHY)_한국유업-03(LHY)_매직산업(03기말-LHY) 3" xfId="1397"/>
    <cellStyle name="-_안진조서요약-유로넥스트(03)(LHY)_유로넥스트(03)(LHY)_유로넥스트(03)(LHY)_한국유업-03(LHY)_매직산업(03기말-LHY) 4" xfId="1398"/>
    <cellStyle name="-_안진조서요약-유로넥스트(03)(LHY)_유로넥스트(03)(LHY)_유로넥스트(03)(LHY)_한국유업-03(LHY)_매직산업(03기말-LHY)_99Group center-04기말-LHY" xfId="1399"/>
    <cellStyle name="-_안진조서요약-유로넥스트(03)(LHY)_유로넥스트(03)(LHY)_유로넥스트(03)(LHY)_한국유업-03(LHY)_매직산업(03기말-LHY)_99Group center-04기말-LHY 2" xfId="1400"/>
    <cellStyle name="-_안진조서요약-유로넥스트(03)(LHY)_유로넥스트(03)(LHY)_유로넥스트(03)(LHY)_한국유업-03(LHY)_매직산업(03기말-LHY)_99Group center-04기말-LHY 3" xfId="1401"/>
    <cellStyle name="-_안진조서요약-유로넥스트(03)(LHY)_유로넥스트(03)(LHY)_유로넥스트(03)(LHY)_한국유업-03(LHY)_매직산업(03기말-LHY)_99Group center-04기말-LHY 4" xfId="1402"/>
    <cellStyle name="-_안진조서요약-유로넥스트(03)(LHY)_유로넥스트(03)(LHY)_유로넥스트(03)(LHY)_한국유업-03(LHY)_매직산업(03기말-LHY)_99Group center-04중간업데이트기말-LHY" xfId="1403"/>
    <cellStyle name="-_안진조서요약-유로넥스트(03)(LHY)_유로넥스트(03)(LHY)_유로넥스트(03)(LHY)_한국유업-03(LHY)_매직산업(03기말-LHY)_99Group center-04중간업데이트기말-LHY 2" xfId="1404"/>
    <cellStyle name="-_안진조서요약-유로넥스트(03)(LHY)_유로넥스트(03)(LHY)_유로넥스트(03)(LHY)_한국유업-03(LHY)_매직산업(03기말-LHY)_99Group center-04중간업데이트기말-LHY 3" xfId="1405"/>
    <cellStyle name="-_안진조서요약-유로넥스트(03)(LHY)_유로넥스트(03)(LHY)_유로넥스트(03)(LHY)_한국유업-03(LHY)_매직산업(03기말-LHY)_99Group center-04중간업데이트기말-LHY 4" xfId="1406"/>
    <cellStyle name="-_안진조서요약-유로넥스트(03)(LHY)_유로넥스트(03)(LHY)_유로넥스트(03)(LHY)_한국유업-03(LHY)_매직산업(03기말-LHY)_99Group center-ARP04기말-LHY" xfId="1407"/>
    <cellStyle name="-_안진조서요약-유로넥스트(03)(LHY)_유로넥스트(03)(LHY)_유로넥스트(03)(LHY)_한국유업-03(LHY)_매직산업(03기말-LHY)_99Group center-ARP04기말-LHY 2" xfId="1408"/>
    <cellStyle name="-_안진조서요약-유로넥스트(03)(LHY)_유로넥스트(03)(LHY)_유로넥스트(03)(LHY)_한국유업-03(LHY)_매직산업(03기말-LHY)_99Group center-ARP04기말-LHY 3" xfId="1409"/>
    <cellStyle name="-_안진조서요약-유로넥스트(03)(LHY)_유로넥스트(03)(LHY)_유로넥스트(03)(LHY)_한국유업-03(LHY)_매직산업(03기말-LHY)_99Group center-ARP04기말-LHY 4" xfId="1410"/>
    <cellStyle name="-_안진조서요약-유로넥스트(03)(LHY)_유로넥스트(03)(LHY)_유엔젤반기(04-LHY)" xfId="1411"/>
    <cellStyle name="-_안진조서요약-유로넥스트(03)(LHY)_유로넥스트(03)(LHY)_유엔젤반기(04-LHY) 2" xfId="1412"/>
    <cellStyle name="-_안진조서요약-유로넥스트(03)(LHY)_유로넥스트(03)(LHY)_유엔젤반기(04-LHY) 3" xfId="1413"/>
    <cellStyle name="-_안진조서요약-유로넥스트(03)(LHY)_유로넥스트(03)(LHY)_유엔젤반기(04-LHY) 4" xfId="1414"/>
    <cellStyle name="-_안진조서요약-유로넥스트(03)(LHY)_유로넥스트(03)(LHY)_유엔젤반기(04-LHY)_99Group center-04기말-LHY" xfId="1415"/>
    <cellStyle name="-_안진조서요약-유로넥스트(03)(LHY)_유로넥스트(03)(LHY)_유엔젤반기(04-LHY)_99Group center-04기말-LHY 2" xfId="1416"/>
    <cellStyle name="-_안진조서요약-유로넥스트(03)(LHY)_유로넥스트(03)(LHY)_유엔젤반기(04-LHY)_99Group center-04기말-LHY 3" xfId="1417"/>
    <cellStyle name="-_안진조서요약-유로넥스트(03)(LHY)_유로넥스트(03)(LHY)_유엔젤반기(04-LHY)_99Group center-04기말-LHY 4" xfId="1418"/>
    <cellStyle name="-_안진조서요약-유로넥스트(03)(LHY)_유로넥스트(03)(LHY)_유엔젤반기(04-LHY)_99Group center-04중간업데이트기말-LHY" xfId="1419"/>
    <cellStyle name="-_안진조서요약-유로넥스트(03)(LHY)_유로넥스트(03)(LHY)_유엔젤반기(04-LHY)_99Group center-04중간업데이트기말-LHY 2" xfId="1420"/>
    <cellStyle name="-_안진조서요약-유로넥스트(03)(LHY)_유로넥스트(03)(LHY)_유엔젤반기(04-LHY)_99Group center-04중간업데이트기말-LHY 3" xfId="1421"/>
    <cellStyle name="-_안진조서요약-유로넥스트(03)(LHY)_유로넥스트(03)(LHY)_유엔젤반기(04-LHY)_99Group center-04중간업데이트기말-LHY 4" xfId="1422"/>
    <cellStyle name="-_안진조서요약-유로넥스트(03)(LHY)_유로넥스트(03)(LHY)_유엔젤반기(04-LHY)_99Group center-ARP04기말-LHY" xfId="1423"/>
    <cellStyle name="-_안진조서요약-유로넥스트(03)(LHY)_유로넥스트(03)(LHY)_유엔젤반기(04-LHY)_99Group center-ARP04기말-LHY 2" xfId="1424"/>
    <cellStyle name="-_안진조서요약-유로넥스트(03)(LHY)_유로넥스트(03)(LHY)_유엔젤반기(04-LHY)_99Group center-ARP04기말-LHY 3" xfId="1425"/>
    <cellStyle name="-_안진조서요약-유로넥스트(03)(LHY)_유로넥스트(03)(LHY)_유엔젤반기(04-LHY)_99Group center-ARP04기말-LHY 4" xfId="1426"/>
    <cellStyle name="-_안진조서요약-유로넥스트(03)(LHY)_유로넥스트(03)(LHY)_투자유가증권 주석(진짜)03-LHY" xfId="1427"/>
    <cellStyle name="-_안진조서요약-유로넥스트(03)(LHY)_유로넥스트(03)(LHY)_투자유가증권 주석(진짜)03-LHY 2" xfId="1428"/>
    <cellStyle name="-_안진조서요약-유로넥스트(03)(LHY)_유로넥스트(03)(LHY)_투자유가증권 주석(진짜)03-LHY 3" xfId="1429"/>
    <cellStyle name="-_안진조서요약-유로넥스트(03)(LHY)_유로넥스트(03)(LHY)_투자유가증권 주석(진짜)03-LHY 4" xfId="1430"/>
    <cellStyle name="-_안진조서요약-유로넥스트(03)(LHY)_유로넥스트(03)(LHY)_투자유가증권 주석(진짜)03-LHY_99Group center-04기말-LHY" xfId="1431"/>
    <cellStyle name="-_안진조서요약-유로넥스트(03)(LHY)_유로넥스트(03)(LHY)_투자유가증권 주석(진짜)03-LHY_99Group center-04기말-LHY 2" xfId="1432"/>
    <cellStyle name="-_안진조서요약-유로넥스트(03)(LHY)_유로넥스트(03)(LHY)_투자유가증권 주석(진짜)03-LHY_99Group center-04기말-LHY 3" xfId="1433"/>
    <cellStyle name="-_안진조서요약-유로넥스트(03)(LHY)_유로넥스트(03)(LHY)_투자유가증권 주석(진짜)03-LHY_99Group center-04기말-LHY 4" xfId="1434"/>
    <cellStyle name="-_안진조서요약-유로넥스트(03)(LHY)_유로넥스트(03)(LHY)_투자유가증권 주석(진짜)03-LHY_99Group center-04중간업데이트기말-LHY" xfId="1435"/>
    <cellStyle name="-_안진조서요약-유로넥스트(03)(LHY)_유로넥스트(03)(LHY)_투자유가증권 주석(진짜)03-LHY_99Group center-04중간업데이트기말-LHY 2" xfId="1436"/>
    <cellStyle name="-_안진조서요약-유로넥스트(03)(LHY)_유로넥스트(03)(LHY)_투자유가증권 주석(진짜)03-LHY_99Group center-04중간업데이트기말-LHY 3" xfId="1437"/>
    <cellStyle name="-_안진조서요약-유로넥스트(03)(LHY)_유로넥스트(03)(LHY)_투자유가증권 주석(진짜)03-LHY_99Group center-04중간업데이트기말-LHY 4" xfId="1438"/>
    <cellStyle name="-_안진조서요약-유로넥스트(03)(LHY)_유로넥스트(03)(LHY)_투자유가증권 주석(진짜)03-LHY_99Group center-ARP04기말-LHY" xfId="1439"/>
    <cellStyle name="-_안진조서요약-유로넥스트(03)(LHY)_유로넥스트(03)(LHY)_투자유가증권 주석(진짜)03-LHY_99Group center-ARP04기말-LHY 2" xfId="1440"/>
    <cellStyle name="-_안진조서요약-유로넥스트(03)(LHY)_유로넥스트(03)(LHY)_투자유가증권 주석(진짜)03-LHY_99Group center-ARP04기말-LHY 3" xfId="1441"/>
    <cellStyle name="-_안진조서요약-유로넥스트(03)(LHY)_유로넥스트(03)(LHY)_투자유가증권 주석(진짜)03-LHY_99Group center-ARP04기말-LHY 4" xfId="1442"/>
    <cellStyle name="-_안진조서요약-유로넥스트(03)(LHY)_유로넥스트(03)(LHY)_투자유가증권양식" xfId="1443"/>
    <cellStyle name="-_안진조서요약-유로넥스트(03)(LHY)_유로넥스트(03)(LHY)_투자유가증권양식 2" xfId="1444"/>
    <cellStyle name="-_안진조서요약-유로넥스트(03)(LHY)_유로넥스트(03)(LHY)_투자유가증권양식 3" xfId="1445"/>
    <cellStyle name="-_안진조서요약-유로넥스트(03)(LHY)_유로넥스트(03)(LHY)_투자유가증권양식 4" xfId="1446"/>
    <cellStyle name="-_안진조서요약-유로넥스트(03)(LHY)_유로넥스트(03)(LHY)_투자유가증권양식_99Group center-04기말-LHY" xfId="1447"/>
    <cellStyle name="-_안진조서요약-유로넥스트(03)(LHY)_유로넥스트(03)(LHY)_투자유가증권양식_99Group center-04기말-LHY 2" xfId="1448"/>
    <cellStyle name="-_안진조서요약-유로넥스트(03)(LHY)_유로넥스트(03)(LHY)_투자유가증권양식_99Group center-04기말-LHY 3" xfId="1449"/>
    <cellStyle name="-_안진조서요약-유로넥스트(03)(LHY)_유로넥스트(03)(LHY)_투자유가증권양식_99Group center-04기말-LHY 4" xfId="1450"/>
    <cellStyle name="-_안진조서요약-유로넥스트(03)(LHY)_유로넥스트(03)(LHY)_투자유가증권양식_99Group center-04중간업데이트기말-LHY" xfId="1451"/>
    <cellStyle name="-_안진조서요약-유로넥스트(03)(LHY)_유로넥스트(03)(LHY)_투자유가증권양식_99Group center-04중간업데이트기말-LHY 2" xfId="1452"/>
    <cellStyle name="-_안진조서요약-유로넥스트(03)(LHY)_유로넥스트(03)(LHY)_투자유가증권양식_99Group center-04중간업데이트기말-LHY 3" xfId="1453"/>
    <cellStyle name="-_안진조서요약-유로넥스트(03)(LHY)_유로넥스트(03)(LHY)_투자유가증권양식_99Group center-04중간업데이트기말-LHY 4" xfId="1454"/>
    <cellStyle name="-_안진조서요약-유로넥스트(03)(LHY)_유로넥스트(03)(LHY)_투자유가증권양식_99Group center-ARP04기말-LHY" xfId="1455"/>
    <cellStyle name="-_안진조서요약-유로넥스트(03)(LHY)_유로넥스트(03)(LHY)_투자유가증권양식_99Group center-ARP04기말-LHY 2" xfId="1456"/>
    <cellStyle name="-_안진조서요약-유로넥스트(03)(LHY)_유로넥스트(03)(LHY)_투자유가증권양식_99Group center-ARP04기말-LHY 3" xfId="1457"/>
    <cellStyle name="-_안진조서요약-유로넥스트(03)(LHY)_유로넥스트(03)(LHY)_투자유가증권양식_99Group center-ARP04기말-LHY 4" xfId="1458"/>
    <cellStyle name="-_안진조서요약-유로넥스트(03)(LHY)_유로넥스트(03)(LHY)_풀무원스프라우트-04반기-LHY" xfId="1459"/>
    <cellStyle name="-_안진조서요약-유로넥스트(03)(LHY)_유로넥스트(03)(LHY)_풀무원스프라우트-04반기-LHY 2" xfId="1460"/>
    <cellStyle name="-_안진조서요약-유로넥스트(03)(LHY)_유로넥스트(03)(LHY)_풀무원스프라우트-04반기-LHY 3" xfId="1461"/>
    <cellStyle name="-_안진조서요약-유로넥스트(03)(LHY)_유로넥스트(03)(LHY)_풀무원스프라우트-04반기-LHY 4" xfId="1462"/>
    <cellStyle name="-_안진조서요약-유로넥스트(03)(LHY)_유로넥스트(03)(LHY)_풀무원스프라우트-04반기-LHY_99Group center-04기말-LHY" xfId="1463"/>
    <cellStyle name="-_안진조서요약-유로넥스트(03)(LHY)_유로넥스트(03)(LHY)_풀무원스프라우트-04반기-LHY_99Group center-04기말-LHY 2" xfId="1464"/>
    <cellStyle name="-_안진조서요약-유로넥스트(03)(LHY)_유로넥스트(03)(LHY)_풀무원스프라우트-04반기-LHY_99Group center-04기말-LHY 3" xfId="1465"/>
    <cellStyle name="-_안진조서요약-유로넥스트(03)(LHY)_유로넥스트(03)(LHY)_풀무원스프라우트-04반기-LHY_99Group center-04기말-LHY 4" xfId="1466"/>
    <cellStyle name="-_안진조서요약-유로넥스트(03)(LHY)_유로넥스트(03)(LHY)_풀무원스프라우트-04반기-LHY_99Group center-04중간업데이트기말-LHY" xfId="1467"/>
    <cellStyle name="-_안진조서요약-유로넥스트(03)(LHY)_유로넥스트(03)(LHY)_풀무원스프라우트-04반기-LHY_99Group center-04중간업데이트기말-LHY 2" xfId="1468"/>
    <cellStyle name="-_안진조서요약-유로넥스트(03)(LHY)_유로넥스트(03)(LHY)_풀무원스프라우트-04반기-LHY_99Group center-04중간업데이트기말-LHY 3" xfId="1469"/>
    <cellStyle name="-_안진조서요약-유로넥스트(03)(LHY)_유로넥스트(03)(LHY)_풀무원스프라우트-04반기-LHY_99Group center-04중간업데이트기말-LHY 4" xfId="1470"/>
    <cellStyle name="-_안진조서요약-유로넥스트(03)(LHY)_유로넥스트(03)(LHY)_풀무원스프라우트-04반기-LHY_99Group center-ARP04기말-LHY" xfId="1471"/>
    <cellStyle name="-_안진조서요약-유로넥스트(03)(LHY)_유로넥스트(03)(LHY)_풀무원스프라우트-04반기-LHY_99Group center-ARP04기말-LHY 2" xfId="1472"/>
    <cellStyle name="-_안진조서요약-유로넥스트(03)(LHY)_유로넥스트(03)(LHY)_풀무원스프라우트-04반기-LHY_99Group center-ARP04기말-LHY 3" xfId="1473"/>
    <cellStyle name="-_안진조서요약-유로넥스트(03)(LHY)_유로넥스트(03)(LHY)_풀무원스프라우트-04반기-LHY_99Group center-ARP04기말-LHY 4" xfId="1474"/>
    <cellStyle name="-_안진조서요약-유로넥스트(03)(LHY)_유로넥스트(03)(LHY)_한국유업-03(LHY)" xfId="1475"/>
    <cellStyle name="-_안진조서요약-유로넥스트(03)(LHY)_유로넥스트(03)(LHY)_한국유업-03(LHY) 2" xfId="1476"/>
    <cellStyle name="-_안진조서요약-유로넥스트(03)(LHY)_유로넥스트(03)(LHY)_한국유업-03(LHY) 3" xfId="1477"/>
    <cellStyle name="-_안진조서요약-유로넥스트(03)(LHY)_유로넥스트(03)(LHY)_한국유업-03(LHY) 4" xfId="1478"/>
    <cellStyle name="-_안진조서요약-유로넥스트(03)(LHY)_유로넥스트(03)(LHY)_한국유업-03(LHY)_99Group center-04기말-LHY" xfId="1479"/>
    <cellStyle name="-_안진조서요약-유로넥스트(03)(LHY)_유로넥스트(03)(LHY)_한국유업-03(LHY)_99Group center-04기말-LHY 2" xfId="1480"/>
    <cellStyle name="-_안진조서요약-유로넥스트(03)(LHY)_유로넥스트(03)(LHY)_한국유업-03(LHY)_99Group center-04기말-LHY 3" xfId="1481"/>
    <cellStyle name="-_안진조서요약-유로넥스트(03)(LHY)_유로넥스트(03)(LHY)_한국유업-03(LHY)_99Group center-04기말-LHY 4" xfId="1482"/>
    <cellStyle name="-_안진조서요약-유로넥스트(03)(LHY)_유로넥스트(03)(LHY)_한국유업-03(LHY)_99Group center-04중간업데이트기말-LHY" xfId="1483"/>
    <cellStyle name="-_안진조서요약-유로넥스트(03)(LHY)_유로넥스트(03)(LHY)_한국유업-03(LHY)_99Group center-04중간업데이트기말-LHY 2" xfId="1484"/>
    <cellStyle name="-_안진조서요약-유로넥스트(03)(LHY)_유로넥스트(03)(LHY)_한국유업-03(LHY)_99Group center-04중간업데이트기말-LHY 3" xfId="1485"/>
    <cellStyle name="-_안진조서요약-유로넥스트(03)(LHY)_유로넥스트(03)(LHY)_한국유업-03(LHY)_99Group center-04중간업데이트기말-LHY 4" xfId="1486"/>
    <cellStyle name="-_안진조서요약-유로넥스트(03)(LHY)_유로넥스트(03)(LHY)_한국유업-03(LHY)_99Group center-ARP04기말-LHY" xfId="1487"/>
    <cellStyle name="-_안진조서요약-유로넥스트(03)(LHY)_유로넥스트(03)(LHY)_한국유업-03(LHY)_99Group center-ARP04기말-LHY 2" xfId="1488"/>
    <cellStyle name="-_안진조서요약-유로넥스트(03)(LHY)_유로넥스트(03)(LHY)_한국유업-03(LHY)_99Group center-ARP04기말-LHY 3" xfId="1489"/>
    <cellStyle name="-_안진조서요약-유로넥스트(03)(LHY)_유로넥스트(03)(LHY)_한국유업-03(LHY)_99Group center-ARP04기말-LHY 4" xfId="1490"/>
    <cellStyle name="-_안진조서요약-유로넥스트(03)(LHY)_유로넥스트(03)(LHY)_한국유업-03(LHY)_매직산업(03기말-LHY)" xfId="1491"/>
    <cellStyle name="-_안진조서요약-유로넥스트(03)(LHY)_유로넥스트(03)(LHY)_한국유업-03(LHY)_매직산업(03기말-LHY) 2" xfId="1492"/>
    <cellStyle name="-_안진조서요약-유로넥스트(03)(LHY)_유로넥스트(03)(LHY)_한국유업-03(LHY)_매직산업(03기말-LHY) 3" xfId="1493"/>
    <cellStyle name="-_안진조서요약-유로넥스트(03)(LHY)_유로넥스트(03)(LHY)_한국유업-03(LHY)_매직산업(03기말-LHY) 4" xfId="1494"/>
    <cellStyle name="-_안진조서요약-유로넥스트(03)(LHY)_유로넥스트(03)(LHY)_한국유업-03(LHY)_매직산업(03기말-LHY)_99Group center-04기말-LHY" xfId="1495"/>
    <cellStyle name="-_안진조서요약-유로넥스트(03)(LHY)_유로넥스트(03)(LHY)_한국유업-03(LHY)_매직산업(03기말-LHY)_99Group center-04기말-LHY 2" xfId="1496"/>
    <cellStyle name="-_안진조서요약-유로넥스트(03)(LHY)_유로넥스트(03)(LHY)_한국유업-03(LHY)_매직산업(03기말-LHY)_99Group center-04기말-LHY 3" xfId="1497"/>
    <cellStyle name="-_안진조서요약-유로넥스트(03)(LHY)_유로넥스트(03)(LHY)_한국유업-03(LHY)_매직산업(03기말-LHY)_99Group center-04기말-LHY 4" xfId="1498"/>
    <cellStyle name="-_안진조서요약-유로넥스트(03)(LHY)_유로넥스트(03)(LHY)_한국유업-03(LHY)_매직산업(03기말-LHY)_99Group center-04중간업데이트기말-LHY" xfId="1499"/>
    <cellStyle name="-_안진조서요약-유로넥스트(03)(LHY)_유로넥스트(03)(LHY)_한국유업-03(LHY)_매직산업(03기말-LHY)_99Group center-04중간업데이트기말-LHY 2" xfId="1500"/>
    <cellStyle name="-_안진조서요약-유로넥스트(03)(LHY)_유로넥스트(03)(LHY)_한국유업-03(LHY)_매직산업(03기말-LHY)_99Group center-04중간업데이트기말-LHY 3" xfId="1501"/>
    <cellStyle name="-_안진조서요약-유로넥스트(03)(LHY)_유로넥스트(03)(LHY)_한국유업-03(LHY)_매직산업(03기말-LHY)_99Group center-04중간업데이트기말-LHY 4" xfId="1502"/>
    <cellStyle name="-_안진조서요약-유로넥스트(03)(LHY)_유로넥스트(03)(LHY)_한국유업-03(LHY)_매직산업(03기말-LHY)_99Group center-ARP04기말-LHY" xfId="1503"/>
    <cellStyle name="-_안진조서요약-유로넥스트(03)(LHY)_유로넥스트(03)(LHY)_한국유업-03(LHY)_매직산업(03기말-LHY)_99Group center-ARP04기말-LHY 2" xfId="1504"/>
    <cellStyle name="-_안진조서요약-유로넥스트(03)(LHY)_유로넥스트(03)(LHY)_한국유업-03(LHY)_매직산업(03기말-LHY)_99Group center-ARP04기말-LHY 3" xfId="1505"/>
    <cellStyle name="-_안진조서요약-유로넥스트(03)(LHY)_유로넥스트(03)(LHY)_한국유업-03(LHY)_매직산업(03기말-LHY)_99Group center-ARP04기말-LHY 4" xfId="1506"/>
    <cellStyle name="-_안진조서요약-유로넥스트(03)(LHY)_유엔젤반기(04-LHY)" xfId="1507"/>
    <cellStyle name="-_안진조서요약-유로넥스트(03)(LHY)_유엔젤반기(04-LHY) 2" xfId="1508"/>
    <cellStyle name="-_안진조서요약-유로넥스트(03)(LHY)_유엔젤반기(04-LHY) 3" xfId="1509"/>
    <cellStyle name="-_안진조서요약-유로넥스트(03)(LHY)_유엔젤반기(04-LHY) 4" xfId="1510"/>
    <cellStyle name="-_안진조서요약-유로넥스트(03)(LHY)_유엔젤반기(04-LHY)_99Group center-04기말-LHY" xfId="1511"/>
    <cellStyle name="-_안진조서요약-유로넥스트(03)(LHY)_유엔젤반기(04-LHY)_99Group center-04기말-LHY 2" xfId="1512"/>
    <cellStyle name="-_안진조서요약-유로넥스트(03)(LHY)_유엔젤반기(04-LHY)_99Group center-04기말-LHY 3" xfId="1513"/>
    <cellStyle name="-_안진조서요약-유로넥스트(03)(LHY)_유엔젤반기(04-LHY)_99Group center-04기말-LHY 4" xfId="1514"/>
    <cellStyle name="-_안진조서요약-유로넥스트(03)(LHY)_유엔젤반기(04-LHY)_99Group center-04중간업데이트기말-LHY" xfId="1515"/>
    <cellStyle name="-_안진조서요약-유로넥스트(03)(LHY)_유엔젤반기(04-LHY)_99Group center-04중간업데이트기말-LHY 2" xfId="1516"/>
    <cellStyle name="-_안진조서요약-유로넥스트(03)(LHY)_유엔젤반기(04-LHY)_99Group center-04중간업데이트기말-LHY 3" xfId="1517"/>
    <cellStyle name="-_안진조서요약-유로넥스트(03)(LHY)_유엔젤반기(04-LHY)_99Group center-04중간업데이트기말-LHY 4" xfId="1518"/>
    <cellStyle name="-_안진조서요약-유로넥스트(03)(LHY)_유엔젤반기(04-LHY)_99Group center-ARP04기말-LHY" xfId="1519"/>
    <cellStyle name="-_안진조서요약-유로넥스트(03)(LHY)_유엔젤반기(04-LHY)_99Group center-ARP04기말-LHY 2" xfId="1520"/>
    <cellStyle name="-_안진조서요약-유로넥스트(03)(LHY)_유엔젤반기(04-LHY)_99Group center-ARP04기말-LHY 3" xfId="1521"/>
    <cellStyle name="-_안진조서요약-유로넥스트(03)(LHY)_유엔젤반기(04-LHY)_99Group center-ARP04기말-LHY 4" xfId="1522"/>
    <cellStyle name="-_안진조서요약-유로넥스트(03)(LHY)_투자유가증권 주석(진짜)03-LHY" xfId="1523"/>
    <cellStyle name="-_안진조서요약-유로넥스트(03)(LHY)_투자유가증권 주석(진짜)03-LHY 2" xfId="1524"/>
    <cellStyle name="-_안진조서요약-유로넥스트(03)(LHY)_투자유가증권 주석(진짜)03-LHY 3" xfId="1525"/>
    <cellStyle name="-_안진조서요약-유로넥스트(03)(LHY)_투자유가증권 주석(진짜)03-LHY 4" xfId="1526"/>
    <cellStyle name="-_안진조서요약-유로넥스트(03)(LHY)_투자유가증권 주석(진짜)03-LHY_99Group center-04기말-LHY" xfId="1527"/>
    <cellStyle name="-_안진조서요약-유로넥스트(03)(LHY)_투자유가증권 주석(진짜)03-LHY_99Group center-04기말-LHY 2" xfId="1528"/>
    <cellStyle name="-_안진조서요약-유로넥스트(03)(LHY)_투자유가증권 주석(진짜)03-LHY_99Group center-04기말-LHY 3" xfId="1529"/>
    <cellStyle name="-_안진조서요약-유로넥스트(03)(LHY)_투자유가증권 주석(진짜)03-LHY_99Group center-04기말-LHY 4" xfId="1530"/>
    <cellStyle name="-_안진조서요약-유로넥스트(03)(LHY)_투자유가증권 주석(진짜)03-LHY_99Group center-04중간업데이트기말-LHY" xfId="1531"/>
    <cellStyle name="-_안진조서요약-유로넥스트(03)(LHY)_투자유가증권 주석(진짜)03-LHY_99Group center-04중간업데이트기말-LHY 2" xfId="1532"/>
    <cellStyle name="-_안진조서요약-유로넥스트(03)(LHY)_투자유가증권 주석(진짜)03-LHY_99Group center-04중간업데이트기말-LHY 3" xfId="1533"/>
    <cellStyle name="-_안진조서요약-유로넥스트(03)(LHY)_투자유가증권 주석(진짜)03-LHY_99Group center-04중간업데이트기말-LHY 4" xfId="1534"/>
    <cellStyle name="-_안진조서요약-유로넥스트(03)(LHY)_투자유가증권 주석(진짜)03-LHY_99Group center-ARP04기말-LHY" xfId="1535"/>
    <cellStyle name="-_안진조서요약-유로넥스트(03)(LHY)_투자유가증권 주석(진짜)03-LHY_99Group center-ARP04기말-LHY 2" xfId="1536"/>
    <cellStyle name="-_안진조서요약-유로넥스트(03)(LHY)_투자유가증권 주석(진짜)03-LHY_99Group center-ARP04기말-LHY 3" xfId="1537"/>
    <cellStyle name="-_안진조서요약-유로넥스트(03)(LHY)_투자유가증권 주석(진짜)03-LHY_99Group center-ARP04기말-LHY 4" xfId="1538"/>
    <cellStyle name="-_안진조서요약-유로넥스트(03)(LHY)_투자유가증권양식" xfId="1539"/>
    <cellStyle name="-_안진조서요약-유로넥스트(03)(LHY)_투자유가증권양식 2" xfId="1540"/>
    <cellStyle name="-_안진조서요약-유로넥스트(03)(LHY)_투자유가증권양식 3" xfId="1541"/>
    <cellStyle name="-_안진조서요약-유로넥스트(03)(LHY)_투자유가증권양식 4" xfId="1542"/>
    <cellStyle name="-_안진조서요약-유로넥스트(03)(LHY)_투자유가증권양식_99Group center-04기말-LHY" xfId="1543"/>
    <cellStyle name="-_안진조서요약-유로넥스트(03)(LHY)_투자유가증권양식_99Group center-04기말-LHY 2" xfId="1544"/>
    <cellStyle name="-_안진조서요약-유로넥스트(03)(LHY)_투자유가증권양식_99Group center-04기말-LHY 3" xfId="1545"/>
    <cellStyle name="-_안진조서요약-유로넥스트(03)(LHY)_투자유가증권양식_99Group center-04기말-LHY 4" xfId="1546"/>
    <cellStyle name="-_안진조서요약-유로넥스트(03)(LHY)_투자유가증권양식_99Group center-04중간업데이트기말-LHY" xfId="1547"/>
    <cellStyle name="-_안진조서요약-유로넥스트(03)(LHY)_투자유가증권양식_99Group center-04중간업데이트기말-LHY 2" xfId="1548"/>
    <cellStyle name="-_안진조서요약-유로넥스트(03)(LHY)_투자유가증권양식_99Group center-04중간업데이트기말-LHY 3" xfId="1549"/>
    <cellStyle name="-_안진조서요약-유로넥스트(03)(LHY)_투자유가증권양식_99Group center-04중간업데이트기말-LHY 4" xfId="1550"/>
    <cellStyle name="-_안진조서요약-유로넥스트(03)(LHY)_투자유가증권양식_99Group center-ARP04기말-LHY" xfId="1551"/>
    <cellStyle name="-_안진조서요약-유로넥스트(03)(LHY)_투자유가증권양식_99Group center-ARP04기말-LHY 2" xfId="1552"/>
    <cellStyle name="-_안진조서요약-유로넥스트(03)(LHY)_투자유가증권양식_99Group center-ARP04기말-LHY 3" xfId="1553"/>
    <cellStyle name="-_안진조서요약-유로넥스트(03)(LHY)_투자유가증권양식_99Group center-ARP04기말-LHY 4" xfId="1554"/>
    <cellStyle name="-_안진조서요약-유로넥스트(03)(LHY)_풀무원스프라우트-04반기-LHY" xfId="1555"/>
    <cellStyle name="-_안진조서요약-유로넥스트(03)(LHY)_풀무원스프라우트-04반기-LHY 2" xfId="0"/>
    <cellStyle name="-_안진조서요약-유로넥스트(03)(LHY)_풀무원스프라우트-04반기-LHY 3" xfId="0"/>
    <cellStyle name="-_안진조서요약-유로넥스트(03)(LHY)_풀무원스프라우트-04반기-LHY 4" xfId="0"/>
    <cellStyle name="-_안진조서요약-유로넥스트(03)(LHY)_풀무원스프라우트-04반기-LHY_99Group center-04기말-LHY" xfId="0"/>
    <cellStyle name="-_안진조서요약-유로넥스트(03)(LHY)_풀무원스프라우트-04반기-LHY_99Group center-04기말-LHY 2" xfId="0"/>
    <cellStyle name="-_안진조서요약-유로넥스트(03)(LHY)_풀무원스프라우트-04반기-LHY_99Group center-04기말-LHY 3" xfId="0"/>
    <cellStyle name="-_안진조서요약-유로넥스트(03)(LHY)_풀무원스프라우트-04반기-LHY_99Group center-04기말-LHY 4" xfId="0"/>
    <cellStyle name="-_안진조서요약-유로넥스트(03)(LHY)_풀무원스프라우트-04반기-LHY_99Group center-04중간업데이트기말-LHY" xfId="0"/>
    <cellStyle name="-_안진조서요약-유로넥스트(03)(LHY)_풀무원스프라우트-04반기-LHY_99Group center-04중간업데이트기말-LHY 2" xfId="0"/>
    <cellStyle name="-_안진조서요약-유로넥스트(03)(LHY)_풀무원스프라우트-04반기-LHY_99Group center-04중간업데이트기말-LHY 3" xfId="0"/>
    <cellStyle name="-_안진조서요약-유로넥스트(03)(LHY)_풀무원스프라우트-04반기-LHY_99Group center-04중간업데이트기말-LHY 4" xfId="0"/>
    <cellStyle name="-_안진조서요약-유로넥스트(03)(LHY)_풀무원스프라우트-04반기-LHY_99Group center-ARP04기말-LHY" xfId="0"/>
    <cellStyle name="-_안진조서요약-유로넥스트(03)(LHY)_풀무원스프라우트-04반기-LHY_99Group center-ARP04기말-LHY 2" xfId="0"/>
    <cellStyle name="-_안진조서요약-유로넥스트(03)(LHY)_풀무원스프라우트-04반기-LHY_99Group center-ARP04기말-LHY 3" xfId="0"/>
    <cellStyle name="-_안진조서요약-유로넥스트(03)(LHY)_풀무원스프라우트-04반기-LHY_99Group center-ARP04기말-LHY 4" xfId="0"/>
    <cellStyle name="-_안진조서요약-유로넥스트(03)(LHY)_한국유업-03(LHY)" xfId="0"/>
    <cellStyle name="-_안진조서요약-유로넥스트(03)(LHY)_한국유업-03(LHY) 2" xfId="0"/>
    <cellStyle name="-_안진조서요약-유로넥스트(03)(LHY)_한국유업-03(LHY) 3" xfId="0"/>
    <cellStyle name="-_안진조서요약-유로넥스트(03)(LHY)_한국유업-03(LHY) 4" xfId="0"/>
    <cellStyle name="-_안진조서요약-유로넥스트(03)(LHY)_한국유업-03(LHY)_99Group center-04기말-LHY" xfId="0"/>
    <cellStyle name="-_안진조서요약-유로넥스트(03)(LHY)_한국유업-03(LHY)_99Group center-04기말-LHY 2" xfId="0"/>
    <cellStyle name="-_안진조서요약-유로넥스트(03)(LHY)_한국유업-03(LHY)_99Group center-04기말-LHY 3" xfId="0"/>
    <cellStyle name="-_안진조서요약-유로넥스트(03)(LHY)_한국유업-03(LHY)_99Group center-04기말-LHY 4" xfId="0"/>
    <cellStyle name="-_안진조서요약-유로넥스트(03)(LHY)_한국유업-03(LHY)_99Group center-04중간업데이트기말-LHY" xfId="0"/>
    <cellStyle name="-_안진조서요약-유로넥스트(03)(LHY)_한국유업-03(LHY)_99Group center-04중간업데이트기말-LHY 2" xfId="0"/>
    <cellStyle name="-_안진조서요약-유로넥스트(03)(LHY)_한국유업-03(LHY)_99Group center-04중간업데이트기말-LHY 3" xfId="0"/>
    <cellStyle name="-_안진조서요약-유로넥스트(03)(LHY)_한국유업-03(LHY)_99Group center-04중간업데이트기말-LHY 4" xfId="0"/>
    <cellStyle name="-_안진조서요약-유로넥스트(03)(LHY)_한국유업-03(LHY)_99Group center-ARP04기말-LHY" xfId="0"/>
    <cellStyle name="-_안진조서요약-유로넥스트(03)(LHY)_한국유업-03(LHY)_99Group center-ARP04기말-LHY 2" xfId="0"/>
    <cellStyle name="-_안진조서요약-유로넥스트(03)(LHY)_한국유업-03(LHY)_99Group center-ARP04기말-LHY 3" xfId="0"/>
    <cellStyle name="-_안진조서요약-유로넥스트(03)(LHY)_한국유업-03(LHY)_99Group center-ARP04기말-LHY 4" xfId="0"/>
    <cellStyle name="-_안진조서요약-유로넥스트(03)(LHY)_한국유업-03(LHY)_매직산업(03기말-LHY)" xfId="0"/>
    <cellStyle name="-_안진조서요약-유로넥스트(03)(LHY)_한국유업-03(LHY)_매직산업(03기말-LHY) 2" xfId="0"/>
    <cellStyle name="-_안진조서요약-유로넥스트(03)(LHY)_한국유업-03(LHY)_매직산업(03기말-LHY) 3" xfId="0"/>
    <cellStyle name="-_안진조서요약-유로넥스트(03)(LHY)_한국유업-03(LHY)_매직산업(03기말-LHY) 4" xfId="0"/>
    <cellStyle name="-_안진조서요약-유로넥스트(03)(LHY)_한국유업-03(LHY)_매직산업(03기말-LHY)_99Group center-04기말-LHY" xfId="0"/>
    <cellStyle name="-_안진조서요약-유로넥스트(03)(LHY)_한국유업-03(LHY)_매직산업(03기말-LHY)_99Group center-04기말-LHY 2" xfId="0"/>
    <cellStyle name="-_안진조서요약-유로넥스트(03)(LHY)_한국유업-03(LHY)_매직산업(03기말-LHY)_99Group center-04기말-LHY 3" xfId="0"/>
    <cellStyle name="-_안진조서요약-유로넥스트(03)(LHY)_한국유업-03(LHY)_매직산업(03기말-LHY)_99Group center-04기말-LHY 4" xfId="0"/>
    <cellStyle name="-_안진조서요약-유로넥스트(03)(LHY)_한국유업-03(LHY)_매직산업(03기말-LHY)_99Group center-04중간업데이트기말-LHY" xfId="0"/>
    <cellStyle name="-_안진조서요약-유로넥스트(03)(LHY)_한국유업-03(LHY)_매직산업(03기말-LHY)_99Group center-04중간업데이트기말-LHY 2" xfId="0"/>
    <cellStyle name="-_안진조서요약-유로넥스트(03)(LHY)_한국유업-03(LHY)_매직산업(03기말-LHY)_99Group center-04중간업데이트기말-LHY 3" xfId="0"/>
    <cellStyle name="-_안진조서요약-유로넥스트(03)(LHY)_한국유업-03(LHY)_매직산업(03기말-LHY)_99Group center-04중간업데이트기말-LHY 4" xfId="0"/>
    <cellStyle name="-_안진조서요약-유로넥스트(03)(LHY)_한국유업-03(LHY)_매직산업(03기말-LHY)_99Group center-ARP04기말-LHY" xfId="0"/>
    <cellStyle name="-_안진조서요약-유로넥스트(03)(LHY)_한국유업-03(LHY)_매직산업(03기말-LHY)_99Group center-ARP04기말-LHY 2" xfId="0"/>
    <cellStyle name="-_안진조서요약-유로넥스트(03)(LHY)_한국유업-03(LHY)_매직산업(03기말-LHY)_99Group center-ARP04기말-LHY 3" xfId="0"/>
    <cellStyle name="-_안진조서요약-유로넥스트(03)(LHY)_한국유업-03(LHY)_매직산업(03기말-LHY)_99Group center-ARP04기말-LHY 4" xfId="0"/>
    <cellStyle name="-_에임시스템(WTB-05_반기조서_SIB)" xfId="0"/>
    <cellStyle name="-_엠비즈-03-기말(LHY)" xfId="0"/>
    <cellStyle name="-_엠비즈-03-기말(LHY) 2" xfId="0"/>
    <cellStyle name="-_엠비즈-03-기말(LHY) 3" xfId="0"/>
    <cellStyle name="-_엠비즈-03-기말(LHY) 4" xfId="0"/>
    <cellStyle name="-_엠비즈-03-기말(LHY)_99Group center-04기말-LHY" xfId="0"/>
    <cellStyle name="-_엠비즈-03-기말(LHY)_99Group center-04기말-LHY 2" xfId="0"/>
    <cellStyle name="-_엠비즈-03-기말(LHY)_99Group center-04기말-LHY 3" xfId="0"/>
    <cellStyle name="-_엠비즈-03-기말(LHY)_99Group center-04기말-LHY 4" xfId="0"/>
    <cellStyle name="-_엠비즈-03-기말(LHY)_99Group center-04중간업데이트기말-LHY" xfId="0"/>
    <cellStyle name="-_엠비즈-03-기말(LHY)_99Group center-04중간업데이트기말-LHY 2" xfId="0"/>
    <cellStyle name="-_엠비즈-03-기말(LHY)_99Group center-04중간업데이트기말-LHY 3" xfId="0"/>
    <cellStyle name="-_엠비즈-03-기말(LHY)_99Group center-04중간업데이트기말-LHY 4" xfId="0"/>
    <cellStyle name="-_엠비즈-03-기말(LHY)_99Group center-ARP04기말-LHY" xfId="0"/>
    <cellStyle name="-_엠비즈-03-기말(LHY)_99Group center-ARP04기말-LHY 2" xfId="0"/>
    <cellStyle name="-_엠비즈-03-기말(LHY)_99Group center-ARP04기말-LHY 3" xfId="0"/>
    <cellStyle name="-_엠비즈-03-기말(LHY)_99Group center-ARP04기말-LHY 4" xfId="0"/>
    <cellStyle name="-_원가율검-조정" xfId="0"/>
    <cellStyle name="-_원가율검-조정 2" xfId="0"/>
    <cellStyle name="-_원가율검-조정 3" xfId="0"/>
    <cellStyle name="-_원가율검-조정 4" xfId="0"/>
    <cellStyle name="-_원가율검-조정_99Group center-04기말-LHY" xfId="0"/>
    <cellStyle name="-_원가율검-조정_99Group center-04기말-LHY 2" xfId="0"/>
    <cellStyle name="-_원가율검-조정_99Group center-04기말-LHY 3" xfId="0"/>
    <cellStyle name="-_원가율검-조정_99Group center-04기말-LHY 4" xfId="0"/>
    <cellStyle name="-_원가율검-조정_99Group center-04중간업데이트기말-LHY" xfId="0"/>
    <cellStyle name="-_원가율검-조정_99Group center-04중간업데이트기말-LHY 2" xfId="0"/>
    <cellStyle name="-_원가율검-조정_99Group center-04중간업데이트기말-LHY 3" xfId="0"/>
    <cellStyle name="-_원가율검-조정_99Group center-04중간업데이트기말-LHY 4" xfId="0"/>
    <cellStyle name="-_원가율검-조정_99Group center-ARP04기말-LHY" xfId="0"/>
    <cellStyle name="-_원가율검-조정_99Group center-ARP04기말-LHY 2" xfId="0"/>
    <cellStyle name="-_원가율검-조정_99Group center-ARP04기말-LHY 3" xfId="0"/>
    <cellStyle name="-_원가율검-조정_99Group center-ARP04기말-LHY 4" xfId="0"/>
    <cellStyle name="-_유로넥스트(03)(LHY)" xfId="0"/>
    <cellStyle name="-_유로넥스트(03)(LHY) 2" xfId="0"/>
    <cellStyle name="-_유로넥스트(03)(LHY) 3" xfId="0"/>
    <cellStyle name="-_유로넥스트(03)(LHY) 4" xfId="0"/>
    <cellStyle name="-_유로넥스트(03)(LHY)_단기투자, 장기투자의 양식(회계사요청)(1)" xfId="0"/>
    <cellStyle name="-_유로넥스트(03)(LHY)_단기투자, 장기투자의 양식(회계사요청)(1) 2" xfId="0"/>
    <cellStyle name="-_유로넥스트(03)(LHY)_단기투자, 장기투자의 양식(회계사요청)(1) 3" xfId="0"/>
    <cellStyle name="-_유로넥스트(03)(LHY)_단기투자, 장기투자의 양식(회계사요청)(1) 4" xfId="0"/>
    <cellStyle name="-_유로넥스트(03)(LHY)_단기투자, 장기투자의 양식(회계사요청)(1)_99Group center-04기말-LHY" xfId="0"/>
    <cellStyle name="-_유로넥스트(03)(LHY)_단기투자, 장기투자의 양식(회계사요청)(1)_99Group center-04기말-LHY 2" xfId="0"/>
    <cellStyle name="-_유로넥스트(03)(LHY)_단기투자, 장기투자의 양식(회계사요청)(1)_99Group center-04기말-LHY 3" xfId="0"/>
    <cellStyle name="-_유로넥스트(03)(LHY)_단기투자, 장기투자의 양식(회계사요청)(1)_99Group center-04기말-LHY 4" xfId="0"/>
    <cellStyle name="-_유로넥스트(03)(LHY)_단기투자, 장기투자의 양식(회계사요청)(1)_99Group center-04중간업데이트기말-LHY" xfId="0"/>
    <cellStyle name="-_유로넥스트(03)(LHY)_단기투자, 장기투자의 양식(회계사요청)(1)_99Group center-04중간업데이트기말-LHY 2" xfId="0"/>
    <cellStyle name="-_유로넥스트(03)(LHY)_단기투자, 장기투자의 양식(회계사요청)(1)_99Group center-04중간업데이트기말-LHY 3" xfId="0"/>
    <cellStyle name="-_유로넥스트(03)(LHY)_단기투자, 장기투자의 양식(회계사요청)(1)_99Group center-04중간업데이트기말-LHY 4" xfId="0"/>
    <cellStyle name="-_유로넥스트(03)(LHY)_단기투자, 장기투자의 양식(회계사요청)(1)_99Group center-ARP04기말-LHY" xfId="0"/>
    <cellStyle name="-_유로넥스트(03)(LHY)_단기투자, 장기투자의 양식(회계사요청)(1)_99Group center-ARP04기말-LHY 2" xfId="0"/>
    <cellStyle name="-_유로넥스트(03)(LHY)_단기투자, 장기투자의 양식(회계사요청)(1)_99Group center-ARP04기말-LHY 3" xfId="0"/>
    <cellStyle name="-_유로넥스트(03)(LHY)_단기투자, 장기투자의 양식(회계사요청)(1)_99Group center-ARP04기말-LHY 4" xfId="0"/>
    <cellStyle name="-_유로넥스트(03)(LHY)_대출채권 Sampling" xfId="0"/>
    <cellStyle name="-_유로넥스트(03)(LHY)_대출채권 Sampling 2" xfId="0"/>
    <cellStyle name="-_유로넥스트(03)(LHY)_대출채권 Sampling 3" xfId="0"/>
    <cellStyle name="-_유로넥스트(03)(LHY)_대출채권 Sampling 4" xfId="0"/>
    <cellStyle name="-_유로넥스트(03)(LHY)_대출채권 Sampling_99Group center-04기말-LHY" xfId="0"/>
    <cellStyle name="-_유로넥스트(03)(LHY)_대출채권 Sampling_99Group center-04기말-LHY 2" xfId="0"/>
    <cellStyle name="-_유로넥스트(03)(LHY)_대출채권 Sampling_99Group center-04기말-LHY 3" xfId="0"/>
    <cellStyle name="-_유로넥스트(03)(LHY)_대출채권 Sampling_99Group center-04기말-LHY 4" xfId="0"/>
    <cellStyle name="-_유로넥스트(03)(LHY)_대출채권 Sampling_99Group center-04중간업데이트기말-LHY" xfId="0"/>
    <cellStyle name="-_유로넥스트(03)(LHY)_대출채권 Sampling_99Group center-04중간업데이트기말-LHY 2" xfId="0"/>
    <cellStyle name="-_유로넥스트(03)(LHY)_대출채권 Sampling_99Group center-04중간업데이트기말-LHY 3" xfId="0"/>
    <cellStyle name="-_유로넥스트(03)(LHY)_대출채권 Sampling_99Group center-04중간업데이트기말-LHY 4" xfId="0"/>
    <cellStyle name="-_유로넥스트(03)(LHY)_대출채권 Sampling_99Group center-ARP04기말-LHY" xfId="0"/>
    <cellStyle name="-_유로넥스트(03)(LHY)_대출채권 Sampling_99Group center-ARP04기말-LHY 2" xfId="0"/>
    <cellStyle name="-_유로넥스트(03)(LHY)_대출채권 Sampling_99Group center-ARP04기말-LHY 3" xfId="0"/>
    <cellStyle name="-_유로넥스트(03)(LHY)_대출채권 Sampling_99Group center-ARP04기말-LHY 4" xfId="0"/>
    <cellStyle name="-_유로넥스트(03)(LHY)_동양매직-03(LHY)" xfId="0"/>
    <cellStyle name="-_유로넥스트(03)(LHY)_동양매직-03(LHY) 2" xfId="0"/>
    <cellStyle name="-_유로넥스트(03)(LHY)_동양매직-03(LHY) 3" xfId="0"/>
    <cellStyle name="-_유로넥스트(03)(LHY)_동양매직-03(LHY) 4" xfId="0"/>
    <cellStyle name="-_유로넥스트(03)(LHY)_동양매직-03(LHY)_99Group center-04기말-LHY" xfId="0"/>
    <cellStyle name="-_유로넥스트(03)(LHY)_동양매직-03(LHY)_99Group center-04기말-LHY 2" xfId="0"/>
    <cellStyle name="-_유로넥스트(03)(LHY)_동양매직-03(LHY)_99Group center-04기말-LHY 3" xfId="0"/>
    <cellStyle name="-_유로넥스트(03)(LHY)_동양매직-03(LHY)_99Group center-04기말-LHY 4" xfId="0"/>
    <cellStyle name="-_유로넥스트(03)(LHY)_동양매직-03(LHY)_99Group center-04중간업데이트기말-LHY" xfId="0"/>
    <cellStyle name="-_유로넥스트(03)(LHY)_동양매직-03(LHY)_99Group center-04중간업데이트기말-LHY 2" xfId="0"/>
    <cellStyle name="-_유로넥스트(03)(LHY)_동양매직-03(LHY)_99Group center-04중간업데이트기말-LHY 3" xfId="0"/>
    <cellStyle name="-_유로넥스트(03)(LHY)_동양매직-03(LHY)_99Group center-04중간업데이트기말-LHY 4" xfId="0"/>
    <cellStyle name="-_유로넥스트(03)(LHY)_동양매직-03(LHY)_99Group center-ARP04기말-LHY" xfId="0"/>
    <cellStyle name="-_유로넥스트(03)(LHY)_동양매직-03(LHY)_99Group center-ARP04기말-LHY 2" xfId="0"/>
    <cellStyle name="-_유로넥스트(03)(LHY)_동양매직-03(LHY)_99Group center-ARP04기말-LHY 3" xfId="0"/>
    <cellStyle name="-_유로넥스트(03)(LHY)_동양매직-03(LHY)_99Group center-ARP04기말-LHY 4" xfId="0"/>
    <cellStyle name="-_유로넥스트(03)(LHY)_매직산업(03기말-LHY)" xfId="0"/>
    <cellStyle name="-_유로넥스트(03)(LHY)_매직산업(03기말-LHY) 2" xfId="0"/>
    <cellStyle name="-_유로넥스트(03)(LHY)_매직산업(03기말-LHY) 3" xfId="0"/>
    <cellStyle name="-_유로넥스트(03)(LHY)_매직산업(03기말-LHY) 4" xfId="0"/>
    <cellStyle name="-_유로넥스트(03)(LHY)_매직산업(03기말-LHY)_99Group center-04기말-LHY" xfId="0"/>
    <cellStyle name="-_유로넥스트(03)(LHY)_매직산업(03기말-LHY)_99Group center-04기말-LHY 2" xfId="0"/>
    <cellStyle name="-_유로넥스트(03)(LHY)_매직산업(03기말-LHY)_99Group center-04기말-LHY 3" xfId="0"/>
    <cellStyle name="-_유로넥스트(03)(LHY)_매직산업(03기말-LHY)_99Group center-04기말-LHY 4" xfId="0"/>
    <cellStyle name="-_유로넥스트(03)(LHY)_매직산업(03기말-LHY)_99Group center-04중간업데이트기말-LHY" xfId="0"/>
    <cellStyle name="-_유로넥스트(03)(LHY)_매직산업(03기말-LHY)_99Group center-04중간업데이트기말-LHY 2" xfId="0"/>
    <cellStyle name="-_유로넥스트(03)(LHY)_매직산업(03기말-LHY)_99Group center-04중간업데이트기말-LHY 3" xfId="0"/>
    <cellStyle name="-_유로넥스트(03)(LHY)_매직산업(03기말-LHY)_99Group center-04중간업데이트기말-LHY 4" xfId="0"/>
    <cellStyle name="-_유로넥스트(03)(LHY)_매직산업(03기말-LHY)_99Group center-ARP04기말-LHY" xfId="0"/>
    <cellStyle name="-_유로넥스트(03)(LHY)_매직산업(03기말-LHY)_99Group center-ARP04기말-LHY 2" xfId="0"/>
    <cellStyle name="-_유로넥스트(03)(LHY)_매직산업(03기말-LHY)_99Group center-ARP04기말-LHY 3" xfId="0"/>
    <cellStyle name="-_유로넥스트(03)(LHY)_매직산업(03기말-LHY)_99Group center-ARP04기말-LHY 4" xfId="0"/>
    <cellStyle name="-_유로넥스트(03)(LHY)_벽산페인트(03,LHY)1" xfId="0"/>
    <cellStyle name="-_유로넥스트(03)(LHY)_벽산페인트(03,LHY)1 2" xfId="0"/>
    <cellStyle name="-_유로넥스트(03)(LHY)_벽산페인트(03,LHY)1 3" xfId="0"/>
    <cellStyle name="-_유로넥스트(03)(LHY)_벽산페인트(03,LHY)1 4" xfId="0"/>
    <cellStyle name="-_유로넥스트(03)(LHY)_벽산페인트(03,LHY)1_99Group center-04기말-LHY" xfId="0"/>
    <cellStyle name="-_유로넥스트(03)(LHY)_벽산페인트(03,LHY)1_99Group center-04기말-LHY 2" xfId="0"/>
    <cellStyle name="-_유로넥스트(03)(LHY)_벽산페인트(03,LHY)1_99Group center-04기말-LHY 3" xfId="0"/>
    <cellStyle name="-_유로넥스트(03)(LHY)_벽산페인트(03,LHY)1_99Group center-04기말-LHY 4" xfId="0"/>
    <cellStyle name="-_유로넥스트(03)(LHY)_벽산페인트(03,LHY)1_99Group center-04중간업데이트기말-LHY" xfId="0"/>
    <cellStyle name="-_유로넥스트(03)(LHY)_벽산페인트(03,LHY)1_99Group center-04중간업데이트기말-LHY 2" xfId="0"/>
    <cellStyle name="-_유로넥스트(03)(LHY)_벽산페인트(03,LHY)1_99Group center-04중간업데이트기말-LHY 3" xfId="0"/>
    <cellStyle name="-_유로넥스트(03)(LHY)_벽산페인트(03,LHY)1_99Group center-04중간업데이트기말-LHY 4" xfId="0"/>
    <cellStyle name="-_유로넥스트(03)(LHY)_벽산페인트(03,LHY)1_99Group center-ARP04기말-LHY" xfId="0"/>
    <cellStyle name="-_유로넥스트(03)(LHY)_벽산페인트(03,LHY)1_99Group center-ARP04기말-LHY 2" xfId="0"/>
    <cellStyle name="-_유로넥스트(03)(LHY)_벽산페인트(03,LHY)1_99Group center-ARP04기말-LHY 3" xfId="0"/>
    <cellStyle name="-_유로넥스트(03)(LHY)_벽산페인트(03,LHY)1_99Group center-ARP04기말-LHY 4" xfId="0"/>
    <cellStyle name="-_유로넥스트(03)(LHY)_새누리상호저축(03-LHY)" xfId="0"/>
    <cellStyle name="-_유로넥스트(03)(LHY)_새누리상호저축(03-LHY) 2" xfId="0"/>
    <cellStyle name="-_유로넥스트(03)(LHY)_새누리상호저축(03-LHY) 3" xfId="0"/>
    <cellStyle name="-_유로넥스트(03)(LHY)_새누리상호저축(03-LHY) 4" xfId="0"/>
    <cellStyle name="-_유로넥스트(03)(LHY)_새누리상호저축(03-LHY)-new" xfId="0"/>
    <cellStyle name="-_유로넥스트(03)(LHY)_새누리상호저축(03-LHY)-new 2" xfId="0"/>
    <cellStyle name="-_유로넥스트(03)(LHY)_새누리상호저축(03-LHY)-new 3" xfId="0"/>
    <cellStyle name="-_유로넥스트(03)(LHY)_새누리상호저축(03-LHY)-new 4" xfId="0"/>
    <cellStyle name="-_유로넥스트(03)(LHY)_새누리상호저축(03-LHY)-new_99Group center-04기말-LHY" xfId="0"/>
    <cellStyle name="-_유로넥스트(03)(LHY)_새누리상호저축(03-LHY)-new_99Group center-04기말-LHY 2" xfId="0"/>
    <cellStyle name="-_유로넥스트(03)(LHY)_새누리상호저축(03-LHY)-new_99Group center-04기말-LHY 3" xfId="0"/>
    <cellStyle name="-_유로넥스트(03)(LHY)_새누리상호저축(03-LHY)-new_99Group center-04기말-LHY 4" xfId="0"/>
    <cellStyle name="-_유로넥스트(03)(LHY)_새누리상호저축(03-LHY)-new_99Group center-04중간업데이트기말-LHY" xfId="0"/>
    <cellStyle name="-_유로넥스트(03)(LHY)_새누리상호저축(03-LHY)-new_99Group center-04중간업데이트기말-LHY 2" xfId="0"/>
    <cellStyle name="-_유로넥스트(03)(LHY)_새누리상호저축(03-LHY)-new_99Group center-04중간업데이트기말-LHY 3" xfId="0"/>
    <cellStyle name="-_유로넥스트(03)(LHY)_새누리상호저축(03-LHY)-new_99Group center-04중간업데이트기말-LHY 4" xfId="0"/>
    <cellStyle name="-_유로넥스트(03)(LHY)_새누리상호저축(03-LHY)-new_99Group center-ARP04기말-LHY" xfId="0"/>
    <cellStyle name="-_유로넥스트(03)(LHY)_새누리상호저축(03-LHY)-new_99Group center-ARP04기말-LHY 2" xfId="0"/>
    <cellStyle name="-_유로넥스트(03)(LHY)_새누리상호저축(03-LHY)-new_99Group center-ARP04기말-LHY 3" xfId="0"/>
    <cellStyle name="-_유로넥스트(03)(LHY)_새누리상호저축(03-LHY)-new_99Group center-ARP04기말-LHY 4" xfId="0"/>
    <cellStyle name="-_유로넥스트(03)(LHY)_새누리상호저축(03-LHY)_99Group center-04기말-LHY" xfId="0"/>
    <cellStyle name="-_유로넥스트(03)(LHY)_새누리상호저축(03-LHY)_99Group center-04기말-LHY 2" xfId="0"/>
    <cellStyle name="-_유로넥스트(03)(LHY)_새누리상호저축(03-LHY)_99Group center-04기말-LHY 3" xfId="0"/>
    <cellStyle name="-_유로넥스트(03)(LHY)_새누리상호저축(03-LHY)_99Group center-04기말-LHY 4" xfId="0"/>
    <cellStyle name="-_유로넥스트(03)(LHY)_새누리상호저축(03-LHY)_99Group center-04중간업데이트기말-LHY" xfId="0"/>
    <cellStyle name="-_유로넥스트(03)(LHY)_새누리상호저축(03-LHY)_99Group center-04중간업데이트기말-LHY 2" xfId="0"/>
    <cellStyle name="-_유로넥스트(03)(LHY)_새누리상호저축(03-LHY)_99Group center-04중간업데이트기말-LHY 3" xfId="0"/>
    <cellStyle name="-_유로넥스트(03)(LHY)_새누리상호저축(03-LHY)_99Group center-04중간업데이트기말-LHY 4" xfId="0"/>
    <cellStyle name="-_유로넥스트(03)(LHY)_새누리상호저축(03-LHY)_99Group center-ARP04기말-LHY" xfId="0"/>
    <cellStyle name="-_유로넥스트(03)(LHY)_새누리상호저축(03-LHY)_99Group center-ARP04기말-LHY 2" xfId="0"/>
    <cellStyle name="-_유로넥스트(03)(LHY)_새누리상호저축(03-LHY)_99Group center-ARP04기말-LHY 3" xfId="0"/>
    <cellStyle name="-_유로넥스트(03)(LHY)_새누리상호저축(03-LHY)_99Group center-ARP04기말-LHY 4" xfId="0"/>
    <cellStyle name="-_유로넥스트(03)(LHY)_쌈지-04반기-(LHY)" xfId="0"/>
    <cellStyle name="-_유로넥스트(03)(LHY)_쌈지-04반기-(LHY) 2" xfId="0"/>
    <cellStyle name="-_유로넥스트(03)(LHY)_쌈지-04반기-(LHY) 3" xfId="0"/>
    <cellStyle name="-_유로넥스트(03)(LHY)_쌈지-04반기-(LHY) 4" xfId="0"/>
    <cellStyle name="-_유로넥스트(03)(LHY)_쌈지-04반기-(LHY)_99Group center-04기말-LHY" xfId="0"/>
    <cellStyle name="-_유로넥스트(03)(LHY)_쌈지-04반기-(LHY)_99Group center-04기말-LHY 2" xfId="0"/>
    <cellStyle name="-_유로넥스트(03)(LHY)_쌈지-04반기-(LHY)_99Group center-04기말-LHY 3" xfId="0"/>
    <cellStyle name="-_유로넥스트(03)(LHY)_쌈지-04반기-(LHY)_99Group center-04기말-LHY 4" xfId="0"/>
    <cellStyle name="-_유로넥스트(03)(LHY)_쌈지-04반기-(LHY)_99Group center-04중간업데이트기말-LHY" xfId="0"/>
    <cellStyle name="-_유로넥스트(03)(LHY)_쌈지-04반기-(LHY)_99Group center-04중간업데이트기말-LHY 2" xfId="0"/>
    <cellStyle name="-_유로넥스트(03)(LHY)_쌈지-04반기-(LHY)_99Group center-04중간업데이트기말-LHY 3" xfId="0"/>
    <cellStyle name="-_유로넥스트(03)(LHY)_쌈지-04반기-(LHY)_99Group center-04중간업데이트기말-LHY 4" xfId="0"/>
    <cellStyle name="-_유로넥스트(03)(LHY)_쌈지-04반기-(LHY)_99Group center-ARP04기말-LHY" xfId="0"/>
    <cellStyle name="-_유로넥스트(03)(LHY)_쌈지-04반기-(LHY)_99Group center-ARP04기말-LHY 2" xfId="0"/>
    <cellStyle name="-_유로넥스트(03)(LHY)_쌈지-04반기-(LHY)_99Group center-ARP04기말-LHY 3" xfId="0"/>
    <cellStyle name="-_유로넥스트(03)(LHY)_쌈지-04반기-(LHY)_99Group center-ARP04기말-LHY 4" xfId="0"/>
    <cellStyle name="-_유로넥스트(03)(LHY)_엠비즈-03-기말(LHY)" xfId="0"/>
    <cellStyle name="-_유로넥스트(03)(LHY)_엠비즈-03-기말(LHY) 2" xfId="0"/>
    <cellStyle name="-_유로넥스트(03)(LHY)_엠비즈-03-기말(LHY) 3" xfId="0"/>
    <cellStyle name="-_유로넥스트(03)(LHY)_엠비즈-03-기말(LHY) 4" xfId="0"/>
    <cellStyle name="-_유로넥스트(03)(LHY)_엠비즈-03-기말(LHY)_99Group center-04기말-LHY" xfId="0"/>
    <cellStyle name="-_유로넥스트(03)(LHY)_엠비즈-03-기말(LHY)_99Group center-04기말-LHY 2" xfId="0"/>
    <cellStyle name="-_유로넥스트(03)(LHY)_엠비즈-03-기말(LHY)_99Group center-04기말-LHY 3" xfId="0"/>
    <cellStyle name="-_유로넥스트(03)(LHY)_엠비즈-03-기말(LHY)_99Group center-04기말-LHY 4" xfId="0"/>
    <cellStyle name="-_유로넥스트(03)(LHY)_엠비즈-03-기말(LHY)_99Group center-04중간업데이트기말-LHY" xfId="0"/>
    <cellStyle name="-_유로넥스트(03)(LHY)_엠비즈-03-기말(LHY)_99Group center-04중간업데이트기말-LHY 2" xfId="0"/>
    <cellStyle name="-_유로넥스트(03)(LHY)_엠비즈-03-기말(LHY)_99Group center-04중간업데이트기말-LHY 3" xfId="0"/>
    <cellStyle name="-_유로넥스트(03)(LHY)_엠비즈-03-기말(LHY)_99Group center-04중간업데이트기말-LHY 4" xfId="0"/>
    <cellStyle name="-_유로넥스트(03)(LHY)_엠비즈-03-기말(LHY)_99Group center-ARP04기말-LHY" xfId="0"/>
    <cellStyle name="-_유로넥스트(03)(LHY)_엠비즈-03-기말(LHY)_99Group center-ARP04기말-LHY 2" xfId="0"/>
    <cellStyle name="-_유로넥스트(03)(LHY)_엠비즈-03-기말(LHY)_99Group center-ARP04기말-LHY 3" xfId="0"/>
    <cellStyle name="-_유로넥스트(03)(LHY)_엠비즈-03-기말(LHY)_99Group center-ARP04기말-LHY 4" xfId="0"/>
    <cellStyle name="-_유로넥스트(03)(LHY)_원가율검-조정" xfId="0"/>
    <cellStyle name="-_유로넥스트(03)(LHY)_원가율검-조정 2" xfId="0"/>
    <cellStyle name="-_유로넥스트(03)(LHY)_원가율검-조정 3" xfId="0"/>
    <cellStyle name="-_유로넥스트(03)(LHY)_원가율검-조정 4" xfId="0"/>
    <cellStyle name="-_유로넥스트(03)(LHY)_원가율검-조정_99Group center-04기말-LHY" xfId="0"/>
    <cellStyle name="-_유로넥스트(03)(LHY)_원가율검-조정_99Group center-04기말-LHY 2" xfId="0"/>
    <cellStyle name="-_유로넥스트(03)(LHY)_원가율검-조정_99Group center-04기말-LHY 3" xfId="0"/>
    <cellStyle name="-_유로넥스트(03)(LHY)_원가율검-조정_99Group center-04기말-LHY 4" xfId="0"/>
    <cellStyle name="-_유로넥스트(03)(LHY)_원가율검-조정_99Group center-04중간업데이트기말-LHY" xfId="0"/>
    <cellStyle name="-_유로넥스트(03)(LHY)_원가율검-조정_99Group center-04중간업데이트기말-LHY 2" xfId="0"/>
    <cellStyle name="-_유로넥스트(03)(LHY)_원가율검-조정_99Group center-04중간업데이트기말-LHY 3" xfId="0"/>
    <cellStyle name="-_유로넥스트(03)(LHY)_원가율검-조정_99Group center-04중간업데이트기말-LHY 4" xfId="0"/>
    <cellStyle name="-_유로넥스트(03)(LHY)_원가율검-조정_99Group center-ARP04기말-LHY" xfId="0"/>
    <cellStyle name="-_유로넥스트(03)(LHY)_원가율검-조정_99Group center-ARP04기말-LHY 2" xfId="0"/>
    <cellStyle name="-_유로넥스트(03)(LHY)_원가율검-조정_99Group center-ARP04기말-LHY 3" xfId="0"/>
    <cellStyle name="-_유로넥스트(03)(LHY)_원가율검-조정_99Group center-ARP04기말-LHY 4" xfId="0"/>
    <cellStyle name="-_유로넥스트(03)(LHY)_유엔젤반기(04-LHY)" xfId="0"/>
    <cellStyle name="-_유로넥스트(03)(LHY)_유엔젤반기(04-LHY) 2" xfId="0"/>
    <cellStyle name="-_유로넥스트(03)(LHY)_유엔젤반기(04-LHY) 3" xfId="0"/>
    <cellStyle name="-_유로넥스트(03)(LHY)_유엔젤반기(04-LHY) 4" xfId="0"/>
    <cellStyle name="-_유로넥스트(03)(LHY)_유엔젤반기(04-LHY)_99Group center-04기말-LHY" xfId="0"/>
    <cellStyle name="-_유로넥스트(03)(LHY)_유엔젤반기(04-LHY)_99Group center-04기말-LHY 2" xfId="0"/>
    <cellStyle name="-_유로넥스트(03)(LHY)_유엔젤반기(04-LHY)_99Group center-04기말-LHY 3" xfId="0"/>
    <cellStyle name="-_유로넥스트(03)(LHY)_유엔젤반기(04-LHY)_99Group center-04기말-LHY 4" xfId="0"/>
    <cellStyle name="-_유로넥스트(03)(LHY)_유엔젤반기(04-LHY)_99Group center-04중간업데이트기말-LHY" xfId="0"/>
    <cellStyle name="-_유로넥스트(03)(LHY)_유엔젤반기(04-LHY)_99Group center-04중간업데이트기말-LHY 2" xfId="0"/>
    <cellStyle name="-_유로넥스트(03)(LHY)_유엔젤반기(04-LHY)_99Group center-04중간업데이트기말-LHY 3" xfId="0"/>
    <cellStyle name="-_유로넥스트(03)(LHY)_유엔젤반기(04-LHY)_99Group center-04중간업데이트기말-LHY 4" xfId="0"/>
    <cellStyle name="-_유로넥스트(03)(LHY)_유엔젤반기(04-LHY)_99Group center-ARP04기말-LHY" xfId="0"/>
    <cellStyle name="-_유로넥스트(03)(LHY)_유엔젤반기(04-LHY)_99Group center-ARP04기말-LHY 2" xfId="0"/>
    <cellStyle name="-_유로넥스트(03)(LHY)_유엔젤반기(04-LHY)_99Group center-ARP04기말-LHY 3" xfId="0"/>
    <cellStyle name="-_유로넥스트(03)(LHY)_유엔젤반기(04-LHY)_99Group center-ARP04기말-LHY 4" xfId="0"/>
    <cellStyle name="-_유로넥스트(03)(LHY)_투자유가증권 주석(진짜)03-LHY" xfId="0"/>
    <cellStyle name="-_유로넥스트(03)(LHY)_투자유가증권 주석(진짜)03-LHY 2" xfId="0"/>
    <cellStyle name="-_유로넥스트(03)(LHY)_투자유가증권 주석(진짜)03-LHY 3" xfId="0"/>
    <cellStyle name="-_유로넥스트(03)(LHY)_투자유가증권 주석(진짜)03-LHY 4" xfId="0"/>
    <cellStyle name="-_유로넥스트(03)(LHY)_투자유가증권 주석(진짜)03-LHY_99Group center-04기말-LHY" xfId="0"/>
    <cellStyle name="-_유로넥스트(03)(LHY)_투자유가증권 주석(진짜)03-LHY_99Group center-04기말-LHY 2" xfId="0"/>
    <cellStyle name="-_유로넥스트(03)(LHY)_투자유가증권 주석(진짜)03-LHY_99Group center-04기말-LHY 3" xfId="0"/>
    <cellStyle name="-_유로넥스트(03)(LHY)_투자유가증권 주석(진짜)03-LHY_99Group center-04기말-LHY 4" xfId="0"/>
    <cellStyle name="-_유로넥스트(03)(LHY)_투자유가증권 주석(진짜)03-LHY_99Group center-04중간업데이트기말-LHY" xfId="0"/>
    <cellStyle name="-_유로넥스트(03)(LHY)_투자유가증권 주석(진짜)03-LHY_99Group center-04중간업데이트기말-LHY 2" xfId="0"/>
    <cellStyle name="-_유로넥스트(03)(LHY)_투자유가증권 주석(진짜)03-LHY_99Group center-04중간업데이트기말-LHY 3" xfId="0"/>
    <cellStyle name="-_유로넥스트(03)(LHY)_투자유가증권 주석(진짜)03-LHY_99Group center-04중간업데이트기말-LHY 4" xfId="0"/>
    <cellStyle name="-_유로넥스트(03)(LHY)_투자유가증권 주석(진짜)03-LHY_99Group center-ARP04기말-LHY" xfId="0"/>
    <cellStyle name="-_유로넥스트(03)(LHY)_투자유가증권 주석(진짜)03-LHY_99Group center-ARP04기말-LHY 2" xfId="0"/>
    <cellStyle name="-_유로넥스트(03)(LHY)_투자유가증권 주석(진짜)03-LHY_99Group center-ARP04기말-LHY 3" xfId="0"/>
    <cellStyle name="-_유로넥스트(03)(LHY)_투자유가증권 주석(진짜)03-LHY_99Group center-ARP04기말-LHY 4" xfId="0"/>
    <cellStyle name="-_유로넥스트(03)(LHY)_투자유가증권양식" xfId="0"/>
    <cellStyle name="-_유로넥스트(03)(LHY)_투자유가증권양식 2" xfId="0"/>
    <cellStyle name="-_유로넥스트(03)(LHY)_투자유가증권양식 3" xfId="0"/>
    <cellStyle name="-_유로넥스트(03)(LHY)_투자유가증권양식 4" xfId="0"/>
    <cellStyle name="-_유로넥스트(03)(LHY)_투자유가증권양식_99Group center-04기말-LHY" xfId="0"/>
    <cellStyle name="-_유로넥스트(03)(LHY)_투자유가증권양식_99Group center-04기말-LHY 2" xfId="0"/>
    <cellStyle name="-_유로넥스트(03)(LHY)_투자유가증권양식_99Group center-04기말-LHY 3" xfId="0"/>
    <cellStyle name="-_유로넥스트(03)(LHY)_투자유가증권양식_99Group center-04기말-LHY 4" xfId="0"/>
    <cellStyle name="-_유로넥스트(03)(LHY)_투자유가증권양식_99Group center-04중간업데이트기말-LHY" xfId="0"/>
    <cellStyle name="-_유로넥스트(03)(LHY)_투자유가증권양식_99Group center-04중간업데이트기말-LHY 2" xfId="0"/>
    <cellStyle name="-_유로넥스트(03)(LHY)_투자유가증권양식_99Group center-04중간업데이트기말-LHY 3" xfId="0"/>
    <cellStyle name="-_유로넥스트(03)(LHY)_투자유가증권양식_99Group center-04중간업데이트기말-LHY 4" xfId="0"/>
    <cellStyle name="-_유로넥스트(03)(LHY)_투자유가증권양식_99Group center-ARP04기말-LHY" xfId="0"/>
    <cellStyle name="-_유로넥스트(03)(LHY)_투자유가증권양식_99Group center-ARP04기말-LHY 2" xfId="0"/>
    <cellStyle name="-_유로넥스트(03)(LHY)_투자유가증권양식_99Group center-ARP04기말-LHY 3" xfId="0"/>
    <cellStyle name="-_유로넥스트(03)(LHY)_투자유가증권양식_99Group center-ARP04기말-LHY 4" xfId="0"/>
    <cellStyle name="-_유로넥스트(03)(LHY)_풀무원스프라우트-04반기-LHY" xfId="0"/>
    <cellStyle name="-_유로넥스트(03)(LHY)_풀무원스프라우트-04반기-LHY 2" xfId="0"/>
    <cellStyle name="-_유로넥스트(03)(LHY)_풀무원스프라우트-04반기-LHY 3" xfId="0"/>
    <cellStyle name="-_유로넥스트(03)(LHY)_풀무원스프라우트-04반기-LHY 4" xfId="0"/>
    <cellStyle name="-_유로넥스트(03)(LHY)_풀무원스프라우트-04반기-LHY_99Group center-04기말-LHY" xfId="0"/>
    <cellStyle name="-_유로넥스트(03)(LHY)_풀무원스프라우트-04반기-LHY_99Group center-04기말-LHY 2" xfId="0"/>
    <cellStyle name="-_유로넥스트(03)(LHY)_풀무원스프라우트-04반기-LHY_99Group center-04기말-LHY 3" xfId="0"/>
    <cellStyle name="-_유로넥스트(03)(LHY)_풀무원스프라우트-04반기-LHY_99Group center-04기말-LHY 4" xfId="0"/>
    <cellStyle name="-_유로넥스트(03)(LHY)_풀무원스프라우트-04반기-LHY_99Group center-04중간업데이트기말-LHY" xfId="0"/>
    <cellStyle name="-_유로넥스트(03)(LHY)_풀무원스프라우트-04반기-LHY_99Group center-04중간업데이트기말-LHY 2" xfId="0"/>
    <cellStyle name="-_유로넥스트(03)(LHY)_풀무원스프라우트-04반기-LHY_99Group center-04중간업데이트기말-LHY 3" xfId="0"/>
    <cellStyle name="-_유로넥스트(03)(LHY)_풀무원스프라우트-04반기-LHY_99Group center-04중간업데이트기말-LHY 4" xfId="0"/>
    <cellStyle name="-_유로넥스트(03)(LHY)_풀무원스프라우트-04반기-LHY_99Group center-ARP04기말-LHY" xfId="0"/>
    <cellStyle name="-_유로넥스트(03)(LHY)_풀무원스프라우트-04반기-LHY_99Group center-ARP04기말-LHY 2" xfId="0"/>
    <cellStyle name="-_유로넥스트(03)(LHY)_풀무원스프라우트-04반기-LHY_99Group center-ARP04기말-LHY 3" xfId="0"/>
    <cellStyle name="-_유로넥스트(03)(LHY)_풀무원스프라우트-04반기-LHY_99Group center-ARP04기말-LHY 4" xfId="0"/>
    <cellStyle name="-_유로넥스트(03)(LHY)_한국유업-03(LHY)" xfId="0"/>
    <cellStyle name="-_유로넥스트(03)(LHY)_한국유업-03(LHY) 2" xfId="0"/>
    <cellStyle name="-_유로넥스트(03)(LHY)_한국유업-03(LHY) 3" xfId="0"/>
    <cellStyle name="-_유로넥스트(03)(LHY)_한국유업-03(LHY) 4" xfId="0"/>
    <cellStyle name="-_유로넥스트(03)(LHY)_한국유업-03(LHY)_99Group center-04기말-LHY" xfId="0"/>
    <cellStyle name="-_유로넥스트(03)(LHY)_한국유업-03(LHY)_99Group center-04기말-LHY 2" xfId="0"/>
    <cellStyle name="-_유로넥스트(03)(LHY)_한국유업-03(LHY)_99Group center-04기말-LHY 3" xfId="0"/>
    <cellStyle name="-_유로넥스트(03)(LHY)_한국유업-03(LHY)_99Group center-04기말-LHY 4" xfId="0"/>
    <cellStyle name="-_유로넥스트(03)(LHY)_한국유업-03(LHY)_99Group center-04중간업데이트기말-LHY" xfId="0"/>
    <cellStyle name="-_유로넥스트(03)(LHY)_한국유업-03(LHY)_99Group center-04중간업데이트기말-LHY 2" xfId="0"/>
    <cellStyle name="-_유로넥스트(03)(LHY)_한국유업-03(LHY)_99Group center-04중간업데이트기말-LHY 3" xfId="0"/>
    <cellStyle name="-_유로넥스트(03)(LHY)_한국유업-03(LHY)_99Group center-04중간업데이트기말-LHY 4" xfId="0"/>
    <cellStyle name="-_유로넥스트(03)(LHY)_한국유업-03(LHY)_99Group center-ARP04기말-LHY" xfId="0"/>
    <cellStyle name="-_유로넥스트(03)(LHY)_한국유업-03(LHY)_99Group center-ARP04기말-LHY 2" xfId="0"/>
    <cellStyle name="-_유로넥스트(03)(LHY)_한국유업-03(LHY)_99Group center-ARP04기말-LHY 3" xfId="0"/>
    <cellStyle name="-_유로넥스트(03)(LHY)_한국유업-03(LHY)_99Group center-ARP04기말-LHY 4" xfId="0"/>
    <cellStyle name="-_유로넥스트(03)(LHY)_한국유업-03(LHY)_매직산업(03기말-LHY)" xfId="0"/>
    <cellStyle name="-_유로넥스트(03)(LHY)_한국유업-03(LHY)_매직산업(03기말-LHY) 2" xfId="0"/>
    <cellStyle name="-_유로넥스트(03)(LHY)_한국유업-03(LHY)_매직산업(03기말-LHY) 3" xfId="0"/>
    <cellStyle name="-_유로넥스트(03)(LHY)_한국유업-03(LHY)_매직산업(03기말-LHY) 4" xfId="0"/>
    <cellStyle name="-_유로넥스트(03)(LHY)_한국유업-03(LHY)_매직산업(03기말-LHY)_99Group center-04기말-LHY" xfId="0"/>
    <cellStyle name="-_유로넥스트(03)(LHY)_한국유업-03(LHY)_매직산업(03기말-LHY)_99Group center-04기말-LHY 2" xfId="0"/>
    <cellStyle name="-_유로넥스트(03)(LHY)_한국유업-03(LHY)_매직산업(03기말-LHY)_99Group center-04기말-LHY 3" xfId="0"/>
    <cellStyle name="-_유로넥스트(03)(LHY)_한국유업-03(LHY)_매직산업(03기말-LHY)_99Group center-04기말-LHY 4" xfId="0"/>
    <cellStyle name="-_유로넥스트(03)(LHY)_한국유업-03(LHY)_매직산업(03기말-LHY)_99Group center-04중간업데이트기말-LHY" xfId="0"/>
    <cellStyle name="-_유로넥스트(03)(LHY)_한국유업-03(LHY)_매직산업(03기말-LHY)_99Group center-04중간업데이트기말-LHY 2" xfId="0"/>
    <cellStyle name="-_유로넥스트(03)(LHY)_한국유업-03(LHY)_매직산업(03기말-LHY)_99Group center-04중간업데이트기말-LHY 3" xfId="0"/>
    <cellStyle name="-_유로넥스트(03)(LHY)_한국유업-03(LHY)_매직산업(03기말-LHY)_99Group center-04중간업데이트기말-LHY 4" xfId="0"/>
    <cellStyle name="-_유로넥스트(03)(LHY)_한국유업-03(LHY)_매직산업(03기말-LHY)_99Group center-ARP04기말-LHY" xfId="0"/>
    <cellStyle name="-_유로넥스트(03)(LHY)_한국유업-03(LHY)_매직산업(03기말-LHY)_99Group center-ARP04기말-LHY 2" xfId="0"/>
    <cellStyle name="-_유로넥스트(03)(LHY)_한국유업-03(LHY)_매직산업(03기말-LHY)_99Group center-ARP04기말-LHY 3" xfId="0"/>
    <cellStyle name="-_유로넥스트(03)(LHY)_한국유업-03(LHY)_매직산업(03기말-LHY)_99Group center-ARP04기말-LHY 4" xfId="0"/>
    <cellStyle name="-_유엔젤반기(04-LHY)" xfId="0"/>
    <cellStyle name="-_유엔젤반기(04-LHY) 2" xfId="0"/>
    <cellStyle name="-_유엔젤반기(04-LHY) 3" xfId="0"/>
    <cellStyle name="-_유엔젤반기(04-LHY) 4" xfId="0"/>
    <cellStyle name="-_유엔젤반기(04-LHY)_99Group center-04기말-LHY" xfId="0"/>
    <cellStyle name="-_유엔젤반기(04-LHY)_99Group center-04기말-LHY 2" xfId="0"/>
    <cellStyle name="-_유엔젤반기(04-LHY)_99Group center-04기말-LHY 3" xfId="0"/>
    <cellStyle name="-_유엔젤반기(04-LHY)_99Group center-04기말-LHY 4" xfId="0"/>
    <cellStyle name="-_유엔젤반기(04-LHY)_99Group center-04중간업데이트기말-LHY" xfId="0"/>
    <cellStyle name="-_유엔젤반기(04-LHY)_99Group center-04중간업데이트기말-LHY 2" xfId="0"/>
    <cellStyle name="-_유엔젤반기(04-LHY)_99Group center-04중간업데이트기말-LHY 3" xfId="0"/>
    <cellStyle name="-_유엔젤반기(04-LHY)_99Group center-04중간업데이트기말-LHY 4" xfId="0"/>
    <cellStyle name="-_유엔젤반기(04-LHY)_99Group center-ARP04기말-LHY" xfId="0"/>
    <cellStyle name="-_유엔젤반기(04-LHY)_99Group center-ARP04기말-LHY 2" xfId="0"/>
    <cellStyle name="-_유엔젤반기(04-LHY)_99Group center-ARP04기말-LHY 3" xfId="0"/>
    <cellStyle name="-_유엔젤반기(04-LHY)_99Group center-ARP04기말-LHY 4" xfId="0"/>
    <cellStyle name="-_재무제표ARP" xfId="0"/>
    <cellStyle name="-_재무제표ARP 2" xfId="0"/>
    <cellStyle name="-_재무제표ARP 3" xfId="0"/>
    <cellStyle name="-_재무제표ARP 4" xfId="0"/>
    <cellStyle name="-_재무제표ARP_99Group center-04기말-LHY" xfId="0"/>
    <cellStyle name="-_재무제표ARP_99Group center-04기말-LHY 2" xfId="0"/>
    <cellStyle name="-_재무제표ARP_99Group center-04기말-LHY 3" xfId="0"/>
    <cellStyle name="-_재무제표ARP_99Group center-04기말-LHY 4" xfId="0"/>
    <cellStyle name="-_재무제표ARP_99Group center-04중간업데이트기말-LHY" xfId="0"/>
    <cellStyle name="-_재무제표ARP_99Group center-04중간업데이트기말-LHY 2" xfId="0"/>
    <cellStyle name="-_재무제표ARP_99Group center-04중간업데이트기말-LHY 3" xfId="0"/>
    <cellStyle name="-_재무제표ARP_99Group center-04중간업데이트기말-LHY 4" xfId="0"/>
    <cellStyle name="-_재무제표ARP_99Group center-ARP04기말-LHY" xfId="0"/>
    <cellStyle name="-_재무제표ARP_99Group center-ARP04기말-LHY 2" xfId="0"/>
    <cellStyle name="-_재무제표ARP_99Group center-ARP04기말-LHY 3" xfId="0"/>
    <cellStyle name="-_재무제표ARP_99Group center-ARP04기말-LHY 4" xfId="0"/>
    <cellStyle name="-_투자유가증권 주석(진짜)03-LHY" xfId="0"/>
    <cellStyle name="-_투자유가증권 주석(진짜)03-LHY 2" xfId="0"/>
    <cellStyle name="-_투자유가증권 주석(진짜)03-LHY 3" xfId="0"/>
    <cellStyle name="-_투자유가증권 주석(진짜)03-LHY 4" xfId="0"/>
    <cellStyle name="-_투자유가증권 주석(진짜)03-LHY_99Group center-04기말-LHY" xfId="0"/>
    <cellStyle name="-_투자유가증권 주석(진짜)03-LHY_99Group center-04기말-LHY 2" xfId="0"/>
    <cellStyle name="-_투자유가증권 주석(진짜)03-LHY_99Group center-04기말-LHY 3" xfId="0"/>
    <cellStyle name="-_투자유가증권 주석(진짜)03-LHY_99Group center-04기말-LHY 4" xfId="0"/>
    <cellStyle name="-_투자유가증권 주석(진짜)03-LHY_99Group center-04중간업데이트기말-LHY" xfId="0"/>
    <cellStyle name="-_투자유가증권 주석(진짜)03-LHY_99Group center-04중간업데이트기말-LHY 2" xfId="0"/>
    <cellStyle name="-_투자유가증권 주석(진짜)03-LHY_99Group center-04중간업데이트기말-LHY 3" xfId="0"/>
    <cellStyle name="-_투자유가증권 주석(진짜)03-LHY_99Group center-04중간업데이트기말-LHY 4" xfId="0"/>
    <cellStyle name="-_투자유가증권 주석(진짜)03-LHY_99Group center-ARP04기말-LHY" xfId="0"/>
    <cellStyle name="-_투자유가증권 주석(진짜)03-LHY_99Group center-ARP04기말-LHY 2" xfId="0"/>
    <cellStyle name="-_투자유가증권 주석(진짜)03-LHY_99Group center-ARP04기말-LHY 3" xfId="0"/>
    <cellStyle name="-_투자유가증권 주석(진짜)03-LHY_99Group center-ARP04기말-LHY 4" xfId="0"/>
    <cellStyle name="-_투자유가증권양식" xfId="0"/>
    <cellStyle name="-_투자유가증권양식 2" xfId="0"/>
    <cellStyle name="-_투자유가증권양식 3" xfId="0"/>
    <cellStyle name="-_투자유가증권양식 4" xfId="0"/>
    <cellStyle name="-_투자유가증권양식_99Group center-04기말-LHY" xfId="0"/>
    <cellStyle name="-_투자유가증권양식_99Group center-04기말-LHY 2" xfId="0"/>
    <cellStyle name="-_투자유가증권양식_99Group center-04기말-LHY 3" xfId="0"/>
    <cellStyle name="-_투자유가증권양식_99Group center-04기말-LHY 4" xfId="0"/>
    <cellStyle name="-_투자유가증권양식_99Group center-04중간업데이트기말-LHY" xfId="0"/>
    <cellStyle name="-_투자유가증권양식_99Group center-04중간업데이트기말-LHY 2" xfId="0"/>
    <cellStyle name="-_투자유가증권양식_99Group center-04중간업데이트기말-LHY 3" xfId="0"/>
    <cellStyle name="-_투자유가증권양식_99Group center-04중간업데이트기말-LHY 4" xfId="0"/>
    <cellStyle name="-_투자유가증권양식_99Group center-ARP04기말-LHY" xfId="0"/>
    <cellStyle name="-_투자유가증권양식_99Group center-ARP04기말-LHY 2" xfId="0"/>
    <cellStyle name="-_투자유가증권양식_99Group center-ARP04기말-LHY 3" xfId="0"/>
    <cellStyle name="-_투자유가증권양식_99Group center-ARP04기말-LHY 4" xfId="0"/>
    <cellStyle name="-_풀무원스프라우트-04반기-LHY" xfId="0"/>
    <cellStyle name="-_풀무원스프라우트-04반기-LHY 2" xfId="0"/>
    <cellStyle name="-_풀무원스프라우트-04반기-LHY 3" xfId="0"/>
    <cellStyle name="-_풀무원스프라우트-04반기-LHY 4" xfId="0"/>
    <cellStyle name="-_풀무원스프라우트-04반기-LHY_99Group center-04기말-LHY" xfId="0"/>
    <cellStyle name="-_풀무원스프라우트-04반기-LHY_99Group center-04기말-LHY 2" xfId="0"/>
    <cellStyle name="-_풀무원스프라우트-04반기-LHY_99Group center-04기말-LHY 3" xfId="0"/>
    <cellStyle name="-_풀무원스프라우트-04반기-LHY_99Group center-04기말-LHY 4" xfId="0"/>
    <cellStyle name="-_풀무원스프라우트-04반기-LHY_99Group center-04중간업데이트기말-LHY" xfId="0"/>
    <cellStyle name="-_풀무원스프라우트-04반기-LHY_99Group center-04중간업데이트기말-LHY 2" xfId="0"/>
    <cellStyle name="-_풀무원스프라우트-04반기-LHY_99Group center-04중간업데이트기말-LHY 3" xfId="0"/>
    <cellStyle name="-_풀무원스프라우트-04반기-LHY_99Group center-04중간업데이트기말-LHY 4" xfId="0"/>
    <cellStyle name="-_풀무원스프라우트-04반기-LHY_99Group center-ARP04기말-LHY" xfId="0"/>
    <cellStyle name="-_풀무원스프라우트-04반기-LHY_99Group center-ARP04기말-LHY 2" xfId="0"/>
    <cellStyle name="-_풀무원스프라우트-04반기-LHY_99Group center-ARP04기말-LHY 3" xfId="0"/>
    <cellStyle name="-_풀무원스프라우트-04반기-LHY_99Group center-ARP04기말-LHY 4" xfId="0"/>
    <cellStyle name="-_한국유업-03(LHY)" xfId="0"/>
    <cellStyle name="-_한국유업-03(LHY) 2" xfId="0"/>
    <cellStyle name="-_한국유업-03(LHY) 3" xfId="0"/>
    <cellStyle name="-_한국유업-03(LHY) 4" xfId="0"/>
    <cellStyle name="-_한국유업-03(LHY)_99Group center-04기말-LHY" xfId="0"/>
    <cellStyle name="-_한국유업-03(LHY)_99Group center-04기말-LHY 2" xfId="0"/>
    <cellStyle name="-_한국유업-03(LHY)_99Group center-04기말-LHY 3" xfId="0"/>
    <cellStyle name="-_한국유업-03(LHY)_99Group center-04기말-LHY 4" xfId="0"/>
    <cellStyle name="-_한국유업-03(LHY)_99Group center-04중간업데이트기말-LHY" xfId="0"/>
    <cellStyle name="-_한국유업-03(LHY)_99Group center-04중간업데이트기말-LHY 2" xfId="0"/>
    <cellStyle name="-_한국유업-03(LHY)_99Group center-04중간업데이트기말-LHY 3" xfId="0"/>
    <cellStyle name="-_한국유업-03(LHY)_99Group center-04중간업데이트기말-LHY 4" xfId="0"/>
    <cellStyle name="-_한국유업-03(LHY)_99Group center-ARP04기말-LHY" xfId="0"/>
    <cellStyle name="-_한국유업-03(LHY)_99Group center-ARP04기말-LHY 2" xfId="0"/>
    <cellStyle name="-_한국유업-03(LHY)_99Group center-ARP04기말-LHY 3" xfId="0"/>
    <cellStyle name="-_한국유업-03(LHY)_99Group center-ARP04기말-LHY 4" xfId="0"/>
    <cellStyle name="-_한국유업-03(LHY)_매직산업(03기말-LHY)" xfId="0"/>
    <cellStyle name="-_한국유업-03(LHY)_매직산업(03기말-LHY) 2" xfId="0"/>
    <cellStyle name="-_한국유업-03(LHY)_매직산업(03기말-LHY) 3" xfId="0"/>
    <cellStyle name="-_한국유업-03(LHY)_매직산업(03기말-LHY) 4" xfId="0"/>
    <cellStyle name="-_한국유업-03(LHY)_매직산업(03기말-LHY)_99Group center-04기말-LHY" xfId="0"/>
    <cellStyle name="-_한국유업-03(LHY)_매직산업(03기말-LHY)_99Group center-04기말-LHY 2" xfId="0"/>
    <cellStyle name="-_한국유업-03(LHY)_매직산업(03기말-LHY)_99Group center-04기말-LHY 3" xfId="0"/>
    <cellStyle name="-_한국유업-03(LHY)_매직산업(03기말-LHY)_99Group center-04기말-LHY 4" xfId="0"/>
    <cellStyle name="-_한국유업-03(LHY)_매직산업(03기말-LHY)_99Group center-04중간업데이트기말-LHY" xfId="0"/>
    <cellStyle name="-_한국유업-03(LHY)_매직산업(03기말-LHY)_99Group center-04중간업데이트기말-LHY 2" xfId="0"/>
    <cellStyle name="-_한국유업-03(LHY)_매직산업(03기말-LHY)_99Group center-04중간업데이트기말-LHY 3" xfId="0"/>
    <cellStyle name="-_한국유업-03(LHY)_매직산업(03기말-LHY)_99Group center-04중간업데이트기말-LHY 4" xfId="0"/>
    <cellStyle name="-_한국유업-03(LHY)_매직산업(03기말-LHY)_99Group center-ARP04기말-LHY" xfId="0"/>
    <cellStyle name="-_한국유업-03(LHY)_매직산업(03기말-LHY)_99Group center-ARP04기말-LHY 2" xfId="0"/>
    <cellStyle name="-_한국유업-03(LHY)_매직산업(03기말-LHY)_99Group center-ARP04기말-LHY 3" xfId="0"/>
    <cellStyle name="-_한국유업-03(LHY)_매직산업(03기말-LHY)_99Group center-ARP04기말-LHY 4" xfId="0"/>
    <cellStyle name="-S" xfId="0"/>
    <cellStyle name="-&#10;_x0002__x0002_?&#10;_x0012__x0002_z-&#10;&quot;_x0002_?&#10;2_x0002_?&#10;B_x0002_?y [0]_laroux_2_12~3SO2" xfId="0"/>
    <cellStyle name="0" xfId="0"/>
    <cellStyle name="0%" xfId="0"/>
    <cellStyle name="0,0&#13;&#10;NA&#13;&#10;" xfId="0"/>
    <cellStyle name="0,0&#13;&#10;NA&#13;&#10; 2" xfId="0"/>
    <cellStyle name="0,0&#13;&#10;NA&#13;&#10;_재고자산회전율분석_LGE(2010_1Q)" xfId="0"/>
    <cellStyle name="0.0%" xfId="0"/>
    <cellStyle name="0.00%" xfId="0"/>
    <cellStyle name="0.000%" xfId="0"/>
    <cellStyle name="0.0000%" xfId="0"/>
    <cellStyle name="0_자산손상_(주)LG_v3" xfId="0"/>
    <cellStyle name="1" xfId="0"/>
    <cellStyle name="1 000 K?_RESULTS" xfId="0"/>
    <cellStyle name="1." xfId="0"/>
    <cellStyle name="100" xfId="0"/>
    <cellStyle name="120" xfId="0"/>
    <cellStyle name="16" xfId="0"/>
    <cellStyle name="16ictONiIe4PXBkWMyPCb5O" xfId="0"/>
    <cellStyle name="19990216" xfId="0"/>
    <cellStyle name="1월" xfId="0"/>
    <cellStyle name="1월당월 (2)_1월" xfId="0"/>
    <cellStyle name="20% - Accent1" xfId="0"/>
    <cellStyle name="20% - Accent1 2" xfId="0"/>
    <cellStyle name="20% - Accent1 3" xfId="0"/>
    <cellStyle name="20% - Accent1 4" xfId="0"/>
    <cellStyle name="20% - Accent1 5" xfId="0"/>
    <cellStyle name="20% - Accent2" xfId="0"/>
    <cellStyle name="20% - Accent2 2" xfId="0"/>
    <cellStyle name="20% - Accent2 3" xfId="0"/>
    <cellStyle name="20% - Accent2 4" xfId="0"/>
    <cellStyle name="20% - Accent2 5" xfId="0"/>
    <cellStyle name="20% - Accent3" xfId="0"/>
    <cellStyle name="20% - Accent3 2" xfId="0"/>
    <cellStyle name="20% - Accent3 3" xfId="0"/>
    <cellStyle name="20% - Accent3 4" xfId="0"/>
    <cellStyle name="20% - Accent3 5" xfId="0"/>
    <cellStyle name="20% - Accent4" xfId="0"/>
    <cellStyle name="20% - Accent4 2" xfId="0"/>
    <cellStyle name="20% - Accent4 3" xfId="0"/>
    <cellStyle name="20% - Accent4 4" xfId="0"/>
    <cellStyle name="20% - Accent4 5" xfId="0"/>
    <cellStyle name="20% - Accent5" xfId="0"/>
    <cellStyle name="20% - Accent5 2" xfId="0"/>
    <cellStyle name="20% - Accent5 3" xfId="0"/>
    <cellStyle name="20% - Accent5 4" xfId="0"/>
    <cellStyle name="20% - Accent5 5" xfId="0"/>
    <cellStyle name="20% - Accent6" xfId="0"/>
    <cellStyle name="20% - Accent6 2" xfId="0"/>
    <cellStyle name="20% - Accent6 3" xfId="0"/>
    <cellStyle name="20% - Accent6 4" xfId="0"/>
    <cellStyle name="20% - Accent6 5" xfId="0"/>
    <cellStyle name="20% - 강조색1 10" xfId="0"/>
    <cellStyle name="20% - 강조색1 10 10" xfId="0"/>
    <cellStyle name="20% - 강조색1 10 11" xfId="0"/>
    <cellStyle name="20% - 강조색1 10 12" xfId="0"/>
    <cellStyle name="20% - 강조색1 10 13" xfId="0"/>
    <cellStyle name="20% - 강조색1 10 14" xfId="0"/>
    <cellStyle name="20% - 강조색1 10 15" xfId="0"/>
    <cellStyle name="20% - 강조색1 10 16" xfId="0"/>
    <cellStyle name="20% - 강조색1 10 17" xfId="0"/>
    <cellStyle name="20% - 강조색1 10 18" xfId="0"/>
    <cellStyle name="20% - 강조색1 10 19" xfId="0"/>
    <cellStyle name="20% - 강조색1 10 2" xfId="0"/>
    <cellStyle name="20% - 강조색1 10 2 2" xfId="0"/>
    <cellStyle name="20% - 강조색1 10 2 3" xfId="0"/>
    <cellStyle name="20% - 강조색1 10 20" xfId="0"/>
    <cellStyle name="20% - 강조색1 10 21" xfId="0"/>
    <cellStyle name="20% - 강조색1 10 22" xfId="0"/>
    <cellStyle name="20% - 강조색1 10 23" xfId="0"/>
    <cellStyle name="20% - 강조색1 10 24" xfId="0"/>
    <cellStyle name="20% - 강조색1 10 3" xfId="0"/>
    <cellStyle name="20% - 강조색1 10 3 2" xfId="0"/>
    <cellStyle name="20% - 강조색1 10 3 3" xfId="0"/>
    <cellStyle name="20% - 강조색1 10 4" xfId="0"/>
    <cellStyle name="20% - 강조색1 10 4 2" xfId="0"/>
    <cellStyle name="20% - 강조색1 10 4 3" xfId="0"/>
    <cellStyle name="20% - 강조색1 10 5" xfId="0"/>
    <cellStyle name="20% - 강조색1 10 5 2" xfId="0"/>
    <cellStyle name="20% - 강조색1 10 5 3" xfId="0"/>
    <cellStyle name="20% - 강조색1 10 6" xfId="0"/>
    <cellStyle name="20% - 강조색1 10 6 2" xfId="0"/>
    <cellStyle name="20% - 강조색1 10 6 3" xfId="0"/>
    <cellStyle name="20% - 강조색1 10 7" xfId="0"/>
    <cellStyle name="20% - 강조색1 10 8" xfId="0"/>
    <cellStyle name="20% - 강조색1 10 9" xfId="0"/>
    <cellStyle name="20% - 강조색1 11" xfId="0"/>
    <cellStyle name="20% - 강조색1 11 10" xfId="0"/>
    <cellStyle name="20% - 강조색1 11 2" xfId="0"/>
    <cellStyle name="20% - 강조색1 11 2 2" xfId="0"/>
    <cellStyle name="20% - 강조색1 11 2 3" xfId="0"/>
    <cellStyle name="20% - 강조색1 11 3" xfId="0"/>
    <cellStyle name="20% - 강조색1 11 3 2" xfId="0"/>
    <cellStyle name="20% - 강조색1 11 3 3" xfId="0"/>
    <cellStyle name="20% - 강조색1 11 4" xfId="0"/>
    <cellStyle name="20% - 강조색1 11 4 2" xfId="0"/>
    <cellStyle name="20% - 강조색1 11 4 3" xfId="0"/>
    <cellStyle name="20% - 강조색1 11 5" xfId="0"/>
    <cellStyle name="20% - 강조색1 11 5 2" xfId="0"/>
    <cellStyle name="20% - 강조색1 11 5 3" xfId="0"/>
    <cellStyle name="20% - 강조색1 11 6" xfId="0"/>
    <cellStyle name="20% - 강조색1 11 6 2" xfId="0"/>
    <cellStyle name="20% - 강조색1 11 6 3" xfId="0"/>
    <cellStyle name="20% - 강조색1 11 7" xfId="0"/>
    <cellStyle name="20% - 강조색1 11 8" xfId="0"/>
    <cellStyle name="20% - 강조색1 11 9" xfId="0"/>
    <cellStyle name="20% - 강조색1 12" xfId="0"/>
    <cellStyle name="20% - 강조색1 12 2" xfId="0"/>
    <cellStyle name="20% - 강조색1 12 3" xfId="0"/>
    <cellStyle name="20% - 강조색1 12 4" xfId="0"/>
    <cellStyle name="20% - 강조색1 12 5" xfId="0"/>
    <cellStyle name="20% - 강조색1 12 6" xfId="0"/>
    <cellStyle name="20% - 강조색1 12 7" xfId="0"/>
    <cellStyle name="20% - 강조색1 12 8" xfId="0"/>
    <cellStyle name="20% - 강조색1 12 9" xfId="0"/>
    <cellStyle name="20% - 강조색1 13" xfId="0"/>
    <cellStyle name="20% - 강조색1 13 2" xfId="0"/>
    <cellStyle name="20% - 강조색1 13 3" xfId="0"/>
    <cellStyle name="20% - 강조색1 13 4" xfId="0"/>
    <cellStyle name="20% - 강조색1 13 5" xfId="0"/>
    <cellStyle name="20% - 강조색1 13 6" xfId="0"/>
    <cellStyle name="20% - 강조색1 13 7" xfId="0"/>
    <cellStyle name="20% - 강조색1 13 8" xfId="0"/>
    <cellStyle name="20% - 강조색1 13 9" xfId="0"/>
    <cellStyle name="20% - 강조색1 14" xfId="0"/>
    <cellStyle name="20% - 강조색1 14 2" xfId="0"/>
    <cellStyle name="20% - 강조색1 14 3" xfId="0"/>
    <cellStyle name="20% - 강조색1 14 4" xfId="0"/>
    <cellStyle name="20% - 강조색1 14 5" xfId="0"/>
    <cellStyle name="20% - 강조색1 14 6" xfId="0"/>
    <cellStyle name="20% - 강조색1 14 7" xfId="0"/>
    <cellStyle name="20% - 강조색1 14 8" xfId="0"/>
    <cellStyle name="20% - 강조색1 14 9" xfId="0"/>
    <cellStyle name="20% - 강조색1 15" xfId="0"/>
    <cellStyle name="20% - 강조색1 15 2" xfId="0"/>
    <cellStyle name="20% - 강조색1 15 3" xfId="0"/>
    <cellStyle name="20% - 강조색1 15 4" xfId="0"/>
    <cellStyle name="20% - 강조색1 15 5" xfId="0"/>
    <cellStyle name="20% - 강조색1 15 6" xfId="0"/>
    <cellStyle name="20% - 강조색1 15 7" xfId="0"/>
    <cellStyle name="20% - 강조색1 15 8" xfId="0"/>
    <cellStyle name="20% - 강조색1 15 9" xfId="0"/>
    <cellStyle name="20% - 강조색1 16" xfId="0"/>
    <cellStyle name="20% - 강조색1 16 2" xfId="0"/>
    <cellStyle name="20% - 강조색1 16 3" xfId="0"/>
    <cellStyle name="20% - 강조색1 16 4" xfId="0"/>
    <cellStyle name="20% - 강조색1 16 5" xfId="0"/>
    <cellStyle name="20% - 강조색1 16 6" xfId="0"/>
    <cellStyle name="20% - 강조색1 16 7" xfId="0"/>
    <cellStyle name="20% - 강조색1 16 8" xfId="0"/>
    <cellStyle name="20% - 강조색1 16 9" xfId="0"/>
    <cellStyle name="20% - 강조색1 17" xfId="0"/>
    <cellStyle name="20% - 강조색1 17 2" xfId="0"/>
    <cellStyle name="20% - 강조색1 17 3" xfId="0"/>
    <cellStyle name="20% - 강조색1 17 4" xfId="0"/>
    <cellStyle name="20% - 강조색1 17 5" xfId="0"/>
    <cellStyle name="20% - 강조색1 17 6" xfId="0"/>
    <cellStyle name="20% - 강조색1 17 7" xfId="0"/>
    <cellStyle name="20% - 강조색1 17 8" xfId="0"/>
    <cellStyle name="20% - 강조색1 17 9" xfId="0"/>
    <cellStyle name="20% - 강조색1 18" xfId="0"/>
    <cellStyle name="20% - 강조색1 18 2" xfId="0"/>
    <cellStyle name="20% - 강조색1 18 3" xfId="0"/>
    <cellStyle name="20% - 강조색1 18 4" xfId="0"/>
    <cellStyle name="20% - 강조색1 18 5" xfId="0"/>
    <cellStyle name="20% - 강조색1 18 6" xfId="0"/>
    <cellStyle name="20% - 강조색1 18 7" xfId="0"/>
    <cellStyle name="20% - 강조색1 18 8" xfId="0"/>
    <cellStyle name="20% - 강조색1 18 9" xfId="0"/>
    <cellStyle name="20% - 강조색1 19" xfId="0"/>
    <cellStyle name="20% - 강조색1 19 2" xfId="0"/>
    <cellStyle name="20% - 강조색1 19 3" xfId="0"/>
    <cellStyle name="20% - 강조색1 19 4" xfId="0"/>
    <cellStyle name="20% - 강조색1 19 5" xfId="0"/>
    <cellStyle name="20% - 강조색1 19 6" xfId="0"/>
    <cellStyle name="20% - 강조색1 19 7" xfId="0"/>
    <cellStyle name="20% - 강조색1 19 8" xfId="0"/>
    <cellStyle name="20% - 강조색1 19 9" xfId="0"/>
    <cellStyle name="20% - 강조색1 2" xfId="0"/>
    <cellStyle name="20% - 강조색1 2 10" xfId="0"/>
    <cellStyle name="20% - 강조색1 2 10 2" xfId="0"/>
    <cellStyle name="20% - 강조색1 2 11" xfId="0"/>
    <cellStyle name="20% - 강조색1 2 11 2" xfId="0"/>
    <cellStyle name="20% - 강조색1 2 12" xfId="0"/>
    <cellStyle name="20% - 강조색1 2 12 2" xfId="0"/>
    <cellStyle name="20% - 강조색1 2 13" xfId="0"/>
    <cellStyle name="20% - 강조색1 2 14" xfId="0"/>
    <cellStyle name="20% - 강조색1 2 15" xfId="0"/>
    <cellStyle name="20% - 강조색1 2 16" xfId="0"/>
    <cellStyle name="20% - 강조색1 2 17" xfId="0"/>
    <cellStyle name="20% - 강조색1 2 18" xfId="0"/>
    <cellStyle name="20% - 강조색1 2 19" xfId="0"/>
    <cellStyle name="20% - 강조색1 2 2" xfId="0"/>
    <cellStyle name="20% - 강조색1 2 2 10" xfId="0"/>
    <cellStyle name="20% - 강조색1 2 2 11" xfId="0"/>
    <cellStyle name="20% - 강조색1 2 2 12" xfId="0"/>
    <cellStyle name="20% - 강조색1 2 2 13" xfId="0"/>
    <cellStyle name="20% - 강조색1 2 2 14" xfId="0"/>
    <cellStyle name="20% - 강조색1 2 2 15" xfId="0"/>
    <cellStyle name="20% - 강조색1 2 2 16" xfId="0"/>
    <cellStyle name="20% - 강조색1 2 2 17" xfId="0"/>
    <cellStyle name="20% - 강조색1 2 2 18" xfId="0"/>
    <cellStyle name="20% - 강조색1 2 2 19" xfId="0"/>
    <cellStyle name="20% - 강조색1 2 2 2" xfId="0"/>
    <cellStyle name="20% - 강조색1 2 2 2 2" xfId="0"/>
    <cellStyle name="20% - 강조색1 2 2 2 2 2" xfId="0"/>
    <cellStyle name="20% - 강조색1 2 2 2 2 3" xfId="0"/>
    <cellStyle name="20% - 강조색1 2 2 2 2 4" xfId="0"/>
    <cellStyle name="20% - 강조색1 2 2 2 2 5" xfId="0"/>
    <cellStyle name="20% - 강조색1 2 2 2 2 6" xfId="0"/>
    <cellStyle name="20% - 강조색1 2 2 2 2 7" xfId="0"/>
    <cellStyle name="20% - 강조색1 2 2 2 2 8" xfId="0"/>
    <cellStyle name="20% - 강조색1 2 2 2 2 9" xfId="0"/>
    <cellStyle name="20% - 강조색1 2 2 2 3" xfId="0"/>
    <cellStyle name="20% - 강조색1 2 2 2 4" xfId="0"/>
    <cellStyle name="20% - 강조색1 2 2 2 5" xfId="0"/>
    <cellStyle name="20% - 강조색1 2 2 2 6" xfId="0"/>
    <cellStyle name="20% - 강조색1 2 2 2 7" xfId="0"/>
    <cellStyle name="20% - 강조색1 2 2 2 8" xfId="0"/>
    <cellStyle name="20% - 강조색1 2 2 2 9" xfId="0"/>
    <cellStyle name="20% - 강조색1 2 2 20" xfId="0"/>
    <cellStyle name="20% - 강조색1 2 2 21" xfId="0"/>
    <cellStyle name="20% - 강조색1 2 2 22" xfId="0"/>
    <cellStyle name="20% - 강조색1 2 2 23" xfId="0"/>
    <cellStyle name="20% - 강조색1 2 2 3" xfId="0"/>
    <cellStyle name="20% - 강조색1 2 2 4" xfId="0"/>
    <cellStyle name="20% - 강조색1 2 2 5" xfId="0"/>
    <cellStyle name="20% - 강조색1 2 2 6" xfId="0"/>
    <cellStyle name="20% - 강조색1 2 2 7" xfId="0"/>
    <cellStyle name="20% - 강조색1 2 2 8" xfId="0"/>
    <cellStyle name="20% - 강조색1 2 2 9" xfId="0"/>
    <cellStyle name="20% - 강조색1 2 20" xfId="0"/>
    <cellStyle name="20% - 강조색1 2 21" xfId="0"/>
    <cellStyle name="20% - 강조색1 2 22" xfId="0"/>
    <cellStyle name="20% - 강조색1 2 23" xfId="0"/>
    <cellStyle name="20% - 강조색1 2 3" xfId="0"/>
    <cellStyle name="20% - 강조색1 2 3 10" xfId="0"/>
    <cellStyle name="20% - 강조색1 2 3 2" xfId="0"/>
    <cellStyle name="20% - 강조색1 2 3 3" xfId="0"/>
    <cellStyle name="20% - 강조색1 2 3 4" xfId="0"/>
    <cellStyle name="20% - 강조색1 2 3 5" xfId="0"/>
    <cellStyle name="20% - 강조색1 2 3 6" xfId="0"/>
    <cellStyle name="20% - 강조색1 2 3 7" xfId="0"/>
    <cellStyle name="20% - 강조색1 2 3 8" xfId="0"/>
    <cellStyle name="20% - 강조색1 2 3 9" xfId="0"/>
    <cellStyle name="20% - 강조색1 2 4" xfId="0"/>
    <cellStyle name="20% - 강조색1 2 4 10" xfId="0"/>
    <cellStyle name="20% - 강조색1 2 4 2" xfId="0"/>
    <cellStyle name="20% - 강조색1 2 4 3" xfId="0"/>
    <cellStyle name="20% - 강조색1 2 4 4" xfId="0"/>
    <cellStyle name="20% - 강조색1 2 4 5" xfId="0"/>
    <cellStyle name="20% - 강조색1 2 4 6" xfId="0"/>
    <cellStyle name="20% - 강조색1 2 4 7" xfId="0"/>
    <cellStyle name="20% - 강조색1 2 4 8" xfId="0"/>
    <cellStyle name="20% - 강조색1 2 4 9" xfId="0"/>
    <cellStyle name="20% - 강조색1 2 5" xfId="0"/>
    <cellStyle name="20% - 강조색1 2 5 10" xfId="0"/>
    <cellStyle name="20% - 강조색1 2 5 2" xfId="0"/>
    <cellStyle name="20% - 강조색1 2 5 3" xfId="0"/>
    <cellStyle name="20% - 강조색1 2 5 4" xfId="0"/>
    <cellStyle name="20% - 강조색1 2 5 5" xfId="0"/>
    <cellStyle name="20% - 강조색1 2 5 6" xfId="0"/>
    <cellStyle name="20% - 강조색1 2 5 7" xfId="0"/>
    <cellStyle name="20% - 강조색1 2 5 8" xfId="0"/>
    <cellStyle name="20% - 강조색1 2 5 9" xfId="0"/>
    <cellStyle name="20% - 강조색1 2 6" xfId="0"/>
    <cellStyle name="20% - 강조색1 2 6 10" xfId="0"/>
    <cellStyle name="20% - 강조색1 2 6 2" xfId="0"/>
    <cellStyle name="20% - 강조색1 2 6 3" xfId="0"/>
    <cellStyle name="20% - 강조색1 2 6 4" xfId="0"/>
    <cellStyle name="20% - 강조색1 2 6 5" xfId="0"/>
    <cellStyle name="20% - 강조색1 2 6 6" xfId="0"/>
    <cellStyle name="20% - 강조색1 2 6 7" xfId="0"/>
    <cellStyle name="20% - 강조색1 2 6 8" xfId="0"/>
    <cellStyle name="20% - 강조색1 2 6 9" xfId="0"/>
    <cellStyle name="20% - 강조색1 2 7" xfId="0"/>
    <cellStyle name="20% - 강조색1 2 7 10" xfId="0"/>
    <cellStyle name="20% - 강조색1 2 7 2" xfId="0"/>
    <cellStyle name="20% - 강조색1 2 7 3" xfId="0"/>
    <cellStyle name="20% - 강조색1 2 7 4" xfId="0"/>
    <cellStyle name="20% - 강조색1 2 7 5" xfId="0"/>
    <cellStyle name="20% - 강조색1 2 7 6" xfId="0"/>
    <cellStyle name="20% - 강조색1 2 7 7" xfId="0"/>
    <cellStyle name="20% - 강조색1 2 7 8" xfId="0"/>
    <cellStyle name="20% - 강조색1 2 7 9" xfId="0"/>
    <cellStyle name="20% - 강조색1 2 8" xfId="0"/>
    <cellStyle name="20% - 강조색1 2 8 2" xfId="0"/>
    <cellStyle name="20% - 강조색1 2 9" xfId="0"/>
    <cellStyle name="20% - 강조색1 2 9 2" xfId="0"/>
    <cellStyle name="20% - 강조색1 20" xfId="0"/>
    <cellStyle name="20% - 강조색1 20 2" xfId="0"/>
    <cellStyle name="20% - 강조색1 20 3" xfId="0"/>
    <cellStyle name="20% - 강조색1 20 4" xfId="0"/>
    <cellStyle name="20% - 강조색1 20 5" xfId="0"/>
    <cellStyle name="20% - 강조색1 20 6" xfId="0"/>
    <cellStyle name="20% - 강조색1 20 7" xfId="0"/>
    <cellStyle name="20% - 강조색1 20 8" xfId="0"/>
    <cellStyle name="20% - 강조색1 20 9" xfId="0"/>
    <cellStyle name="20% - 강조색1 21" xfId="0"/>
    <cellStyle name="20% - 강조색1 21 2" xfId="0"/>
    <cellStyle name="20% - 강조색1 21 3" xfId="0"/>
    <cellStyle name="20% - 강조색1 21 4" xfId="0"/>
    <cellStyle name="20% - 강조색1 21 5" xfId="0"/>
    <cellStyle name="20% - 강조색1 21 6" xfId="0"/>
    <cellStyle name="20% - 강조색1 21 7" xfId="0"/>
    <cellStyle name="20% - 강조색1 21 8" xfId="0"/>
    <cellStyle name="20% - 강조색1 21 9" xfId="0"/>
    <cellStyle name="20% - 강조색1 22" xfId="0"/>
    <cellStyle name="20% - 강조색1 22 2" xfId="0"/>
    <cellStyle name="20% - 강조색1 22 3" xfId="0"/>
    <cellStyle name="20% - 강조색1 22 4" xfId="0"/>
    <cellStyle name="20% - 강조색1 22 5" xfId="0"/>
    <cellStyle name="20% - 강조색1 22 6" xfId="0"/>
    <cellStyle name="20% - 강조색1 22 7" xfId="0"/>
    <cellStyle name="20% - 강조색1 22 8" xfId="0"/>
    <cellStyle name="20% - 강조색1 22 9" xfId="0"/>
    <cellStyle name="20% - 강조색1 23" xfId="0"/>
    <cellStyle name="20% - 강조색1 23 2" xfId="0"/>
    <cellStyle name="20% - 강조색1 23 3" xfId="0"/>
    <cellStyle name="20% - 강조색1 23 4" xfId="0"/>
    <cellStyle name="20% - 강조색1 23 5" xfId="0"/>
    <cellStyle name="20% - 강조색1 23 6" xfId="0"/>
    <cellStyle name="20% - 강조색1 23 7" xfId="0"/>
    <cellStyle name="20% - 강조색1 23 8" xfId="0"/>
    <cellStyle name="20% - 강조색1 23 9" xfId="0"/>
    <cellStyle name="20% - 강조색1 24" xfId="0"/>
    <cellStyle name="20% - 강조색1 24 2" xfId="0"/>
    <cellStyle name="20% - 강조색1 24 3" xfId="0"/>
    <cellStyle name="20% - 강조색1 24 4" xfId="0"/>
    <cellStyle name="20% - 강조색1 24 5" xfId="0"/>
    <cellStyle name="20% - 강조색1 24 6" xfId="0"/>
    <cellStyle name="20% - 강조색1 24 7" xfId="0"/>
    <cellStyle name="20% - 강조색1 24 8" xfId="0"/>
    <cellStyle name="20% - 강조색1 24 9" xfId="0"/>
    <cellStyle name="20% - 강조색1 25" xfId="0"/>
    <cellStyle name="20% - 강조색1 25 2" xfId="0"/>
    <cellStyle name="20% - 강조색1 25 3" xfId="0"/>
    <cellStyle name="20% - 강조색1 25 4" xfId="0"/>
    <cellStyle name="20% - 강조색1 25 5" xfId="0"/>
    <cellStyle name="20% - 강조색1 25 6" xfId="0"/>
    <cellStyle name="20% - 강조색1 25 7" xfId="0"/>
    <cellStyle name="20% - 강조색1 25 8" xfId="0"/>
    <cellStyle name="20% - 강조색1 25 9" xfId="0"/>
    <cellStyle name="20% - 강조색1 26" xfId="0"/>
    <cellStyle name="20% - 강조색1 26 2" xfId="0"/>
    <cellStyle name="20% - 강조색1 26 3" xfId="0"/>
    <cellStyle name="20% - 강조색1 26 4" xfId="0"/>
    <cellStyle name="20% - 강조색1 26 5" xfId="0"/>
    <cellStyle name="20% - 강조색1 26 6" xfId="0"/>
    <cellStyle name="20% - 강조색1 26 7" xfId="0"/>
    <cellStyle name="20% - 강조색1 26 8" xfId="0"/>
    <cellStyle name="20% - 강조색1 26 9" xfId="0"/>
    <cellStyle name="20% - 강조색1 27" xfId="0"/>
    <cellStyle name="20% - 강조색1 27 2" xfId="0"/>
    <cellStyle name="20% - 강조색1 27 3" xfId="0"/>
    <cellStyle name="20% - 강조색1 27 4" xfId="0"/>
    <cellStyle name="20% - 강조색1 27 5" xfId="0"/>
    <cellStyle name="20% - 강조색1 27 6" xfId="0"/>
    <cellStyle name="20% - 강조색1 27 7" xfId="0"/>
    <cellStyle name="20% - 강조색1 27 8" xfId="0"/>
    <cellStyle name="20% - 강조색1 27 9" xfId="0"/>
    <cellStyle name="20% - 강조색1 28 2" xfId="0"/>
    <cellStyle name="20% - 강조색1 28 3" xfId="0"/>
    <cellStyle name="20% - 강조색1 28 4" xfId="0"/>
    <cellStyle name="20% - 강조색1 28 5" xfId="0"/>
    <cellStyle name="20% - 강조색1 28 6" xfId="0"/>
    <cellStyle name="20% - 강조색1 28 7" xfId="0"/>
    <cellStyle name="20% - 강조색1 28 8" xfId="0"/>
    <cellStyle name="20% - 강조색1 28 9" xfId="0"/>
    <cellStyle name="20% - 강조색1 29 2" xfId="0"/>
    <cellStyle name="20% - 강조색1 29 3" xfId="0"/>
    <cellStyle name="20% - 강조색1 29 4" xfId="0"/>
    <cellStyle name="20% - 강조색1 29 5" xfId="0"/>
    <cellStyle name="20% - 강조색1 29 6" xfId="0"/>
    <cellStyle name="20% - 강조색1 29 7" xfId="0"/>
    <cellStyle name="20% - 강조색1 29 8" xfId="0"/>
    <cellStyle name="20% - 강조색1 29 9" xfId="0"/>
    <cellStyle name="20% - 강조색1 2_3300현금및예치금" xfId="0"/>
    <cellStyle name="20% - 강조색1 3" xfId="0"/>
    <cellStyle name="20% - 강조색1 3 10" xfId="0"/>
    <cellStyle name="20% - 강조색1 3 10 2" xfId="0"/>
    <cellStyle name="20% - 강조색1 3 10 3" xfId="0"/>
    <cellStyle name="20% - 강조색1 3 11" xfId="0"/>
    <cellStyle name="20% - 강조색1 3 11 2" xfId="0"/>
    <cellStyle name="20% - 강조색1 3 11 3" xfId="0"/>
    <cellStyle name="20% - 강조색1 3 12" xfId="0"/>
    <cellStyle name="20% - 강조색1 3 12 2" xfId="0"/>
    <cellStyle name="20% - 강조색1 3 12 3" xfId="0"/>
    <cellStyle name="20% - 강조색1 3 13" xfId="0"/>
    <cellStyle name="20% - 강조색1 3 14" xfId="0"/>
    <cellStyle name="20% - 강조색1 3 15" xfId="0"/>
    <cellStyle name="20% - 강조색1 3 16" xfId="0"/>
    <cellStyle name="20% - 강조색1 3 17" xfId="0"/>
    <cellStyle name="20% - 강조색1 3 18" xfId="0"/>
    <cellStyle name="20% - 강조색1 3 19" xfId="0"/>
    <cellStyle name="20% - 강조색1 3 19 2" xfId="0"/>
    <cellStyle name="20% - 강조색1 3 2" xfId="0"/>
    <cellStyle name="20% - 강조색1 3 2 2" xfId="0"/>
    <cellStyle name="20% - 강조색1 3 2 3" xfId="0"/>
    <cellStyle name="20% - 강조색1 3 20" xfId="0"/>
    <cellStyle name="20% - 강조색1 3 21" xfId="0"/>
    <cellStyle name="20% - 강조색1 3 22" xfId="0"/>
    <cellStyle name="20% - 강조색1 3 23" xfId="0"/>
    <cellStyle name="20% - 강조색1 3 3" xfId="0"/>
    <cellStyle name="20% - 강조색1 3 3 2" xfId="0"/>
    <cellStyle name="20% - 강조색1 3 3 3" xfId="0"/>
    <cellStyle name="20% - 강조색1 3 4" xfId="0"/>
    <cellStyle name="20% - 강조색1 3 4 2" xfId="0"/>
    <cellStyle name="20% - 강조색1 3 4 3" xfId="0"/>
    <cellStyle name="20% - 강조색1 3 5" xfId="0"/>
    <cellStyle name="20% - 강조색1 3 5 2" xfId="0"/>
    <cellStyle name="20% - 강조색1 3 5 3" xfId="0"/>
    <cellStyle name="20% - 강조색1 3 6" xfId="0"/>
    <cellStyle name="20% - 강조색1 3 6 2" xfId="0"/>
    <cellStyle name="20% - 강조색1 3 6 3" xfId="0"/>
    <cellStyle name="20% - 강조색1 3 7" xfId="0"/>
    <cellStyle name="20% - 강조색1 3 7 2" xfId="0"/>
    <cellStyle name="20% - 강조색1 3 7 3" xfId="0"/>
    <cellStyle name="20% - 강조색1 3 8" xfId="0"/>
    <cellStyle name="20% - 강조색1 3 8 2" xfId="0"/>
    <cellStyle name="20% - 강조색1 3 8 3" xfId="0"/>
    <cellStyle name="20% - 강조색1 3 9" xfId="0"/>
    <cellStyle name="20% - 강조색1 3 9 2" xfId="0"/>
    <cellStyle name="20% - 강조색1 3 9 3" xfId="0"/>
    <cellStyle name="20% - 강조색1 30 2" xfId="0"/>
    <cellStyle name="20% - 강조색1 30 3" xfId="0"/>
    <cellStyle name="20% - 강조색1 30 4" xfId="0"/>
    <cellStyle name="20% - 강조색1 30 5" xfId="0"/>
    <cellStyle name="20% - 강조색1 30 6" xfId="0"/>
    <cellStyle name="20% - 강조색1 30 7" xfId="0"/>
    <cellStyle name="20% - 강조색1 30 8" xfId="0"/>
    <cellStyle name="20% - 강조색1 30 9" xfId="0"/>
    <cellStyle name="20% - 강조색1 31 2" xfId="0"/>
    <cellStyle name="20% - 강조색1 31 3" xfId="0"/>
    <cellStyle name="20% - 강조색1 31 4" xfId="0"/>
    <cellStyle name="20% - 강조색1 31 5" xfId="0"/>
    <cellStyle name="20% - 강조색1 31 6" xfId="0"/>
    <cellStyle name="20% - 강조색1 31 7" xfId="0"/>
    <cellStyle name="20% - 강조색1 31 8" xfId="0"/>
    <cellStyle name="20% - 강조색1 31 9" xfId="0"/>
    <cellStyle name="20% - 강조색1 32 2" xfId="0"/>
    <cellStyle name="20% - 강조색1 32 3" xfId="0"/>
    <cellStyle name="20% - 강조색1 32 4" xfId="0"/>
    <cellStyle name="20% - 강조색1 32 5" xfId="0"/>
    <cellStyle name="20% - 강조색1 32 6" xfId="0"/>
    <cellStyle name="20% - 강조색1 32 7" xfId="0"/>
    <cellStyle name="20% - 강조색1 32 8" xfId="0"/>
    <cellStyle name="20% - 강조색1 32 9" xfId="0"/>
    <cellStyle name="20% - 강조색1 33 2" xfId="0"/>
    <cellStyle name="20% - 강조색1 33 3" xfId="0"/>
    <cellStyle name="20% - 강조색1 33 4" xfId="0"/>
    <cellStyle name="20% - 강조색1 33 5" xfId="0"/>
    <cellStyle name="20% - 강조색1 33 6" xfId="0"/>
    <cellStyle name="20% - 강조색1 33 7" xfId="0"/>
    <cellStyle name="20% - 강조색1 33 8" xfId="0"/>
    <cellStyle name="20% - 강조색1 33 9" xfId="0"/>
    <cellStyle name="20% - 강조색1 34 2" xfId="0"/>
    <cellStyle name="20% - 강조색1 34 3" xfId="0"/>
    <cellStyle name="20% - 강조색1 34 4" xfId="0"/>
    <cellStyle name="20% - 강조색1 34 5" xfId="0"/>
    <cellStyle name="20% - 강조색1 34 6" xfId="0"/>
    <cellStyle name="20% - 강조색1 34 7" xfId="0"/>
    <cellStyle name="20% - 강조색1 34 8" xfId="0"/>
    <cellStyle name="20% - 강조색1 34 9" xfId="0"/>
    <cellStyle name="20% - 강조색1 35 2" xfId="0"/>
    <cellStyle name="20% - 강조색1 35 3" xfId="0"/>
    <cellStyle name="20% - 강조색1 35 4" xfId="0"/>
    <cellStyle name="20% - 강조색1 35 5" xfId="0"/>
    <cellStyle name="20% - 강조색1 35 6" xfId="0"/>
    <cellStyle name="20% - 강조색1 35 7" xfId="0"/>
    <cellStyle name="20% - 강조색1 35 8" xfId="0"/>
    <cellStyle name="20% - 강조색1 35 9" xfId="0"/>
    <cellStyle name="20% - 강조색1 3_운용자산별 손익분석" xfId="0"/>
    <cellStyle name="20% - 강조색1 4" xfId="0"/>
    <cellStyle name="20% - 강조색1 4 10" xfId="0"/>
    <cellStyle name="20% - 강조색1 4 11" xfId="0"/>
    <cellStyle name="20% - 강조색1 4 12" xfId="0"/>
    <cellStyle name="20% - 강조색1 4 13" xfId="0"/>
    <cellStyle name="20% - 강조색1 4 14" xfId="0"/>
    <cellStyle name="20% - 강조색1 4 15" xfId="0"/>
    <cellStyle name="20% - 강조색1 4 16" xfId="0"/>
    <cellStyle name="20% - 강조색1 4 17" xfId="0"/>
    <cellStyle name="20% - 강조색1 4 18" xfId="0"/>
    <cellStyle name="20% - 강조색1 4 19" xfId="0"/>
    <cellStyle name="20% - 강조색1 4 2" xfId="0"/>
    <cellStyle name="20% - 강조색1 4 20" xfId="0"/>
    <cellStyle name="20% - 강조색1 4 21" xfId="0"/>
    <cellStyle name="20% - 강조색1 4 22" xfId="0"/>
    <cellStyle name="20% - 강조색1 4 23" xfId="0"/>
    <cellStyle name="20% - 강조색1 4 24" xfId="0"/>
    <cellStyle name="20% - 강조색1 4 3" xfId="0"/>
    <cellStyle name="20% - 강조색1 4 4" xfId="0"/>
    <cellStyle name="20% - 강조색1 4 5" xfId="0"/>
    <cellStyle name="20% - 강조색1 4 6" xfId="0"/>
    <cellStyle name="20% - 강조색1 4 7" xfId="0"/>
    <cellStyle name="20% - 강조색1 4 8" xfId="0"/>
    <cellStyle name="20% - 강조색1 4 9" xfId="0"/>
    <cellStyle name="20% - 강조색1 4_운용자산별 손익분석" xfId="0"/>
    <cellStyle name="20% - 강조색1 5" xfId="0"/>
    <cellStyle name="20% - 강조색1 5 10" xfId="0"/>
    <cellStyle name="20% - 강조색1 5 11" xfId="0"/>
    <cellStyle name="20% - 강조색1 5 12" xfId="0"/>
    <cellStyle name="20% - 강조색1 5 13" xfId="0"/>
    <cellStyle name="20% - 강조색1 5 14" xfId="0"/>
    <cellStyle name="20% - 강조색1 5 15" xfId="0"/>
    <cellStyle name="20% - 강조색1 5 16" xfId="0"/>
    <cellStyle name="20% - 강조색1 5 17" xfId="0"/>
    <cellStyle name="20% - 강조색1 5 18" xfId="0"/>
    <cellStyle name="20% - 강조색1 5 19" xfId="0"/>
    <cellStyle name="20% - 강조색1 5 2" xfId="0"/>
    <cellStyle name="20% - 강조색1 5 20" xfId="0"/>
    <cellStyle name="20% - 강조색1 5 21" xfId="0"/>
    <cellStyle name="20% - 강조색1 5 22" xfId="0"/>
    <cellStyle name="20% - 강조색1 5 23" xfId="0"/>
    <cellStyle name="20% - 강조색1 5 24" xfId="0"/>
    <cellStyle name="20% - 강조색1 5 25" xfId="0"/>
    <cellStyle name="20% - 강조색1 5 26" xfId="0"/>
    <cellStyle name="20% - 강조색1 5 27" xfId="0"/>
    <cellStyle name="20% - 강조색1 5 28" xfId="0"/>
    <cellStyle name="20% - 강조색1 5 29" xfId="0"/>
    <cellStyle name="20% - 강조색1 5 3" xfId="0"/>
    <cellStyle name="20% - 강조색1 5 30" xfId="0"/>
    <cellStyle name="20% - 강조색1 5 31" xfId="0"/>
    <cellStyle name="20% - 강조색1 5 32" xfId="0"/>
    <cellStyle name="20% - 강조색1 5 33" xfId="0"/>
    <cellStyle name="20% - 강조색1 5 34" xfId="0"/>
    <cellStyle name="20% - 강조색1 5 4" xfId="0"/>
    <cellStyle name="20% - 강조색1 5 5" xfId="0"/>
    <cellStyle name="20% - 강조색1 5 6" xfId="0"/>
    <cellStyle name="20% - 강조색1 5 7" xfId="0"/>
    <cellStyle name="20% - 강조색1 5 8" xfId="0"/>
    <cellStyle name="20% - 강조색1 5 9" xfId="0"/>
    <cellStyle name="20% - 강조색1 6" xfId="0"/>
    <cellStyle name="20% - 강조색1 6 10" xfId="0"/>
    <cellStyle name="20% - 강조색1 6 11" xfId="0"/>
    <cellStyle name="20% - 강조색1 6 12" xfId="0"/>
    <cellStyle name="20% - 강조색1 6 13" xfId="0"/>
    <cellStyle name="20% - 강조색1 6 14" xfId="0"/>
    <cellStyle name="20% - 강조색1 6 15" xfId="0"/>
    <cellStyle name="20% - 강조색1 6 16" xfId="0"/>
    <cellStyle name="20% - 강조색1 6 17" xfId="0"/>
    <cellStyle name="20% - 강조색1 6 18" xfId="0"/>
    <cellStyle name="20% - 강조색1 6 19" xfId="0"/>
    <cellStyle name="20% - 강조색1 6 2" xfId="0"/>
    <cellStyle name="20% - 강조색1 6 20" xfId="0"/>
    <cellStyle name="20% - 강조색1 6 21" xfId="0"/>
    <cellStyle name="20% - 강조색1 6 22" xfId="0"/>
    <cellStyle name="20% - 강조색1 6 23" xfId="0"/>
    <cellStyle name="20% - 강조색1 6 24" xfId="0"/>
    <cellStyle name="20% - 강조색1 6 25" xfId="0"/>
    <cellStyle name="20% - 강조색1 6 26" xfId="0"/>
    <cellStyle name="20% - 강조색1 6 27" xfId="0"/>
    <cellStyle name="20% - 강조색1 6 28" xfId="0"/>
    <cellStyle name="20% - 강조색1 6 29" xfId="0"/>
    <cellStyle name="20% - 강조색1 6 3" xfId="0"/>
    <cellStyle name="20% - 강조색1 6 30" xfId="0"/>
    <cellStyle name="20% - 강조색1 6 4" xfId="0"/>
    <cellStyle name="20% - 강조색1 6 5" xfId="0"/>
    <cellStyle name="20% - 강조색1 6 6" xfId="0"/>
    <cellStyle name="20% - 강조색1 6 7" xfId="0"/>
    <cellStyle name="20% - 강조색1 6 8" xfId="0"/>
    <cellStyle name="20% - 강조색1 6 9" xfId="0"/>
    <cellStyle name="20% - 강조색1 7" xfId="0"/>
    <cellStyle name="20% - 강조색1 7 10" xfId="0"/>
    <cellStyle name="20% - 강조색1 7 11" xfId="0"/>
    <cellStyle name="20% - 강조색1 7 12" xfId="0"/>
    <cellStyle name="20% - 강조색1 7 13" xfId="0"/>
    <cellStyle name="20% - 강조색1 7 14" xfId="0"/>
    <cellStyle name="20% - 강조색1 7 15" xfId="0"/>
    <cellStyle name="20% - 강조색1 7 16" xfId="0"/>
    <cellStyle name="20% - 강조색1 7 17" xfId="0"/>
    <cellStyle name="20% - 강조색1 7 18" xfId="0"/>
    <cellStyle name="20% - 강조색1 7 19" xfId="0"/>
    <cellStyle name="20% - 강조색1 7 2" xfId="0"/>
    <cellStyle name="20% - 강조색1 7 2 2" xfId="0"/>
    <cellStyle name="20% - 강조색1 7 2 3" xfId="0"/>
    <cellStyle name="20% - 강조색1 7 20" xfId="0"/>
    <cellStyle name="20% - 강조색1 7 21" xfId="0"/>
    <cellStyle name="20% - 강조색1 7 22" xfId="0"/>
    <cellStyle name="20% - 강조색1 7 23" xfId="0"/>
    <cellStyle name="20% - 강조색1 7 24" xfId="0"/>
    <cellStyle name="20% - 강조색1 7 3" xfId="0"/>
    <cellStyle name="20% - 강조색1 7 3 2" xfId="0"/>
    <cellStyle name="20% - 강조색1 7 3 3" xfId="0"/>
    <cellStyle name="20% - 강조색1 7 4" xfId="0"/>
    <cellStyle name="20% - 강조색1 7 4 2" xfId="0"/>
    <cellStyle name="20% - 강조색1 7 4 3" xfId="0"/>
    <cellStyle name="20% - 강조색1 7 5" xfId="0"/>
    <cellStyle name="20% - 강조색1 7 5 2" xfId="0"/>
    <cellStyle name="20% - 강조색1 7 5 3" xfId="0"/>
    <cellStyle name="20% - 강조색1 7 6" xfId="0"/>
    <cellStyle name="20% - 강조색1 7 6 2" xfId="0"/>
    <cellStyle name="20% - 강조색1 7 6 3" xfId="0"/>
    <cellStyle name="20% - 강조색1 7 7" xfId="0"/>
    <cellStyle name="20% - 강조색1 7 8" xfId="0"/>
    <cellStyle name="20% - 강조색1 7 9" xfId="0"/>
    <cellStyle name="20% - 강조색1 8" xfId="0"/>
    <cellStyle name="20% - 강조색1 8 10" xfId="0"/>
    <cellStyle name="20% - 강조색1 8 11" xfId="0"/>
    <cellStyle name="20% - 강조색1 8 12" xfId="0"/>
    <cellStyle name="20% - 강조색1 8 13" xfId="0"/>
    <cellStyle name="20% - 강조색1 8 14" xfId="0"/>
    <cellStyle name="20% - 강조색1 8 15" xfId="0"/>
    <cellStyle name="20% - 강조색1 8 16" xfId="0"/>
    <cellStyle name="20% - 강조색1 8 17" xfId="0"/>
    <cellStyle name="20% - 강조색1 8 18" xfId="0"/>
    <cellStyle name="20% - 강조색1 8 19" xfId="0"/>
    <cellStyle name="20% - 강조색1 8 2" xfId="0"/>
    <cellStyle name="20% - 강조색1 8 2 2" xfId="0"/>
    <cellStyle name="20% - 강조색1 8 2 3" xfId="0"/>
    <cellStyle name="20% - 강조색1 8 20" xfId="0"/>
    <cellStyle name="20% - 강조색1 8 21" xfId="0"/>
    <cellStyle name="20% - 강조색1 8 22" xfId="0"/>
    <cellStyle name="20% - 강조색1 8 23" xfId="0"/>
    <cellStyle name="20% - 강조색1 8 24" xfId="0"/>
    <cellStyle name="20% - 강조색1 8 3" xfId="0"/>
    <cellStyle name="20% - 강조색1 8 3 2" xfId="0"/>
    <cellStyle name="20% - 강조색1 8 3 3" xfId="0"/>
    <cellStyle name="20% - 강조색1 8 4" xfId="0"/>
    <cellStyle name="20% - 강조색1 8 4 2" xfId="0"/>
    <cellStyle name="20% - 강조색1 8 4 3" xfId="0"/>
    <cellStyle name="20% - 강조색1 8 5" xfId="0"/>
    <cellStyle name="20% - 강조색1 8 5 2" xfId="0"/>
    <cellStyle name="20% - 강조색1 8 5 3" xfId="0"/>
    <cellStyle name="20% - 강조색1 8 6" xfId="0"/>
    <cellStyle name="20% - 강조색1 8 6 2" xfId="0"/>
    <cellStyle name="20% - 강조색1 8 6 3" xfId="0"/>
    <cellStyle name="20% - 강조색1 8 7" xfId="0"/>
    <cellStyle name="20% - 강조색1 8 8" xfId="0"/>
    <cellStyle name="20% - 강조색1 8 9" xfId="0"/>
    <cellStyle name="20% - 강조색1 9" xfId="0"/>
    <cellStyle name="20% - 강조색1 9 10" xfId="0"/>
    <cellStyle name="20% - 강조색1 9 11" xfId="0"/>
    <cellStyle name="20% - 강조색1 9 12" xfId="0"/>
    <cellStyle name="20% - 강조색1 9 13" xfId="0"/>
    <cellStyle name="20% - 강조색1 9 14" xfId="0"/>
    <cellStyle name="20% - 강조색1 9 15" xfId="0"/>
    <cellStyle name="20% - 강조색1 9 16" xfId="0"/>
    <cellStyle name="20% - 강조색1 9 17" xfId="0"/>
    <cellStyle name="20% - 강조색1 9 18" xfId="0"/>
    <cellStyle name="20% - 강조색1 9 19" xfId="0"/>
    <cellStyle name="20% - 강조색1 9 2" xfId="0"/>
    <cellStyle name="20% - 강조색1 9 2 2" xfId="0"/>
    <cellStyle name="20% - 강조색1 9 2 3" xfId="0"/>
    <cellStyle name="20% - 강조색1 9 20" xfId="0"/>
    <cellStyle name="20% - 강조색1 9 21" xfId="0"/>
    <cellStyle name="20% - 강조색1 9 22" xfId="0"/>
    <cellStyle name="20% - 강조색1 9 23" xfId="0"/>
    <cellStyle name="20% - 강조색1 9 24" xfId="0"/>
    <cellStyle name="20% - 강조색1 9 3" xfId="0"/>
    <cellStyle name="20% - 강조색1 9 3 2" xfId="0"/>
    <cellStyle name="20% - 강조색1 9 3 3" xfId="0"/>
    <cellStyle name="20% - 강조색1 9 4" xfId="0"/>
    <cellStyle name="20% - 강조색1 9 4 2" xfId="0"/>
    <cellStyle name="20% - 강조색1 9 4 3" xfId="0"/>
    <cellStyle name="20% - 강조색1 9 5" xfId="0"/>
    <cellStyle name="20% - 강조색1 9 5 2" xfId="0"/>
    <cellStyle name="20% - 강조색1 9 5 3" xfId="0"/>
    <cellStyle name="20% - 강조색1 9 6" xfId="0"/>
    <cellStyle name="20% - 강조색1 9 6 2" xfId="0"/>
    <cellStyle name="20% - 강조색1 9 6 3" xfId="0"/>
    <cellStyle name="20% - 강조색1 9 7" xfId="0"/>
    <cellStyle name="20% - 강조색1 9 8" xfId="0"/>
    <cellStyle name="20% - 강조색1 9 9" xfId="0"/>
    <cellStyle name="20% - 강조색2 10" xfId="0"/>
    <cellStyle name="20% - 강조색2 10 10" xfId="0"/>
    <cellStyle name="20% - 강조색2 10 11" xfId="0"/>
    <cellStyle name="20% - 강조색2 10 12" xfId="0"/>
    <cellStyle name="20% - 강조색2 10 13" xfId="0"/>
    <cellStyle name="20% - 강조색2 10 14" xfId="0"/>
    <cellStyle name="20% - 강조색2 10 15" xfId="0"/>
    <cellStyle name="20% - 강조색2 10 16" xfId="0"/>
    <cellStyle name="20% - 강조색2 10 17" xfId="0"/>
    <cellStyle name="20% - 강조색2 10 18" xfId="0"/>
    <cellStyle name="20% - 강조색2 10 19" xfId="0"/>
    <cellStyle name="20% - 강조색2 10 2" xfId="0"/>
    <cellStyle name="20% - 강조색2 10 2 2" xfId="0"/>
    <cellStyle name="20% - 강조색2 10 2 3" xfId="0"/>
    <cellStyle name="20% - 강조색2 10 20" xfId="0"/>
    <cellStyle name="20% - 강조색2 10 21" xfId="0"/>
    <cellStyle name="20% - 강조색2 10 22" xfId="0"/>
    <cellStyle name="20% - 강조색2 10 23" xfId="0"/>
    <cellStyle name="20% - 강조색2 10 24" xfId="0"/>
    <cellStyle name="20% - 강조색2 10 3" xfId="0"/>
    <cellStyle name="20% - 강조색2 10 3 2" xfId="0"/>
    <cellStyle name="20% - 강조색2 10 3 3" xfId="0"/>
    <cellStyle name="20% - 강조색2 10 4" xfId="0"/>
    <cellStyle name="20% - 강조색2 10 4 2" xfId="0"/>
    <cellStyle name="20% - 강조색2 10 4 3" xfId="0"/>
    <cellStyle name="20% - 강조색2 10 5" xfId="0"/>
    <cellStyle name="20% - 강조색2 10 5 2" xfId="0"/>
    <cellStyle name="20% - 강조색2 10 5 3" xfId="0"/>
    <cellStyle name="20% - 강조색2 10 6" xfId="0"/>
    <cellStyle name="20% - 강조색2 10 6 2" xfId="0"/>
    <cellStyle name="20% - 강조색2 10 6 3" xfId="0"/>
    <cellStyle name="20% - 강조색2 10 7" xfId="0"/>
    <cellStyle name="20% - 강조색2 10 8" xfId="0"/>
    <cellStyle name="20% - 강조색2 10 9" xfId="0"/>
    <cellStyle name="20% - 강조색2 11" xfId="0"/>
    <cellStyle name="20% - 강조색2 11 10" xfId="0"/>
    <cellStyle name="20% - 강조색2 11 2" xfId="0"/>
    <cellStyle name="20% - 강조색2 11 2 2" xfId="0"/>
    <cellStyle name="20% - 강조색2 11 2 3" xfId="0"/>
    <cellStyle name="20% - 강조색2 11 3" xfId="0"/>
    <cellStyle name="20% - 강조색2 11 3 2" xfId="0"/>
    <cellStyle name="20% - 강조색2 11 3 3" xfId="0"/>
    <cellStyle name="20% - 강조색2 11 4" xfId="0"/>
    <cellStyle name="20% - 강조색2 11 4 2" xfId="0"/>
    <cellStyle name="20% - 강조색2 11 4 3" xfId="0"/>
    <cellStyle name="20% - 강조색2 11 5" xfId="0"/>
    <cellStyle name="20% - 강조색2 11 5 2" xfId="0"/>
    <cellStyle name="20% - 강조색2 11 5 3" xfId="0"/>
    <cellStyle name="20% - 강조색2 11 6" xfId="0"/>
    <cellStyle name="20% - 강조색2 11 6 2" xfId="0"/>
    <cellStyle name="20% - 강조색2 11 6 3" xfId="0"/>
    <cellStyle name="20% - 강조색2 11 7" xfId="0"/>
    <cellStyle name="20% - 강조색2 11 8" xfId="0"/>
    <cellStyle name="20% - 강조색2 11 9" xfId="0"/>
    <cellStyle name="20% - 강조색2 12" xfId="0"/>
    <cellStyle name="20% - 강조색2 12 2" xfId="0"/>
    <cellStyle name="20% - 강조색2 12 3" xfId="0"/>
    <cellStyle name="20% - 강조색2 12 4" xfId="0"/>
    <cellStyle name="20% - 강조색2 12 5" xfId="0"/>
    <cellStyle name="20% - 강조색2 12 6" xfId="0"/>
    <cellStyle name="20% - 강조색2 12 7" xfId="0"/>
    <cellStyle name="20% - 강조색2 12 8" xfId="0"/>
    <cellStyle name="20% - 강조색2 12 9" xfId="0"/>
    <cellStyle name="20% - 강조색2 13" xfId="0"/>
    <cellStyle name="20% - 강조색2 13 2" xfId="0"/>
    <cellStyle name="20% - 강조색2 13 3" xfId="0"/>
    <cellStyle name="20% - 강조색2 13 4" xfId="0"/>
    <cellStyle name="20% - 강조색2 13 5" xfId="0"/>
    <cellStyle name="20% - 강조색2 13 6" xfId="0"/>
    <cellStyle name="20% - 강조색2 13 7" xfId="0"/>
    <cellStyle name="20% - 강조색2 13 8" xfId="0"/>
    <cellStyle name="20% - 강조색2 13 9" xfId="0"/>
    <cellStyle name="20% - 강조색2 14" xfId="0"/>
    <cellStyle name="20% - 강조색2 14 2" xfId="0"/>
    <cellStyle name="20% - 강조색2 14 3" xfId="0"/>
    <cellStyle name="20% - 강조색2 14 4" xfId="0"/>
    <cellStyle name="20% - 강조색2 14 5" xfId="0"/>
    <cellStyle name="20% - 강조색2 14 6" xfId="0"/>
    <cellStyle name="20% - 강조색2 14 7" xfId="0"/>
    <cellStyle name="20% - 강조색2 14 8" xfId="0"/>
    <cellStyle name="20% - 강조색2 14 9" xfId="0"/>
    <cellStyle name="20% - 강조색2 15" xfId="0"/>
    <cellStyle name="20% - 강조색2 15 2" xfId="0"/>
    <cellStyle name="20% - 강조색2 15 3" xfId="0"/>
    <cellStyle name="20% - 강조색2 15 4" xfId="0"/>
    <cellStyle name="20% - 강조색2 15 5" xfId="0"/>
    <cellStyle name="20% - 강조색2 15 6" xfId="0"/>
    <cellStyle name="20% - 강조색2 15 7" xfId="0"/>
    <cellStyle name="20% - 강조색2 15 8" xfId="0"/>
    <cellStyle name="20% - 강조색2 15 9" xfId="0"/>
    <cellStyle name="20% - 강조색2 16" xfId="0"/>
    <cellStyle name="20% - 강조색2 16 2" xfId="0"/>
    <cellStyle name="20% - 강조색2 16 3" xfId="0"/>
    <cellStyle name="20% - 강조색2 16 4" xfId="0"/>
    <cellStyle name="20% - 강조색2 16 5" xfId="0"/>
    <cellStyle name="20% - 강조색2 16 6" xfId="0"/>
    <cellStyle name="20% - 강조색2 16 7" xfId="0"/>
    <cellStyle name="20% - 강조색2 16 8" xfId="0"/>
    <cellStyle name="20% - 강조색2 16 9" xfId="0"/>
    <cellStyle name="20% - 강조색2 17" xfId="0"/>
    <cellStyle name="20% - 강조색2 17 2" xfId="0"/>
    <cellStyle name="20% - 강조색2 17 3" xfId="0"/>
    <cellStyle name="20% - 강조색2 17 4" xfId="0"/>
    <cellStyle name="20% - 강조색2 17 5" xfId="0"/>
    <cellStyle name="20% - 강조색2 17 6" xfId="0"/>
    <cellStyle name="20% - 강조색2 17 7" xfId="0"/>
    <cellStyle name="20% - 강조색2 17 8" xfId="0"/>
    <cellStyle name="20% - 강조색2 17 9" xfId="0"/>
    <cellStyle name="20% - 강조색2 18" xfId="0"/>
    <cellStyle name="20% - 강조색2 18 2" xfId="0"/>
    <cellStyle name="20% - 강조색2 18 3" xfId="0"/>
    <cellStyle name="20% - 강조색2 18 4" xfId="0"/>
    <cellStyle name="20% - 강조색2 18 5" xfId="0"/>
    <cellStyle name="20% - 강조색2 18 6" xfId="0"/>
    <cellStyle name="20% - 강조색2 18 7" xfId="0"/>
    <cellStyle name="20% - 강조색2 18 8" xfId="0"/>
    <cellStyle name="20% - 강조색2 18 9" xfId="0"/>
    <cellStyle name="20% - 강조색2 19" xfId="0"/>
    <cellStyle name="20% - 강조색2 19 2" xfId="0"/>
    <cellStyle name="20% - 강조색2 19 3" xfId="0"/>
    <cellStyle name="20% - 강조색2 19 4" xfId="0"/>
    <cellStyle name="20% - 강조색2 19 5" xfId="0"/>
    <cellStyle name="20% - 강조색2 19 6" xfId="0"/>
    <cellStyle name="20% - 강조색2 19 7" xfId="0"/>
    <cellStyle name="20% - 강조색2 19 8" xfId="0"/>
    <cellStyle name="20% - 강조색2 19 9" xfId="0"/>
    <cellStyle name="20% - 강조색2 2" xfId="0"/>
    <cellStyle name="20% - 강조색2 2 10" xfId="0"/>
    <cellStyle name="20% - 강조색2 2 10 2" xfId="0"/>
    <cellStyle name="20% - 강조색2 2 11" xfId="0"/>
    <cellStyle name="20% - 강조색2 2 11 2" xfId="0"/>
    <cellStyle name="20% - 강조색2 2 12" xfId="0"/>
    <cellStyle name="20% - 강조색2 2 12 2" xfId="0"/>
    <cellStyle name="20% - 강조색2 2 13" xfId="0"/>
    <cellStyle name="20% - 강조색2 2 14" xfId="0"/>
    <cellStyle name="20% - 강조색2 2 15" xfId="0"/>
    <cellStyle name="20% - 강조색2 2 16" xfId="0"/>
    <cellStyle name="20% - 강조색2 2 17" xfId="0"/>
    <cellStyle name="20% - 강조색2 2 18" xfId="0"/>
    <cellStyle name="20% - 강조색2 2 19" xfId="0"/>
    <cellStyle name="20% - 강조색2 2 2" xfId="0"/>
    <cellStyle name="20% - 강조색2 2 2 10" xfId="0"/>
    <cellStyle name="20% - 강조색2 2 2 11" xfId="0"/>
    <cellStyle name="20% - 강조색2 2 2 12" xfId="0"/>
    <cellStyle name="20% - 강조색2 2 2 13" xfId="0"/>
    <cellStyle name="20% - 강조색2 2 2 14" xfId="0"/>
    <cellStyle name="20% - 강조색2 2 2 15" xfId="0"/>
    <cellStyle name="20% - 강조색2 2 2 16" xfId="0"/>
    <cellStyle name="20% - 강조색2 2 2 17" xfId="0"/>
    <cellStyle name="20% - 강조색2 2 2 18" xfId="0"/>
    <cellStyle name="20% - 강조색2 2 2 19" xfId="0"/>
    <cellStyle name="20% - 강조색2 2 2 2" xfId="0"/>
    <cellStyle name="20% - 강조색2 2 2 2 2" xfId="0"/>
    <cellStyle name="20% - 강조색2 2 2 2 2 2" xfId="0"/>
    <cellStyle name="20% - 강조색2 2 2 2 2 3" xfId="0"/>
    <cellStyle name="20% - 강조색2 2 2 2 2 4" xfId="0"/>
    <cellStyle name="20% - 강조색2 2 2 2 2 5" xfId="0"/>
    <cellStyle name="20% - 강조색2 2 2 2 2 6" xfId="0"/>
    <cellStyle name="20% - 강조색2 2 2 2 2 7" xfId="0"/>
    <cellStyle name="20% - 강조색2 2 2 2 2 8" xfId="0"/>
    <cellStyle name="20% - 강조색2 2 2 2 2 9" xfId="0"/>
    <cellStyle name="20% - 강조색2 2 2 2 3" xfId="0"/>
    <cellStyle name="20% - 강조색2 2 2 2 4" xfId="0"/>
    <cellStyle name="20% - 강조색2 2 2 2 5" xfId="0"/>
    <cellStyle name="20% - 강조색2 2 2 2 6" xfId="0"/>
    <cellStyle name="20% - 강조색2 2 2 2 7" xfId="0"/>
    <cellStyle name="20% - 강조색2 2 2 2 8" xfId="0"/>
    <cellStyle name="20% - 강조색2 2 2 2 9" xfId="0"/>
    <cellStyle name="20% - 강조색2 2 2 20" xfId="0"/>
    <cellStyle name="20% - 강조색2 2 2 21" xfId="0"/>
    <cellStyle name="20% - 강조색2 2 2 22" xfId="0"/>
    <cellStyle name="20% - 강조색2 2 2 23" xfId="0"/>
    <cellStyle name="20% - 강조색2 2 2 3" xfId="0"/>
    <cellStyle name="20% - 강조색2 2 2 4" xfId="0"/>
    <cellStyle name="20% - 강조색2 2 2 5" xfId="0"/>
    <cellStyle name="20% - 강조색2 2 2 6" xfId="0"/>
    <cellStyle name="20% - 강조색2 2 2 7" xfId="0"/>
    <cellStyle name="20% - 강조색2 2 2 8" xfId="0"/>
    <cellStyle name="20% - 강조색2 2 2 9" xfId="0"/>
    <cellStyle name="20% - 강조색2 2 20" xfId="0"/>
    <cellStyle name="20% - 강조색2 2 21" xfId="0"/>
    <cellStyle name="20% - 강조색2 2 22" xfId="0"/>
    <cellStyle name="20% - 강조색2 2 23" xfId="0"/>
    <cellStyle name="20% - 강조색2 2 3" xfId="0"/>
    <cellStyle name="20% - 강조색2 2 3 10" xfId="0"/>
    <cellStyle name="20% - 강조색2 2 3 2" xfId="0"/>
    <cellStyle name="20% - 강조색2 2 3 3" xfId="0"/>
    <cellStyle name="20% - 강조색2 2 3 4" xfId="0"/>
    <cellStyle name="20% - 강조색2 2 3 5" xfId="0"/>
    <cellStyle name="20% - 강조색2 2 3 6" xfId="0"/>
    <cellStyle name="20% - 강조색2 2 3 7" xfId="0"/>
    <cellStyle name="20% - 강조색2 2 3 8" xfId="0"/>
    <cellStyle name="20% - 강조색2 2 3 9" xfId="0"/>
    <cellStyle name="20% - 강조색2 2 4" xfId="0"/>
    <cellStyle name="20% - 강조색2 2 4 10" xfId="0"/>
    <cellStyle name="20% - 강조색2 2 4 2" xfId="0"/>
    <cellStyle name="20% - 강조색2 2 4 3" xfId="0"/>
    <cellStyle name="20% - 강조색2 2 4 4" xfId="0"/>
    <cellStyle name="20% - 강조색2 2 4 5" xfId="0"/>
    <cellStyle name="20% - 강조색2 2 4 6" xfId="0"/>
    <cellStyle name="20% - 강조색2 2 4 7" xfId="0"/>
    <cellStyle name="20% - 강조색2 2 4 8" xfId="0"/>
    <cellStyle name="20% - 강조색2 2 4 9" xfId="0"/>
    <cellStyle name="20% - 강조색2 2 5" xfId="0"/>
    <cellStyle name="20% - 강조색2 2 5 10" xfId="0"/>
    <cellStyle name="20% - 강조색2 2 5 2" xfId="0"/>
    <cellStyle name="20% - 강조색2 2 5 3" xfId="0"/>
    <cellStyle name="20% - 강조색2 2 5 4" xfId="0"/>
    <cellStyle name="20% - 강조색2 2 5 5" xfId="0"/>
    <cellStyle name="20% - 강조색2 2 5 6" xfId="0"/>
    <cellStyle name="20% - 강조색2 2 5 7" xfId="0"/>
    <cellStyle name="20% - 강조색2 2 5 8" xfId="0"/>
    <cellStyle name="20% - 강조색2 2 5 9" xfId="0"/>
    <cellStyle name="20% - 강조색2 2 6" xfId="0"/>
    <cellStyle name="20% - 강조색2 2 6 10" xfId="0"/>
    <cellStyle name="20% - 강조색2 2 6 2" xfId="0"/>
    <cellStyle name="20% - 강조색2 2 6 3" xfId="0"/>
    <cellStyle name="20% - 강조색2 2 6 4" xfId="0"/>
    <cellStyle name="20% - 강조색2 2 6 5" xfId="0"/>
    <cellStyle name="20% - 강조색2 2 6 6" xfId="0"/>
    <cellStyle name="20% - 강조색2 2 6 7" xfId="0"/>
    <cellStyle name="20% - 강조색2 2 6 8" xfId="0"/>
    <cellStyle name="20% - 강조색2 2 6 9" xfId="0"/>
    <cellStyle name="20% - 강조색2 2 7" xfId="0"/>
    <cellStyle name="20% - 강조색2 2 7 10" xfId="0"/>
    <cellStyle name="20% - 강조색2 2 7 2" xfId="0"/>
    <cellStyle name="20% - 강조색2 2 7 3" xfId="0"/>
    <cellStyle name="20% - 강조색2 2 7 4" xfId="0"/>
    <cellStyle name="20% - 강조색2 2 7 5" xfId="0"/>
    <cellStyle name="20% - 강조색2 2 7 6" xfId="0"/>
    <cellStyle name="20% - 강조색2 2 7 7" xfId="0"/>
    <cellStyle name="20% - 강조색2 2 7 8" xfId="0"/>
    <cellStyle name="20% - 강조색2 2 7 9" xfId="0"/>
    <cellStyle name="20% - 강조색2 2 8" xfId="0"/>
    <cellStyle name="20% - 강조색2 2 8 2" xfId="0"/>
    <cellStyle name="20% - 강조색2 2 9" xfId="0"/>
    <cellStyle name="20% - 강조색2 2 9 2" xfId="0"/>
    <cellStyle name="20% - 강조색2 20" xfId="0"/>
    <cellStyle name="20% - 강조색2 20 2" xfId="0"/>
    <cellStyle name="20% - 강조색2 20 3" xfId="0"/>
    <cellStyle name="20% - 강조색2 20 4" xfId="0"/>
    <cellStyle name="20% - 강조색2 20 5" xfId="0"/>
    <cellStyle name="20% - 강조색2 20 6" xfId="0"/>
    <cellStyle name="20% - 강조색2 20 7" xfId="0"/>
    <cellStyle name="20% - 강조색2 20 8" xfId="0"/>
    <cellStyle name="20% - 강조색2 20 9" xfId="0"/>
    <cellStyle name="20% - 강조색2 21" xfId="0"/>
    <cellStyle name="20% - 강조색2 21 2" xfId="0"/>
    <cellStyle name="20% - 강조색2 21 3" xfId="0"/>
    <cellStyle name="20% - 강조색2 21 4" xfId="0"/>
    <cellStyle name="20% - 강조색2 21 5" xfId="0"/>
    <cellStyle name="20% - 강조색2 21 6" xfId="0"/>
    <cellStyle name="20% - 강조색2 21 7" xfId="0"/>
    <cellStyle name="20% - 강조색2 21 8" xfId="0"/>
    <cellStyle name="20% - 강조색2 21 9" xfId="0"/>
    <cellStyle name="20% - 강조색2 22" xfId="0"/>
    <cellStyle name="20% - 강조색2 22 2" xfId="0"/>
    <cellStyle name="20% - 강조색2 22 3" xfId="0"/>
    <cellStyle name="20% - 강조색2 22 4" xfId="0"/>
    <cellStyle name="20% - 강조색2 22 5" xfId="0"/>
    <cellStyle name="20% - 강조색2 22 6" xfId="0"/>
    <cellStyle name="20% - 강조색2 22 7" xfId="0"/>
    <cellStyle name="20% - 강조색2 22 8" xfId="0"/>
    <cellStyle name="20% - 강조색2 22 9" xfId="0"/>
    <cellStyle name="20% - 강조색2 23" xfId="0"/>
    <cellStyle name="20% - 강조색2 23 2" xfId="0"/>
    <cellStyle name="20% - 강조색2 23 3" xfId="0"/>
    <cellStyle name="20% - 강조색2 23 4" xfId="0"/>
    <cellStyle name="20% - 강조색2 23 5" xfId="0"/>
    <cellStyle name="20% - 강조색2 23 6" xfId="0"/>
    <cellStyle name="20% - 강조색2 23 7" xfId="0"/>
    <cellStyle name="20% - 강조색2 23 8" xfId="0"/>
    <cellStyle name="20% - 강조색2 23 9" xfId="0"/>
    <cellStyle name="20% - 강조색2 24" xfId="0"/>
    <cellStyle name="20% - 강조색2 24 2" xfId="0"/>
    <cellStyle name="20% - 강조색2 24 3" xfId="0"/>
    <cellStyle name="20% - 강조색2 24 4" xfId="0"/>
    <cellStyle name="20% - 강조색2 24 5" xfId="0"/>
    <cellStyle name="20% - 강조색2 24 6" xfId="0"/>
    <cellStyle name="20% - 강조색2 24 7" xfId="0"/>
    <cellStyle name="20% - 강조색2 24 8" xfId="0"/>
    <cellStyle name="20% - 강조색2 24 9" xfId="0"/>
    <cellStyle name="20% - 강조색2 25" xfId="0"/>
    <cellStyle name="20% - 강조색2 25 2" xfId="0"/>
    <cellStyle name="20% - 강조색2 25 3" xfId="0"/>
    <cellStyle name="20% - 강조색2 25 4" xfId="0"/>
    <cellStyle name="20% - 강조색2 25 5" xfId="0"/>
    <cellStyle name="20% - 강조색2 25 6" xfId="0"/>
    <cellStyle name="20% - 강조색2 25 7" xfId="0"/>
    <cellStyle name="20% - 강조색2 25 8" xfId="0"/>
    <cellStyle name="20% - 강조색2 25 9" xfId="0"/>
    <cellStyle name="20% - 강조색2 26" xfId="0"/>
    <cellStyle name="20% - 강조색2 26 2" xfId="0"/>
    <cellStyle name="20% - 강조색2 26 3" xfId="0"/>
    <cellStyle name="20% - 강조색2 26 4" xfId="0"/>
    <cellStyle name="20% - 강조색2 26 5" xfId="0"/>
    <cellStyle name="20% - 강조색2 26 6" xfId="0"/>
    <cellStyle name="20% - 강조색2 26 7" xfId="0"/>
    <cellStyle name="20% - 강조색2 26 8" xfId="0"/>
    <cellStyle name="20% - 강조색2 26 9" xfId="0"/>
    <cellStyle name="20% - 강조색2 27" xfId="0"/>
    <cellStyle name="20% - 강조색2 27 2" xfId="0"/>
    <cellStyle name="20% - 강조색2 27 3" xfId="0"/>
    <cellStyle name="20% - 강조색2 27 4" xfId="0"/>
    <cellStyle name="20% - 강조색2 27 5" xfId="0"/>
    <cellStyle name="20% - 강조색2 27 6" xfId="0"/>
    <cellStyle name="20% - 강조색2 27 7" xfId="0"/>
    <cellStyle name="20% - 강조색2 27 8" xfId="0"/>
    <cellStyle name="20% - 강조색2 27 9" xfId="0"/>
    <cellStyle name="20% - 강조색2 28 2" xfId="0"/>
    <cellStyle name="20% - 강조색2 28 3" xfId="0"/>
    <cellStyle name="20% - 강조색2 28 4" xfId="0"/>
    <cellStyle name="20% - 강조색2 28 5" xfId="0"/>
    <cellStyle name="20% - 강조색2 28 6" xfId="0"/>
    <cellStyle name="20% - 강조색2 28 7" xfId="0"/>
    <cellStyle name="20% - 강조색2 28 8" xfId="0"/>
    <cellStyle name="20% - 강조색2 28 9" xfId="0"/>
    <cellStyle name="20% - 강조색2 29 2" xfId="0"/>
    <cellStyle name="20% - 강조색2 29 3" xfId="0"/>
    <cellStyle name="20% - 강조색2 29 4" xfId="0"/>
    <cellStyle name="20% - 강조색2 29 5" xfId="0"/>
    <cellStyle name="20% - 강조색2 29 6" xfId="0"/>
    <cellStyle name="20% - 강조색2 29 7" xfId="0"/>
    <cellStyle name="20% - 강조색2 29 8" xfId="0"/>
    <cellStyle name="20% - 강조색2 29 9" xfId="0"/>
    <cellStyle name="20% - 강조색2 2_3300현금및예치금" xfId="0"/>
    <cellStyle name="20% - 강조색2 3" xfId="0"/>
    <cellStyle name="20% - 강조색2 3 10" xfId="0"/>
    <cellStyle name="20% - 강조색2 3 10 2" xfId="0"/>
    <cellStyle name="20% - 강조색2 3 10 3" xfId="0"/>
    <cellStyle name="20% - 강조색2 3 11" xfId="0"/>
    <cellStyle name="20% - 강조색2 3 11 2" xfId="0"/>
    <cellStyle name="20% - 강조색2 3 11 3" xfId="0"/>
    <cellStyle name="20% - 강조색2 3 12" xfId="0"/>
    <cellStyle name="20% - 강조색2 3 12 2" xfId="0"/>
    <cellStyle name="20% - 강조색2 3 12 3" xfId="0"/>
    <cellStyle name="20% - 강조색2 3 13" xfId="0"/>
    <cellStyle name="20% - 강조색2 3 14" xfId="0"/>
    <cellStyle name="20% - 강조색2 3 15" xfId="0"/>
    <cellStyle name="20% - 강조색2 3 16" xfId="0"/>
    <cellStyle name="20% - 강조색2 3 17" xfId="0"/>
    <cellStyle name="20% - 강조색2 3 18" xfId="0"/>
    <cellStyle name="20% - 강조색2 3 19" xfId="0"/>
    <cellStyle name="20% - 강조색2 3 19 2" xfId="0"/>
    <cellStyle name="20% - 강조색2 3 2" xfId="0"/>
    <cellStyle name="20% - 강조색2 3 2 2" xfId="0"/>
    <cellStyle name="20% - 강조색2 3 2 3" xfId="0"/>
    <cellStyle name="20% - 강조색2 3 20" xfId="0"/>
    <cellStyle name="20% - 강조색2 3 21" xfId="0"/>
    <cellStyle name="20% - 강조색2 3 22" xfId="0"/>
    <cellStyle name="20% - 강조색2 3 23" xfId="0"/>
    <cellStyle name="20% - 강조색2 3 3" xfId="0"/>
    <cellStyle name="20% - 강조색2 3 3 2" xfId="0"/>
    <cellStyle name="20% - 강조색2 3 3 3" xfId="0"/>
    <cellStyle name="20% - 강조색2 3 4" xfId="0"/>
    <cellStyle name="20% - 강조색2 3 4 2" xfId="0"/>
    <cellStyle name="20% - 강조색2 3 4 3" xfId="0"/>
    <cellStyle name="20% - 강조색2 3 5" xfId="0"/>
    <cellStyle name="20% - 강조색2 3 5 2" xfId="0"/>
    <cellStyle name="20% - 강조색2 3 5 3" xfId="0"/>
    <cellStyle name="20% - 강조색2 3 6" xfId="0"/>
    <cellStyle name="20% - 강조색2 3 6 2" xfId="0"/>
    <cellStyle name="20% - 강조색2 3 6 3" xfId="0"/>
    <cellStyle name="20% - 강조색2 3 7" xfId="0"/>
    <cellStyle name="20% - 강조색2 3 7 2" xfId="0"/>
    <cellStyle name="20% - 강조색2 3 7 3" xfId="0"/>
    <cellStyle name="20% - 강조색2 3 8" xfId="0"/>
    <cellStyle name="20% - 강조색2 3 8 2" xfId="0"/>
    <cellStyle name="20% - 강조색2 3 8 3" xfId="0"/>
    <cellStyle name="20% - 강조색2 3 9" xfId="0"/>
    <cellStyle name="20% - 강조색2 3 9 2" xfId="0"/>
    <cellStyle name="20% - 강조색2 3 9 3" xfId="0"/>
    <cellStyle name="20% - 강조색2 30 2" xfId="0"/>
    <cellStyle name="20% - 강조색2 30 3" xfId="0"/>
    <cellStyle name="20% - 강조색2 30 4" xfId="0"/>
    <cellStyle name="20% - 강조색2 30 5" xfId="0"/>
    <cellStyle name="20% - 강조색2 30 6" xfId="0"/>
    <cellStyle name="20% - 강조색2 30 7" xfId="0"/>
    <cellStyle name="20% - 강조색2 30 8" xfId="0"/>
    <cellStyle name="20% - 강조색2 30 9" xfId="0"/>
    <cellStyle name="20% - 강조색2 31 2" xfId="0"/>
    <cellStyle name="20% - 강조색2 31 3" xfId="0"/>
    <cellStyle name="20% - 강조색2 31 4" xfId="0"/>
    <cellStyle name="20% - 강조색2 31 5" xfId="0"/>
    <cellStyle name="20% - 강조색2 31 6" xfId="0"/>
    <cellStyle name="20% - 강조색2 31 7" xfId="0"/>
    <cellStyle name="20% - 강조색2 31 8" xfId="0"/>
    <cellStyle name="20% - 강조색2 31 9" xfId="0"/>
    <cellStyle name="20% - 강조색2 32 2" xfId="0"/>
    <cellStyle name="20% - 강조색2 32 3" xfId="0"/>
    <cellStyle name="20% - 강조색2 32 4" xfId="0"/>
    <cellStyle name="20% - 강조색2 32 5" xfId="0"/>
    <cellStyle name="20% - 강조색2 32 6" xfId="0"/>
    <cellStyle name="20% - 강조색2 32 7" xfId="0"/>
    <cellStyle name="20% - 강조색2 32 8" xfId="0"/>
    <cellStyle name="20% - 강조색2 32 9" xfId="0"/>
    <cellStyle name="20% - 강조색2 33 2" xfId="0"/>
    <cellStyle name="20% - 강조색2 33 3" xfId="0"/>
    <cellStyle name="20% - 강조색2 33 4" xfId="0"/>
    <cellStyle name="20% - 강조색2 33 5" xfId="0"/>
    <cellStyle name="20% - 강조색2 33 6" xfId="0"/>
    <cellStyle name="20% - 강조색2 33 7" xfId="0"/>
    <cellStyle name="20% - 강조색2 33 8" xfId="0"/>
    <cellStyle name="20% - 강조색2 33 9" xfId="0"/>
    <cellStyle name="20% - 강조색2 34 2" xfId="0"/>
    <cellStyle name="20% - 강조색2 34 3" xfId="0"/>
    <cellStyle name="20% - 강조색2 34 4" xfId="0"/>
    <cellStyle name="20% - 강조색2 34 5" xfId="0"/>
    <cellStyle name="20% - 강조색2 34 6" xfId="0"/>
    <cellStyle name="20% - 강조색2 34 7" xfId="0"/>
    <cellStyle name="20% - 강조색2 34 8" xfId="0"/>
    <cellStyle name="20% - 강조색2 34 9" xfId="0"/>
    <cellStyle name="20% - 강조색2 35 2" xfId="0"/>
    <cellStyle name="20% - 강조색2 35 3" xfId="0"/>
    <cellStyle name="20% - 강조색2 35 4" xfId="0"/>
    <cellStyle name="20% - 강조색2 35 5" xfId="0"/>
    <cellStyle name="20% - 강조색2 35 6" xfId="0"/>
    <cellStyle name="20% - 강조색2 35 7" xfId="0"/>
    <cellStyle name="20% - 강조색2 35 8" xfId="0"/>
    <cellStyle name="20% - 강조색2 35 9" xfId="0"/>
    <cellStyle name="20% - 강조색2 3_운용자산별 손익분석" xfId="0"/>
    <cellStyle name="20% - 강조색2 4" xfId="0"/>
    <cellStyle name="20% - 강조색2 4 10" xfId="0"/>
    <cellStyle name="20% - 강조색2 4 11" xfId="0"/>
    <cellStyle name="20% - 강조색2 4 12" xfId="0"/>
    <cellStyle name="20% - 강조색2 4 13" xfId="0"/>
    <cellStyle name="20% - 강조색2 4 14" xfId="0"/>
    <cellStyle name="20% - 강조색2 4 15" xfId="0"/>
    <cellStyle name="20% - 강조색2 4 16" xfId="0"/>
    <cellStyle name="20% - 강조색2 4 17" xfId="0"/>
    <cellStyle name="20% - 강조색2 4 18" xfId="0"/>
    <cellStyle name="20% - 강조색2 4 19" xfId="0"/>
    <cellStyle name="20% - 강조색2 4 2" xfId="0"/>
    <cellStyle name="20% - 강조색2 4 20" xfId="0"/>
    <cellStyle name="20% - 강조색2 4 21" xfId="0"/>
    <cellStyle name="20% - 강조색2 4 22" xfId="0"/>
    <cellStyle name="20% - 강조색2 4 23" xfId="0"/>
    <cellStyle name="20% - 강조색2 4 24" xfId="0"/>
    <cellStyle name="20% - 강조색2 4 3" xfId="0"/>
    <cellStyle name="20% - 강조색2 4 4" xfId="0"/>
    <cellStyle name="20% - 강조색2 4 5" xfId="0"/>
    <cellStyle name="20% - 강조색2 4 6" xfId="0"/>
    <cellStyle name="20% - 강조색2 4 7" xfId="0"/>
    <cellStyle name="20% - 강조색2 4 8" xfId="0"/>
    <cellStyle name="20% - 강조색2 4 9" xfId="0"/>
    <cellStyle name="20% - 강조색2 4_운용자산별 손익분석" xfId="0"/>
    <cellStyle name="20% - 강조색2 5" xfId="0"/>
    <cellStyle name="20% - 강조색2 5 10" xfId="0"/>
    <cellStyle name="20% - 강조색2 5 11" xfId="0"/>
    <cellStyle name="20% - 강조색2 5 12" xfId="0"/>
    <cellStyle name="20% - 강조색2 5 13" xfId="0"/>
    <cellStyle name="20% - 강조색2 5 14" xfId="0"/>
    <cellStyle name="20% - 강조색2 5 15" xfId="0"/>
    <cellStyle name="20% - 강조색2 5 16" xfId="0"/>
    <cellStyle name="20% - 강조색2 5 17" xfId="0"/>
    <cellStyle name="20% - 강조색2 5 18" xfId="0"/>
    <cellStyle name="20% - 강조색2 5 19" xfId="0"/>
    <cellStyle name="20% - 강조색2 5 2" xfId="0"/>
    <cellStyle name="20% - 강조색2 5 20" xfId="0"/>
    <cellStyle name="20% - 강조색2 5 21" xfId="0"/>
    <cellStyle name="20% - 강조색2 5 22" xfId="0"/>
    <cellStyle name="20% - 강조색2 5 23" xfId="0"/>
    <cellStyle name="20% - 강조색2 5 24" xfId="0"/>
    <cellStyle name="20% - 강조색2 5 25" xfId="0"/>
    <cellStyle name="20% - 강조색2 5 26" xfId="0"/>
    <cellStyle name="20% - 강조색2 5 27" xfId="0"/>
    <cellStyle name="20% - 강조색2 5 28" xfId="0"/>
    <cellStyle name="20% - 강조색2 5 29" xfId="0"/>
    <cellStyle name="20% - 강조색2 5 3" xfId="0"/>
    <cellStyle name="20% - 강조색2 5 30" xfId="0"/>
    <cellStyle name="20% - 강조색2 5 31" xfId="0"/>
    <cellStyle name="20% - 강조색2 5 32" xfId="0"/>
    <cellStyle name="20% - 강조색2 5 33" xfId="0"/>
    <cellStyle name="20% - 강조색2 5 34" xfId="0"/>
    <cellStyle name="20% - 강조색2 5 4" xfId="0"/>
    <cellStyle name="20% - 강조색2 5 5" xfId="0"/>
    <cellStyle name="20% - 강조색2 5 6" xfId="0"/>
    <cellStyle name="20% - 강조색2 5 7" xfId="0"/>
    <cellStyle name="20% - 강조색2 5 8" xfId="0"/>
    <cellStyle name="20% - 강조색2 5 9" xfId="0"/>
    <cellStyle name="20% - 강조색2 6" xfId="0"/>
    <cellStyle name="20% - 강조색2 6 10" xfId="0"/>
    <cellStyle name="20% - 강조색2 6 11" xfId="0"/>
    <cellStyle name="20% - 강조색2 6 12" xfId="0"/>
    <cellStyle name="20% - 강조색2 6 13" xfId="0"/>
    <cellStyle name="20% - 강조색2 6 14" xfId="0"/>
    <cellStyle name="20% - 강조색2 6 15" xfId="0"/>
    <cellStyle name="20% - 강조색2 6 16" xfId="0"/>
    <cellStyle name="20% - 강조색2 6 17" xfId="0"/>
    <cellStyle name="20% - 강조색2 6 18" xfId="0"/>
    <cellStyle name="20% - 강조색2 6 19" xfId="0"/>
    <cellStyle name="20% - 강조색2 6 2" xfId="0"/>
    <cellStyle name="20% - 강조색2 6 20" xfId="0"/>
    <cellStyle name="20% - 강조색2 6 21" xfId="0"/>
    <cellStyle name="20% - 강조색2 6 22" xfId="0"/>
    <cellStyle name="20% - 강조색2 6 23" xfId="0"/>
    <cellStyle name="20% - 강조색2 6 24" xfId="0"/>
    <cellStyle name="20% - 강조색2 6 25" xfId="0"/>
    <cellStyle name="20% - 강조색2 6 26" xfId="0"/>
    <cellStyle name="20% - 강조색2 6 27" xfId="0"/>
    <cellStyle name="20% - 강조색2 6 28" xfId="0"/>
    <cellStyle name="20% - 강조색2 6 29" xfId="0"/>
    <cellStyle name="20% - 강조색2 6 3" xfId="0"/>
    <cellStyle name="20% - 강조색2 6 30" xfId="0"/>
    <cellStyle name="20% - 강조색2 6 4" xfId="0"/>
    <cellStyle name="20% - 강조색2 6 5" xfId="0"/>
    <cellStyle name="20% - 강조색2 6 6" xfId="0"/>
    <cellStyle name="20% - 강조색2 6 7" xfId="0"/>
    <cellStyle name="20% - 강조색2 6 8" xfId="0"/>
    <cellStyle name="20% - 강조색2 6 9" xfId="0"/>
    <cellStyle name="20% - 강조색2 7" xfId="0"/>
    <cellStyle name="20% - 강조색2 7 10" xfId="0"/>
    <cellStyle name="20% - 강조색2 7 11" xfId="0"/>
    <cellStyle name="20% - 강조색2 7 12" xfId="0"/>
    <cellStyle name="20% - 강조색2 7 13" xfId="0"/>
    <cellStyle name="20% - 강조색2 7 14" xfId="0"/>
    <cellStyle name="20% - 강조색2 7 15" xfId="0"/>
    <cellStyle name="20% - 강조색2 7 16" xfId="0"/>
    <cellStyle name="20% - 강조색2 7 17" xfId="0"/>
    <cellStyle name="20% - 강조색2 7 18" xfId="0"/>
    <cellStyle name="20% - 강조색2 7 19" xfId="0"/>
    <cellStyle name="20% - 강조색2 7 2" xfId="0"/>
    <cellStyle name="20% - 강조색2 7 2 2" xfId="0"/>
    <cellStyle name="20% - 강조색2 7 2 3" xfId="0"/>
    <cellStyle name="20% - 강조색2 7 20" xfId="0"/>
    <cellStyle name="20% - 강조색2 7 21" xfId="0"/>
    <cellStyle name="20% - 강조색2 7 22" xfId="0"/>
    <cellStyle name="20% - 강조색2 7 23" xfId="0"/>
    <cellStyle name="20% - 강조색2 7 24" xfId="0"/>
    <cellStyle name="20% - 강조색2 7 3" xfId="0"/>
    <cellStyle name="20% - 강조색2 7 3 2" xfId="0"/>
    <cellStyle name="20% - 강조색2 7 3 3" xfId="0"/>
    <cellStyle name="20% - 강조색2 7 4" xfId="0"/>
    <cellStyle name="20% - 강조색2 7 4 2" xfId="0"/>
    <cellStyle name="20% - 강조색2 7 4 3" xfId="0"/>
    <cellStyle name="20% - 강조색2 7 5" xfId="0"/>
    <cellStyle name="20% - 강조색2 7 5 2" xfId="0"/>
    <cellStyle name="20% - 강조색2 7 5 3" xfId="0"/>
    <cellStyle name="20% - 강조색2 7 6" xfId="0"/>
    <cellStyle name="20% - 강조색2 7 6 2" xfId="0"/>
    <cellStyle name="20% - 강조색2 7 6 3" xfId="0"/>
    <cellStyle name="20% - 강조색2 7 7" xfId="0"/>
    <cellStyle name="20% - 강조색2 7 8" xfId="0"/>
    <cellStyle name="20% - 강조색2 7 9" xfId="0"/>
    <cellStyle name="20% - 강조색2 8" xfId="0"/>
    <cellStyle name="20% - 강조색2 8 10" xfId="0"/>
    <cellStyle name="20% - 강조색2 8 11" xfId="0"/>
    <cellStyle name="20% - 강조색2 8 12" xfId="0"/>
    <cellStyle name="20% - 강조색2 8 13" xfId="0"/>
    <cellStyle name="20% - 강조색2 8 14" xfId="0"/>
    <cellStyle name="20% - 강조색2 8 15" xfId="0"/>
    <cellStyle name="20% - 강조색2 8 16" xfId="0"/>
    <cellStyle name="20% - 강조색2 8 17" xfId="0"/>
    <cellStyle name="20% - 강조색2 8 18" xfId="0"/>
    <cellStyle name="20% - 강조색2 8 19" xfId="0"/>
    <cellStyle name="20% - 강조색2 8 2" xfId="0"/>
    <cellStyle name="20% - 강조색2 8 2 2" xfId="0"/>
    <cellStyle name="20% - 강조색2 8 2 3" xfId="0"/>
    <cellStyle name="20% - 강조색2 8 20" xfId="0"/>
    <cellStyle name="20% - 강조색2 8 21" xfId="0"/>
    <cellStyle name="20% - 강조색2 8 22" xfId="0"/>
    <cellStyle name="20% - 강조색2 8 23" xfId="0"/>
    <cellStyle name="20% - 강조색2 8 24" xfId="0"/>
    <cellStyle name="20% - 강조색2 8 3" xfId="0"/>
    <cellStyle name="20% - 강조색2 8 3 2" xfId="0"/>
    <cellStyle name="20% - 강조색2 8 3 3" xfId="0"/>
    <cellStyle name="20% - 강조색2 8 4" xfId="0"/>
    <cellStyle name="20% - 강조색2 8 4 2" xfId="0"/>
    <cellStyle name="20% - 강조색2 8 4 3" xfId="0"/>
    <cellStyle name="20% - 강조색2 8 5" xfId="0"/>
    <cellStyle name="20% - 강조색2 8 5 2" xfId="0"/>
    <cellStyle name="20% - 강조색2 8 5 3" xfId="0"/>
    <cellStyle name="20% - 강조색2 8 6" xfId="0"/>
    <cellStyle name="20% - 강조색2 8 6 2" xfId="0"/>
    <cellStyle name="20% - 강조색2 8 6 3" xfId="0"/>
    <cellStyle name="20% - 강조색2 8 7" xfId="0"/>
    <cellStyle name="20% - 강조색2 8 8" xfId="0"/>
    <cellStyle name="20% - 강조색2 8 9" xfId="0"/>
    <cellStyle name="20% - 강조색2 9" xfId="0"/>
    <cellStyle name="20% - 강조색2 9 10" xfId="0"/>
    <cellStyle name="20% - 강조색2 9 11" xfId="0"/>
    <cellStyle name="20% - 강조색2 9 12" xfId="0"/>
    <cellStyle name="20% - 강조색2 9 13" xfId="0"/>
    <cellStyle name="20% - 강조색2 9 14" xfId="0"/>
    <cellStyle name="20% - 강조색2 9 15" xfId="0"/>
    <cellStyle name="20% - 강조색2 9 16" xfId="0"/>
    <cellStyle name="20% - 강조색2 9 17" xfId="0"/>
    <cellStyle name="20% - 강조색2 9 18" xfId="0"/>
    <cellStyle name="20% - 강조색2 9 19" xfId="0"/>
    <cellStyle name="20% - 강조색2 9 2" xfId="0"/>
    <cellStyle name="20% - 강조색2 9 2 2" xfId="0"/>
    <cellStyle name="20% - 강조색2 9 2 3" xfId="0"/>
    <cellStyle name="20% - 강조색2 9 20" xfId="0"/>
    <cellStyle name="20% - 강조색2 9 21" xfId="0"/>
    <cellStyle name="20% - 강조색2 9 22" xfId="0"/>
    <cellStyle name="20% - 강조색2 9 23" xfId="0"/>
    <cellStyle name="20% - 강조색2 9 24" xfId="0"/>
    <cellStyle name="20% - 강조색2 9 3" xfId="0"/>
    <cellStyle name="20% - 강조색2 9 3 2" xfId="0"/>
    <cellStyle name="20% - 강조색2 9 3 3" xfId="0"/>
    <cellStyle name="20% - 강조색2 9 4" xfId="0"/>
    <cellStyle name="20% - 강조색2 9 4 2" xfId="0"/>
    <cellStyle name="20% - 강조색2 9 4 3" xfId="0"/>
    <cellStyle name="20% - 강조색2 9 5" xfId="0"/>
    <cellStyle name="20% - 강조색2 9 5 2" xfId="0"/>
    <cellStyle name="20% - 강조색2 9 5 3" xfId="0"/>
    <cellStyle name="20% - 강조색2 9 6" xfId="0"/>
    <cellStyle name="20% - 강조색2 9 6 2" xfId="0"/>
    <cellStyle name="20% - 강조색2 9 6 3" xfId="0"/>
    <cellStyle name="20% - 강조색2 9 7" xfId="0"/>
    <cellStyle name="20% - 강조색2 9 8" xfId="0"/>
    <cellStyle name="20% - 강조색2 9 9" xfId="0"/>
    <cellStyle name="20% - 강조색3 10" xfId="0"/>
    <cellStyle name="20% - 강조색3 10 10" xfId="0"/>
    <cellStyle name="20% - 강조색3 10 11" xfId="0"/>
    <cellStyle name="20% - 강조색3 10 12" xfId="0"/>
    <cellStyle name="20% - 강조색3 10 13" xfId="0"/>
    <cellStyle name="20% - 강조색3 10 14" xfId="0"/>
    <cellStyle name="20% - 강조색3 10 15" xfId="0"/>
    <cellStyle name="20% - 강조색3 10 16" xfId="0"/>
    <cellStyle name="20% - 강조색3 10 17" xfId="0"/>
    <cellStyle name="20% - 강조색3 10 18" xfId="0"/>
    <cellStyle name="20% - 강조색3 10 19" xfId="0"/>
    <cellStyle name="20% - 강조색3 10 2" xfId="0"/>
    <cellStyle name="20% - 강조색3 10 2 2" xfId="0"/>
    <cellStyle name="20% - 강조색3 10 2 3" xfId="0"/>
    <cellStyle name="20% - 강조색3 10 20" xfId="0"/>
    <cellStyle name="20% - 강조색3 10 21" xfId="0"/>
    <cellStyle name="20% - 강조색3 10 22" xfId="0"/>
    <cellStyle name="20% - 강조색3 10 23" xfId="0"/>
    <cellStyle name="20% - 강조색3 10 24" xfId="0"/>
    <cellStyle name="20% - 강조색3 10 3" xfId="0"/>
    <cellStyle name="20% - 강조색3 10 3 2" xfId="0"/>
    <cellStyle name="20% - 강조색3 10 3 3" xfId="0"/>
    <cellStyle name="20% - 강조색3 10 4" xfId="0"/>
    <cellStyle name="20% - 강조색3 10 4 2" xfId="0"/>
    <cellStyle name="20% - 강조색3 10 4 3" xfId="0"/>
    <cellStyle name="20% - 강조색3 10 5" xfId="0"/>
    <cellStyle name="20% - 강조색3 10 5 2" xfId="0"/>
    <cellStyle name="20% - 강조색3 10 5 3" xfId="0"/>
    <cellStyle name="20% - 강조색3 10 6" xfId="0"/>
    <cellStyle name="20% - 강조색3 10 6 2" xfId="0"/>
    <cellStyle name="20% - 강조색3 10 6 3" xfId="0"/>
    <cellStyle name="20% - 강조색3 10 7" xfId="0"/>
    <cellStyle name="20% - 강조색3 10 8" xfId="0"/>
    <cellStyle name="20% - 강조색3 10 9" xfId="0"/>
    <cellStyle name="20% - 강조색3 11" xfId="0"/>
    <cellStyle name="20% - 강조색3 11 10" xfId="0"/>
    <cellStyle name="20% - 강조색3 11 2" xfId="0"/>
    <cellStyle name="20% - 강조색3 11 2 2" xfId="0"/>
    <cellStyle name="20% - 강조색3 11 2 3" xfId="0"/>
    <cellStyle name="20% - 강조색3 11 3" xfId="0"/>
    <cellStyle name="20% - 강조색3 11 3 2" xfId="0"/>
    <cellStyle name="20% - 강조색3 11 3 3" xfId="0"/>
    <cellStyle name="20% - 강조색3 11 4" xfId="0"/>
    <cellStyle name="20% - 강조색3 11 4 2" xfId="0"/>
    <cellStyle name="20% - 강조색3 11 4 3" xfId="0"/>
    <cellStyle name="20% - 강조색3 11 5" xfId="0"/>
    <cellStyle name="20% - 강조색3 11 5 2" xfId="0"/>
    <cellStyle name="20% - 강조색3 11 5 3" xfId="0"/>
    <cellStyle name="20% - 강조색3 11 6" xfId="0"/>
    <cellStyle name="20% - 강조색3 11 6 2" xfId="0"/>
    <cellStyle name="20% - 강조색3 11 6 3" xfId="0"/>
    <cellStyle name="20% - 강조색3 11 7" xfId="0"/>
    <cellStyle name="20% - 강조색3 11 8" xfId="0"/>
    <cellStyle name="20% - 강조색3 11 9" xfId="0"/>
    <cellStyle name="20% - 강조색3 12" xfId="0"/>
    <cellStyle name="20% - 강조색3 12 2" xfId="0"/>
    <cellStyle name="20% - 강조색3 12 3" xfId="0"/>
    <cellStyle name="20% - 강조색3 12 4" xfId="0"/>
    <cellStyle name="20% - 강조색3 12 5" xfId="0"/>
    <cellStyle name="20% - 강조색3 12 6" xfId="0"/>
    <cellStyle name="20% - 강조색3 12 7" xfId="0"/>
    <cellStyle name="20% - 강조색3 12 8" xfId="0"/>
    <cellStyle name="20% - 강조색3 12 9" xfId="0"/>
    <cellStyle name="20% - 강조색3 13" xfId="0"/>
    <cellStyle name="20% - 강조색3 13 2" xfId="0"/>
    <cellStyle name="20% - 강조색3 13 3" xfId="0"/>
    <cellStyle name="20% - 강조색3 13 4" xfId="0"/>
    <cellStyle name="20% - 강조색3 13 5" xfId="0"/>
    <cellStyle name="20% - 강조색3 13 6" xfId="0"/>
    <cellStyle name="20% - 강조색3 13 7" xfId="0"/>
    <cellStyle name="20% - 강조색3 13 8" xfId="0"/>
    <cellStyle name="20% - 강조색3 13 9" xfId="0"/>
    <cellStyle name="20% - 강조색3 14" xfId="0"/>
    <cellStyle name="20% - 강조색3 14 2" xfId="0"/>
    <cellStyle name="20% - 강조색3 14 3" xfId="0"/>
    <cellStyle name="20% - 강조색3 14 4" xfId="0"/>
    <cellStyle name="20% - 강조색3 14 5" xfId="0"/>
    <cellStyle name="20% - 강조색3 14 6" xfId="0"/>
    <cellStyle name="20% - 강조색3 14 7" xfId="0"/>
    <cellStyle name="20% - 강조색3 14 8" xfId="0"/>
    <cellStyle name="20% - 강조색3 14 9" xfId="0"/>
    <cellStyle name="20% - 강조색3 15" xfId="0"/>
    <cellStyle name="20% - 강조색3 15 2" xfId="0"/>
    <cellStyle name="20% - 강조색3 15 3" xfId="0"/>
    <cellStyle name="20% - 강조색3 15 4" xfId="0"/>
    <cellStyle name="20% - 강조색3 15 5" xfId="0"/>
    <cellStyle name="20% - 강조색3 15 6" xfId="0"/>
    <cellStyle name="20% - 강조색3 15 7" xfId="0"/>
    <cellStyle name="20% - 강조색3 15 8" xfId="0"/>
    <cellStyle name="20% - 강조색3 15 9" xfId="0"/>
    <cellStyle name="20% - 강조색3 16" xfId="0"/>
    <cellStyle name="20% - 강조색3 16 2" xfId="0"/>
    <cellStyle name="20% - 강조색3 16 3" xfId="0"/>
    <cellStyle name="20% - 강조색3 16 4" xfId="0"/>
    <cellStyle name="20% - 강조색3 16 5" xfId="0"/>
    <cellStyle name="20% - 강조색3 16 6" xfId="0"/>
    <cellStyle name="20% - 강조색3 16 7" xfId="0"/>
    <cellStyle name="20% - 강조색3 16 8" xfId="0"/>
    <cellStyle name="20% - 강조색3 16 9" xfId="0"/>
    <cellStyle name="20% - 강조색3 17" xfId="0"/>
    <cellStyle name="20% - 강조색3 17 2" xfId="0"/>
    <cellStyle name="20% - 강조색3 17 3" xfId="0"/>
    <cellStyle name="20% - 강조색3 17 4" xfId="0"/>
    <cellStyle name="20% - 강조색3 17 5" xfId="0"/>
    <cellStyle name="20% - 강조색3 17 6" xfId="0"/>
    <cellStyle name="20% - 강조색3 17 7" xfId="0"/>
    <cellStyle name="20% - 강조색3 17 8" xfId="0"/>
    <cellStyle name="20% - 강조색3 17 9" xfId="0"/>
    <cellStyle name="20% - 강조색3 18" xfId="0"/>
    <cellStyle name="20% - 강조색3 18 2" xfId="0"/>
    <cellStyle name="20% - 강조색3 18 3" xfId="0"/>
    <cellStyle name="20% - 강조색3 18 4" xfId="0"/>
    <cellStyle name="20% - 강조색3 18 5" xfId="0"/>
    <cellStyle name="20% - 강조색3 18 6" xfId="0"/>
    <cellStyle name="20% - 강조색3 18 7" xfId="0"/>
    <cellStyle name="20% - 강조색3 18 8" xfId="0"/>
    <cellStyle name="20% - 강조색3 18 9" xfId="0"/>
    <cellStyle name="20% - 강조색3 19" xfId="0"/>
    <cellStyle name="20% - 강조색3 19 2" xfId="0"/>
    <cellStyle name="20% - 강조색3 19 3" xfId="0"/>
    <cellStyle name="20% - 강조색3 19 4" xfId="0"/>
    <cellStyle name="20% - 강조색3 19 5" xfId="0"/>
    <cellStyle name="20% - 강조색3 19 6" xfId="0"/>
    <cellStyle name="20% - 강조색3 19 7" xfId="0"/>
    <cellStyle name="20% - 강조색3 19 8" xfId="0"/>
    <cellStyle name="20% - 강조색3 19 9" xfId="0"/>
    <cellStyle name="20% - 강조색3 2" xfId="0"/>
    <cellStyle name="20% - 강조색3 2 10" xfId="0"/>
    <cellStyle name="20% - 강조색3 2 10 2" xfId="0"/>
    <cellStyle name="20% - 강조색3 2 11" xfId="0"/>
    <cellStyle name="20% - 강조색3 2 11 2" xfId="0"/>
    <cellStyle name="20% - 강조색3 2 12" xfId="0"/>
    <cellStyle name="20% - 강조색3 2 12 2" xfId="0"/>
    <cellStyle name="20% - 강조색3 2 13" xfId="0"/>
    <cellStyle name="20% - 강조색3 2 14" xfId="0"/>
    <cellStyle name="20% - 강조색3 2 15" xfId="0"/>
    <cellStyle name="20% - 강조색3 2 16" xfId="0"/>
    <cellStyle name="20% - 강조색3 2 17" xfId="0"/>
    <cellStyle name="20% - 강조색3 2 18" xfId="0"/>
    <cellStyle name="20% - 강조색3 2 19" xfId="0"/>
    <cellStyle name="20% - 강조색3 2 2" xfId="0"/>
    <cellStyle name="20% - 강조색3 2 2 10" xfId="0"/>
    <cellStyle name="20% - 강조색3 2 2 11" xfId="0"/>
    <cellStyle name="20% - 강조색3 2 2 12" xfId="0"/>
    <cellStyle name="20% - 강조색3 2 2 13" xfId="0"/>
    <cellStyle name="20% - 강조색3 2 2 14" xfId="0"/>
    <cellStyle name="20% - 강조색3 2 2 15" xfId="0"/>
    <cellStyle name="20% - 강조색3 2 2 16" xfId="0"/>
    <cellStyle name="20% - 강조색3 2 2 17" xfId="0"/>
    <cellStyle name="20% - 강조색3 2 2 18" xfId="0"/>
    <cellStyle name="20% - 강조색3 2 2 19" xfId="0"/>
    <cellStyle name="20% - 강조색3 2 2 2" xfId="0"/>
    <cellStyle name="20% - 강조색3 2 2 2 2" xfId="0"/>
    <cellStyle name="20% - 강조색3 2 2 2 2 2" xfId="0"/>
    <cellStyle name="20% - 강조색3 2 2 2 2 3" xfId="0"/>
    <cellStyle name="20% - 강조색3 2 2 2 2 4" xfId="0"/>
    <cellStyle name="20% - 강조색3 2 2 2 2 5" xfId="0"/>
    <cellStyle name="20% - 강조색3 2 2 2 2 6" xfId="0"/>
    <cellStyle name="20% - 강조색3 2 2 2 2 7" xfId="0"/>
    <cellStyle name="20% - 강조색3 2 2 2 2 8" xfId="0"/>
    <cellStyle name="20% - 강조색3 2 2 2 2 9" xfId="0"/>
    <cellStyle name="20% - 강조색3 2 2 2 3" xfId="0"/>
    <cellStyle name="20% - 강조색3 2 2 2 4" xfId="0"/>
    <cellStyle name="20% - 강조색3 2 2 2 5" xfId="0"/>
    <cellStyle name="20% - 강조색3 2 2 2 6" xfId="0"/>
    <cellStyle name="20% - 강조색3 2 2 2 7" xfId="0"/>
    <cellStyle name="20% - 강조색3 2 2 2 8" xfId="0"/>
    <cellStyle name="20% - 강조색3 2 2 2 9" xfId="0"/>
    <cellStyle name="20% - 강조색3 2 2 20" xfId="0"/>
    <cellStyle name="20% - 강조색3 2 2 21" xfId="0"/>
    <cellStyle name="20% - 강조색3 2 2 22" xfId="0"/>
    <cellStyle name="20% - 강조색3 2 2 23" xfId="0"/>
    <cellStyle name="20% - 강조색3 2 2 3" xfId="0"/>
    <cellStyle name="20% - 강조색3 2 2 4" xfId="0"/>
    <cellStyle name="20% - 강조색3 2 2 5" xfId="0"/>
    <cellStyle name="20% - 강조색3 2 2 6" xfId="0"/>
    <cellStyle name="20% - 강조색3 2 2 7" xfId="0"/>
    <cellStyle name="20% - 강조색3 2 2 8" xfId="0"/>
    <cellStyle name="20% - 강조색3 2 2 9" xfId="0"/>
    <cellStyle name="20% - 강조색3 2 20" xfId="0"/>
    <cellStyle name="20% - 강조색3 2 21" xfId="0"/>
    <cellStyle name="20% - 강조색3 2 22" xfId="0"/>
    <cellStyle name="20% - 강조색3 2 23" xfId="0"/>
    <cellStyle name="20% - 강조색3 2 3" xfId="0"/>
    <cellStyle name="20% - 강조색3 2 3 10" xfId="0"/>
    <cellStyle name="20% - 강조색3 2 3 2" xfId="0"/>
    <cellStyle name="20% - 강조색3 2 3 3" xfId="0"/>
    <cellStyle name="20% - 강조색3 2 3 4" xfId="0"/>
    <cellStyle name="20% - 강조색3 2 3 5" xfId="0"/>
    <cellStyle name="20% - 강조색3 2 3 6" xfId="0"/>
    <cellStyle name="20% - 강조색3 2 3 7" xfId="0"/>
    <cellStyle name="20% - 강조색3 2 3 8" xfId="0"/>
    <cellStyle name="20% - 강조색3 2 3 9" xfId="0"/>
    <cellStyle name="20% - 강조색3 2 4" xfId="0"/>
    <cellStyle name="20% - 강조색3 2 4 10" xfId="0"/>
    <cellStyle name="20% - 강조색3 2 4 2" xfId="0"/>
    <cellStyle name="20% - 강조색3 2 4 3" xfId="0"/>
    <cellStyle name="20% - 강조색3 2 4 4" xfId="0"/>
    <cellStyle name="20% - 강조색3 2 4 5" xfId="0"/>
    <cellStyle name="20% - 강조색3 2 4 6" xfId="0"/>
    <cellStyle name="20% - 강조색3 2 4 7" xfId="0"/>
    <cellStyle name="20% - 강조색3 2 4 8" xfId="0"/>
    <cellStyle name="20% - 강조색3 2 4 9" xfId="0"/>
    <cellStyle name="20% - 강조색3 2 5" xfId="0"/>
    <cellStyle name="20% - 강조색3 2 5 10" xfId="0"/>
    <cellStyle name="20% - 강조색3 2 5 2" xfId="0"/>
    <cellStyle name="20% - 강조색3 2 5 3" xfId="0"/>
    <cellStyle name="20% - 강조색3 2 5 4" xfId="0"/>
    <cellStyle name="20% - 강조색3 2 5 5" xfId="0"/>
    <cellStyle name="20% - 강조색3 2 5 6" xfId="0"/>
    <cellStyle name="20% - 강조색3 2 5 7" xfId="0"/>
    <cellStyle name="20% - 강조색3 2 5 8" xfId="0"/>
    <cellStyle name="20% - 강조색3 2 5 9" xfId="0"/>
    <cellStyle name="20% - 강조색3 2 6" xfId="0"/>
    <cellStyle name="20% - 강조색3 2 6 10" xfId="0"/>
    <cellStyle name="20% - 강조색3 2 6 2" xfId="0"/>
    <cellStyle name="20% - 강조색3 2 6 3" xfId="0"/>
    <cellStyle name="20% - 강조색3 2 6 4" xfId="0"/>
    <cellStyle name="20% - 강조색3 2 6 5" xfId="0"/>
    <cellStyle name="20% - 강조색3 2 6 6" xfId="0"/>
    <cellStyle name="20% - 강조색3 2 6 7" xfId="0"/>
    <cellStyle name="20% - 강조색3 2 6 8" xfId="0"/>
    <cellStyle name="20% - 강조색3 2 6 9" xfId="0"/>
    <cellStyle name="20% - 강조색3 2 7" xfId="0"/>
    <cellStyle name="20% - 강조색3 2 7 10" xfId="0"/>
    <cellStyle name="20% - 강조색3 2 7 2" xfId="0"/>
    <cellStyle name="20% - 강조색3 2 7 3" xfId="0"/>
    <cellStyle name="20% - 강조색3 2 7 4" xfId="0"/>
    <cellStyle name="20% - 강조색3 2 7 5" xfId="0"/>
    <cellStyle name="20% - 강조색3 2 7 6" xfId="0"/>
    <cellStyle name="20% - 강조색3 2 7 7" xfId="0"/>
    <cellStyle name="20% - 강조색3 2 7 8" xfId="0"/>
    <cellStyle name="20% - 강조색3 2 7 9" xfId="0"/>
    <cellStyle name="20% - 강조색3 2 8" xfId="0"/>
    <cellStyle name="20% - 강조색3 2 8 2" xfId="0"/>
    <cellStyle name="20% - 강조색3 2 9" xfId="0"/>
    <cellStyle name="20% - 강조색3 2 9 2" xfId="0"/>
    <cellStyle name="20% - 강조색3 20" xfId="0"/>
    <cellStyle name="20% - 강조색3 20 2" xfId="0"/>
    <cellStyle name="20% - 강조색3 20 3" xfId="0"/>
    <cellStyle name="20% - 강조색3 20 4" xfId="0"/>
    <cellStyle name="20% - 강조색3 20 5" xfId="0"/>
    <cellStyle name="20% - 강조색3 20 6" xfId="0"/>
    <cellStyle name="20% - 강조색3 20 7" xfId="0"/>
    <cellStyle name="20% - 강조색3 20 8" xfId="0"/>
    <cellStyle name="20% - 강조색3 20 9" xfId="0"/>
    <cellStyle name="20% - 강조색3 21" xfId="0"/>
    <cellStyle name="20% - 강조색3 21 2" xfId="0"/>
    <cellStyle name="20% - 강조색3 21 3" xfId="0"/>
    <cellStyle name="20% - 강조색3 21 4" xfId="0"/>
    <cellStyle name="20% - 강조색3 21 5" xfId="0"/>
    <cellStyle name="20% - 강조색3 21 6" xfId="0"/>
    <cellStyle name="20% - 강조색3 21 7" xfId="0"/>
    <cellStyle name="20% - 강조색3 21 8" xfId="0"/>
    <cellStyle name="20% - 강조색3 21 9" xfId="0"/>
    <cellStyle name="20% - 강조색3 22" xfId="0"/>
    <cellStyle name="20% - 강조색3 22 2" xfId="0"/>
    <cellStyle name="20% - 강조색3 22 3" xfId="0"/>
    <cellStyle name="20% - 강조색3 22 4" xfId="0"/>
    <cellStyle name="20% - 강조색3 22 5" xfId="0"/>
    <cellStyle name="20% - 강조색3 22 6" xfId="0"/>
    <cellStyle name="20% - 강조색3 22 7" xfId="0"/>
    <cellStyle name="20% - 강조색3 22 8" xfId="0"/>
    <cellStyle name="20% - 강조색3 22 9" xfId="0"/>
    <cellStyle name="20% - 강조색3 23" xfId="0"/>
    <cellStyle name="20% - 강조색3 23 2" xfId="0"/>
    <cellStyle name="20% - 강조색3 23 3" xfId="0"/>
    <cellStyle name="20% - 강조색3 23 4" xfId="0"/>
    <cellStyle name="20% - 강조색3 23 5" xfId="0"/>
    <cellStyle name="20% - 강조색3 23 6" xfId="0"/>
    <cellStyle name="20% - 강조색3 23 7" xfId="0"/>
    <cellStyle name="20% - 강조색3 23 8" xfId="0"/>
    <cellStyle name="20% - 강조색3 23 9" xfId="0"/>
    <cellStyle name="20% - 강조색3 24" xfId="0"/>
    <cellStyle name="20% - 강조색3 24 2" xfId="0"/>
    <cellStyle name="20% - 강조색3 24 3" xfId="0"/>
    <cellStyle name="20% - 강조색3 24 4" xfId="0"/>
    <cellStyle name="20% - 강조색3 24 5" xfId="0"/>
    <cellStyle name="20% - 강조색3 24 6" xfId="0"/>
    <cellStyle name="20% - 강조색3 24 7" xfId="0"/>
    <cellStyle name="20% - 강조색3 24 8" xfId="0"/>
    <cellStyle name="20% - 강조색3 24 9" xfId="0"/>
    <cellStyle name="20% - 강조색3 25" xfId="0"/>
    <cellStyle name="20% - 강조색3 25 2" xfId="0"/>
    <cellStyle name="20% - 강조색3 25 3" xfId="0"/>
    <cellStyle name="20% - 강조색3 25 4" xfId="0"/>
    <cellStyle name="20% - 강조색3 25 5" xfId="0"/>
    <cellStyle name="20% - 강조색3 25 6" xfId="0"/>
    <cellStyle name="20% - 강조색3 25 7" xfId="0"/>
    <cellStyle name="20% - 강조색3 25 8" xfId="0"/>
    <cellStyle name="20% - 강조색3 25 9" xfId="0"/>
    <cellStyle name="20% - 강조색3 26" xfId="0"/>
    <cellStyle name="20% - 강조색3 26 2" xfId="0"/>
    <cellStyle name="20% - 강조색3 26 3" xfId="0"/>
    <cellStyle name="20% - 강조색3 26 4" xfId="0"/>
    <cellStyle name="20% - 강조색3 26 5" xfId="0"/>
    <cellStyle name="20% - 강조색3 26 6" xfId="0"/>
    <cellStyle name="20% - 강조색3 26 7" xfId="0"/>
    <cellStyle name="20% - 강조색3 26 8" xfId="0"/>
    <cellStyle name="20% - 강조색3 26 9" xfId="0"/>
    <cellStyle name="20% - 강조색3 27" xfId="0"/>
    <cellStyle name="20% - 강조색3 27 2" xfId="0"/>
    <cellStyle name="20% - 강조색3 27 3" xfId="0"/>
    <cellStyle name="20% - 강조색3 27 4" xfId="0"/>
    <cellStyle name="20% - 강조색3 27 5" xfId="0"/>
    <cellStyle name="20% - 강조색3 27 6" xfId="0"/>
    <cellStyle name="20% - 강조색3 27 7" xfId="0"/>
    <cellStyle name="20% - 강조색3 27 8" xfId="0"/>
    <cellStyle name="20% - 강조색3 27 9" xfId="0"/>
    <cellStyle name="20% - 강조색3 28 2" xfId="0"/>
    <cellStyle name="20% - 강조색3 28 3" xfId="0"/>
    <cellStyle name="20% - 강조색3 28 4" xfId="0"/>
    <cellStyle name="20% - 강조색3 28 5" xfId="0"/>
    <cellStyle name="20% - 강조색3 28 6" xfId="0"/>
    <cellStyle name="20% - 강조색3 28 7" xfId="0"/>
    <cellStyle name="20% - 강조색3 28 8" xfId="0"/>
    <cellStyle name="20% - 강조색3 28 9" xfId="0"/>
    <cellStyle name="20% - 강조색3 29 2" xfId="0"/>
    <cellStyle name="20% - 강조색3 29 3" xfId="0"/>
    <cellStyle name="20% - 강조색3 29 4" xfId="0"/>
    <cellStyle name="20% - 강조색3 29 5" xfId="0"/>
    <cellStyle name="20% - 강조색3 29 6" xfId="0"/>
    <cellStyle name="20% - 강조색3 29 7" xfId="0"/>
    <cellStyle name="20% - 강조색3 29 8" xfId="0"/>
    <cellStyle name="20% - 강조색3 29 9" xfId="0"/>
    <cellStyle name="20% - 강조색3 2_3300현금및예치금" xfId="0"/>
    <cellStyle name="20% - 강조색3 3" xfId="0"/>
    <cellStyle name="20% - 강조색3 3 10" xfId="0"/>
    <cellStyle name="20% - 강조색3 3 10 2" xfId="0"/>
    <cellStyle name="20% - 강조색3 3 10 3" xfId="0"/>
    <cellStyle name="20% - 강조색3 3 11" xfId="0"/>
    <cellStyle name="20% - 강조색3 3 11 2" xfId="0"/>
    <cellStyle name="20% - 강조색3 3 11 3" xfId="0"/>
    <cellStyle name="20% - 강조색3 3 12" xfId="0"/>
    <cellStyle name="20% - 강조색3 3 12 2" xfId="0"/>
    <cellStyle name="20% - 강조색3 3 12 3" xfId="0"/>
    <cellStyle name="20% - 강조색3 3 13" xfId="0"/>
    <cellStyle name="20% - 강조색3 3 14" xfId="0"/>
    <cellStyle name="20% - 강조색3 3 15" xfId="0"/>
    <cellStyle name="20% - 강조색3 3 16" xfId="0"/>
    <cellStyle name="20% - 강조색3 3 17" xfId="0"/>
    <cellStyle name="20% - 강조색3 3 18" xfId="0"/>
    <cellStyle name="20% - 강조색3 3 19" xfId="0"/>
    <cellStyle name="20% - 강조색3 3 19 2" xfId="0"/>
    <cellStyle name="20% - 강조색3 3 2" xfId="0"/>
    <cellStyle name="20% - 강조색3 3 2 2" xfId="0"/>
    <cellStyle name="20% - 강조색3 3 2 3" xfId="0"/>
    <cellStyle name="20% - 강조색3 3 20" xfId="0"/>
    <cellStyle name="20% - 강조색3 3 21" xfId="0"/>
    <cellStyle name="20% - 강조색3 3 22" xfId="0"/>
    <cellStyle name="20% - 강조색3 3 23" xfId="0"/>
    <cellStyle name="20% - 강조색3 3 3" xfId="0"/>
    <cellStyle name="20% - 강조색3 3 3 2" xfId="0"/>
    <cellStyle name="20% - 강조색3 3 3 3" xfId="0"/>
    <cellStyle name="20% - 강조색3 3 4" xfId="0"/>
    <cellStyle name="20% - 강조색3 3 4 2" xfId="0"/>
    <cellStyle name="20% - 강조색3 3 4 3" xfId="0"/>
    <cellStyle name="20% - 강조색3 3 5" xfId="0"/>
    <cellStyle name="20% - 강조색3 3 5 2" xfId="0"/>
    <cellStyle name="20% - 강조색3 3 5 3" xfId="0"/>
    <cellStyle name="20% - 강조색3 3 6" xfId="0"/>
    <cellStyle name="20% - 강조색3 3 6 2" xfId="0"/>
    <cellStyle name="20% - 강조색3 3 6 3" xfId="0"/>
    <cellStyle name="20% - 강조색3 3 7" xfId="0"/>
    <cellStyle name="20% - 강조색3 3 7 2" xfId="0"/>
    <cellStyle name="20% - 강조색3 3 7 3" xfId="0"/>
    <cellStyle name="20% - 강조색3 3 8" xfId="0"/>
    <cellStyle name="20% - 강조색3 3 8 2" xfId="0"/>
    <cellStyle name="20% - 강조색3 3 8 3" xfId="0"/>
    <cellStyle name="20% - 강조색3 3 9" xfId="0"/>
    <cellStyle name="20% - 강조색3 3 9 2" xfId="0"/>
    <cellStyle name="20% - 강조색3 3 9 3" xfId="0"/>
    <cellStyle name="20% - 강조색3 30 2" xfId="0"/>
    <cellStyle name="20% - 강조색3 30 3" xfId="0"/>
    <cellStyle name="20% - 강조색3 30 4" xfId="0"/>
    <cellStyle name="20% - 강조색3 30 5" xfId="0"/>
    <cellStyle name="20% - 강조색3 30 6" xfId="0"/>
    <cellStyle name="20% - 강조색3 30 7" xfId="0"/>
    <cellStyle name="20% - 강조색3 30 8" xfId="0"/>
    <cellStyle name="20% - 강조색3 30 9" xfId="0"/>
    <cellStyle name="20% - 강조색3 31 2" xfId="0"/>
    <cellStyle name="20% - 강조색3 31 3" xfId="0"/>
    <cellStyle name="20% - 강조색3 31 4" xfId="0"/>
    <cellStyle name="20% - 강조색3 31 5" xfId="0"/>
    <cellStyle name="20% - 강조색3 31 6" xfId="0"/>
    <cellStyle name="20% - 강조색3 31 7" xfId="0"/>
    <cellStyle name="20% - 강조색3 31 8" xfId="0"/>
    <cellStyle name="20% - 강조색3 31 9" xfId="0"/>
    <cellStyle name="20% - 강조색3 32 2" xfId="0"/>
    <cellStyle name="20% - 강조색3 32 3" xfId="0"/>
    <cellStyle name="20% - 강조색3 32 4" xfId="0"/>
    <cellStyle name="20% - 강조색3 32 5" xfId="0"/>
    <cellStyle name="20% - 강조색3 32 6" xfId="0"/>
    <cellStyle name="20% - 강조색3 32 7" xfId="0"/>
    <cellStyle name="20% - 강조색3 32 8" xfId="0"/>
    <cellStyle name="20% - 강조색3 32 9" xfId="0"/>
    <cellStyle name="20% - 강조색3 33 2" xfId="0"/>
    <cellStyle name="20% - 강조색3 33 3" xfId="0"/>
    <cellStyle name="20% - 강조색3 33 4" xfId="0"/>
    <cellStyle name="20% - 강조색3 33 5" xfId="0"/>
    <cellStyle name="20% - 강조색3 33 6" xfId="0"/>
    <cellStyle name="20% - 강조색3 33 7" xfId="0"/>
    <cellStyle name="20% - 강조색3 33 8" xfId="0"/>
    <cellStyle name="20% - 강조색3 33 9" xfId="0"/>
    <cellStyle name="20% - 강조색3 34 2" xfId="0"/>
    <cellStyle name="20% - 강조색3 34 3" xfId="0"/>
    <cellStyle name="20% - 강조색3 34 4" xfId="0"/>
    <cellStyle name="20% - 강조색3 34 5" xfId="0"/>
    <cellStyle name="20% - 강조색3 34 6" xfId="0"/>
    <cellStyle name="20% - 강조색3 34 7" xfId="0"/>
    <cellStyle name="20% - 강조색3 34 8" xfId="0"/>
    <cellStyle name="20% - 강조색3 34 9" xfId="0"/>
    <cellStyle name="20% - 강조색3 35 2" xfId="0"/>
    <cellStyle name="20% - 강조색3 35 3" xfId="0"/>
    <cellStyle name="20% - 강조색3 35 4" xfId="0"/>
    <cellStyle name="20% - 강조색3 35 5" xfId="0"/>
    <cellStyle name="20% - 강조색3 35 6" xfId="0"/>
    <cellStyle name="20% - 강조색3 35 7" xfId="0"/>
    <cellStyle name="20% - 강조색3 35 8" xfId="0"/>
    <cellStyle name="20% - 강조색3 35 9" xfId="0"/>
    <cellStyle name="20% - 강조색3 3_운용자산별 손익분석" xfId="0"/>
    <cellStyle name="20% - 강조색3 4" xfId="0"/>
    <cellStyle name="20% - 강조색3 4 10" xfId="0"/>
    <cellStyle name="20% - 강조색3 4 11" xfId="0"/>
    <cellStyle name="20% - 강조색3 4 12" xfId="0"/>
    <cellStyle name="20% - 강조색3 4 13" xfId="0"/>
    <cellStyle name="20% - 강조색3 4 14" xfId="0"/>
    <cellStyle name="20% - 강조색3 4 15" xfId="0"/>
    <cellStyle name="20% - 강조색3 4 16" xfId="0"/>
    <cellStyle name="20% - 강조색3 4 17" xfId="0"/>
    <cellStyle name="20% - 강조색3 4 18" xfId="0"/>
    <cellStyle name="20% - 강조색3 4 19" xfId="0"/>
    <cellStyle name="20% - 강조색3 4 2" xfId="0"/>
    <cellStyle name="20% - 강조색3 4 20" xfId="0"/>
    <cellStyle name="20% - 강조색3 4 21" xfId="0"/>
    <cellStyle name="20% - 강조색3 4 22" xfId="0"/>
    <cellStyle name="20% - 강조색3 4 23" xfId="0"/>
    <cellStyle name="20% - 강조색3 4 24" xfId="0"/>
    <cellStyle name="20% - 강조색3 4 3" xfId="0"/>
    <cellStyle name="20% - 강조색3 4 4" xfId="0"/>
    <cellStyle name="20% - 강조색3 4 5" xfId="0"/>
    <cellStyle name="20% - 강조색3 4 6" xfId="0"/>
    <cellStyle name="20% - 강조색3 4 7" xfId="0"/>
    <cellStyle name="20% - 강조색3 4 8" xfId="0"/>
    <cellStyle name="20% - 강조색3 4 9" xfId="0"/>
    <cellStyle name="20% - 강조색3 4_운용자산별 손익분석" xfId="0"/>
    <cellStyle name="20% - 강조색3 5" xfId="0"/>
    <cellStyle name="20% - 강조색3 5 10" xfId="0"/>
    <cellStyle name="20% - 강조색3 5 11" xfId="0"/>
    <cellStyle name="20% - 강조색3 5 12" xfId="0"/>
    <cellStyle name="20% - 강조색3 5 13" xfId="0"/>
    <cellStyle name="20% - 강조색3 5 14" xfId="0"/>
    <cellStyle name="20% - 강조색3 5 15" xfId="0"/>
    <cellStyle name="20% - 강조색3 5 16" xfId="0"/>
    <cellStyle name="20% - 강조색3 5 17" xfId="0"/>
    <cellStyle name="20% - 강조색3 5 18" xfId="0"/>
    <cellStyle name="20% - 강조색3 5 19" xfId="0"/>
    <cellStyle name="20% - 강조색3 5 2" xfId="0"/>
    <cellStyle name="20% - 강조색3 5 20" xfId="0"/>
    <cellStyle name="20% - 강조색3 5 21" xfId="0"/>
    <cellStyle name="20% - 강조색3 5 22" xfId="0"/>
    <cellStyle name="20% - 강조색3 5 23" xfId="0"/>
    <cellStyle name="20% - 강조색3 5 24" xfId="0"/>
    <cellStyle name="20% - 강조색3 5 25" xfId="0"/>
    <cellStyle name="20% - 강조색3 5 26" xfId="0"/>
    <cellStyle name="20% - 강조색3 5 27" xfId="0"/>
    <cellStyle name="20% - 강조색3 5 28" xfId="0"/>
    <cellStyle name="20% - 강조색3 5 29" xfId="0"/>
    <cellStyle name="20% - 강조색3 5 3" xfId="0"/>
    <cellStyle name="20% - 강조색3 5 30" xfId="0"/>
    <cellStyle name="20% - 강조색3 5 31" xfId="0"/>
    <cellStyle name="20% - 강조색3 5 32" xfId="0"/>
    <cellStyle name="20% - 강조색3 5 33" xfId="0"/>
    <cellStyle name="20% - 강조색3 5 34" xfId="0"/>
    <cellStyle name="20% - 강조색3 5 4" xfId="0"/>
    <cellStyle name="20% - 강조색3 5 5" xfId="0"/>
    <cellStyle name="20% - 강조색3 5 6" xfId="0"/>
    <cellStyle name="20% - 강조색3 5 7" xfId="0"/>
    <cellStyle name="20% - 강조색3 5 8" xfId="0"/>
    <cellStyle name="20% - 강조색3 5 9" xfId="0"/>
    <cellStyle name="20% - 강조색3 6" xfId="0"/>
    <cellStyle name="20% - 강조색3 6 10" xfId="0"/>
    <cellStyle name="20% - 강조색3 6 11" xfId="0"/>
    <cellStyle name="20% - 강조색3 6 12" xfId="0"/>
    <cellStyle name="20% - 강조색3 6 13" xfId="0"/>
    <cellStyle name="20% - 강조색3 6 14" xfId="0"/>
    <cellStyle name="20% - 강조색3 6 15" xfId="0"/>
    <cellStyle name="20% - 강조색3 6 16" xfId="0"/>
    <cellStyle name="20% - 강조색3 6 17" xfId="0"/>
    <cellStyle name="20% - 강조색3 6 18" xfId="0"/>
    <cellStyle name="20% - 강조색3 6 19" xfId="0"/>
    <cellStyle name="20% - 강조색3 6 2" xfId="0"/>
    <cellStyle name="20% - 강조색3 6 20" xfId="0"/>
    <cellStyle name="20% - 강조색3 6 21" xfId="0"/>
    <cellStyle name="20% - 강조색3 6 22" xfId="0"/>
    <cellStyle name="20% - 강조색3 6 23" xfId="0"/>
    <cellStyle name="20% - 강조색3 6 24" xfId="0"/>
    <cellStyle name="20% - 강조색3 6 25" xfId="0"/>
    <cellStyle name="20% - 강조색3 6 26" xfId="0"/>
    <cellStyle name="20% - 강조색3 6 27" xfId="0"/>
    <cellStyle name="20% - 강조색3 6 28" xfId="0"/>
    <cellStyle name="20% - 강조색3 6 29" xfId="0"/>
    <cellStyle name="20% - 강조색3 6 3" xfId="0"/>
    <cellStyle name="20% - 강조색3 6 30" xfId="0"/>
    <cellStyle name="20% - 강조색3 6 4" xfId="0"/>
    <cellStyle name="20% - 강조색3 6 5" xfId="0"/>
    <cellStyle name="20% - 강조색3 6 6" xfId="0"/>
    <cellStyle name="20% - 강조색3 6 7" xfId="0"/>
    <cellStyle name="20% - 강조색3 6 8" xfId="0"/>
    <cellStyle name="20% - 강조색3 6 9" xfId="0"/>
    <cellStyle name="20% - 강조색3 7" xfId="0"/>
    <cellStyle name="20% - 강조색3 7 10" xfId="0"/>
    <cellStyle name="20% - 강조색3 7 11" xfId="0"/>
    <cellStyle name="20% - 강조색3 7 12" xfId="0"/>
    <cellStyle name="20% - 강조색3 7 13" xfId="0"/>
    <cellStyle name="20% - 강조색3 7 14" xfId="0"/>
    <cellStyle name="20% - 강조색3 7 15" xfId="0"/>
    <cellStyle name="20% - 강조색3 7 16" xfId="0"/>
    <cellStyle name="20% - 강조색3 7 17" xfId="0"/>
    <cellStyle name="20% - 강조색3 7 18" xfId="0"/>
    <cellStyle name="20% - 강조색3 7 19" xfId="0"/>
    <cellStyle name="20% - 강조색3 7 2" xfId="0"/>
    <cellStyle name="20% - 강조색3 7 2 2" xfId="0"/>
    <cellStyle name="20% - 강조색3 7 2 3" xfId="0"/>
    <cellStyle name="20% - 강조색3 7 20" xfId="0"/>
    <cellStyle name="20% - 강조색3 7 21" xfId="0"/>
    <cellStyle name="20% - 강조색3 7 22" xfId="0"/>
    <cellStyle name="20% - 강조색3 7 23" xfId="0"/>
    <cellStyle name="20% - 강조색3 7 24" xfId="0"/>
    <cellStyle name="20% - 강조색3 7 3" xfId="0"/>
    <cellStyle name="20% - 강조색3 7 3 2" xfId="0"/>
    <cellStyle name="20% - 강조색3 7 3 3" xfId="0"/>
    <cellStyle name="20% - 강조색3 7 4" xfId="0"/>
    <cellStyle name="20% - 강조색3 7 4 2" xfId="0"/>
    <cellStyle name="20% - 강조색3 7 4 3" xfId="0"/>
    <cellStyle name="20% - 강조색3 7 5" xfId="0"/>
    <cellStyle name="20% - 강조색3 7 5 2" xfId="0"/>
    <cellStyle name="20% - 강조색3 7 5 3" xfId="0"/>
    <cellStyle name="20% - 강조색3 7 6" xfId="0"/>
    <cellStyle name="20% - 강조색3 7 6 2" xfId="0"/>
    <cellStyle name="20% - 강조색3 7 6 3" xfId="0"/>
    <cellStyle name="20% - 강조색3 7 7" xfId="0"/>
    <cellStyle name="20% - 강조색3 7 8" xfId="0"/>
    <cellStyle name="20% - 강조색3 7 9" xfId="0"/>
    <cellStyle name="20% - 강조색3 8" xfId="0"/>
    <cellStyle name="20% - 강조색3 8 10" xfId="0"/>
    <cellStyle name="20% - 강조색3 8 11" xfId="0"/>
    <cellStyle name="20% - 강조색3 8 12" xfId="0"/>
    <cellStyle name="20% - 강조색3 8 13" xfId="0"/>
    <cellStyle name="20% - 강조색3 8 14" xfId="0"/>
    <cellStyle name="20% - 강조색3 8 15" xfId="0"/>
    <cellStyle name="20% - 강조색3 8 16" xfId="0"/>
    <cellStyle name="20% - 강조색3 8 17" xfId="0"/>
    <cellStyle name="20% - 강조색3 8 18" xfId="0"/>
    <cellStyle name="20% - 강조색3 8 19" xfId="0"/>
    <cellStyle name="20% - 강조색3 8 2" xfId="0"/>
    <cellStyle name="20% - 강조색3 8 2 2" xfId="0"/>
    <cellStyle name="20% - 강조색3 8 2 3" xfId="0"/>
    <cellStyle name="20% - 강조색3 8 20" xfId="0"/>
    <cellStyle name="20% - 강조색3 8 21" xfId="0"/>
    <cellStyle name="20% - 강조색3 8 22" xfId="0"/>
    <cellStyle name="20% - 강조색3 8 23" xfId="0"/>
    <cellStyle name="20% - 강조색3 8 24" xfId="0"/>
    <cellStyle name="20% - 강조색3 8 3" xfId="0"/>
    <cellStyle name="20% - 강조색3 8 3 2" xfId="0"/>
    <cellStyle name="20% - 강조색3 8 3 3" xfId="0"/>
    <cellStyle name="20% - 강조색3 8 4" xfId="0"/>
    <cellStyle name="20% - 강조색3 8 4 2" xfId="0"/>
    <cellStyle name="20% - 강조색3 8 4 3" xfId="0"/>
    <cellStyle name="20% - 강조색3 8 5" xfId="0"/>
    <cellStyle name="20% - 강조색3 8 5 2" xfId="0"/>
    <cellStyle name="20% - 강조색3 8 5 3" xfId="0"/>
    <cellStyle name="20% - 강조색3 8 6" xfId="0"/>
    <cellStyle name="20% - 강조색3 8 6 2" xfId="0"/>
    <cellStyle name="20% - 강조색3 8 6 3" xfId="0"/>
    <cellStyle name="20% - 강조색3 8 7" xfId="0"/>
    <cellStyle name="20% - 강조색3 8 8" xfId="0"/>
    <cellStyle name="20% - 강조색3 8 9" xfId="0"/>
    <cellStyle name="20% - 강조색3 9" xfId="0"/>
    <cellStyle name="20% - 강조색3 9 10" xfId="0"/>
    <cellStyle name="20% - 강조색3 9 11" xfId="0"/>
    <cellStyle name="20% - 강조색3 9 12" xfId="0"/>
    <cellStyle name="20% - 강조색3 9 13" xfId="0"/>
    <cellStyle name="20% - 강조색3 9 14" xfId="0"/>
    <cellStyle name="20% - 강조색3 9 15" xfId="0"/>
    <cellStyle name="20% - 강조색3 9 16" xfId="0"/>
    <cellStyle name="20% - 강조색3 9 17" xfId="0"/>
    <cellStyle name="20% - 강조색3 9 18" xfId="0"/>
    <cellStyle name="20% - 강조색3 9 19" xfId="0"/>
    <cellStyle name="20% - 강조색3 9 2" xfId="0"/>
    <cellStyle name="20% - 강조색3 9 2 2" xfId="0"/>
    <cellStyle name="20% - 강조색3 9 2 3" xfId="0"/>
    <cellStyle name="20% - 강조색3 9 20" xfId="0"/>
    <cellStyle name="20% - 강조색3 9 21" xfId="0"/>
    <cellStyle name="20% - 강조색3 9 22" xfId="0"/>
    <cellStyle name="20% - 강조색3 9 23" xfId="0"/>
    <cellStyle name="20% - 강조색3 9 24" xfId="0"/>
    <cellStyle name="20% - 강조색3 9 3" xfId="0"/>
    <cellStyle name="20% - 강조색3 9 3 2" xfId="0"/>
    <cellStyle name="20% - 강조색3 9 3 3" xfId="0"/>
    <cellStyle name="20% - 강조색3 9 4" xfId="0"/>
    <cellStyle name="20% - 강조색3 9 4 2" xfId="0"/>
    <cellStyle name="20% - 강조색3 9 4 3" xfId="0"/>
    <cellStyle name="20% - 강조색3 9 5" xfId="0"/>
    <cellStyle name="20% - 강조색3 9 5 2" xfId="0"/>
    <cellStyle name="20% - 강조색3 9 5 3" xfId="0"/>
    <cellStyle name="20% - 강조색3 9 6" xfId="0"/>
    <cellStyle name="20% - 강조색3 9 6 2" xfId="0"/>
    <cellStyle name="20% - 강조색3 9 6 3" xfId="0"/>
    <cellStyle name="20% - 강조색3 9 7" xfId="0"/>
    <cellStyle name="20% - 강조색3 9 8" xfId="0"/>
    <cellStyle name="20% - 강조색3 9 9" xfId="0"/>
    <cellStyle name="20% - 강조색4 10" xfId="0"/>
    <cellStyle name="20% - 강조색4 10 10" xfId="0"/>
    <cellStyle name="20% - 강조색4 10 11" xfId="0"/>
    <cellStyle name="20% - 강조색4 10 12" xfId="0"/>
    <cellStyle name="20% - 강조색4 10 13" xfId="0"/>
    <cellStyle name="20% - 강조색4 10 14" xfId="0"/>
    <cellStyle name="20% - 강조색4 10 15" xfId="0"/>
    <cellStyle name="20% - 강조색4 10 16" xfId="0"/>
    <cellStyle name="20% - 강조색4 10 17" xfId="0"/>
    <cellStyle name="20% - 강조색4 10 18" xfId="0"/>
    <cellStyle name="20% - 강조색4 10 19" xfId="0"/>
    <cellStyle name="20% - 강조색4 10 2" xfId="0"/>
    <cellStyle name="20% - 강조색4 10 2 2" xfId="0"/>
    <cellStyle name="20% - 강조색4 10 2 3" xfId="0"/>
    <cellStyle name="20% - 강조색4 10 20" xfId="0"/>
    <cellStyle name="20% - 강조색4 10 21" xfId="0"/>
    <cellStyle name="20% - 강조색4 10 22" xfId="0"/>
    <cellStyle name="20% - 강조색4 10 23" xfId="0"/>
    <cellStyle name="20% - 강조색4 10 24" xfId="0"/>
    <cellStyle name="20% - 강조색4 10 3" xfId="0"/>
    <cellStyle name="20% - 강조색4 10 3 2" xfId="0"/>
    <cellStyle name="20% - 강조색4 10 3 3" xfId="0"/>
    <cellStyle name="20% - 강조색4 10 4" xfId="0"/>
    <cellStyle name="20% - 강조색4 10 4 2" xfId="0"/>
    <cellStyle name="20% - 강조색4 10 4 3" xfId="0"/>
    <cellStyle name="20% - 강조색4 10 5" xfId="0"/>
    <cellStyle name="20% - 강조색4 10 5 2" xfId="0"/>
    <cellStyle name="20% - 강조색4 10 5 3" xfId="0"/>
    <cellStyle name="20% - 강조색4 10 6" xfId="0"/>
    <cellStyle name="20% - 강조색4 10 6 2" xfId="0"/>
    <cellStyle name="20% - 강조색4 10 6 3" xfId="0"/>
    <cellStyle name="20% - 강조색4 10 7" xfId="0"/>
    <cellStyle name="20% - 강조색4 10 8" xfId="0"/>
    <cellStyle name="20% - 강조색4 10 9" xfId="0"/>
    <cellStyle name="20% - 강조색4 11" xfId="0"/>
    <cellStyle name="20% - 강조색4 11 10" xfId="0"/>
    <cellStyle name="20% - 강조색4 11 2" xfId="0"/>
    <cellStyle name="20% - 강조색4 11 2 2" xfId="0"/>
    <cellStyle name="20% - 강조색4 11 2 3" xfId="0"/>
    <cellStyle name="20% - 강조색4 11 3" xfId="0"/>
    <cellStyle name="20% - 강조색4 11 3 2" xfId="0"/>
    <cellStyle name="20% - 강조색4 11 3 3" xfId="0"/>
    <cellStyle name="20% - 강조색4 11 4" xfId="0"/>
    <cellStyle name="20% - 강조색4 11 4 2" xfId="0"/>
    <cellStyle name="20% - 강조색4 11 4 3" xfId="0"/>
    <cellStyle name="20% - 강조색4 11 5" xfId="0"/>
    <cellStyle name="20% - 강조색4 11 5 2" xfId="0"/>
    <cellStyle name="20% - 강조색4 11 5 3" xfId="0"/>
    <cellStyle name="20% - 강조색4 11 6" xfId="0"/>
    <cellStyle name="20% - 강조색4 11 6 2" xfId="0"/>
    <cellStyle name="20% - 강조색4 11 6 3" xfId="0"/>
    <cellStyle name="20% - 강조색4 11 7" xfId="0"/>
    <cellStyle name="20% - 강조색4 11 8" xfId="0"/>
    <cellStyle name="20% - 강조색4 11 9" xfId="0"/>
    <cellStyle name="20% - 강조색4 12" xfId="0"/>
    <cellStyle name="20% - 강조색4 12 2" xfId="0"/>
    <cellStyle name="20% - 강조색4 12 3" xfId="0"/>
    <cellStyle name="20% - 강조색4 12 4" xfId="0"/>
    <cellStyle name="20% - 강조색4 12 5" xfId="0"/>
    <cellStyle name="20% - 강조색4 12 6" xfId="0"/>
    <cellStyle name="20% - 강조색4 12 7" xfId="0"/>
    <cellStyle name="20% - 강조색4 12 8" xfId="0"/>
    <cellStyle name="20% - 강조색4 12 9" xfId="0"/>
    <cellStyle name="20% - 강조색4 13" xfId="0"/>
    <cellStyle name="20% - 강조색4 13 2" xfId="0"/>
    <cellStyle name="20% - 강조색4 13 3" xfId="0"/>
    <cellStyle name="20% - 강조색4 13 4" xfId="0"/>
    <cellStyle name="20% - 강조색4 13 5" xfId="0"/>
    <cellStyle name="20% - 강조색4 13 6" xfId="0"/>
    <cellStyle name="20% - 강조색4 13 7" xfId="0"/>
    <cellStyle name="20% - 강조색4 13 8" xfId="0"/>
    <cellStyle name="20% - 강조색4 13 9" xfId="0"/>
    <cellStyle name="20% - 강조색4 14" xfId="0"/>
    <cellStyle name="20% - 강조색4 14 2" xfId="0"/>
    <cellStyle name="20% - 강조색4 14 3" xfId="0"/>
    <cellStyle name="20% - 강조색4 14 4" xfId="0"/>
    <cellStyle name="20% - 강조색4 14 5" xfId="0"/>
    <cellStyle name="20% - 강조색4 14 6" xfId="0"/>
    <cellStyle name="20% - 강조색4 14 7" xfId="0"/>
    <cellStyle name="20% - 강조색4 14 8" xfId="0"/>
    <cellStyle name="20% - 강조색4 14 9" xfId="0"/>
    <cellStyle name="20% - 강조색4 15" xfId="0"/>
    <cellStyle name="20% - 강조색4 15 2" xfId="0"/>
    <cellStyle name="20% - 강조색4 15 3" xfId="0"/>
    <cellStyle name="20% - 강조색4 15 4" xfId="0"/>
    <cellStyle name="20% - 강조색4 15 5" xfId="0"/>
    <cellStyle name="20% - 강조색4 15 6" xfId="0"/>
    <cellStyle name="20% - 강조색4 15 7" xfId="0"/>
    <cellStyle name="20% - 강조색4 15 8" xfId="0"/>
    <cellStyle name="20% - 강조색4 15 9" xfId="0"/>
    <cellStyle name="20% - 강조색4 16" xfId="0"/>
    <cellStyle name="20% - 강조색4 16 2" xfId="0"/>
    <cellStyle name="20% - 강조색4 16 3" xfId="0"/>
    <cellStyle name="20% - 강조색4 16 4" xfId="0"/>
    <cellStyle name="20% - 강조색4 16 5" xfId="0"/>
    <cellStyle name="20% - 강조색4 16 6" xfId="0"/>
    <cellStyle name="20% - 강조색4 16 7" xfId="0"/>
    <cellStyle name="20% - 강조색4 16 8" xfId="0"/>
    <cellStyle name="20% - 강조색4 16 9" xfId="0"/>
    <cellStyle name="20% - 강조색4 17" xfId="0"/>
    <cellStyle name="20% - 강조색4 17 2" xfId="0"/>
    <cellStyle name="20% - 강조색4 17 3" xfId="0"/>
    <cellStyle name="20% - 강조색4 17 4" xfId="0"/>
    <cellStyle name="20% - 강조색4 17 5" xfId="0"/>
    <cellStyle name="20% - 강조색4 17 6" xfId="0"/>
    <cellStyle name="20% - 강조색4 17 7" xfId="0"/>
    <cellStyle name="20% - 강조색4 17 8" xfId="0"/>
    <cellStyle name="20% - 강조색4 17 9" xfId="0"/>
    <cellStyle name="20% - 강조색4 18" xfId="0"/>
    <cellStyle name="20% - 강조색4 18 2" xfId="0"/>
    <cellStyle name="20% - 강조색4 18 3" xfId="0"/>
    <cellStyle name="20% - 강조색4 18 4" xfId="0"/>
    <cellStyle name="20% - 강조색4 18 5" xfId="0"/>
    <cellStyle name="20% - 강조색4 18 6" xfId="0"/>
    <cellStyle name="20% - 강조색4 18 7" xfId="0"/>
    <cellStyle name="20% - 강조색4 18 8" xfId="0"/>
    <cellStyle name="20% - 강조색4 18 9" xfId="0"/>
    <cellStyle name="20% - 강조색4 19" xfId="0"/>
    <cellStyle name="20% - 강조색4 19 2" xfId="0"/>
    <cellStyle name="20% - 강조색4 19 3" xfId="0"/>
    <cellStyle name="20% - 강조색4 19 4" xfId="0"/>
    <cellStyle name="20% - 강조색4 19 5" xfId="0"/>
    <cellStyle name="20% - 강조색4 19 6" xfId="0"/>
    <cellStyle name="20% - 강조색4 19 7" xfId="0"/>
    <cellStyle name="20% - 강조색4 19 8" xfId="0"/>
    <cellStyle name="20% - 강조색4 19 9" xfId="0"/>
    <cellStyle name="20% - 강조색4 2" xfId="0"/>
    <cellStyle name="20% - 강조색4 2 10" xfId="0"/>
    <cellStyle name="20% - 강조색4 2 10 2" xfId="0"/>
    <cellStyle name="20% - 강조색4 2 11" xfId="0"/>
    <cellStyle name="20% - 강조색4 2 11 2" xfId="0"/>
    <cellStyle name="20% - 강조색4 2 12" xfId="0"/>
    <cellStyle name="20% - 강조색4 2 12 2" xfId="0"/>
    <cellStyle name="20% - 강조색4 2 13" xfId="0"/>
    <cellStyle name="20% - 강조색4 2 14" xfId="0"/>
    <cellStyle name="20% - 강조색4 2 15" xfId="0"/>
    <cellStyle name="20% - 강조색4 2 16" xfId="0"/>
    <cellStyle name="20% - 강조색4 2 17" xfId="0"/>
    <cellStyle name="20% - 강조색4 2 18" xfId="0"/>
    <cellStyle name="20% - 강조색4 2 19" xfId="0"/>
    <cellStyle name="20% - 강조색4 2 2" xfId="0"/>
    <cellStyle name="20% - 강조색4 2 2 10" xfId="0"/>
    <cellStyle name="20% - 강조색4 2 2 11" xfId="0"/>
    <cellStyle name="20% - 강조색4 2 2 12" xfId="0"/>
    <cellStyle name="20% - 강조색4 2 2 13" xfId="0"/>
    <cellStyle name="20% - 강조색4 2 2 14" xfId="0"/>
    <cellStyle name="20% - 강조색4 2 2 15" xfId="0"/>
    <cellStyle name="20% - 강조색4 2 2 16" xfId="0"/>
    <cellStyle name="20% - 강조색4 2 2 17" xfId="0"/>
    <cellStyle name="20% - 강조색4 2 2 18" xfId="0"/>
    <cellStyle name="20% - 강조색4 2 2 19" xfId="0"/>
    <cellStyle name="20% - 강조색4 2 2 2" xfId="0"/>
    <cellStyle name="20% - 강조색4 2 2 2 2" xfId="0"/>
    <cellStyle name="20% - 강조색4 2 2 2 2 2" xfId="0"/>
    <cellStyle name="20% - 강조색4 2 2 2 2 3" xfId="0"/>
    <cellStyle name="20% - 강조색4 2 2 2 2 4" xfId="0"/>
    <cellStyle name="20% - 강조색4 2 2 2 2 5" xfId="0"/>
    <cellStyle name="20% - 강조색4 2 2 2 2 6" xfId="0"/>
    <cellStyle name="20% - 강조색4 2 2 2 2 7" xfId="0"/>
    <cellStyle name="20% - 강조색4 2 2 2 2 8" xfId="0"/>
    <cellStyle name="20% - 강조색4 2 2 2 2 9" xfId="0"/>
    <cellStyle name="20% - 강조색4 2 2 2 3" xfId="0"/>
    <cellStyle name="20% - 강조색4 2 2 2 4" xfId="0"/>
    <cellStyle name="20% - 강조색4 2 2 2 5" xfId="0"/>
    <cellStyle name="20% - 강조색4 2 2 2 6" xfId="0"/>
    <cellStyle name="20% - 강조색4 2 2 2 7" xfId="0"/>
    <cellStyle name="20% - 강조색4 2 2 2 8" xfId="0"/>
    <cellStyle name="20% - 강조색4 2 2 2 9" xfId="0"/>
    <cellStyle name="20% - 강조색4 2 2 20" xfId="0"/>
    <cellStyle name="20% - 강조색4 2 2 21" xfId="0"/>
    <cellStyle name="20% - 강조색4 2 2 22" xfId="0"/>
    <cellStyle name="20% - 강조색4 2 2 23" xfId="0"/>
    <cellStyle name="20% - 강조색4 2 2 3" xfId="0"/>
    <cellStyle name="20% - 강조색4 2 2 4" xfId="0"/>
    <cellStyle name="20% - 강조색4 2 2 5" xfId="0"/>
    <cellStyle name="20% - 강조색4 2 2 6" xfId="0"/>
    <cellStyle name="20% - 강조색4 2 2 7" xfId="0"/>
    <cellStyle name="20% - 강조색4 2 2 8" xfId="0"/>
    <cellStyle name="20% - 강조색4 2 2 9" xfId="0"/>
    <cellStyle name="20% - 강조색4 2 20" xfId="0"/>
    <cellStyle name="20% - 강조색4 2 21" xfId="0"/>
    <cellStyle name="20% - 강조색4 2 22" xfId="0"/>
    <cellStyle name="20% - 강조색4 2 23" xfId="0"/>
    <cellStyle name="20% - 강조색4 2 3" xfId="0"/>
    <cellStyle name="20% - 강조색4 2 3 10" xfId="0"/>
    <cellStyle name="20% - 강조색4 2 3 2" xfId="0"/>
    <cellStyle name="20% - 강조색4 2 3 3" xfId="0"/>
    <cellStyle name="20% - 강조색4 2 3 4" xfId="0"/>
    <cellStyle name="20% - 강조색4 2 3 5" xfId="0"/>
    <cellStyle name="20% - 강조색4 2 3 6" xfId="0"/>
    <cellStyle name="20% - 강조색4 2 3 7" xfId="0"/>
    <cellStyle name="20% - 강조색4 2 3 8" xfId="0"/>
    <cellStyle name="20% - 강조색4 2 3 9" xfId="0"/>
    <cellStyle name="20% - 강조색4 2 4" xfId="0"/>
    <cellStyle name="20% - 강조색4 2 4 10" xfId="0"/>
    <cellStyle name="20% - 강조색4 2 4 2" xfId="0"/>
    <cellStyle name="20% - 강조색4 2 4 3" xfId="0"/>
    <cellStyle name="20% - 강조색4 2 4 4" xfId="0"/>
    <cellStyle name="20% - 강조색4 2 4 5" xfId="0"/>
    <cellStyle name="20% - 강조색4 2 4 6" xfId="0"/>
    <cellStyle name="20% - 강조색4 2 4 7" xfId="0"/>
    <cellStyle name="20% - 강조색4 2 4 8" xfId="0"/>
    <cellStyle name="20% - 강조색4 2 4 9" xfId="0"/>
    <cellStyle name="20% - 강조색4 2 5" xfId="0"/>
    <cellStyle name="20% - 강조색4 2 5 10" xfId="0"/>
    <cellStyle name="20% - 강조색4 2 5 2" xfId="0"/>
    <cellStyle name="20% - 강조색4 2 5 3" xfId="0"/>
    <cellStyle name="20% - 강조색4 2 5 4" xfId="0"/>
    <cellStyle name="20% - 강조색4 2 5 5" xfId="0"/>
    <cellStyle name="20% - 강조색4 2 5 6" xfId="0"/>
    <cellStyle name="20% - 강조색4 2 5 7" xfId="0"/>
    <cellStyle name="20% - 강조색4 2 5 8" xfId="0"/>
    <cellStyle name="20% - 강조색4 2 5 9" xfId="0"/>
    <cellStyle name="20% - 강조색4 2 6" xfId="0"/>
    <cellStyle name="20% - 강조색4 2 6 10" xfId="0"/>
    <cellStyle name="20% - 강조색4 2 6 2" xfId="0"/>
    <cellStyle name="20% - 강조색4 2 6 3" xfId="0"/>
    <cellStyle name="20% - 강조색4 2 6 4" xfId="0"/>
    <cellStyle name="20% - 강조색4 2 6 5" xfId="0"/>
    <cellStyle name="20% - 강조색4 2 6 6" xfId="0"/>
    <cellStyle name="20% - 강조색4 2 6 7" xfId="0"/>
    <cellStyle name="20% - 강조색4 2 6 8" xfId="0"/>
    <cellStyle name="20% - 강조색4 2 6 9" xfId="0"/>
    <cellStyle name="20% - 강조색4 2 7" xfId="0"/>
    <cellStyle name="20% - 강조색4 2 7 10" xfId="0"/>
    <cellStyle name="20% - 강조색4 2 7 2" xfId="0"/>
    <cellStyle name="20% - 강조색4 2 7 3" xfId="0"/>
    <cellStyle name="20% - 강조색4 2 7 4" xfId="0"/>
    <cellStyle name="20% - 강조색4 2 7 5" xfId="0"/>
    <cellStyle name="20% - 강조색4 2 7 6" xfId="0"/>
    <cellStyle name="20% - 강조색4 2 7 7" xfId="0"/>
    <cellStyle name="20% - 강조색4 2 7 8" xfId="0"/>
    <cellStyle name="20% - 강조색4 2 7 9" xfId="0"/>
    <cellStyle name="20% - 강조색4 2 8" xfId="0"/>
    <cellStyle name="20% - 강조색4 2 8 2" xfId="0"/>
    <cellStyle name="20% - 강조색4 2 9" xfId="0"/>
    <cellStyle name="20% - 강조색4 2 9 2" xfId="0"/>
    <cellStyle name="20% - 강조색4 20" xfId="0"/>
    <cellStyle name="20% - 강조색4 20 2" xfId="0"/>
    <cellStyle name="20% - 강조색4 20 3" xfId="0"/>
    <cellStyle name="20% - 강조색4 20 4" xfId="0"/>
    <cellStyle name="20% - 강조색4 20 5" xfId="0"/>
    <cellStyle name="20% - 강조색4 20 6" xfId="0"/>
    <cellStyle name="20% - 강조색4 20 7" xfId="0"/>
    <cellStyle name="20% - 강조색4 20 8" xfId="0"/>
    <cellStyle name="20% - 강조색4 20 9" xfId="0"/>
    <cellStyle name="20% - 강조색4 21" xfId="0"/>
    <cellStyle name="20% - 강조색4 21 2" xfId="0"/>
    <cellStyle name="20% - 강조색4 21 3" xfId="0"/>
    <cellStyle name="20% - 강조색4 21 4" xfId="0"/>
    <cellStyle name="20% - 강조색4 21 5" xfId="0"/>
    <cellStyle name="20% - 강조색4 21 6" xfId="0"/>
    <cellStyle name="20% - 강조색4 21 7" xfId="0"/>
    <cellStyle name="20% - 강조색4 21 8" xfId="0"/>
    <cellStyle name="20% - 강조색4 21 9" xfId="0"/>
    <cellStyle name="20% - 강조색4 22" xfId="0"/>
    <cellStyle name="20% - 강조색4 22 2" xfId="0"/>
    <cellStyle name="20% - 강조색4 22 3" xfId="0"/>
    <cellStyle name="20% - 강조색4 22 4" xfId="0"/>
    <cellStyle name="20% - 강조색4 22 5" xfId="0"/>
    <cellStyle name="20% - 강조색4 22 6" xfId="0"/>
    <cellStyle name="20% - 강조색4 22 7" xfId="0"/>
    <cellStyle name="20% - 강조색4 22 8" xfId="0"/>
    <cellStyle name="20% - 강조색4 22 9" xfId="0"/>
    <cellStyle name="20% - 강조색4 23" xfId="0"/>
    <cellStyle name="20% - 강조색4 23 2" xfId="0"/>
    <cellStyle name="20% - 강조색4 23 3" xfId="0"/>
    <cellStyle name="20% - 강조색4 23 4" xfId="0"/>
    <cellStyle name="20% - 강조색4 23 5" xfId="0"/>
    <cellStyle name="20% - 강조색4 23 6" xfId="0"/>
    <cellStyle name="20% - 강조색4 23 7" xfId="0"/>
    <cellStyle name="20% - 강조색4 23 8" xfId="0"/>
    <cellStyle name="20% - 강조색4 23 9" xfId="0"/>
    <cellStyle name="20% - 강조색4 24" xfId="0"/>
    <cellStyle name="20% - 강조색4 24 2" xfId="0"/>
    <cellStyle name="20% - 강조색4 24 3" xfId="0"/>
    <cellStyle name="20% - 강조색4 24 4" xfId="0"/>
    <cellStyle name="20% - 강조색4 24 5" xfId="0"/>
    <cellStyle name="20% - 강조색4 24 6" xfId="0"/>
    <cellStyle name="20% - 강조색4 24 7" xfId="0"/>
    <cellStyle name="20% - 강조색4 24 8" xfId="0"/>
    <cellStyle name="20% - 강조색4 24 9" xfId="0"/>
    <cellStyle name="20% - 강조색4 25" xfId="0"/>
    <cellStyle name="20% - 강조색4 25 2" xfId="0"/>
    <cellStyle name="20% - 강조색4 25 3" xfId="0"/>
    <cellStyle name="20% - 강조색4 25 4" xfId="0"/>
    <cellStyle name="20% - 강조색4 25 5" xfId="0"/>
    <cellStyle name="20% - 강조색4 25 6" xfId="0"/>
    <cellStyle name="20% - 강조색4 25 7" xfId="0"/>
    <cellStyle name="20% - 강조색4 25 8" xfId="0"/>
    <cellStyle name="20% - 강조색4 25 9" xfId="0"/>
    <cellStyle name="20% - 강조색4 26" xfId="0"/>
    <cellStyle name="20% - 강조색4 26 2" xfId="0"/>
    <cellStyle name="20% - 강조색4 26 3" xfId="0"/>
    <cellStyle name="20% - 강조색4 26 4" xfId="0"/>
    <cellStyle name="20% - 강조색4 26 5" xfId="0"/>
    <cellStyle name="20% - 강조색4 26 6" xfId="0"/>
    <cellStyle name="20% - 강조색4 26 7" xfId="0"/>
    <cellStyle name="20% - 강조색4 26 8" xfId="0"/>
    <cellStyle name="20% - 강조색4 26 9" xfId="0"/>
    <cellStyle name="20% - 강조색4 27" xfId="0"/>
    <cellStyle name="20% - 강조색4 27 2" xfId="0"/>
    <cellStyle name="20% - 강조색4 27 3" xfId="0"/>
    <cellStyle name="20% - 강조색4 27 4" xfId="0"/>
    <cellStyle name="20% - 강조색4 27 5" xfId="0"/>
    <cellStyle name="20% - 강조색4 27 6" xfId="0"/>
    <cellStyle name="20% - 강조색4 27 7" xfId="0"/>
    <cellStyle name="20% - 강조색4 27 8" xfId="0"/>
    <cellStyle name="20% - 강조색4 27 9" xfId="0"/>
    <cellStyle name="20% - 강조색4 28 2" xfId="0"/>
    <cellStyle name="20% - 강조색4 28 3" xfId="0"/>
    <cellStyle name="20% - 강조색4 28 4" xfId="0"/>
    <cellStyle name="20% - 강조색4 28 5" xfId="0"/>
    <cellStyle name="20% - 강조색4 28 6" xfId="0"/>
    <cellStyle name="20% - 강조색4 28 7" xfId="0"/>
    <cellStyle name="20% - 강조색4 28 8" xfId="0"/>
    <cellStyle name="20% - 강조색4 28 9" xfId="0"/>
    <cellStyle name="20% - 강조색4 29 2" xfId="0"/>
    <cellStyle name="20% - 강조색4 29 3" xfId="0"/>
    <cellStyle name="20% - 강조색4 29 4" xfId="0"/>
    <cellStyle name="20% - 강조색4 29 5" xfId="0"/>
    <cellStyle name="20% - 강조색4 29 6" xfId="0"/>
    <cellStyle name="20% - 강조색4 29 7" xfId="0"/>
    <cellStyle name="20% - 강조색4 29 8" xfId="0"/>
    <cellStyle name="20% - 강조색4 29 9" xfId="0"/>
    <cellStyle name="20% - 강조색4 2_3300현금및예치금" xfId="0"/>
    <cellStyle name="20% - 강조색4 3" xfId="0"/>
    <cellStyle name="20% - 강조색4 3 10" xfId="0"/>
    <cellStyle name="20% - 강조색4 3 10 2" xfId="0"/>
    <cellStyle name="20% - 강조색4 3 10 3" xfId="0"/>
    <cellStyle name="20% - 강조색4 3 11" xfId="0"/>
    <cellStyle name="20% - 강조색4 3 11 2" xfId="0"/>
    <cellStyle name="20% - 강조색4 3 11 3" xfId="0"/>
    <cellStyle name="20% - 강조색4 3 12" xfId="0"/>
    <cellStyle name="20% - 강조색4 3 12 2" xfId="0"/>
    <cellStyle name="20% - 강조색4 3 12 3" xfId="0"/>
    <cellStyle name="20% - 강조색4 3 13" xfId="0"/>
    <cellStyle name="20% - 강조색4 3 14" xfId="0"/>
    <cellStyle name="20% - 강조색4 3 15" xfId="0"/>
    <cellStyle name="20% - 강조색4 3 16" xfId="0"/>
    <cellStyle name="20% - 강조색4 3 17" xfId="0"/>
    <cellStyle name="20% - 강조색4 3 18" xfId="0"/>
    <cellStyle name="20% - 강조색4 3 19" xfId="0"/>
    <cellStyle name="20% - 강조색4 3 19 2" xfId="0"/>
    <cellStyle name="20% - 강조색4 3 2" xfId="0"/>
    <cellStyle name="20% - 강조색4 3 2 2" xfId="0"/>
    <cellStyle name="20% - 강조색4 3 2 3" xfId="0"/>
    <cellStyle name="20% - 강조색4 3 20" xfId="0"/>
    <cellStyle name="20% - 강조색4 3 21" xfId="0"/>
    <cellStyle name="20% - 강조색4 3 22" xfId="0"/>
    <cellStyle name="20% - 강조색4 3 23" xfId="0"/>
    <cellStyle name="20% - 강조색4 3 3" xfId="0"/>
    <cellStyle name="20% - 강조색4 3 3 2" xfId="0"/>
    <cellStyle name="20% - 강조색4 3 3 3" xfId="0"/>
    <cellStyle name="20% - 강조색4 3 4" xfId="0"/>
    <cellStyle name="20% - 강조색4 3 4 2" xfId="0"/>
    <cellStyle name="20% - 강조색4 3 4 3" xfId="0"/>
    <cellStyle name="20% - 강조색4 3 5" xfId="0"/>
    <cellStyle name="20% - 강조색4 3 5 2" xfId="0"/>
    <cellStyle name="20% - 강조색4 3 5 3" xfId="0"/>
    <cellStyle name="20% - 강조색4 3 6" xfId="0"/>
    <cellStyle name="20% - 강조색4 3 6 2" xfId="0"/>
    <cellStyle name="20% - 강조색4 3 6 3" xfId="0"/>
    <cellStyle name="20% - 강조색4 3 7" xfId="0"/>
    <cellStyle name="20% - 강조색4 3 7 2" xfId="0"/>
    <cellStyle name="20% - 강조색4 3 7 3" xfId="0"/>
    <cellStyle name="20% - 강조색4 3 8" xfId="0"/>
    <cellStyle name="20% - 강조색4 3 8 2" xfId="0"/>
    <cellStyle name="20% - 강조색4 3 8 3" xfId="0"/>
    <cellStyle name="20% - 강조색4 3 9" xfId="0"/>
    <cellStyle name="20% - 강조색4 3 9 2" xfId="0"/>
    <cellStyle name="20% - 강조색4 3 9 3" xfId="0"/>
    <cellStyle name="20% - 강조색4 30 2" xfId="0"/>
    <cellStyle name="20% - 강조색4 30 3" xfId="0"/>
    <cellStyle name="20% - 강조색4 30 4" xfId="0"/>
    <cellStyle name="20% - 강조색4 30 5" xfId="0"/>
    <cellStyle name="20% - 강조색4 30 6" xfId="0"/>
    <cellStyle name="20% - 강조색4 30 7" xfId="0"/>
    <cellStyle name="20% - 강조색4 30 8" xfId="0"/>
    <cellStyle name="20% - 강조색4 30 9" xfId="0"/>
    <cellStyle name="20% - 강조색4 31 2" xfId="0"/>
    <cellStyle name="20% - 강조색4 31 3" xfId="0"/>
    <cellStyle name="20% - 강조색4 31 4" xfId="0"/>
    <cellStyle name="20% - 강조색4 31 5" xfId="0"/>
    <cellStyle name="20% - 강조색4 31 6" xfId="0"/>
    <cellStyle name="20% - 강조색4 31 7" xfId="0"/>
    <cellStyle name="20% - 강조색4 31 8" xfId="0"/>
    <cellStyle name="20% - 강조색4 31 9" xfId="0"/>
    <cellStyle name="20% - 강조색4 32 2" xfId="0"/>
    <cellStyle name="20% - 강조색4 32 3" xfId="0"/>
    <cellStyle name="20% - 강조색4 32 4" xfId="0"/>
    <cellStyle name="20% - 강조색4 32 5" xfId="0"/>
    <cellStyle name="20% - 강조색4 32 6" xfId="0"/>
    <cellStyle name="20% - 강조색4 32 7" xfId="0"/>
    <cellStyle name="20% - 강조색4 32 8" xfId="0"/>
    <cellStyle name="20% - 강조색4 32 9" xfId="0"/>
    <cellStyle name="20% - 강조색4 33 2" xfId="0"/>
    <cellStyle name="20% - 강조색4 33 3" xfId="0"/>
    <cellStyle name="20% - 강조색4 33 4" xfId="0"/>
    <cellStyle name="20% - 강조색4 33 5" xfId="0"/>
    <cellStyle name="20% - 강조색4 33 6" xfId="0"/>
    <cellStyle name="20% - 강조색4 33 7" xfId="0"/>
    <cellStyle name="20% - 강조색4 33 8" xfId="0"/>
    <cellStyle name="20% - 강조색4 33 9" xfId="0"/>
    <cellStyle name="20% - 강조색4 34 2" xfId="0"/>
    <cellStyle name="20% - 강조색4 34 3" xfId="0"/>
    <cellStyle name="20% - 강조색4 34 4" xfId="0"/>
    <cellStyle name="20% - 강조색4 34 5" xfId="0"/>
    <cellStyle name="20% - 강조색4 34 6" xfId="0"/>
    <cellStyle name="20% - 강조색4 34 7" xfId="0"/>
    <cellStyle name="20% - 강조색4 34 8" xfId="0"/>
    <cellStyle name="20% - 강조색4 34 9" xfId="0"/>
    <cellStyle name="20% - 강조색4 35 2" xfId="0"/>
    <cellStyle name="20% - 강조색4 35 3" xfId="0"/>
    <cellStyle name="20% - 강조색4 35 4" xfId="0"/>
    <cellStyle name="20% - 강조색4 35 5" xfId="0"/>
    <cellStyle name="20% - 강조색4 35 6" xfId="0"/>
    <cellStyle name="20% - 강조색4 35 7" xfId="0"/>
    <cellStyle name="20% - 강조색4 35 8" xfId="0"/>
    <cellStyle name="20% - 강조색4 35 9" xfId="0"/>
    <cellStyle name="20% - 강조색4 3_운용자산별 손익분석" xfId="0"/>
    <cellStyle name="20% - 강조색4 4" xfId="0"/>
    <cellStyle name="20% - 강조색4 4 10" xfId="0"/>
    <cellStyle name="20% - 강조색4 4 11" xfId="0"/>
    <cellStyle name="20% - 강조색4 4 12" xfId="0"/>
    <cellStyle name="20% - 강조색4 4 13" xfId="0"/>
    <cellStyle name="20% - 강조색4 4 14" xfId="0"/>
    <cellStyle name="20% - 강조색4 4 15" xfId="0"/>
    <cellStyle name="20% - 강조색4 4 16" xfId="0"/>
    <cellStyle name="20% - 강조색4 4 17" xfId="0"/>
    <cellStyle name="20% - 강조색4 4 18" xfId="0"/>
    <cellStyle name="20% - 강조색4 4 19" xfId="0"/>
    <cellStyle name="20% - 강조색4 4 2" xfId="0"/>
    <cellStyle name="20% - 강조색4 4 20" xfId="0"/>
    <cellStyle name="20% - 강조색4 4 21" xfId="0"/>
    <cellStyle name="20% - 강조색4 4 22" xfId="0"/>
    <cellStyle name="20% - 강조색4 4 23" xfId="0"/>
    <cellStyle name="20% - 강조색4 4 24" xfId="0"/>
    <cellStyle name="20% - 강조색4 4 3" xfId="0"/>
    <cellStyle name="20% - 강조색4 4 4" xfId="0"/>
    <cellStyle name="20% - 강조색4 4 5" xfId="0"/>
    <cellStyle name="20% - 강조색4 4 6" xfId="0"/>
    <cellStyle name="20% - 강조색4 4 7" xfId="0"/>
    <cellStyle name="20% - 강조색4 4 8" xfId="0"/>
    <cellStyle name="20% - 강조색4 4 9" xfId="0"/>
    <cellStyle name="20% - 강조색4 4_운용자산별 손익분석" xfId="0"/>
    <cellStyle name="20% - 강조색4 5" xfId="0"/>
    <cellStyle name="20% - 강조색4 5 10" xfId="0"/>
    <cellStyle name="20% - 강조색4 5 11" xfId="0"/>
    <cellStyle name="20% - 강조색4 5 12" xfId="0"/>
    <cellStyle name="20% - 강조색4 5 13" xfId="0"/>
    <cellStyle name="20% - 강조색4 5 14" xfId="0"/>
    <cellStyle name="20% - 강조색4 5 15" xfId="0"/>
    <cellStyle name="20% - 강조색4 5 16" xfId="0"/>
    <cellStyle name="20% - 강조색4 5 17" xfId="0"/>
    <cellStyle name="20% - 강조색4 5 18" xfId="0"/>
    <cellStyle name="20% - 강조색4 5 19" xfId="0"/>
    <cellStyle name="20% - 강조색4 5 2" xfId="0"/>
    <cellStyle name="20% - 강조색4 5 20" xfId="0"/>
    <cellStyle name="20% - 강조색4 5 21" xfId="0"/>
    <cellStyle name="20% - 강조색4 5 22" xfId="0"/>
    <cellStyle name="20% - 강조색4 5 23" xfId="0"/>
    <cellStyle name="20% - 강조색4 5 24" xfId="0"/>
    <cellStyle name="20% - 강조색4 5 25" xfId="0"/>
    <cellStyle name="20% - 강조색4 5 26" xfId="0"/>
    <cellStyle name="20% - 강조색4 5 27" xfId="0"/>
    <cellStyle name="20% - 강조색4 5 28" xfId="0"/>
    <cellStyle name="20% - 강조색4 5 29" xfId="0"/>
    <cellStyle name="20% - 강조색4 5 3" xfId="0"/>
    <cellStyle name="20% - 강조색4 5 30" xfId="0"/>
    <cellStyle name="20% - 강조색4 5 31" xfId="0"/>
    <cellStyle name="20% - 강조색4 5 32" xfId="0"/>
    <cellStyle name="20% - 강조색4 5 33" xfId="0"/>
    <cellStyle name="20% - 강조색4 5 34" xfId="0"/>
    <cellStyle name="20% - 강조색4 5 4" xfId="0"/>
    <cellStyle name="20% - 강조색4 5 5" xfId="0"/>
    <cellStyle name="20% - 강조색4 5 6" xfId="0"/>
    <cellStyle name="20% - 강조색4 5 7" xfId="0"/>
    <cellStyle name="20% - 강조색4 5 8" xfId="0"/>
    <cellStyle name="20% - 강조색4 5 9" xfId="0"/>
    <cellStyle name="20% - 강조색4 6" xfId="0"/>
    <cellStyle name="20% - 강조색4 6 10" xfId="0"/>
    <cellStyle name="20% - 강조색4 6 11" xfId="0"/>
    <cellStyle name="20% - 강조색4 6 12" xfId="0"/>
    <cellStyle name="20% - 강조색4 6 13" xfId="0"/>
    <cellStyle name="20% - 강조색4 6 14" xfId="0"/>
    <cellStyle name="20% - 강조색4 6 15" xfId="0"/>
    <cellStyle name="20% - 강조색4 6 16" xfId="0"/>
    <cellStyle name="20% - 강조색4 6 17" xfId="0"/>
    <cellStyle name="20% - 강조색4 6 18" xfId="0"/>
    <cellStyle name="20% - 강조색4 6 19" xfId="0"/>
    <cellStyle name="20% - 강조색4 6 2" xfId="0"/>
    <cellStyle name="20% - 강조색4 6 20" xfId="0"/>
    <cellStyle name="20% - 강조색4 6 21" xfId="0"/>
    <cellStyle name="20% - 강조색4 6 22" xfId="0"/>
    <cellStyle name="20% - 강조색4 6 23" xfId="0"/>
    <cellStyle name="20% - 강조색4 6 24" xfId="0"/>
    <cellStyle name="20% - 강조색4 6 25" xfId="0"/>
    <cellStyle name="20% - 강조색4 6 26" xfId="0"/>
    <cellStyle name="20% - 강조색4 6 27" xfId="0"/>
    <cellStyle name="20% - 강조색4 6 28" xfId="0"/>
    <cellStyle name="20% - 강조색4 6 29" xfId="0"/>
    <cellStyle name="20% - 강조색4 6 3" xfId="0"/>
    <cellStyle name="20% - 강조색4 6 30" xfId="0"/>
    <cellStyle name="20% - 강조색4 6 4" xfId="0"/>
    <cellStyle name="20% - 강조색4 6 5" xfId="0"/>
    <cellStyle name="20% - 강조색4 6 6" xfId="0"/>
    <cellStyle name="20% - 강조색4 6 7" xfId="0"/>
    <cellStyle name="20% - 강조색4 6 8" xfId="0"/>
    <cellStyle name="20% - 강조색4 6 9" xfId="0"/>
    <cellStyle name="20% - 강조색4 7" xfId="0"/>
    <cellStyle name="20% - 강조색4 7 10" xfId="0"/>
    <cellStyle name="20% - 강조색4 7 11" xfId="0"/>
    <cellStyle name="20% - 강조색4 7 12" xfId="0"/>
    <cellStyle name="20% - 강조색4 7 13" xfId="0"/>
    <cellStyle name="20% - 강조색4 7 14" xfId="0"/>
    <cellStyle name="20% - 강조색4 7 15" xfId="0"/>
    <cellStyle name="20% - 강조색4 7 16" xfId="0"/>
    <cellStyle name="20% - 강조색4 7 17" xfId="0"/>
    <cellStyle name="20% - 강조색4 7 18" xfId="0"/>
    <cellStyle name="20% - 강조색4 7 19" xfId="0"/>
    <cellStyle name="20% - 강조색4 7 2" xfId="0"/>
    <cellStyle name="20% - 강조색4 7 2 2" xfId="0"/>
    <cellStyle name="20% - 강조색4 7 2 3" xfId="0"/>
    <cellStyle name="20% - 강조색4 7 20" xfId="0"/>
    <cellStyle name="20% - 강조색4 7 21" xfId="0"/>
    <cellStyle name="20% - 강조색4 7 22" xfId="0"/>
    <cellStyle name="20% - 강조색4 7 23" xfId="0"/>
    <cellStyle name="20% - 강조색4 7 24" xfId="0"/>
    <cellStyle name="20% - 강조색4 7 3" xfId="0"/>
    <cellStyle name="20% - 강조색4 7 3 2" xfId="0"/>
    <cellStyle name="20% - 강조색4 7 3 3" xfId="0"/>
    <cellStyle name="20% - 강조색4 7 4" xfId="0"/>
    <cellStyle name="20% - 강조색4 7 4 2" xfId="0"/>
    <cellStyle name="20% - 강조색4 7 4 3" xfId="0"/>
    <cellStyle name="20% - 강조색4 7 5" xfId="0"/>
    <cellStyle name="20% - 강조색4 7 5 2" xfId="0"/>
    <cellStyle name="20% - 강조색4 7 5 3" xfId="0"/>
    <cellStyle name="20% - 강조색4 7 6" xfId="0"/>
    <cellStyle name="20% - 강조색4 7 6 2" xfId="0"/>
    <cellStyle name="20% - 강조색4 7 6 3" xfId="0"/>
    <cellStyle name="20% - 강조색4 7 7" xfId="0"/>
    <cellStyle name="20% - 강조색4 7 8" xfId="0"/>
    <cellStyle name="20% - 강조색4 7 9" xfId="0"/>
    <cellStyle name="20% - 강조색4 8" xfId="0"/>
    <cellStyle name="20% - 강조색4 8 10" xfId="0"/>
    <cellStyle name="20% - 강조색4 8 11" xfId="0"/>
    <cellStyle name="20% - 강조색4 8 12" xfId="0"/>
    <cellStyle name="20% - 강조색4 8 13" xfId="0"/>
    <cellStyle name="20% - 강조색4 8 14" xfId="0"/>
    <cellStyle name="20% - 강조색4 8 15" xfId="0"/>
    <cellStyle name="20% - 강조색4 8 16" xfId="0"/>
    <cellStyle name="20% - 강조색4 8 17" xfId="0"/>
    <cellStyle name="20% - 강조색4 8 18" xfId="0"/>
    <cellStyle name="20% - 강조색4 8 19" xfId="0"/>
    <cellStyle name="20% - 강조색4 8 2" xfId="0"/>
    <cellStyle name="20% - 강조색4 8 2 2" xfId="0"/>
    <cellStyle name="20% - 강조색4 8 2 3" xfId="0"/>
    <cellStyle name="20% - 강조색4 8 20" xfId="0"/>
    <cellStyle name="20% - 강조색4 8 21" xfId="0"/>
    <cellStyle name="20% - 강조색4 8 22" xfId="0"/>
    <cellStyle name="20% - 강조색4 8 23" xfId="0"/>
    <cellStyle name="20% - 강조색4 8 24" xfId="0"/>
    <cellStyle name="20% - 강조색4 8 3" xfId="0"/>
    <cellStyle name="20% - 강조색4 8 3 2" xfId="0"/>
    <cellStyle name="20% - 강조색4 8 3 3" xfId="0"/>
    <cellStyle name="20% - 강조색4 8 4" xfId="0"/>
    <cellStyle name="20% - 강조색4 8 4 2" xfId="0"/>
    <cellStyle name="20% - 강조색4 8 4 3" xfId="0"/>
    <cellStyle name="20% - 강조색4 8 5" xfId="0"/>
    <cellStyle name="20% - 강조색4 8 5 2" xfId="0"/>
    <cellStyle name="20% - 강조색4 8 5 3" xfId="0"/>
    <cellStyle name="20% - 강조색4 8 6" xfId="0"/>
    <cellStyle name="20% - 강조색4 8 6 2" xfId="0"/>
    <cellStyle name="20% - 강조색4 8 6 3" xfId="0"/>
    <cellStyle name="20% - 강조색4 8 7" xfId="0"/>
    <cellStyle name="20% - 강조색4 8 8" xfId="0"/>
    <cellStyle name="20% - 강조색4 8 9" xfId="0"/>
    <cellStyle name="20% - 강조색4 9" xfId="0"/>
    <cellStyle name="20% - 강조색4 9 10" xfId="0"/>
    <cellStyle name="20% - 강조색4 9 11" xfId="0"/>
    <cellStyle name="20% - 강조색4 9 12" xfId="0"/>
    <cellStyle name="20% - 강조색4 9 13" xfId="0"/>
    <cellStyle name="20% - 강조색4 9 14" xfId="0"/>
    <cellStyle name="20% - 강조색4 9 15" xfId="0"/>
    <cellStyle name="20% - 강조색4 9 16" xfId="0"/>
    <cellStyle name="20% - 강조색4 9 17" xfId="0"/>
    <cellStyle name="20% - 강조색4 9 18" xfId="0"/>
    <cellStyle name="20% - 강조색4 9 19" xfId="0"/>
    <cellStyle name="20% - 강조색4 9 2" xfId="0"/>
    <cellStyle name="20% - 강조색4 9 2 2" xfId="0"/>
    <cellStyle name="20% - 강조색4 9 2 3" xfId="0"/>
    <cellStyle name="20% - 강조색4 9 20" xfId="0"/>
    <cellStyle name="20% - 강조색4 9 21" xfId="0"/>
    <cellStyle name="20% - 강조색4 9 22" xfId="0"/>
    <cellStyle name="20% - 강조색4 9 23" xfId="0"/>
    <cellStyle name="20% - 강조색4 9 24" xfId="0"/>
    <cellStyle name="20% - 강조색4 9 3" xfId="0"/>
    <cellStyle name="20% - 강조색4 9 3 2" xfId="0"/>
    <cellStyle name="20% - 강조색4 9 3 3" xfId="0"/>
    <cellStyle name="20% - 강조색4 9 4" xfId="0"/>
    <cellStyle name="20% - 강조색4 9 4 2" xfId="0"/>
    <cellStyle name="20% - 강조색4 9 4 3" xfId="0"/>
    <cellStyle name="20% - 강조색4 9 5" xfId="0"/>
    <cellStyle name="20% - 강조색4 9 5 2" xfId="0"/>
    <cellStyle name="20% - 강조색4 9 5 3" xfId="0"/>
    <cellStyle name="20% - 강조색4 9 6" xfId="0"/>
    <cellStyle name="20% - 강조색4 9 6 2" xfId="0"/>
    <cellStyle name="20% - 강조색4 9 6 3" xfId="0"/>
    <cellStyle name="20% - 강조색4 9 7" xfId="0"/>
    <cellStyle name="20% - 강조색4 9 8" xfId="0"/>
    <cellStyle name="20% - 강조색4 9 9" xfId="0"/>
    <cellStyle name="20% - 강조색5 10" xfId="0"/>
    <cellStyle name="20% - 강조색5 10 10" xfId="0"/>
    <cellStyle name="20% - 강조색5 10 11" xfId="0"/>
    <cellStyle name="20% - 강조색5 10 12" xfId="0"/>
    <cellStyle name="20% - 강조색5 10 13" xfId="0"/>
    <cellStyle name="20% - 강조색5 10 14" xfId="0"/>
    <cellStyle name="20% - 강조색5 10 15" xfId="0"/>
    <cellStyle name="20% - 강조색5 10 16" xfId="0"/>
    <cellStyle name="20% - 강조색5 10 17" xfId="0"/>
    <cellStyle name="20% - 강조색5 10 18" xfId="0"/>
    <cellStyle name="20% - 강조색5 10 19" xfId="0"/>
    <cellStyle name="20% - 강조색5 10 2" xfId="0"/>
    <cellStyle name="20% - 강조색5 10 2 2" xfId="0"/>
    <cellStyle name="20% - 강조색5 10 2 3" xfId="0"/>
    <cellStyle name="20% - 강조색5 10 20" xfId="0"/>
    <cellStyle name="20% - 강조색5 10 21" xfId="0"/>
    <cellStyle name="20% - 강조색5 10 22" xfId="0"/>
    <cellStyle name="20% - 강조색5 10 23" xfId="0"/>
    <cellStyle name="20% - 강조색5 10 24" xfId="0"/>
    <cellStyle name="20% - 강조색5 10 3" xfId="0"/>
    <cellStyle name="20% - 강조색5 10 3 2" xfId="0"/>
    <cellStyle name="20% - 강조색5 10 3 3" xfId="0"/>
    <cellStyle name="20% - 강조색5 10 4" xfId="0"/>
    <cellStyle name="20% - 강조색5 10 4 2" xfId="0"/>
    <cellStyle name="20% - 강조색5 10 4 3" xfId="0"/>
    <cellStyle name="20% - 강조색5 10 5" xfId="0"/>
    <cellStyle name="20% - 강조색5 10 5 2" xfId="0"/>
    <cellStyle name="20% - 강조색5 10 5 3" xfId="0"/>
    <cellStyle name="20% - 강조색5 10 6" xfId="0"/>
    <cellStyle name="20% - 강조색5 10 6 2" xfId="0"/>
    <cellStyle name="20% - 강조색5 10 6 3" xfId="0"/>
    <cellStyle name="20% - 강조색5 10 7" xfId="0"/>
    <cellStyle name="20% - 강조색5 10 8" xfId="0"/>
    <cellStyle name="20% - 강조색5 10 9" xfId="0"/>
    <cellStyle name="20% - 강조색5 11" xfId="0"/>
    <cellStyle name="20% - 강조색5 11 10" xfId="0"/>
    <cellStyle name="20% - 강조색5 11 2" xfId="0"/>
    <cellStyle name="20% - 강조색5 11 2 2" xfId="0"/>
    <cellStyle name="20% - 강조색5 11 2 3" xfId="0"/>
    <cellStyle name="20% - 강조색5 11 3" xfId="0"/>
    <cellStyle name="20% - 강조색5 11 3 2" xfId="0"/>
    <cellStyle name="20% - 강조색5 11 3 3" xfId="0"/>
    <cellStyle name="20% - 강조색5 11 4" xfId="0"/>
    <cellStyle name="20% - 강조색5 11 4 2" xfId="0"/>
    <cellStyle name="20% - 강조색5 11 4 3" xfId="0"/>
    <cellStyle name="20% - 강조색5 11 5" xfId="0"/>
    <cellStyle name="20% - 강조색5 11 5 2" xfId="0"/>
    <cellStyle name="20% - 강조색5 11 5 3" xfId="0"/>
    <cellStyle name="20% - 강조색5 11 6" xfId="0"/>
    <cellStyle name="20% - 강조색5 11 6 2" xfId="0"/>
    <cellStyle name="20% - 강조색5 11 6 3" xfId="0"/>
    <cellStyle name="20% - 강조색5 11 7" xfId="0"/>
    <cellStyle name="20% - 강조색5 11 8" xfId="0"/>
    <cellStyle name="20% - 강조색5 11 9" xfId="0"/>
    <cellStyle name="20% - 강조색5 12" xfId="0"/>
    <cellStyle name="20% - 강조색5 12 2" xfId="0"/>
    <cellStyle name="20% - 강조색5 12 3" xfId="0"/>
    <cellStyle name="20% - 강조색5 12 4" xfId="0"/>
    <cellStyle name="20% - 강조색5 12 5" xfId="0"/>
    <cellStyle name="20% - 강조색5 12 6" xfId="0"/>
    <cellStyle name="20% - 강조색5 12 7" xfId="0"/>
    <cellStyle name="20% - 강조색5 12 8" xfId="0"/>
    <cellStyle name="20% - 강조색5 12 9" xfId="0"/>
    <cellStyle name="20% - 강조색5 13" xfId="0"/>
    <cellStyle name="20% - 강조색5 13 2" xfId="0"/>
    <cellStyle name="20% - 강조색5 13 3" xfId="0"/>
    <cellStyle name="20% - 강조색5 13 4" xfId="0"/>
    <cellStyle name="20% - 강조색5 13 5" xfId="0"/>
    <cellStyle name="20% - 강조색5 13 6" xfId="0"/>
    <cellStyle name="20% - 강조색5 13 7" xfId="0"/>
    <cellStyle name="20% - 강조색5 13 8" xfId="0"/>
    <cellStyle name="20% - 강조색5 13 9" xfId="0"/>
    <cellStyle name="20% - 강조색5 14" xfId="0"/>
    <cellStyle name="20% - 강조색5 14 2" xfId="0"/>
    <cellStyle name="20% - 강조색5 14 3" xfId="0"/>
    <cellStyle name="20% - 강조색5 14 4" xfId="0"/>
    <cellStyle name="20% - 강조색5 14 5" xfId="0"/>
    <cellStyle name="20% - 강조색5 14 6" xfId="0"/>
    <cellStyle name="20% - 강조색5 14 7" xfId="0"/>
    <cellStyle name="20% - 강조색5 14 8" xfId="0"/>
    <cellStyle name="20% - 강조색5 14 9" xfId="0"/>
    <cellStyle name="20% - 강조색5 15" xfId="0"/>
    <cellStyle name="20% - 강조색5 15 2" xfId="0"/>
    <cellStyle name="20% - 강조색5 15 3" xfId="0"/>
    <cellStyle name="20% - 강조색5 15 4" xfId="0"/>
    <cellStyle name="20% - 강조색5 15 5" xfId="0"/>
    <cellStyle name="20% - 강조색5 15 6" xfId="0"/>
    <cellStyle name="20% - 강조색5 15 7" xfId="0"/>
    <cellStyle name="20% - 강조색5 15 8" xfId="0"/>
    <cellStyle name="20% - 강조색5 15 9" xfId="0"/>
    <cellStyle name="20% - 강조색5 16" xfId="0"/>
    <cellStyle name="20% - 강조색5 16 2" xfId="0"/>
    <cellStyle name="20% - 강조색5 16 3" xfId="0"/>
    <cellStyle name="20% - 강조색5 16 4" xfId="0"/>
    <cellStyle name="20% - 강조색5 16 5" xfId="0"/>
    <cellStyle name="20% - 강조색5 16 6" xfId="0"/>
    <cellStyle name="20% - 강조색5 16 7" xfId="0"/>
    <cellStyle name="20% - 강조색5 16 8" xfId="0"/>
    <cellStyle name="20% - 강조색5 16 9" xfId="0"/>
    <cellStyle name="20% - 강조색5 17" xfId="0"/>
    <cellStyle name="20% - 강조색5 17 2" xfId="0"/>
    <cellStyle name="20% - 강조색5 17 3" xfId="0"/>
    <cellStyle name="20% - 강조색5 17 4" xfId="0"/>
    <cellStyle name="20% - 강조색5 17 5" xfId="0"/>
    <cellStyle name="20% - 강조색5 17 6" xfId="0"/>
    <cellStyle name="20% - 강조색5 17 7" xfId="0"/>
    <cellStyle name="20% - 강조색5 17 8" xfId="0"/>
    <cellStyle name="20% - 강조색5 17 9" xfId="0"/>
    <cellStyle name="20% - 강조색5 18" xfId="0"/>
    <cellStyle name="20% - 강조색5 18 2" xfId="0"/>
    <cellStyle name="20% - 강조색5 18 3" xfId="0"/>
    <cellStyle name="20% - 강조색5 18 4" xfId="0"/>
    <cellStyle name="20% - 강조색5 18 5" xfId="0"/>
    <cellStyle name="20% - 강조색5 18 6" xfId="0"/>
    <cellStyle name="20% - 강조색5 18 7" xfId="0"/>
    <cellStyle name="20% - 강조색5 18 8" xfId="0"/>
    <cellStyle name="20% - 강조색5 18 9" xfId="0"/>
    <cellStyle name="20% - 강조색5 19" xfId="0"/>
    <cellStyle name="20% - 강조색5 19 2" xfId="0"/>
    <cellStyle name="20% - 강조색5 19 3" xfId="0"/>
    <cellStyle name="20% - 강조색5 19 4" xfId="0"/>
    <cellStyle name="20% - 강조색5 19 5" xfId="0"/>
    <cellStyle name="20% - 강조색5 19 6" xfId="0"/>
    <cellStyle name="20% - 강조색5 19 7" xfId="0"/>
    <cellStyle name="20% - 강조색5 19 8" xfId="0"/>
    <cellStyle name="20% - 강조색5 19 9" xfId="0"/>
    <cellStyle name="20% - 강조색5 2" xfId="0"/>
    <cellStyle name="20% - 강조색5 2 10" xfId="0"/>
    <cellStyle name="20% - 강조색5 2 10 2" xfId="0"/>
    <cellStyle name="20% - 강조색5 2 11" xfId="0"/>
    <cellStyle name="20% - 강조색5 2 11 2" xfId="0"/>
    <cellStyle name="20% - 강조색5 2 12" xfId="0"/>
    <cellStyle name="20% - 강조색5 2 12 2" xfId="0"/>
    <cellStyle name="20% - 강조색5 2 13" xfId="0"/>
    <cellStyle name="20% - 강조색5 2 14" xfId="0"/>
    <cellStyle name="20% - 강조색5 2 15" xfId="0"/>
    <cellStyle name="20% - 강조색5 2 16" xfId="0"/>
    <cellStyle name="20% - 강조색5 2 17" xfId="0"/>
    <cellStyle name="20% - 강조색5 2 18" xfId="0"/>
    <cellStyle name="20% - 강조색5 2 19" xfId="0"/>
    <cellStyle name="20% - 강조색5 2 2" xfId="0"/>
    <cellStyle name="20% - 강조색5 2 2 10" xfId="0"/>
    <cellStyle name="20% - 강조색5 2 2 11" xfId="0"/>
    <cellStyle name="20% - 강조색5 2 2 12" xfId="0"/>
    <cellStyle name="20% - 강조색5 2 2 13" xfId="0"/>
    <cellStyle name="20% - 강조색5 2 2 14" xfId="0"/>
    <cellStyle name="20% - 강조색5 2 2 15" xfId="0"/>
    <cellStyle name="20% - 강조색5 2 2 16" xfId="0"/>
    <cellStyle name="20% - 강조색5 2 2 17" xfId="0"/>
    <cellStyle name="20% - 강조색5 2 2 18" xfId="0"/>
    <cellStyle name="20% - 강조색5 2 2 19" xfId="0"/>
    <cellStyle name="20% - 강조색5 2 2 2" xfId="0"/>
    <cellStyle name="20% - 강조색5 2 2 2 2" xfId="0"/>
    <cellStyle name="20% - 강조색5 2 2 2 2 2" xfId="0"/>
    <cellStyle name="20% - 강조색5 2 2 2 2 3" xfId="0"/>
    <cellStyle name="20% - 강조색5 2 2 2 2 4" xfId="0"/>
    <cellStyle name="20% - 강조색5 2 2 2 2 5" xfId="0"/>
    <cellStyle name="20% - 강조색5 2 2 2 2 6" xfId="0"/>
    <cellStyle name="20% - 강조색5 2 2 2 2 7" xfId="0"/>
    <cellStyle name="20% - 강조색5 2 2 2 2 8" xfId="0"/>
    <cellStyle name="20% - 강조색5 2 2 2 2 9" xfId="0"/>
    <cellStyle name="20% - 강조색5 2 2 2 3" xfId="0"/>
    <cellStyle name="20% - 강조색5 2 2 2 4" xfId="0"/>
    <cellStyle name="20% - 강조색5 2 2 2 5" xfId="0"/>
    <cellStyle name="20% - 강조색5 2 2 2 6" xfId="0"/>
    <cellStyle name="20% - 강조색5 2 2 2 7" xfId="0"/>
    <cellStyle name="20% - 강조색5 2 2 2 8" xfId="0"/>
    <cellStyle name="20% - 강조색5 2 2 2 9" xfId="0"/>
    <cellStyle name="20% - 강조색5 2 2 20" xfId="0"/>
    <cellStyle name="20% - 강조색5 2 2 21" xfId="0"/>
    <cellStyle name="20% - 강조색5 2 2 22" xfId="0"/>
    <cellStyle name="20% - 강조색5 2 2 23" xfId="0"/>
    <cellStyle name="20% - 강조색5 2 2 3" xfId="0"/>
    <cellStyle name="20% - 강조색5 2 2 4" xfId="0"/>
    <cellStyle name="20% - 강조색5 2 2 5" xfId="0"/>
    <cellStyle name="20% - 강조색5 2 2 6" xfId="0"/>
    <cellStyle name="20% - 강조색5 2 2 7" xfId="0"/>
    <cellStyle name="20% - 강조색5 2 2 8" xfId="0"/>
    <cellStyle name="20% - 강조색5 2 2 9" xfId="0"/>
    <cellStyle name="20% - 강조색5 2 20" xfId="0"/>
    <cellStyle name="20% - 강조색5 2 21" xfId="0"/>
    <cellStyle name="20% - 강조색5 2 22" xfId="0"/>
    <cellStyle name="20% - 강조색5 2 23" xfId="0"/>
    <cellStyle name="20% - 강조색5 2 3" xfId="0"/>
    <cellStyle name="20% - 강조색5 2 3 10" xfId="0"/>
    <cellStyle name="20% - 강조색5 2 3 2" xfId="0"/>
    <cellStyle name="20% - 강조색5 2 3 3" xfId="0"/>
    <cellStyle name="20% - 강조색5 2 3 4" xfId="0"/>
    <cellStyle name="20% - 강조색5 2 3 5" xfId="0"/>
    <cellStyle name="20% - 강조색5 2 3 6" xfId="0"/>
    <cellStyle name="20% - 강조색5 2 3 7" xfId="0"/>
    <cellStyle name="20% - 강조색5 2 3 8" xfId="0"/>
    <cellStyle name="20% - 강조색5 2 3 9" xfId="0"/>
    <cellStyle name="20% - 강조색5 2 4" xfId="0"/>
    <cellStyle name="20% - 강조색5 2 4 10" xfId="0"/>
    <cellStyle name="20% - 강조색5 2 4 2" xfId="0"/>
    <cellStyle name="20% - 강조색5 2 4 3" xfId="0"/>
    <cellStyle name="20% - 강조색5 2 4 4" xfId="0"/>
    <cellStyle name="20% - 강조색5 2 4 5" xfId="0"/>
    <cellStyle name="20% - 강조색5 2 4 6" xfId="0"/>
    <cellStyle name="20% - 강조색5 2 4 7" xfId="0"/>
    <cellStyle name="20% - 강조색5 2 4 8" xfId="0"/>
    <cellStyle name="20% - 강조색5 2 4 9" xfId="0"/>
    <cellStyle name="20% - 강조색5 2 5" xfId="0"/>
    <cellStyle name="20% - 강조색5 2 5 10" xfId="0"/>
    <cellStyle name="20% - 강조색5 2 5 2" xfId="0"/>
    <cellStyle name="20% - 강조색5 2 5 3" xfId="0"/>
    <cellStyle name="20% - 강조색5 2 5 4" xfId="0"/>
    <cellStyle name="20% - 강조색5 2 5 5" xfId="0"/>
    <cellStyle name="20% - 강조색5 2 5 6" xfId="0"/>
    <cellStyle name="20% - 강조색5 2 5 7" xfId="0"/>
    <cellStyle name="20% - 강조색5 2 5 8" xfId="0"/>
    <cellStyle name="20% - 강조색5 2 5 9" xfId="0"/>
    <cellStyle name="20% - 강조색5 2 6" xfId="0"/>
    <cellStyle name="20% - 강조색5 2 6 10" xfId="0"/>
    <cellStyle name="20% - 강조색5 2 6 2" xfId="0"/>
    <cellStyle name="20% - 강조색5 2 6 3" xfId="0"/>
    <cellStyle name="20% - 강조색5 2 6 4" xfId="0"/>
    <cellStyle name="20% - 강조색5 2 6 5" xfId="0"/>
    <cellStyle name="20% - 강조색5 2 6 6" xfId="0"/>
    <cellStyle name="20% - 강조색5 2 6 7" xfId="0"/>
    <cellStyle name="20% - 강조색5 2 6 8" xfId="0"/>
    <cellStyle name="20% - 강조색5 2 6 9" xfId="0"/>
    <cellStyle name="20% - 강조색5 2 7" xfId="0"/>
    <cellStyle name="20% - 강조색5 2 7 10" xfId="0"/>
    <cellStyle name="20% - 강조색5 2 7 2" xfId="0"/>
    <cellStyle name="20% - 강조색5 2 7 3" xfId="0"/>
    <cellStyle name="20% - 강조색5 2 7 4" xfId="0"/>
    <cellStyle name="20% - 강조색5 2 7 5" xfId="0"/>
    <cellStyle name="20% - 강조색5 2 7 6" xfId="0"/>
    <cellStyle name="20% - 강조색5 2 7 7" xfId="0"/>
    <cellStyle name="20% - 강조색5 2 7 8" xfId="0"/>
    <cellStyle name="20% - 강조색5 2 7 9" xfId="0"/>
    <cellStyle name="20% - 강조색5 2 8" xfId="0"/>
    <cellStyle name="20% - 강조색5 2 8 2" xfId="0"/>
    <cellStyle name="20% - 강조색5 2 9" xfId="0"/>
    <cellStyle name="20% - 강조색5 2 9 2" xfId="0"/>
    <cellStyle name="20% - 강조색5 20" xfId="0"/>
    <cellStyle name="20% - 강조색5 20 2" xfId="0"/>
    <cellStyle name="20% - 강조색5 20 3" xfId="0"/>
    <cellStyle name="20% - 강조색5 20 4" xfId="0"/>
    <cellStyle name="20% - 강조색5 20 5" xfId="0"/>
    <cellStyle name="20% - 강조색5 20 6" xfId="0"/>
    <cellStyle name="20% - 강조색5 20 7" xfId="0"/>
    <cellStyle name="20% - 강조색5 20 8" xfId="0"/>
    <cellStyle name="20% - 강조색5 20 9" xfId="0"/>
    <cellStyle name="20% - 강조색5 21" xfId="0"/>
    <cellStyle name="20% - 강조색5 21 2" xfId="0"/>
    <cellStyle name="20% - 강조색5 21 3" xfId="0"/>
    <cellStyle name="20% - 강조색5 21 4" xfId="0"/>
    <cellStyle name="20% - 강조색5 21 5" xfId="0"/>
    <cellStyle name="20% - 강조색5 21 6" xfId="0"/>
    <cellStyle name="20% - 강조색5 21 7" xfId="0"/>
    <cellStyle name="20% - 강조색5 21 8" xfId="0"/>
    <cellStyle name="20% - 강조색5 21 9" xfId="0"/>
    <cellStyle name="20% - 강조색5 22" xfId="0"/>
    <cellStyle name="20% - 강조색5 22 2" xfId="0"/>
    <cellStyle name="20% - 강조색5 22 3" xfId="0"/>
    <cellStyle name="20% - 강조색5 22 4" xfId="0"/>
    <cellStyle name="20% - 강조색5 22 5" xfId="0"/>
    <cellStyle name="20% - 강조색5 22 6" xfId="0"/>
    <cellStyle name="20% - 강조색5 22 7" xfId="0"/>
    <cellStyle name="20% - 강조색5 22 8" xfId="0"/>
    <cellStyle name="20% - 강조색5 22 9" xfId="0"/>
    <cellStyle name="20% - 강조색5 23" xfId="0"/>
    <cellStyle name="20% - 강조색5 23 2" xfId="0"/>
    <cellStyle name="20% - 강조색5 23 3" xfId="0"/>
    <cellStyle name="20% - 강조색5 23 4" xfId="0"/>
    <cellStyle name="20% - 강조색5 23 5" xfId="0"/>
    <cellStyle name="20% - 강조색5 23 6" xfId="0"/>
    <cellStyle name="20% - 강조색5 23 7" xfId="0"/>
    <cellStyle name="20% - 강조색5 23 8" xfId="0"/>
    <cellStyle name="20% - 강조색5 23 9" xfId="0"/>
    <cellStyle name="20% - 강조색5 24" xfId="0"/>
    <cellStyle name="20% - 강조색5 24 2" xfId="0"/>
    <cellStyle name="20% - 강조색5 24 3" xfId="0"/>
    <cellStyle name="20% - 강조색5 24 4" xfId="0"/>
    <cellStyle name="20% - 강조색5 24 5" xfId="0"/>
    <cellStyle name="20% - 강조색5 24 6" xfId="0"/>
    <cellStyle name="20% - 강조색5 24 7" xfId="0"/>
    <cellStyle name="20% - 강조색5 24 8" xfId="0"/>
    <cellStyle name="20% - 강조색5 24 9" xfId="0"/>
    <cellStyle name="20% - 강조색5 25" xfId="0"/>
    <cellStyle name="20% - 강조색5 25 2" xfId="0"/>
    <cellStyle name="20% - 강조색5 25 3" xfId="0"/>
    <cellStyle name="20% - 강조색5 25 4" xfId="0"/>
    <cellStyle name="20% - 강조색5 25 5" xfId="0"/>
    <cellStyle name="20% - 강조색5 25 6" xfId="0"/>
    <cellStyle name="20% - 강조색5 25 7" xfId="0"/>
    <cellStyle name="20% - 강조색5 25 8" xfId="0"/>
    <cellStyle name="20% - 강조색5 25 9" xfId="0"/>
    <cellStyle name="20% - 강조색5 26" xfId="0"/>
    <cellStyle name="20% - 강조색5 26 2" xfId="0"/>
    <cellStyle name="20% - 강조색5 26 3" xfId="0"/>
    <cellStyle name="20% - 강조색5 26 4" xfId="0"/>
    <cellStyle name="20% - 강조색5 26 5" xfId="0"/>
    <cellStyle name="20% - 강조색5 26 6" xfId="0"/>
    <cellStyle name="20% - 강조색5 26 7" xfId="0"/>
    <cellStyle name="20% - 강조색5 26 8" xfId="0"/>
    <cellStyle name="20% - 강조색5 26 9" xfId="0"/>
    <cellStyle name="20% - 강조색5 27" xfId="0"/>
    <cellStyle name="20% - 강조색5 27 2" xfId="0"/>
    <cellStyle name="20% - 강조색5 27 3" xfId="0"/>
    <cellStyle name="20% - 강조색5 27 4" xfId="0"/>
    <cellStyle name="20% - 강조색5 27 5" xfId="0"/>
    <cellStyle name="20% - 강조색5 27 6" xfId="0"/>
    <cellStyle name="20% - 강조색5 27 7" xfId="0"/>
    <cellStyle name="20% - 강조색5 27 8" xfId="0"/>
    <cellStyle name="20% - 강조색5 27 9" xfId="0"/>
    <cellStyle name="20% - 강조색5 28 2" xfId="0"/>
    <cellStyle name="20% - 강조색5 28 3" xfId="0"/>
    <cellStyle name="20% - 강조색5 28 4" xfId="0"/>
    <cellStyle name="20% - 강조색5 28 5" xfId="0"/>
    <cellStyle name="20% - 강조색5 28 6" xfId="0"/>
    <cellStyle name="20% - 강조색5 28 7" xfId="0"/>
    <cellStyle name="20% - 강조색5 28 8" xfId="0"/>
    <cellStyle name="20% - 강조색5 28 9" xfId="0"/>
    <cellStyle name="20% - 강조색5 29 2" xfId="0"/>
    <cellStyle name="20% - 강조색5 29 3" xfId="0"/>
    <cellStyle name="20% - 강조색5 29 4" xfId="0"/>
    <cellStyle name="20% - 강조색5 29 5" xfId="0"/>
    <cellStyle name="20% - 강조색5 29 6" xfId="0"/>
    <cellStyle name="20% - 강조색5 29 7" xfId="0"/>
    <cellStyle name="20% - 강조색5 29 8" xfId="0"/>
    <cellStyle name="20% - 강조색5 29 9" xfId="0"/>
    <cellStyle name="20% - 강조색5 2_3300현금및예치금" xfId="0"/>
    <cellStyle name="20% - 강조색5 3" xfId="0"/>
    <cellStyle name="20% - 강조색5 3 10" xfId="0"/>
    <cellStyle name="20% - 강조색5 3 10 2" xfId="0"/>
    <cellStyle name="20% - 강조색5 3 10 3" xfId="0"/>
    <cellStyle name="20% - 강조색5 3 11" xfId="0"/>
    <cellStyle name="20% - 강조색5 3 11 2" xfId="0"/>
    <cellStyle name="20% - 강조색5 3 11 3" xfId="0"/>
    <cellStyle name="20% - 강조색5 3 12" xfId="0"/>
    <cellStyle name="20% - 강조색5 3 12 2" xfId="0"/>
    <cellStyle name="20% - 강조색5 3 12 3" xfId="0"/>
    <cellStyle name="20% - 강조색5 3 13" xfId="0"/>
    <cellStyle name="20% - 강조색5 3 14" xfId="0"/>
    <cellStyle name="20% - 강조색5 3 15" xfId="0"/>
    <cellStyle name="20% - 강조색5 3 16" xfId="0"/>
    <cellStyle name="20% - 강조색5 3 17" xfId="0"/>
    <cellStyle name="20% - 강조색5 3 18" xfId="0"/>
    <cellStyle name="20% - 강조색5 3 19" xfId="0"/>
    <cellStyle name="20% - 강조색5 3 19 2" xfId="0"/>
    <cellStyle name="20% - 강조색5 3 2" xfId="0"/>
    <cellStyle name="20% - 강조색5 3 2 2" xfId="0"/>
    <cellStyle name="20% - 강조색5 3 2 3" xfId="0"/>
    <cellStyle name="20% - 강조색5 3 20" xfId="0"/>
    <cellStyle name="20% - 강조색5 3 21" xfId="0"/>
    <cellStyle name="20% - 강조색5 3 22" xfId="0"/>
    <cellStyle name="20% - 강조색5 3 23" xfId="0"/>
    <cellStyle name="20% - 강조색5 3 3" xfId="0"/>
    <cellStyle name="20% - 강조색5 3 3 2" xfId="0"/>
    <cellStyle name="20% - 강조색5 3 3 3" xfId="0"/>
    <cellStyle name="20% - 강조색5 3 4" xfId="0"/>
    <cellStyle name="20% - 강조색5 3 4 2" xfId="0"/>
    <cellStyle name="20% - 강조색5 3 4 3" xfId="0"/>
    <cellStyle name="20% - 강조색5 3 5" xfId="0"/>
    <cellStyle name="20% - 강조색5 3 5 2" xfId="0"/>
    <cellStyle name="20% - 강조색5 3 5 3" xfId="0"/>
    <cellStyle name="20% - 강조색5 3 6" xfId="0"/>
    <cellStyle name="20% - 강조색5 3 6 2" xfId="0"/>
    <cellStyle name="20% - 강조색5 3 6 3" xfId="0"/>
    <cellStyle name="20% - 강조색5 3 7" xfId="0"/>
    <cellStyle name="20% - 강조색5 3 7 2" xfId="0"/>
    <cellStyle name="20% - 강조색5 3 7 3" xfId="0"/>
    <cellStyle name="20% - 강조색5 3 8" xfId="0"/>
    <cellStyle name="20% - 강조색5 3 8 2" xfId="0"/>
    <cellStyle name="20% - 강조색5 3 8 3" xfId="0"/>
    <cellStyle name="20% - 강조색5 3 9" xfId="0"/>
    <cellStyle name="20% - 강조색5 3 9 2" xfId="0"/>
    <cellStyle name="20% - 강조색5 3 9 3" xfId="0"/>
    <cellStyle name="20% - 강조색5 30 2" xfId="0"/>
    <cellStyle name="20% - 강조색5 30 3" xfId="0"/>
    <cellStyle name="20% - 강조색5 30 4" xfId="0"/>
    <cellStyle name="20% - 강조색5 30 5" xfId="0"/>
    <cellStyle name="20% - 강조색5 30 6" xfId="0"/>
    <cellStyle name="20% - 강조색5 30 7" xfId="0"/>
    <cellStyle name="20% - 강조색5 30 8" xfId="0"/>
    <cellStyle name="20% - 강조색5 30 9" xfId="0"/>
    <cellStyle name="20% - 강조색5 31 2" xfId="0"/>
    <cellStyle name="20% - 강조색5 31 3" xfId="0"/>
    <cellStyle name="20% - 강조색5 31 4" xfId="0"/>
    <cellStyle name="20% - 강조색5 31 5" xfId="0"/>
    <cellStyle name="20% - 강조색5 31 6" xfId="0"/>
    <cellStyle name="20% - 강조색5 31 7" xfId="0"/>
    <cellStyle name="20% - 강조색5 31 8" xfId="0"/>
    <cellStyle name="20% - 강조색5 31 9" xfId="0"/>
    <cellStyle name="20% - 강조색5 32 2" xfId="0"/>
    <cellStyle name="20% - 강조색5 32 3" xfId="0"/>
    <cellStyle name="20% - 강조색5 32 4" xfId="0"/>
    <cellStyle name="20% - 강조색5 32 5" xfId="0"/>
    <cellStyle name="20% - 강조색5 32 6" xfId="0"/>
    <cellStyle name="20% - 강조색5 32 7" xfId="0"/>
    <cellStyle name="20% - 강조색5 32 8" xfId="0"/>
    <cellStyle name="20% - 강조색5 32 9" xfId="0"/>
    <cellStyle name="20% - 강조색5 33 2" xfId="0"/>
    <cellStyle name="20% - 강조색5 33 3" xfId="0"/>
    <cellStyle name="20% - 강조색5 33 4" xfId="0"/>
    <cellStyle name="20% - 강조색5 33 5" xfId="0"/>
    <cellStyle name="20% - 강조색5 33 6" xfId="0"/>
    <cellStyle name="20% - 강조색5 33 7" xfId="0"/>
    <cellStyle name="20% - 강조색5 33 8" xfId="0"/>
    <cellStyle name="20% - 강조색5 33 9" xfId="0"/>
    <cellStyle name="20% - 강조색5 34 2" xfId="0"/>
    <cellStyle name="20% - 강조색5 34 3" xfId="0"/>
    <cellStyle name="20% - 강조색5 34 4" xfId="0"/>
    <cellStyle name="20% - 강조색5 34 5" xfId="0"/>
    <cellStyle name="20% - 강조색5 34 6" xfId="0"/>
    <cellStyle name="20% - 강조색5 34 7" xfId="0"/>
    <cellStyle name="20% - 강조색5 34 8" xfId="0"/>
    <cellStyle name="20% - 강조색5 34 9" xfId="0"/>
    <cellStyle name="20% - 강조색5 35 2" xfId="0"/>
    <cellStyle name="20% - 강조색5 35 3" xfId="0"/>
    <cellStyle name="20% - 강조색5 35 4" xfId="0"/>
    <cellStyle name="20% - 강조색5 35 5" xfId="0"/>
    <cellStyle name="20% - 강조색5 35 6" xfId="0"/>
    <cellStyle name="20% - 강조색5 35 7" xfId="0"/>
    <cellStyle name="20% - 강조색5 35 8" xfId="0"/>
    <cellStyle name="20% - 강조색5 35 9" xfId="0"/>
    <cellStyle name="20% - 강조색5 3_운용자산별 손익분석" xfId="0"/>
    <cellStyle name="20% - 강조색5 4" xfId="0"/>
    <cellStyle name="20% - 강조색5 4 10" xfId="0"/>
    <cellStyle name="20% - 강조색5 4 11" xfId="0"/>
    <cellStyle name="20% - 강조색5 4 12" xfId="0"/>
    <cellStyle name="20% - 강조색5 4 13" xfId="0"/>
    <cellStyle name="20% - 강조색5 4 14" xfId="0"/>
    <cellStyle name="20% - 강조색5 4 15" xfId="0"/>
    <cellStyle name="20% - 강조색5 4 16" xfId="0"/>
    <cellStyle name="20% - 강조색5 4 17" xfId="0"/>
    <cellStyle name="20% - 강조색5 4 18" xfId="0"/>
    <cellStyle name="20% - 강조색5 4 19" xfId="0"/>
    <cellStyle name="20% - 강조색5 4 2" xfId="0"/>
    <cellStyle name="20% - 강조색5 4 20" xfId="0"/>
    <cellStyle name="20% - 강조색5 4 21" xfId="0"/>
    <cellStyle name="20% - 강조색5 4 22" xfId="0"/>
    <cellStyle name="20% - 강조색5 4 23" xfId="0"/>
    <cellStyle name="20% - 강조색5 4 24" xfId="0"/>
    <cellStyle name="20% - 강조색5 4 3" xfId="0"/>
    <cellStyle name="20% - 강조색5 4 4" xfId="0"/>
    <cellStyle name="20% - 강조색5 4 5" xfId="0"/>
    <cellStyle name="20% - 강조색5 4 6" xfId="0"/>
    <cellStyle name="20% - 강조색5 4 7" xfId="0"/>
    <cellStyle name="20% - 강조색5 4 8" xfId="0"/>
    <cellStyle name="20% - 강조색5 4 9" xfId="0"/>
    <cellStyle name="20% - 강조색5 4_운용자산별 손익분석" xfId="0"/>
    <cellStyle name="20% - 강조색5 5" xfId="0"/>
    <cellStyle name="20% - 강조색5 5 10" xfId="0"/>
    <cellStyle name="20% - 강조색5 5 11" xfId="0"/>
    <cellStyle name="20% - 강조색5 5 12" xfId="0"/>
    <cellStyle name="20% - 강조색5 5 13" xfId="0"/>
    <cellStyle name="20% - 강조색5 5 14" xfId="0"/>
    <cellStyle name="20% - 강조색5 5 15" xfId="0"/>
    <cellStyle name="20% - 강조색5 5 16" xfId="0"/>
    <cellStyle name="20% - 강조색5 5 17" xfId="0"/>
    <cellStyle name="20% - 강조색5 5 18" xfId="0"/>
    <cellStyle name="20% - 강조색5 5 19" xfId="0"/>
    <cellStyle name="20% - 강조색5 5 2" xfId="0"/>
    <cellStyle name="20% - 강조색5 5 20" xfId="0"/>
    <cellStyle name="20% - 강조색5 5 21" xfId="0"/>
    <cellStyle name="20% - 강조색5 5 22" xfId="0"/>
    <cellStyle name="20% - 강조색5 5 23" xfId="0"/>
    <cellStyle name="20% - 강조색5 5 24" xfId="0"/>
    <cellStyle name="20% - 강조색5 5 25" xfId="0"/>
    <cellStyle name="20% - 강조색5 5 26" xfId="0"/>
    <cellStyle name="20% - 강조색5 5 27" xfId="0"/>
    <cellStyle name="20% - 강조색5 5 28" xfId="0"/>
    <cellStyle name="20% - 강조색5 5 29" xfId="0"/>
    <cellStyle name="20% - 강조색5 5 3" xfId="0"/>
    <cellStyle name="20% - 강조색5 5 30" xfId="0"/>
    <cellStyle name="20% - 강조색5 5 31" xfId="0"/>
    <cellStyle name="20% - 강조색5 5 32" xfId="0"/>
    <cellStyle name="20% - 강조색5 5 33" xfId="0"/>
    <cellStyle name="20% - 강조색5 5 34" xfId="0"/>
    <cellStyle name="20% - 강조색5 5 4" xfId="0"/>
    <cellStyle name="20% - 강조색5 5 5" xfId="0"/>
    <cellStyle name="20% - 강조색5 5 6" xfId="0"/>
    <cellStyle name="20% - 강조색5 5 7" xfId="0"/>
    <cellStyle name="20% - 강조색5 5 8" xfId="0"/>
    <cellStyle name="20% - 강조색5 5 9" xfId="0"/>
    <cellStyle name="20% - 강조색5 6" xfId="0"/>
    <cellStyle name="20% - 강조색5 6 10" xfId="0"/>
    <cellStyle name="20% - 강조색5 6 11" xfId="0"/>
    <cellStyle name="20% - 강조색5 6 12" xfId="0"/>
    <cellStyle name="20% - 강조색5 6 13" xfId="0"/>
    <cellStyle name="20% - 강조색5 6 14" xfId="0"/>
    <cellStyle name="20% - 강조색5 6 15" xfId="0"/>
    <cellStyle name="20% - 강조색5 6 16" xfId="0"/>
    <cellStyle name="20% - 강조색5 6 17" xfId="0"/>
    <cellStyle name="20% - 강조색5 6 18" xfId="0"/>
    <cellStyle name="20% - 강조색5 6 19" xfId="0"/>
    <cellStyle name="20% - 강조색5 6 2" xfId="0"/>
    <cellStyle name="20% - 강조색5 6 20" xfId="0"/>
    <cellStyle name="20% - 강조색5 6 21" xfId="0"/>
    <cellStyle name="20% - 강조색5 6 22" xfId="0"/>
    <cellStyle name="20% - 강조색5 6 23" xfId="0"/>
    <cellStyle name="20% - 강조색5 6 24" xfId="0"/>
    <cellStyle name="20% - 강조색5 6 25" xfId="0"/>
    <cellStyle name="20% - 강조색5 6 26" xfId="0"/>
    <cellStyle name="20% - 강조색5 6 27" xfId="0"/>
    <cellStyle name="20% - 강조색5 6 28" xfId="0"/>
    <cellStyle name="20% - 강조색5 6 29" xfId="0"/>
    <cellStyle name="20% - 강조색5 6 3" xfId="0"/>
    <cellStyle name="20% - 강조색5 6 30" xfId="0"/>
    <cellStyle name="20% - 강조색5 6 4" xfId="0"/>
    <cellStyle name="20% - 강조색5 6 5" xfId="0"/>
    <cellStyle name="20% - 강조색5 6 6" xfId="0"/>
    <cellStyle name="20% - 강조색5 6 7" xfId="0"/>
    <cellStyle name="20% - 강조색5 6 8" xfId="0"/>
    <cellStyle name="20% - 강조색5 6 9" xfId="0"/>
    <cellStyle name="20% - 강조색5 7" xfId="0"/>
    <cellStyle name="20% - 강조색5 7 10" xfId="0"/>
    <cellStyle name="20% - 강조색5 7 11" xfId="0"/>
    <cellStyle name="20% - 강조색5 7 12" xfId="0"/>
    <cellStyle name="20% - 강조색5 7 13" xfId="0"/>
    <cellStyle name="20% - 강조색5 7 14" xfId="0"/>
    <cellStyle name="20% - 강조색5 7 15" xfId="0"/>
    <cellStyle name="20% - 강조색5 7 16" xfId="0"/>
    <cellStyle name="20% - 강조색5 7 17" xfId="0"/>
    <cellStyle name="20% - 강조색5 7 18" xfId="0"/>
    <cellStyle name="20% - 강조색5 7 19" xfId="0"/>
    <cellStyle name="20% - 강조색5 7 2" xfId="0"/>
    <cellStyle name="20% - 강조색5 7 2 2" xfId="0"/>
    <cellStyle name="20% - 강조색5 7 2 3" xfId="0"/>
    <cellStyle name="20% - 강조색5 7 20" xfId="0"/>
    <cellStyle name="20% - 강조색5 7 21" xfId="0"/>
    <cellStyle name="20% - 강조색5 7 22" xfId="0"/>
    <cellStyle name="20% - 강조색5 7 23" xfId="0"/>
    <cellStyle name="20% - 강조색5 7 24" xfId="0"/>
    <cellStyle name="20% - 강조색5 7 3" xfId="0"/>
    <cellStyle name="20% - 강조색5 7 3 2" xfId="0"/>
    <cellStyle name="20% - 강조색5 7 3 3" xfId="0"/>
    <cellStyle name="20% - 강조색5 7 4" xfId="0"/>
    <cellStyle name="20% - 강조색5 7 4 2" xfId="0"/>
    <cellStyle name="20% - 강조색5 7 4 3" xfId="0"/>
    <cellStyle name="20% - 강조색5 7 5" xfId="0"/>
    <cellStyle name="20% - 강조색5 7 5 2" xfId="0"/>
    <cellStyle name="20% - 강조색5 7 5 3" xfId="0"/>
    <cellStyle name="20% - 강조색5 7 6" xfId="0"/>
    <cellStyle name="20% - 강조색5 7 6 2" xfId="0"/>
    <cellStyle name="20% - 강조색5 7 6 3" xfId="0"/>
    <cellStyle name="20% - 강조색5 7 7" xfId="0"/>
    <cellStyle name="20% - 강조색5 7 8" xfId="0"/>
    <cellStyle name="20% - 강조색5 7 9" xfId="0"/>
    <cellStyle name="20% - 강조색5 8" xfId="0"/>
    <cellStyle name="20% - 강조색5 8 10" xfId="0"/>
    <cellStyle name="20% - 강조색5 8 11" xfId="0"/>
    <cellStyle name="20% - 강조색5 8 12" xfId="0"/>
    <cellStyle name="20% - 강조색5 8 13" xfId="0"/>
    <cellStyle name="20% - 강조색5 8 14" xfId="0"/>
    <cellStyle name="20% - 강조색5 8 15" xfId="0"/>
    <cellStyle name="20% - 강조색5 8 16" xfId="0"/>
    <cellStyle name="20% - 강조색5 8 17" xfId="0"/>
    <cellStyle name="20% - 강조색5 8 18" xfId="0"/>
    <cellStyle name="20% - 강조색5 8 19" xfId="0"/>
    <cellStyle name="20% - 강조색5 8 2" xfId="0"/>
    <cellStyle name="20% - 강조색5 8 2 2" xfId="0"/>
    <cellStyle name="20% - 강조색5 8 2 3" xfId="0"/>
    <cellStyle name="20% - 강조색5 8 20" xfId="0"/>
    <cellStyle name="20% - 강조색5 8 21" xfId="0"/>
    <cellStyle name="20% - 강조색5 8 22" xfId="0"/>
    <cellStyle name="20% - 강조색5 8 23" xfId="0"/>
    <cellStyle name="20% - 강조색5 8 24" xfId="0"/>
    <cellStyle name="20% - 강조색5 8 3" xfId="0"/>
    <cellStyle name="20% - 강조색5 8 3 2" xfId="0"/>
    <cellStyle name="20% - 강조색5 8 3 3" xfId="0"/>
    <cellStyle name="20% - 강조색5 8 4" xfId="0"/>
    <cellStyle name="20% - 강조색5 8 4 2" xfId="0"/>
    <cellStyle name="20% - 강조색5 8 4 3" xfId="0"/>
    <cellStyle name="20% - 강조색5 8 5" xfId="0"/>
    <cellStyle name="20% - 강조색5 8 5 2" xfId="0"/>
    <cellStyle name="20% - 강조색5 8 5 3" xfId="0"/>
    <cellStyle name="20% - 강조색5 8 6" xfId="0"/>
    <cellStyle name="20% - 강조색5 8 6 2" xfId="0"/>
    <cellStyle name="20% - 강조색5 8 6 3" xfId="0"/>
    <cellStyle name="20% - 강조색5 8 7" xfId="0"/>
    <cellStyle name="20% - 강조색5 8 8" xfId="0"/>
    <cellStyle name="20% - 강조색5 8 9" xfId="0"/>
    <cellStyle name="20% - 강조색5 9" xfId="0"/>
    <cellStyle name="20% - 강조색5 9 10" xfId="0"/>
    <cellStyle name="20% - 강조색5 9 11" xfId="0"/>
    <cellStyle name="20% - 강조색5 9 12" xfId="0"/>
    <cellStyle name="20% - 강조색5 9 13" xfId="0"/>
    <cellStyle name="20% - 강조색5 9 14" xfId="0"/>
    <cellStyle name="20% - 강조색5 9 15" xfId="0"/>
    <cellStyle name="20% - 강조색5 9 16" xfId="0"/>
    <cellStyle name="20% - 강조색5 9 17" xfId="0"/>
    <cellStyle name="20% - 강조색5 9 18" xfId="0"/>
    <cellStyle name="20% - 강조색5 9 19" xfId="0"/>
    <cellStyle name="20% - 강조색5 9 2" xfId="0"/>
    <cellStyle name="20% - 강조색5 9 2 2" xfId="0"/>
    <cellStyle name="20% - 강조색5 9 2 3" xfId="0"/>
    <cellStyle name="20% - 강조색5 9 20" xfId="0"/>
    <cellStyle name="20% - 강조색5 9 21" xfId="0"/>
    <cellStyle name="20% - 강조색5 9 22" xfId="0"/>
    <cellStyle name="20% - 강조색5 9 23" xfId="0"/>
    <cellStyle name="20% - 강조색5 9 24" xfId="0"/>
    <cellStyle name="20% - 강조색5 9 3" xfId="0"/>
    <cellStyle name="20% - 강조색5 9 3 2" xfId="0"/>
    <cellStyle name="20% - 강조색5 9 3 3" xfId="0"/>
    <cellStyle name="20% - 강조색5 9 4" xfId="0"/>
    <cellStyle name="20% - 강조색5 9 4 2" xfId="0"/>
    <cellStyle name="20% - 강조색5 9 4 3" xfId="0"/>
    <cellStyle name="20% - 강조색5 9 5" xfId="0"/>
    <cellStyle name="20% - 강조색5 9 5 2" xfId="0"/>
    <cellStyle name="20% - 강조색5 9 5 3" xfId="0"/>
    <cellStyle name="20% - 강조색5 9 6" xfId="0"/>
    <cellStyle name="20% - 강조색5 9 6 2" xfId="0"/>
    <cellStyle name="20% - 강조색5 9 6 3" xfId="0"/>
    <cellStyle name="20% - 강조색5 9 7" xfId="0"/>
    <cellStyle name="20% - 강조색5 9 8" xfId="0"/>
    <cellStyle name="20% - 강조색5 9 9" xfId="0"/>
    <cellStyle name="20% - 강조색6 10" xfId="0"/>
    <cellStyle name="20% - 강조색6 10 10" xfId="0"/>
    <cellStyle name="20% - 강조색6 10 11" xfId="0"/>
    <cellStyle name="20% - 강조색6 10 12" xfId="0"/>
    <cellStyle name="20% - 강조색6 10 13" xfId="0"/>
    <cellStyle name="20% - 강조색6 10 14" xfId="0"/>
    <cellStyle name="20% - 강조색6 10 15" xfId="0"/>
    <cellStyle name="20% - 강조색6 10 16" xfId="0"/>
    <cellStyle name="20% - 강조색6 10 17" xfId="0"/>
    <cellStyle name="20% - 강조색6 10 18" xfId="0"/>
    <cellStyle name="20% - 강조색6 10 19" xfId="0"/>
    <cellStyle name="20% - 강조색6 10 2" xfId="0"/>
    <cellStyle name="20% - 강조색6 10 2 2" xfId="0"/>
    <cellStyle name="20% - 강조색6 10 2 3" xfId="0"/>
    <cellStyle name="20% - 강조색6 10 20" xfId="0"/>
    <cellStyle name="20% - 강조색6 10 21" xfId="0"/>
    <cellStyle name="20% - 강조색6 10 22" xfId="0"/>
    <cellStyle name="20% - 강조색6 10 23" xfId="0"/>
    <cellStyle name="20% - 강조색6 10 24" xfId="0"/>
    <cellStyle name="20% - 강조색6 10 3" xfId="0"/>
    <cellStyle name="20% - 강조색6 10 3 2" xfId="0"/>
    <cellStyle name="20% - 강조색6 10 3 3" xfId="0"/>
    <cellStyle name="20% - 강조색6 10 4" xfId="0"/>
    <cellStyle name="20% - 강조색6 10 4 2" xfId="0"/>
    <cellStyle name="20% - 강조색6 10 4 3" xfId="0"/>
    <cellStyle name="20% - 강조색6 10 5" xfId="0"/>
    <cellStyle name="20% - 강조색6 10 5 2" xfId="0"/>
    <cellStyle name="20% - 강조색6 10 5 3" xfId="0"/>
    <cellStyle name="20% - 강조색6 10 6" xfId="0"/>
    <cellStyle name="20% - 강조색6 10 6 2" xfId="0"/>
    <cellStyle name="20% - 강조색6 10 6 3" xfId="0"/>
    <cellStyle name="20% - 강조색6 10 7" xfId="0"/>
    <cellStyle name="20% - 강조색6 10 8" xfId="0"/>
    <cellStyle name="20% - 강조색6 10 9" xfId="0"/>
    <cellStyle name="20% - 강조색6 11" xfId="0"/>
    <cellStyle name="20% - 강조색6 11 10" xfId="0"/>
    <cellStyle name="20% - 강조색6 11 2" xfId="0"/>
    <cellStyle name="20% - 강조색6 11 2 2" xfId="0"/>
    <cellStyle name="20% - 강조색6 11 2 3" xfId="0"/>
    <cellStyle name="20% - 강조색6 11 3" xfId="0"/>
    <cellStyle name="20% - 강조색6 11 3 2" xfId="0"/>
    <cellStyle name="20% - 강조색6 11 3 3" xfId="0"/>
    <cellStyle name="20% - 강조색6 11 4" xfId="0"/>
    <cellStyle name="20% - 강조색6 11 4 2" xfId="0"/>
    <cellStyle name="20% - 강조색6 11 4 3" xfId="0"/>
    <cellStyle name="20% - 강조색6 11 5" xfId="0"/>
    <cellStyle name="20% - 강조색6 11 5 2" xfId="0"/>
    <cellStyle name="20% - 강조색6 11 5 3" xfId="0"/>
    <cellStyle name="20% - 강조색6 11 6" xfId="0"/>
    <cellStyle name="20% - 강조색6 11 6 2" xfId="0"/>
    <cellStyle name="20% - 강조색6 11 6 3" xfId="0"/>
    <cellStyle name="20% - 강조색6 11 7" xfId="0"/>
    <cellStyle name="20% - 강조색6 11 8" xfId="0"/>
    <cellStyle name="20% - 강조색6 11 9" xfId="0"/>
    <cellStyle name="20% - 강조색6 12" xfId="0"/>
    <cellStyle name="20% - 강조색6 12 2" xfId="0"/>
    <cellStyle name="20% - 강조색6 12 3" xfId="0"/>
    <cellStyle name="20% - 강조색6 12 4" xfId="0"/>
    <cellStyle name="20% - 강조색6 12 5" xfId="0"/>
    <cellStyle name="20% - 강조색6 12 6" xfId="0"/>
    <cellStyle name="20% - 강조색6 12 7" xfId="0"/>
    <cellStyle name="20% - 강조색6 12 8" xfId="0"/>
    <cellStyle name="20% - 강조색6 12 9" xfId="0"/>
    <cellStyle name="20% - 강조색6 13" xfId="0"/>
    <cellStyle name="20% - 강조색6 13 2" xfId="0"/>
    <cellStyle name="20% - 강조색6 13 3" xfId="0"/>
    <cellStyle name="20% - 강조색6 13 4" xfId="0"/>
    <cellStyle name="20% - 강조색6 13 5" xfId="0"/>
    <cellStyle name="20% - 강조색6 13 6" xfId="0"/>
    <cellStyle name="20% - 강조색6 13 7" xfId="0"/>
    <cellStyle name="20% - 강조색6 13 8" xfId="0"/>
    <cellStyle name="20% - 강조색6 13 9" xfId="0"/>
    <cellStyle name="20% - 강조색6 14" xfId="0"/>
    <cellStyle name="20% - 강조색6 14 2" xfId="0"/>
    <cellStyle name="20% - 강조색6 14 3" xfId="0"/>
    <cellStyle name="20% - 강조색6 14 4" xfId="0"/>
    <cellStyle name="20% - 강조색6 14 5" xfId="0"/>
    <cellStyle name="20% - 강조색6 14 6" xfId="0"/>
    <cellStyle name="20% - 강조색6 14 7" xfId="0"/>
    <cellStyle name="20% - 강조색6 14 8" xfId="0"/>
    <cellStyle name="20% - 강조색6 14 9" xfId="0"/>
    <cellStyle name="20% - 강조색6 15" xfId="0"/>
    <cellStyle name="20% - 강조색6 15 2" xfId="0"/>
    <cellStyle name="20% - 강조색6 15 3" xfId="0"/>
    <cellStyle name="20% - 강조색6 15 4" xfId="0"/>
    <cellStyle name="20% - 강조색6 15 5" xfId="0"/>
    <cellStyle name="20% - 강조색6 15 6" xfId="0"/>
    <cellStyle name="20% - 강조색6 15 7" xfId="0"/>
    <cellStyle name="20% - 강조색6 15 8" xfId="0"/>
    <cellStyle name="20% - 강조색6 15 9" xfId="0"/>
    <cellStyle name="20% - 강조색6 16" xfId="0"/>
    <cellStyle name="20% - 강조색6 16 2" xfId="0"/>
    <cellStyle name="20% - 강조색6 16 3" xfId="0"/>
    <cellStyle name="20% - 강조색6 16 4" xfId="0"/>
    <cellStyle name="20% - 강조색6 16 5" xfId="0"/>
    <cellStyle name="20% - 강조색6 16 6" xfId="0"/>
    <cellStyle name="20% - 강조색6 16 7" xfId="0"/>
    <cellStyle name="20% - 강조색6 16 8" xfId="0"/>
    <cellStyle name="20% - 강조색6 16 9" xfId="0"/>
    <cellStyle name="20% - 강조색6 17" xfId="0"/>
    <cellStyle name="20% - 강조색6 17 2" xfId="0"/>
    <cellStyle name="20% - 강조색6 17 3" xfId="0"/>
    <cellStyle name="20% - 강조색6 17 4" xfId="0"/>
    <cellStyle name="20% - 강조색6 17 5" xfId="0"/>
    <cellStyle name="20% - 강조색6 17 6" xfId="0"/>
    <cellStyle name="20% - 강조색6 17 7" xfId="0"/>
    <cellStyle name="20% - 강조색6 17 8" xfId="0"/>
    <cellStyle name="20% - 강조색6 17 9" xfId="0"/>
    <cellStyle name="20% - 강조색6 18" xfId="0"/>
    <cellStyle name="20% - 강조색6 18 2" xfId="0"/>
    <cellStyle name="20% - 강조색6 18 3" xfId="0"/>
    <cellStyle name="20% - 강조색6 18 4" xfId="0"/>
    <cellStyle name="20% - 강조색6 18 5" xfId="0"/>
    <cellStyle name="20% - 강조색6 18 6" xfId="0"/>
    <cellStyle name="20% - 강조색6 18 7" xfId="0"/>
    <cellStyle name="20% - 강조색6 18 8" xfId="0"/>
    <cellStyle name="20% - 강조색6 18 9" xfId="0"/>
    <cellStyle name="20% - 강조색6 19" xfId="0"/>
    <cellStyle name="20% - 강조색6 19 2" xfId="0"/>
    <cellStyle name="20% - 강조색6 19 3" xfId="0"/>
    <cellStyle name="20% - 강조색6 19 4" xfId="0"/>
    <cellStyle name="20% - 강조색6 19 5" xfId="0"/>
    <cellStyle name="20% - 강조색6 19 6" xfId="0"/>
    <cellStyle name="20% - 강조색6 19 7" xfId="0"/>
    <cellStyle name="20% - 강조색6 19 8" xfId="0"/>
    <cellStyle name="20% - 강조색6 19 9" xfId="0"/>
    <cellStyle name="20% - 강조색6 2" xfId="0"/>
    <cellStyle name="20% - 강조색6 2 10" xfId="0"/>
    <cellStyle name="20% - 강조색6 2 10 2" xfId="0"/>
    <cellStyle name="20% - 강조색6 2 11" xfId="0"/>
    <cellStyle name="20% - 강조색6 2 11 2" xfId="0"/>
    <cellStyle name="20% - 강조색6 2 12" xfId="0"/>
    <cellStyle name="20% - 강조색6 2 12 2" xfId="0"/>
    <cellStyle name="20% - 강조색6 2 13" xfId="0"/>
    <cellStyle name="20% - 강조색6 2 14" xfId="0"/>
    <cellStyle name="20% - 강조색6 2 15" xfId="0"/>
    <cellStyle name="20% - 강조색6 2 16" xfId="0"/>
    <cellStyle name="20% - 강조색6 2 17" xfId="0"/>
    <cellStyle name="20% - 강조색6 2 18" xfId="0"/>
    <cellStyle name="20% - 강조색6 2 19" xfId="0"/>
    <cellStyle name="20% - 강조색6 2 2" xfId="0"/>
    <cellStyle name="20% - 강조색6 2 2 10" xfId="0"/>
    <cellStyle name="20% - 강조색6 2 2 11" xfId="0"/>
    <cellStyle name="20% - 강조색6 2 2 12" xfId="0"/>
    <cellStyle name="20% - 강조색6 2 2 13" xfId="0"/>
    <cellStyle name="20% - 강조색6 2 2 14" xfId="0"/>
    <cellStyle name="20% - 강조색6 2 2 15" xfId="0"/>
    <cellStyle name="20% - 강조색6 2 2 16" xfId="0"/>
    <cellStyle name="20% - 강조색6 2 2 17" xfId="0"/>
    <cellStyle name="20% - 강조색6 2 2 18" xfId="0"/>
    <cellStyle name="20% - 강조색6 2 2 19" xfId="0"/>
    <cellStyle name="20% - 강조색6 2 2 2" xfId="0"/>
    <cellStyle name="20% - 강조색6 2 2 2 2" xfId="0"/>
    <cellStyle name="20% - 강조색6 2 2 2 2 2" xfId="0"/>
    <cellStyle name="20% - 강조색6 2 2 2 2 3" xfId="0"/>
    <cellStyle name="20% - 강조색6 2 2 2 2 4" xfId="0"/>
    <cellStyle name="20% - 강조색6 2 2 2 2 5" xfId="0"/>
    <cellStyle name="20% - 강조색6 2 2 2 2 6" xfId="0"/>
    <cellStyle name="20% - 강조색6 2 2 2 2 7" xfId="0"/>
    <cellStyle name="20% - 강조색6 2 2 2 2 8" xfId="0"/>
    <cellStyle name="20% - 강조색6 2 2 2 2 9" xfId="0"/>
    <cellStyle name="20% - 강조색6 2 2 2 3" xfId="0"/>
    <cellStyle name="20% - 강조색6 2 2 2 4" xfId="0"/>
    <cellStyle name="20% - 강조색6 2 2 2 5" xfId="0"/>
    <cellStyle name="20% - 강조색6 2 2 2 6" xfId="0"/>
    <cellStyle name="20% - 강조색6 2 2 2 7" xfId="0"/>
    <cellStyle name="20% - 강조색6 2 2 2 8" xfId="0"/>
    <cellStyle name="20% - 강조색6 2 2 2 9" xfId="0"/>
    <cellStyle name="20% - 강조색6 2 2 20" xfId="0"/>
    <cellStyle name="20% - 강조색6 2 2 21" xfId="0"/>
    <cellStyle name="20% - 강조색6 2 2 22" xfId="0"/>
    <cellStyle name="20% - 강조색6 2 2 23" xfId="0"/>
    <cellStyle name="20% - 강조색6 2 2 3" xfId="0"/>
    <cellStyle name="20% - 강조색6 2 2 4" xfId="0"/>
    <cellStyle name="20% - 강조색6 2 2 5" xfId="0"/>
    <cellStyle name="20% - 강조색6 2 2 6" xfId="0"/>
    <cellStyle name="20% - 강조색6 2 2 7" xfId="0"/>
    <cellStyle name="20% - 강조색6 2 2 8" xfId="0"/>
    <cellStyle name="20% - 강조색6 2 2 9" xfId="0"/>
    <cellStyle name="20% - 강조색6 2 20" xfId="0"/>
    <cellStyle name="20% - 강조색6 2 21" xfId="0"/>
    <cellStyle name="20% - 강조색6 2 22" xfId="0"/>
    <cellStyle name="20% - 강조색6 2 23" xfId="0"/>
    <cellStyle name="20% - 강조색6 2 3" xfId="0"/>
    <cellStyle name="20% - 강조색6 2 3 10" xfId="0"/>
    <cellStyle name="20% - 강조색6 2 3 2" xfId="0"/>
    <cellStyle name="20% - 강조색6 2 3 3" xfId="0"/>
    <cellStyle name="20% - 강조색6 2 3 4" xfId="0"/>
    <cellStyle name="20% - 강조색6 2 3 5" xfId="0"/>
    <cellStyle name="20% - 강조색6 2 3 6" xfId="0"/>
    <cellStyle name="20% - 강조색6 2 3 7" xfId="0"/>
    <cellStyle name="20% - 강조색6 2 3 8" xfId="0"/>
    <cellStyle name="20% - 강조색6 2 3 9" xfId="0"/>
    <cellStyle name="20% - 강조색6 2 4" xfId="0"/>
    <cellStyle name="20% - 강조색6 2 4 10" xfId="0"/>
    <cellStyle name="20% - 강조색6 2 4 2" xfId="0"/>
    <cellStyle name="20% - 강조색6 2 4 3" xfId="0"/>
    <cellStyle name="20% - 강조색6 2 4 4" xfId="0"/>
    <cellStyle name="20% - 강조색6 2 4 5" xfId="0"/>
    <cellStyle name="20% - 강조색6 2 4 6" xfId="0"/>
    <cellStyle name="20% - 강조색6 2 4 7" xfId="0"/>
    <cellStyle name="20% - 강조색6 2 4 8" xfId="0"/>
    <cellStyle name="20% - 강조색6 2 4 9" xfId="0"/>
    <cellStyle name="20% - 강조색6 2 5" xfId="0"/>
    <cellStyle name="20% - 강조색6 2 5 10" xfId="0"/>
    <cellStyle name="20% - 강조색6 2 5 2" xfId="0"/>
    <cellStyle name="20% - 강조색6 2 5 3" xfId="0"/>
    <cellStyle name="20% - 강조색6 2 5 4" xfId="0"/>
    <cellStyle name="20% - 강조색6 2 5 5" xfId="0"/>
    <cellStyle name="20% - 강조색6 2 5 6" xfId="0"/>
    <cellStyle name="20% - 강조색6 2 5 7" xfId="0"/>
    <cellStyle name="20% - 강조색6 2 5 8" xfId="0"/>
    <cellStyle name="20% - 강조색6 2 5 9" xfId="0"/>
    <cellStyle name="20% - 강조색6 2 6" xfId="0"/>
    <cellStyle name="20% - 강조색6 2 6 10" xfId="0"/>
    <cellStyle name="20% - 강조색6 2 6 2" xfId="0"/>
    <cellStyle name="20% - 강조색6 2 6 3" xfId="0"/>
    <cellStyle name="20% - 강조색6 2 6 4" xfId="0"/>
    <cellStyle name="20% - 강조색6 2 6 5" xfId="0"/>
    <cellStyle name="20% - 강조색6 2 6 6" xfId="0"/>
    <cellStyle name="20% - 강조색6 2 6 7" xfId="0"/>
    <cellStyle name="20% - 강조색6 2 6 8" xfId="0"/>
    <cellStyle name="20% - 강조색6 2 6 9" xfId="0"/>
    <cellStyle name="20% - 강조색6 2 7" xfId="0"/>
    <cellStyle name="20% - 강조색6 2 7 10" xfId="0"/>
    <cellStyle name="20% - 강조색6 2 7 2" xfId="0"/>
    <cellStyle name="20% - 강조색6 2 7 3" xfId="0"/>
    <cellStyle name="20% - 강조색6 2 7 4" xfId="0"/>
    <cellStyle name="20% - 강조색6 2 7 5" xfId="0"/>
    <cellStyle name="20% - 강조색6 2 7 6" xfId="0"/>
    <cellStyle name="20% - 강조색6 2 7 7" xfId="0"/>
    <cellStyle name="20% - 강조색6 2 7 8" xfId="0"/>
    <cellStyle name="20% - 강조색6 2 7 9" xfId="0"/>
    <cellStyle name="20% - 강조색6 2 8" xfId="0"/>
    <cellStyle name="20% - 강조색6 2 8 2" xfId="0"/>
    <cellStyle name="20% - 강조색6 2 9" xfId="0"/>
    <cellStyle name="20% - 강조색6 2 9 2" xfId="0"/>
    <cellStyle name="20% - 강조색6 20" xfId="0"/>
    <cellStyle name="20% - 강조색6 20 2" xfId="0"/>
    <cellStyle name="20% - 강조색6 20 3" xfId="0"/>
    <cellStyle name="20% - 강조색6 20 4" xfId="0"/>
    <cellStyle name="20% - 강조색6 20 5" xfId="0"/>
    <cellStyle name="20% - 강조색6 20 6" xfId="0"/>
    <cellStyle name="20% - 강조색6 20 7" xfId="0"/>
    <cellStyle name="20% - 강조색6 20 8" xfId="0"/>
    <cellStyle name="20% - 강조색6 20 9" xfId="0"/>
    <cellStyle name="20% - 강조색6 21" xfId="0"/>
    <cellStyle name="20% - 강조색6 21 2" xfId="0"/>
    <cellStyle name="20% - 강조색6 21 3" xfId="0"/>
    <cellStyle name="20% - 강조색6 21 4" xfId="0"/>
    <cellStyle name="20% - 강조색6 21 5" xfId="0"/>
    <cellStyle name="20% - 강조색6 21 6" xfId="0"/>
    <cellStyle name="20% - 강조색6 21 7" xfId="0"/>
    <cellStyle name="20% - 강조색6 21 8" xfId="0"/>
    <cellStyle name="20% - 강조색6 21 9" xfId="0"/>
    <cellStyle name="20% - 강조색6 22" xfId="0"/>
    <cellStyle name="20% - 강조색6 22 2" xfId="0"/>
    <cellStyle name="20% - 강조색6 22 3" xfId="0"/>
    <cellStyle name="20% - 강조색6 22 4" xfId="0"/>
    <cellStyle name="20% - 강조색6 22 5" xfId="0"/>
    <cellStyle name="20% - 강조색6 22 6" xfId="0"/>
    <cellStyle name="20% - 강조색6 22 7" xfId="0"/>
    <cellStyle name="20% - 강조색6 22 8" xfId="0"/>
    <cellStyle name="20% - 강조색6 22 9" xfId="0"/>
    <cellStyle name="20% - 강조색6 23" xfId="0"/>
    <cellStyle name="20% - 강조색6 23 2" xfId="0"/>
    <cellStyle name="20% - 강조색6 23 3" xfId="0"/>
    <cellStyle name="20% - 강조색6 23 4" xfId="0"/>
    <cellStyle name="20% - 강조색6 23 5" xfId="0"/>
    <cellStyle name="20% - 강조색6 23 6" xfId="0"/>
    <cellStyle name="20% - 강조색6 23 7" xfId="0"/>
    <cellStyle name="20% - 강조색6 23 8" xfId="0"/>
    <cellStyle name="20% - 강조색6 23 9" xfId="0"/>
    <cellStyle name="20% - 강조색6 24" xfId="0"/>
    <cellStyle name="20% - 강조색6 24 2" xfId="0"/>
    <cellStyle name="20% - 강조색6 24 3" xfId="0"/>
    <cellStyle name="20% - 강조색6 24 4" xfId="0"/>
    <cellStyle name="20% - 강조색6 24 5" xfId="0"/>
    <cellStyle name="20% - 강조색6 24 6" xfId="0"/>
    <cellStyle name="20% - 강조색6 24 7" xfId="0"/>
    <cellStyle name="20% - 강조색6 24 8" xfId="0"/>
    <cellStyle name="20% - 강조색6 24 9" xfId="0"/>
    <cellStyle name="20% - 강조색6 25" xfId="0"/>
    <cellStyle name="20% - 강조색6 25 2" xfId="0"/>
    <cellStyle name="20% - 강조색6 25 3" xfId="0"/>
    <cellStyle name="20% - 강조색6 25 4" xfId="0"/>
    <cellStyle name="20% - 강조색6 25 5" xfId="0"/>
    <cellStyle name="20% - 강조색6 25 6" xfId="0"/>
    <cellStyle name="20% - 강조색6 25 7" xfId="0"/>
    <cellStyle name="20% - 강조색6 25 8" xfId="0"/>
    <cellStyle name="20% - 강조색6 25 9" xfId="0"/>
    <cellStyle name="20% - 강조색6 26" xfId="0"/>
    <cellStyle name="20% - 강조색6 26 2" xfId="0"/>
    <cellStyle name="20% - 강조색6 26 3" xfId="0"/>
    <cellStyle name="20% - 강조색6 26 4" xfId="0"/>
    <cellStyle name="20% - 강조색6 26 5" xfId="0"/>
    <cellStyle name="20% - 강조색6 26 6" xfId="0"/>
    <cellStyle name="20% - 강조색6 26 7" xfId="0"/>
    <cellStyle name="20% - 강조색6 26 8" xfId="0"/>
    <cellStyle name="20% - 강조색6 26 9" xfId="0"/>
    <cellStyle name="20% - 강조색6 27" xfId="0"/>
    <cellStyle name="20% - 강조색6 27 2" xfId="0"/>
    <cellStyle name="20% - 강조색6 27 3" xfId="0"/>
    <cellStyle name="20% - 강조색6 27 4" xfId="0"/>
    <cellStyle name="20% - 강조색6 27 5" xfId="0"/>
    <cellStyle name="20% - 강조색6 27 6" xfId="0"/>
    <cellStyle name="20% - 강조색6 27 7" xfId="0"/>
    <cellStyle name="20% - 강조색6 27 8" xfId="0"/>
    <cellStyle name="20% - 강조색6 27 9" xfId="0"/>
    <cellStyle name="20% - 강조색6 28 2" xfId="0"/>
    <cellStyle name="20% - 강조색6 28 3" xfId="0"/>
    <cellStyle name="20% - 강조색6 28 4" xfId="0"/>
    <cellStyle name="20% - 강조색6 28 5" xfId="0"/>
    <cellStyle name="20% - 강조색6 28 6" xfId="0"/>
    <cellStyle name="20% - 강조색6 28 7" xfId="0"/>
    <cellStyle name="20% - 강조색6 28 8" xfId="0"/>
    <cellStyle name="20% - 강조색6 28 9" xfId="0"/>
    <cellStyle name="20% - 강조색6 29 2" xfId="0"/>
    <cellStyle name="20% - 강조색6 29 3" xfId="0"/>
    <cellStyle name="20% - 강조색6 29 4" xfId="0"/>
    <cellStyle name="20% - 강조색6 29 5" xfId="0"/>
    <cellStyle name="20% - 강조색6 29 6" xfId="0"/>
    <cellStyle name="20% - 강조색6 29 7" xfId="0"/>
    <cellStyle name="20% - 강조색6 29 8" xfId="0"/>
    <cellStyle name="20% - 강조색6 29 9" xfId="0"/>
    <cellStyle name="20% - 강조색6 2_3300현금및예치금" xfId="0"/>
    <cellStyle name="20% - 강조색6 3" xfId="0"/>
    <cellStyle name="20% - 강조색6 3 10" xfId="0"/>
    <cellStyle name="20% - 강조색6 3 10 2" xfId="0"/>
    <cellStyle name="20% - 강조색6 3 10 3" xfId="0"/>
    <cellStyle name="20% - 강조색6 3 11" xfId="0"/>
    <cellStyle name="20% - 강조색6 3 11 2" xfId="0"/>
    <cellStyle name="20% - 강조색6 3 11 3" xfId="0"/>
    <cellStyle name="20% - 강조색6 3 12" xfId="0"/>
    <cellStyle name="20% - 강조색6 3 12 2" xfId="0"/>
    <cellStyle name="20% - 강조색6 3 12 3" xfId="0"/>
    <cellStyle name="20% - 강조색6 3 13" xfId="0"/>
    <cellStyle name="20% - 강조색6 3 14" xfId="0"/>
    <cellStyle name="20% - 강조색6 3 15" xfId="0"/>
    <cellStyle name="20% - 강조색6 3 16" xfId="0"/>
    <cellStyle name="20% - 강조색6 3 17" xfId="0"/>
    <cellStyle name="20% - 강조색6 3 18" xfId="0"/>
    <cellStyle name="20% - 강조색6 3 19" xfId="0"/>
    <cellStyle name="20% - 강조색6 3 19 2" xfId="0"/>
    <cellStyle name="20% - 강조색6 3 2" xfId="0"/>
    <cellStyle name="20% - 강조색6 3 2 2" xfId="0"/>
    <cellStyle name="20% - 강조색6 3 2 3" xfId="0"/>
    <cellStyle name="20% - 강조색6 3 20" xfId="0"/>
    <cellStyle name="20% - 강조색6 3 21" xfId="0"/>
    <cellStyle name="20% - 강조색6 3 22" xfId="0"/>
    <cellStyle name="20% - 강조색6 3 23" xfId="0"/>
    <cellStyle name="20% - 강조색6 3 3" xfId="0"/>
    <cellStyle name="20% - 강조색6 3 3 2" xfId="0"/>
    <cellStyle name="20% - 강조색6 3 3 3" xfId="0"/>
    <cellStyle name="20% - 강조색6 3 4" xfId="0"/>
    <cellStyle name="20% - 강조색6 3 4 2" xfId="0"/>
    <cellStyle name="20% - 강조색6 3 4 3" xfId="0"/>
    <cellStyle name="20% - 강조색6 3 5" xfId="0"/>
    <cellStyle name="20% - 강조색6 3 5 2" xfId="0"/>
    <cellStyle name="20% - 강조색6 3 5 3" xfId="0"/>
    <cellStyle name="20% - 강조색6 3 6" xfId="0"/>
    <cellStyle name="20% - 강조색6 3 6 2" xfId="0"/>
    <cellStyle name="20% - 강조색6 3 6 3" xfId="0"/>
    <cellStyle name="20% - 강조색6 3 7" xfId="0"/>
    <cellStyle name="20% - 강조색6 3 7 2" xfId="0"/>
    <cellStyle name="20% - 강조색6 3 7 3" xfId="0"/>
    <cellStyle name="20% - 강조색6 3 8" xfId="0"/>
    <cellStyle name="20% - 강조색6 3 8 2" xfId="0"/>
    <cellStyle name="20% - 강조색6 3 8 3" xfId="0"/>
    <cellStyle name="20% - 강조색6 3 9" xfId="0"/>
    <cellStyle name="20% - 강조색6 3 9 2" xfId="0"/>
    <cellStyle name="20% - 강조색6 3 9 3" xfId="0"/>
    <cellStyle name="20% - 강조색6 30 2" xfId="0"/>
    <cellStyle name="20% - 강조색6 30 3" xfId="0"/>
    <cellStyle name="20% - 강조색6 30 4" xfId="0"/>
    <cellStyle name="20% - 강조색6 30 5" xfId="0"/>
    <cellStyle name="20% - 강조색6 30 6" xfId="0"/>
    <cellStyle name="20% - 강조색6 30 7" xfId="0"/>
    <cellStyle name="20% - 강조색6 30 8" xfId="0"/>
    <cellStyle name="20% - 강조색6 30 9" xfId="0"/>
    <cellStyle name="20% - 강조색6 31 2" xfId="0"/>
    <cellStyle name="20% - 강조색6 31 3" xfId="0"/>
    <cellStyle name="20% - 강조색6 31 4" xfId="0"/>
    <cellStyle name="20% - 강조색6 31 5" xfId="0"/>
    <cellStyle name="20% - 강조색6 31 6" xfId="0"/>
    <cellStyle name="20% - 강조색6 31 7" xfId="0"/>
    <cellStyle name="20% - 강조색6 31 8" xfId="0"/>
    <cellStyle name="20% - 강조색6 31 9" xfId="0"/>
    <cellStyle name="20% - 강조색6 32 2" xfId="0"/>
    <cellStyle name="20% - 강조색6 32 3" xfId="0"/>
    <cellStyle name="20% - 강조색6 32 4" xfId="0"/>
    <cellStyle name="20% - 강조색6 32 5" xfId="0"/>
    <cellStyle name="20% - 강조색6 32 6" xfId="0"/>
    <cellStyle name="20% - 강조색6 32 7" xfId="0"/>
    <cellStyle name="20% - 강조색6 32 8" xfId="0"/>
    <cellStyle name="20% - 강조색6 32 9" xfId="0"/>
    <cellStyle name="20% - 강조색6 33 2" xfId="0"/>
    <cellStyle name="20% - 강조색6 33 3" xfId="0"/>
    <cellStyle name="20% - 강조색6 33 4" xfId="0"/>
    <cellStyle name="20% - 강조색6 33 5" xfId="0"/>
    <cellStyle name="20% - 강조색6 33 6" xfId="0"/>
    <cellStyle name="20% - 강조색6 33 7" xfId="0"/>
    <cellStyle name="20% - 강조색6 33 8" xfId="0"/>
    <cellStyle name="20% - 강조색6 33 9" xfId="0"/>
    <cellStyle name="20% - 강조색6 34 2" xfId="0"/>
    <cellStyle name="20% - 강조색6 34 3" xfId="0"/>
    <cellStyle name="20% - 강조색6 34 4" xfId="0"/>
    <cellStyle name="20% - 강조색6 34 5" xfId="0"/>
    <cellStyle name="20% - 강조색6 34 6" xfId="0"/>
    <cellStyle name="20% - 강조색6 34 7" xfId="0"/>
    <cellStyle name="20% - 강조색6 34 8" xfId="0"/>
    <cellStyle name="20% - 강조색6 34 9" xfId="0"/>
    <cellStyle name="20% - 강조색6 35 2" xfId="0"/>
    <cellStyle name="20% - 강조색6 35 3" xfId="0"/>
    <cellStyle name="20% - 강조색6 35 4" xfId="0"/>
    <cellStyle name="20% - 강조색6 35 5" xfId="0"/>
    <cellStyle name="20% - 강조색6 35 6" xfId="0"/>
    <cellStyle name="20% - 강조색6 35 7" xfId="0"/>
    <cellStyle name="20% - 강조색6 35 8" xfId="0"/>
    <cellStyle name="20% - 강조색6 35 9" xfId="0"/>
    <cellStyle name="20% - 강조색6 3_운용자산별 손익분석" xfId="0"/>
    <cellStyle name="20% - 강조색6 4" xfId="0"/>
    <cellStyle name="20% - 강조색6 4 10" xfId="0"/>
    <cellStyle name="20% - 강조색6 4 11" xfId="0"/>
    <cellStyle name="20% - 강조색6 4 12" xfId="0"/>
    <cellStyle name="20% - 강조색6 4 13" xfId="0"/>
    <cellStyle name="20% - 강조색6 4 14" xfId="0"/>
    <cellStyle name="20% - 강조색6 4 15" xfId="0"/>
    <cellStyle name="20% - 강조색6 4 16" xfId="0"/>
    <cellStyle name="20% - 강조색6 4 17" xfId="0"/>
    <cellStyle name="20% - 강조색6 4 18" xfId="0"/>
    <cellStyle name="20% - 강조색6 4 19" xfId="0"/>
    <cellStyle name="20% - 강조색6 4 2" xfId="0"/>
    <cellStyle name="20% - 강조색6 4 20" xfId="0"/>
    <cellStyle name="20% - 강조색6 4 21" xfId="0"/>
    <cellStyle name="20% - 강조색6 4 22" xfId="0"/>
    <cellStyle name="20% - 강조색6 4 23" xfId="0"/>
    <cellStyle name="20% - 강조색6 4 24" xfId="0"/>
    <cellStyle name="20% - 강조색6 4 3" xfId="0"/>
    <cellStyle name="20% - 강조색6 4 4" xfId="0"/>
    <cellStyle name="20% - 강조색6 4 5" xfId="0"/>
    <cellStyle name="20% - 강조색6 4 6" xfId="0"/>
    <cellStyle name="20% - 강조색6 4 7" xfId="0"/>
    <cellStyle name="20% - 강조색6 4 8" xfId="0"/>
    <cellStyle name="20% - 강조색6 4 9" xfId="0"/>
    <cellStyle name="20% - 강조색6 4_운용자산별 손익분석" xfId="0"/>
    <cellStyle name="20% - 강조색6 5" xfId="0"/>
    <cellStyle name="20% - 강조색6 5 10" xfId="0"/>
    <cellStyle name="20% - 강조색6 5 11" xfId="0"/>
    <cellStyle name="20% - 강조색6 5 12" xfId="0"/>
    <cellStyle name="20% - 강조색6 5 13" xfId="0"/>
    <cellStyle name="20% - 강조색6 5 14" xfId="0"/>
    <cellStyle name="20% - 강조색6 5 15" xfId="0"/>
    <cellStyle name="20% - 강조색6 5 16" xfId="0"/>
    <cellStyle name="20% - 강조색6 5 17" xfId="0"/>
    <cellStyle name="20% - 강조색6 5 18" xfId="0"/>
    <cellStyle name="20% - 강조색6 5 19" xfId="0"/>
    <cellStyle name="20% - 강조색6 5 2" xfId="0"/>
    <cellStyle name="20% - 강조색6 5 20" xfId="0"/>
    <cellStyle name="20% - 강조색6 5 21" xfId="0"/>
    <cellStyle name="20% - 강조색6 5 22" xfId="0"/>
    <cellStyle name="20% - 강조색6 5 23" xfId="0"/>
    <cellStyle name="20% - 강조색6 5 24" xfId="0"/>
    <cellStyle name="20% - 강조색6 5 25" xfId="0"/>
    <cellStyle name="20% - 강조색6 5 26" xfId="0"/>
    <cellStyle name="20% - 강조색6 5 27" xfId="0"/>
    <cellStyle name="20% - 강조색6 5 28" xfId="0"/>
    <cellStyle name="20% - 강조색6 5 29" xfId="0"/>
    <cellStyle name="20% - 강조색6 5 3" xfId="0"/>
    <cellStyle name="20% - 강조색6 5 30" xfId="0"/>
    <cellStyle name="20% - 강조색6 5 31" xfId="0"/>
    <cellStyle name="20% - 강조색6 5 32" xfId="0"/>
    <cellStyle name="20% - 강조색6 5 33" xfId="0"/>
    <cellStyle name="20% - 강조색6 5 34" xfId="0"/>
    <cellStyle name="20% - 강조색6 5 4" xfId="0"/>
    <cellStyle name="20% - 강조색6 5 5" xfId="0"/>
    <cellStyle name="20% - 강조색6 5 6" xfId="0"/>
    <cellStyle name="20% - 강조색6 5 7" xfId="0"/>
    <cellStyle name="20% - 강조색6 5 8" xfId="0"/>
    <cellStyle name="20% - 강조색6 5 9" xfId="0"/>
    <cellStyle name="20% - 강조색6 6" xfId="0"/>
    <cellStyle name="20% - 강조색6 6 10" xfId="0"/>
    <cellStyle name="20% - 강조색6 6 11" xfId="0"/>
    <cellStyle name="20% - 강조색6 6 12" xfId="0"/>
    <cellStyle name="20% - 강조색6 6 13" xfId="0"/>
    <cellStyle name="20% - 강조색6 6 14" xfId="0"/>
    <cellStyle name="20% - 강조색6 6 15" xfId="0"/>
    <cellStyle name="20% - 강조색6 6 16" xfId="0"/>
    <cellStyle name="20% - 강조색6 6 17" xfId="0"/>
    <cellStyle name="20% - 강조색6 6 18" xfId="0"/>
    <cellStyle name="20% - 강조색6 6 19" xfId="0"/>
    <cellStyle name="20% - 강조색6 6 2" xfId="0"/>
    <cellStyle name="20% - 강조색6 6 20" xfId="0"/>
    <cellStyle name="20% - 강조색6 6 21" xfId="0"/>
    <cellStyle name="20% - 강조색6 6 22" xfId="0"/>
    <cellStyle name="20% - 강조색6 6 23" xfId="0"/>
    <cellStyle name="20% - 강조색6 6 24" xfId="0"/>
    <cellStyle name="20% - 강조색6 6 25" xfId="0"/>
    <cellStyle name="20% - 강조색6 6 26" xfId="0"/>
    <cellStyle name="20% - 강조색6 6 27" xfId="0"/>
    <cellStyle name="20% - 강조색6 6 28" xfId="0"/>
    <cellStyle name="20% - 강조색6 6 29" xfId="0"/>
    <cellStyle name="20% - 강조색6 6 3" xfId="0"/>
    <cellStyle name="20% - 강조색6 6 30" xfId="0"/>
    <cellStyle name="20% - 강조색6 6 4" xfId="0"/>
    <cellStyle name="20% - 강조색6 6 5" xfId="0"/>
    <cellStyle name="20% - 강조색6 6 6" xfId="0"/>
    <cellStyle name="20% - 강조색6 6 7" xfId="0"/>
    <cellStyle name="20% - 강조색6 6 8" xfId="0"/>
    <cellStyle name="20% - 강조색6 6 9" xfId="0"/>
    <cellStyle name="20% - 강조색6 7" xfId="0"/>
    <cellStyle name="20% - 강조색6 7 10" xfId="0"/>
    <cellStyle name="20% - 강조색6 7 11" xfId="0"/>
    <cellStyle name="20% - 강조색6 7 12" xfId="0"/>
    <cellStyle name="20% - 강조색6 7 13" xfId="0"/>
    <cellStyle name="20% - 강조색6 7 14" xfId="0"/>
    <cellStyle name="20% - 강조색6 7 15" xfId="0"/>
    <cellStyle name="20% - 강조색6 7 16" xfId="0"/>
    <cellStyle name="20% - 강조색6 7 17" xfId="0"/>
    <cellStyle name="20% - 강조색6 7 18" xfId="0"/>
    <cellStyle name="20% - 강조색6 7 19" xfId="0"/>
    <cellStyle name="20% - 강조색6 7 2" xfId="0"/>
    <cellStyle name="20% - 강조색6 7 2 2" xfId="0"/>
    <cellStyle name="20% - 강조색6 7 2 3" xfId="0"/>
    <cellStyle name="20% - 강조색6 7 20" xfId="0"/>
    <cellStyle name="20% - 강조색6 7 21" xfId="0"/>
    <cellStyle name="20% - 강조색6 7 22" xfId="0"/>
    <cellStyle name="20% - 강조색6 7 23" xfId="0"/>
    <cellStyle name="20% - 강조색6 7 24" xfId="0"/>
    <cellStyle name="20% - 강조색6 7 3" xfId="0"/>
    <cellStyle name="20% - 강조색6 7 3 2" xfId="0"/>
    <cellStyle name="20% - 강조색6 7 3 3" xfId="0"/>
    <cellStyle name="20% - 강조색6 7 4" xfId="0"/>
    <cellStyle name="20% - 강조색6 7 4 2" xfId="0"/>
    <cellStyle name="20% - 강조색6 7 4 3" xfId="0"/>
    <cellStyle name="20% - 강조색6 7 5" xfId="0"/>
    <cellStyle name="20% - 강조색6 7 5 2" xfId="0"/>
    <cellStyle name="20% - 강조색6 7 5 3" xfId="0"/>
    <cellStyle name="20% - 강조색6 7 6" xfId="0"/>
    <cellStyle name="20% - 강조색6 7 6 2" xfId="0"/>
    <cellStyle name="20% - 강조색6 7 6 3" xfId="0"/>
    <cellStyle name="20% - 강조색6 7 7" xfId="0"/>
    <cellStyle name="20% - 강조색6 7 8" xfId="0"/>
    <cellStyle name="20% - 강조색6 7 9" xfId="0"/>
    <cellStyle name="20% - 강조색6 8" xfId="0"/>
    <cellStyle name="20% - 강조색6 8 10" xfId="0"/>
    <cellStyle name="20% - 강조색6 8 11" xfId="0"/>
    <cellStyle name="20% - 강조색6 8 12" xfId="0"/>
    <cellStyle name="20% - 강조색6 8 13" xfId="0"/>
    <cellStyle name="20% - 강조색6 8 14" xfId="0"/>
    <cellStyle name="20% - 강조색6 8 15" xfId="0"/>
    <cellStyle name="20% - 강조색6 8 16" xfId="0"/>
    <cellStyle name="20% - 강조색6 8 17" xfId="0"/>
    <cellStyle name="20% - 강조색6 8 18" xfId="0"/>
    <cellStyle name="20% - 강조색6 8 19" xfId="0"/>
    <cellStyle name="20% - 강조색6 8 2" xfId="0"/>
    <cellStyle name="20% - 강조색6 8 2 2" xfId="0"/>
    <cellStyle name="20% - 강조색6 8 2 3" xfId="0"/>
    <cellStyle name="20% - 강조색6 8 20" xfId="0"/>
    <cellStyle name="20% - 강조색6 8 21" xfId="0"/>
    <cellStyle name="20% - 강조색6 8 22" xfId="0"/>
    <cellStyle name="20% - 강조색6 8 23" xfId="0"/>
    <cellStyle name="20% - 강조색6 8 24" xfId="0"/>
    <cellStyle name="20% - 강조색6 8 3" xfId="0"/>
    <cellStyle name="20% - 강조색6 8 3 2" xfId="0"/>
    <cellStyle name="20% - 강조색6 8 3 3" xfId="0"/>
    <cellStyle name="20% - 강조색6 8 4" xfId="0"/>
    <cellStyle name="20% - 강조색6 8 4 2" xfId="0"/>
    <cellStyle name="20% - 강조색6 8 4 3" xfId="0"/>
    <cellStyle name="20% - 강조색6 8 5" xfId="0"/>
    <cellStyle name="20% - 강조색6 8 5 2" xfId="0"/>
    <cellStyle name="20% - 강조색6 8 5 3" xfId="0"/>
    <cellStyle name="20% - 강조색6 8 6" xfId="0"/>
    <cellStyle name="20% - 강조색6 8 6 2" xfId="0"/>
    <cellStyle name="20% - 강조색6 8 6 3" xfId="0"/>
    <cellStyle name="20% - 강조색6 8 7" xfId="0"/>
    <cellStyle name="20% - 강조색6 8 8" xfId="0"/>
    <cellStyle name="20% - 강조색6 8 9" xfId="0"/>
    <cellStyle name="20% - 강조색6 9" xfId="0"/>
    <cellStyle name="20% - 강조색6 9 10" xfId="0"/>
    <cellStyle name="20% - 강조색6 9 11" xfId="0"/>
    <cellStyle name="20% - 강조색6 9 12" xfId="0"/>
    <cellStyle name="20% - 강조색6 9 13" xfId="0"/>
    <cellStyle name="20% - 강조색6 9 14" xfId="0"/>
    <cellStyle name="20% - 강조색6 9 15" xfId="0"/>
    <cellStyle name="20% - 강조색6 9 16" xfId="0"/>
    <cellStyle name="20% - 강조색6 9 17" xfId="0"/>
    <cellStyle name="20% - 강조색6 9 18" xfId="0"/>
    <cellStyle name="20% - 강조색6 9 19" xfId="0"/>
    <cellStyle name="20% - 강조색6 9 2" xfId="0"/>
    <cellStyle name="20% - 강조색6 9 2 2" xfId="0"/>
    <cellStyle name="20% - 강조색6 9 2 3" xfId="0"/>
    <cellStyle name="20% - 강조색6 9 20" xfId="0"/>
    <cellStyle name="20% - 강조색6 9 21" xfId="0"/>
    <cellStyle name="20% - 강조색6 9 22" xfId="0"/>
    <cellStyle name="20% - 강조색6 9 23" xfId="0"/>
    <cellStyle name="20% - 강조색6 9 24" xfId="0"/>
    <cellStyle name="20% - 강조색6 9 3" xfId="0"/>
    <cellStyle name="20% - 강조색6 9 3 2" xfId="0"/>
    <cellStyle name="20% - 강조색6 9 3 3" xfId="0"/>
    <cellStyle name="20% - 강조색6 9 4" xfId="0"/>
    <cellStyle name="20% - 강조색6 9 4 2" xfId="0"/>
    <cellStyle name="20% - 강조색6 9 4 3" xfId="0"/>
    <cellStyle name="20% - 강조색6 9 5" xfId="0"/>
    <cellStyle name="20% - 강조색6 9 5 2" xfId="0"/>
    <cellStyle name="20% - 강조색6 9 5 3" xfId="0"/>
    <cellStyle name="20% - 강조색6 9 6" xfId="0"/>
    <cellStyle name="20% - 강조색6 9 6 2" xfId="0"/>
    <cellStyle name="20% - 강조색6 9 6 3" xfId="0"/>
    <cellStyle name="20% - 강조색6 9 7" xfId="0"/>
    <cellStyle name="20% - 강조색6 9 8" xfId="0"/>
    <cellStyle name="20% - 강조색6 9 9" xfId="0"/>
    <cellStyle name="32ɢꄪꆡඡܒ㿼ɢ㿤ɢ_x0005__x0005_㿴ɢ" xfId="0"/>
    <cellStyle name="3_99매출" xfId="0"/>
    <cellStyle name="40% - Accent1" xfId="0"/>
    <cellStyle name="40% - Accent1 2" xfId="0"/>
    <cellStyle name="40% - Accent1 3" xfId="0"/>
    <cellStyle name="40% - Accent1 4" xfId="0"/>
    <cellStyle name="40% - Accent1 5" xfId="0"/>
    <cellStyle name="40% - Accent2" xfId="0"/>
    <cellStyle name="40% - Accent2 2" xfId="0"/>
    <cellStyle name="40% - Accent2 3" xfId="0"/>
    <cellStyle name="40% - Accent2 4" xfId="0"/>
    <cellStyle name="40% - Accent2 5" xfId="0"/>
    <cellStyle name="40% - Accent3" xfId="0"/>
    <cellStyle name="40% - Accent3 2" xfId="0"/>
    <cellStyle name="40% - Accent3 3" xfId="0"/>
    <cellStyle name="40% - Accent3 4" xfId="0"/>
    <cellStyle name="40% - Accent3 5" xfId="0"/>
    <cellStyle name="40% - Accent4" xfId="0"/>
    <cellStyle name="40% - Accent4 2" xfId="0"/>
    <cellStyle name="40% - Accent4 3" xfId="0"/>
    <cellStyle name="40% - Accent4 4" xfId="0"/>
    <cellStyle name="40% - Accent4 5" xfId="0"/>
    <cellStyle name="40% - Accent5" xfId="0"/>
    <cellStyle name="40% - Accent5 2" xfId="0"/>
    <cellStyle name="40% - Accent5 3" xfId="0"/>
    <cellStyle name="40% - Accent5 4" xfId="0"/>
    <cellStyle name="40% - Accent5 5" xfId="0"/>
    <cellStyle name="40% - Accent6" xfId="0"/>
    <cellStyle name="40% - Accent6 2" xfId="0"/>
    <cellStyle name="40% - Accent6 3" xfId="0"/>
    <cellStyle name="40% - Accent6 4" xfId="0"/>
    <cellStyle name="40% - Accent6 5" xfId="0"/>
    <cellStyle name="40% - 강조색1 10" xfId="0"/>
    <cellStyle name="40% - 강조색1 10 10" xfId="0"/>
    <cellStyle name="40% - 강조색1 10 11" xfId="0"/>
    <cellStyle name="40% - 강조색1 10 12" xfId="0"/>
    <cellStyle name="40% - 강조색1 10 13" xfId="0"/>
    <cellStyle name="40% - 강조색1 10 14" xfId="0"/>
    <cellStyle name="40% - 강조색1 10 15" xfId="0"/>
    <cellStyle name="40% - 강조색1 10 16" xfId="0"/>
    <cellStyle name="40% - 강조색1 10 17" xfId="0"/>
    <cellStyle name="40% - 강조색1 10 18" xfId="0"/>
    <cellStyle name="40% - 강조색1 10 19" xfId="0"/>
    <cellStyle name="40% - 강조색1 10 2" xfId="0"/>
    <cellStyle name="40% - 강조색1 10 2 2" xfId="0"/>
    <cellStyle name="40% - 강조색1 10 2 3" xfId="0"/>
    <cellStyle name="40% - 강조색1 10 20" xfId="0"/>
    <cellStyle name="40% - 강조색1 10 21" xfId="0"/>
    <cellStyle name="40% - 강조색1 10 22" xfId="0"/>
    <cellStyle name="40% - 강조색1 10 23" xfId="0"/>
    <cellStyle name="40% - 강조색1 10 24" xfId="0"/>
    <cellStyle name="40% - 강조색1 10 3" xfId="0"/>
    <cellStyle name="40% - 강조색1 10 3 2" xfId="0"/>
    <cellStyle name="40% - 강조색1 10 3 3" xfId="0"/>
    <cellStyle name="40% - 강조색1 10 4" xfId="0"/>
    <cellStyle name="40% - 강조색1 10 4 2" xfId="0"/>
    <cellStyle name="40% - 강조색1 10 4 3" xfId="0"/>
    <cellStyle name="40% - 강조색1 10 5" xfId="0"/>
    <cellStyle name="40% - 강조색1 10 5 2" xfId="0"/>
    <cellStyle name="40% - 강조색1 10 5 3" xfId="0"/>
    <cellStyle name="40% - 강조색1 10 6" xfId="0"/>
    <cellStyle name="40% - 강조색1 10 6 2" xfId="0"/>
    <cellStyle name="40% - 강조색1 10 6 3" xfId="0"/>
    <cellStyle name="40% - 강조색1 10 7" xfId="0"/>
    <cellStyle name="40% - 강조색1 10 8" xfId="0"/>
    <cellStyle name="40% - 강조색1 10 9" xfId="0"/>
    <cellStyle name="40% - 강조색1 11" xfId="0"/>
    <cellStyle name="40% - 강조색1 11 10" xfId="0"/>
    <cellStyle name="40% - 강조색1 11 2" xfId="0"/>
    <cellStyle name="40% - 강조색1 11 2 2" xfId="0"/>
    <cellStyle name="40% - 강조색1 11 2 3" xfId="0"/>
    <cellStyle name="40% - 강조색1 11 3" xfId="0"/>
    <cellStyle name="40% - 강조색1 11 3 2" xfId="0"/>
    <cellStyle name="40% - 강조색1 11 3 3" xfId="0"/>
    <cellStyle name="40% - 강조색1 11 4" xfId="0"/>
    <cellStyle name="40% - 강조색1 11 4 2" xfId="0"/>
    <cellStyle name="40% - 강조색1 11 4 3" xfId="0"/>
    <cellStyle name="40% - 강조색1 11 5" xfId="0"/>
    <cellStyle name="40% - 강조색1 11 5 2" xfId="0"/>
    <cellStyle name="40% - 강조색1 11 5 3" xfId="0"/>
    <cellStyle name="40% - 강조색1 11 6" xfId="0"/>
    <cellStyle name="40% - 강조색1 11 6 2" xfId="0"/>
    <cellStyle name="40% - 강조색1 11 6 3" xfId="0"/>
    <cellStyle name="40% - 강조색1 11 7" xfId="0"/>
    <cellStyle name="40% - 강조색1 11 8" xfId="0"/>
    <cellStyle name="40% - 강조색1 11 9" xfId="0"/>
    <cellStyle name="40% - 강조색1 12" xfId="0"/>
    <cellStyle name="40% - 강조색1 12 2" xfId="0"/>
    <cellStyle name="40% - 강조색1 12 3" xfId="0"/>
    <cellStyle name="40% - 강조색1 12 4" xfId="0"/>
    <cellStyle name="40% - 강조색1 12 5" xfId="0"/>
    <cellStyle name="40% - 강조색1 12 6" xfId="0"/>
    <cellStyle name="40% - 강조색1 12 7" xfId="0"/>
    <cellStyle name="40% - 강조색1 12 8" xfId="0"/>
    <cellStyle name="40% - 강조색1 12 9" xfId="0"/>
    <cellStyle name="40% - 강조색1 13" xfId="0"/>
    <cellStyle name="40% - 강조색1 13 2" xfId="0"/>
    <cellStyle name="40% - 강조색1 13 3" xfId="0"/>
    <cellStyle name="40% - 강조색1 13 4" xfId="0"/>
    <cellStyle name="40% - 강조색1 13 5" xfId="0"/>
    <cellStyle name="40% - 강조색1 13 6" xfId="0"/>
    <cellStyle name="40% - 강조색1 13 7" xfId="0"/>
    <cellStyle name="40% - 강조색1 13 8" xfId="0"/>
    <cellStyle name="40% - 강조색1 13 9" xfId="0"/>
    <cellStyle name="40% - 강조색1 14" xfId="0"/>
    <cellStyle name="40% - 강조색1 14 2" xfId="0"/>
    <cellStyle name="40% - 강조색1 14 3" xfId="0"/>
    <cellStyle name="40% - 강조색1 14 4" xfId="0"/>
    <cellStyle name="40% - 강조색1 14 5" xfId="0"/>
    <cellStyle name="40% - 강조색1 14 6" xfId="0"/>
    <cellStyle name="40% - 강조색1 14 7" xfId="0"/>
    <cellStyle name="40% - 강조색1 14 8" xfId="0"/>
    <cellStyle name="40% - 강조색1 14 9" xfId="0"/>
    <cellStyle name="40% - 강조색1 15" xfId="0"/>
    <cellStyle name="40% - 강조색1 15 2" xfId="0"/>
    <cellStyle name="40% - 강조색1 15 3" xfId="0"/>
    <cellStyle name="40% - 강조색1 15 4" xfId="0"/>
    <cellStyle name="40% - 강조색1 15 5" xfId="0"/>
    <cellStyle name="40% - 강조색1 15 6" xfId="0"/>
    <cellStyle name="40% - 강조색1 15 7" xfId="0"/>
    <cellStyle name="40% - 강조색1 15 8" xfId="0"/>
    <cellStyle name="40% - 강조색1 15 9" xfId="0"/>
    <cellStyle name="40% - 강조색1 16" xfId="0"/>
    <cellStyle name="40% - 강조색1 16 2" xfId="0"/>
    <cellStyle name="40% - 강조색1 16 3" xfId="0"/>
    <cellStyle name="40% - 강조색1 16 4" xfId="0"/>
    <cellStyle name="40% - 강조색1 16 5" xfId="0"/>
    <cellStyle name="40% - 강조색1 16 6" xfId="0"/>
    <cellStyle name="40% - 강조색1 16 7" xfId="0"/>
    <cellStyle name="40% - 강조색1 16 8" xfId="0"/>
    <cellStyle name="40% - 강조색1 16 9" xfId="0"/>
    <cellStyle name="40% - 강조색1 17" xfId="0"/>
    <cellStyle name="40% - 강조색1 17 2" xfId="0"/>
    <cellStyle name="40% - 강조색1 17 3" xfId="0"/>
    <cellStyle name="40% - 강조색1 17 4" xfId="0"/>
    <cellStyle name="40% - 강조색1 17 5" xfId="0"/>
    <cellStyle name="40% - 강조색1 17 6" xfId="0"/>
    <cellStyle name="40% - 강조색1 17 7" xfId="0"/>
    <cellStyle name="40% - 강조색1 17 8" xfId="0"/>
    <cellStyle name="40% - 강조색1 17 9" xfId="0"/>
    <cellStyle name="40% - 강조색1 18" xfId="0"/>
    <cellStyle name="40% - 강조색1 18 2" xfId="0"/>
    <cellStyle name="40% - 강조색1 18 3" xfId="0"/>
    <cellStyle name="40% - 강조색1 18 4" xfId="0"/>
    <cellStyle name="40% - 강조색1 18 5" xfId="0"/>
    <cellStyle name="40% - 강조색1 18 6" xfId="0"/>
    <cellStyle name="40% - 강조색1 18 7" xfId="0"/>
    <cellStyle name="40% - 강조색1 18 8" xfId="0"/>
    <cellStyle name="40% - 강조색1 18 9" xfId="0"/>
    <cellStyle name="40% - 강조색1 19" xfId="0"/>
    <cellStyle name="40% - 강조색1 19 2" xfId="0"/>
    <cellStyle name="40% - 강조색1 19 3" xfId="0"/>
    <cellStyle name="40% - 강조색1 19 4" xfId="0"/>
    <cellStyle name="40% - 강조색1 19 5" xfId="0"/>
    <cellStyle name="40% - 강조색1 19 6" xfId="0"/>
    <cellStyle name="40% - 강조색1 19 7" xfId="0"/>
    <cellStyle name="40% - 강조색1 19 8" xfId="0"/>
    <cellStyle name="40% - 강조색1 19 9" xfId="0"/>
    <cellStyle name="40% - 강조색1 2" xfId="0"/>
    <cellStyle name="40% - 강조색1 2 10" xfId="0"/>
    <cellStyle name="40% - 강조색1 2 10 2" xfId="0"/>
    <cellStyle name="40% - 강조색1 2 11" xfId="0"/>
    <cellStyle name="40% - 강조색1 2 11 2" xfId="0"/>
    <cellStyle name="40% - 강조색1 2 12" xfId="0"/>
    <cellStyle name="40% - 강조색1 2 12 2" xfId="0"/>
    <cellStyle name="40% - 강조색1 2 13" xfId="0"/>
    <cellStyle name="40% - 강조색1 2 14" xfId="0"/>
    <cellStyle name="40% - 강조색1 2 15" xfId="0"/>
    <cellStyle name="40% - 강조색1 2 16" xfId="0"/>
    <cellStyle name="40% - 강조색1 2 17" xfId="0"/>
    <cellStyle name="40% - 강조색1 2 18" xfId="0"/>
    <cellStyle name="40% - 강조색1 2 19" xfId="0"/>
    <cellStyle name="40% - 강조색1 2 2" xfId="0"/>
    <cellStyle name="40% - 강조색1 2 2 10" xfId="0"/>
    <cellStyle name="40% - 강조색1 2 2 11" xfId="0"/>
    <cellStyle name="40% - 강조색1 2 2 12" xfId="0"/>
    <cellStyle name="40% - 강조색1 2 2 13" xfId="0"/>
    <cellStyle name="40% - 강조색1 2 2 14" xfId="0"/>
    <cellStyle name="40% - 강조색1 2 2 15" xfId="0"/>
    <cellStyle name="40% - 강조색1 2 2 16" xfId="0"/>
    <cellStyle name="40% - 강조색1 2 2 17" xfId="0"/>
    <cellStyle name="40% - 강조색1 2 2 18" xfId="0"/>
    <cellStyle name="40% - 강조색1 2 2 19" xfId="0"/>
    <cellStyle name="40% - 강조색1 2 2 2" xfId="0"/>
    <cellStyle name="40% - 강조색1 2 2 2 2" xfId="0"/>
    <cellStyle name="40% - 강조색1 2 2 2 2 2" xfId="0"/>
    <cellStyle name="40% - 강조색1 2 2 2 2 3" xfId="0"/>
    <cellStyle name="40% - 강조색1 2 2 2 2 4" xfId="0"/>
    <cellStyle name="40% - 강조색1 2 2 2 2 5" xfId="0"/>
    <cellStyle name="40% - 강조색1 2 2 2 2 6" xfId="0"/>
    <cellStyle name="40% - 강조색1 2 2 2 2 7" xfId="0"/>
    <cellStyle name="40% - 강조색1 2 2 2 2 8" xfId="0"/>
    <cellStyle name="40% - 강조색1 2 2 2 2 9" xfId="0"/>
    <cellStyle name="40% - 강조색1 2 2 2 3" xfId="0"/>
    <cellStyle name="40% - 강조색1 2 2 2 4" xfId="0"/>
    <cellStyle name="40% - 강조색1 2 2 2 5" xfId="0"/>
    <cellStyle name="40% - 강조색1 2 2 2 6" xfId="0"/>
    <cellStyle name="40% - 강조색1 2 2 2 7" xfId="0"/>
    <cellStyle name="40% - 강조색1 2 2 2 8" xfId="0"/>
    <cellStyle name="40% - 강조색1 2 2 2 9" xfId="0"/>
    <cellStyle name="40% - 강조색1 2 2 20" xfId="0"/>
    <cellStyle name="40% - 강조색1 2 2 21" xfId="0"/>
    <cellStyle name="40% - 강조색1 2 2 22" xfId="0"/>
    <cellStyle name="40% - 강조색1 2 2 23" xfId="0"/>
    <cellStyle name="40% - 강조색1 2 2 3" xfId="0"/>
    <cellStyle name="40% - 강조색1 2 2 4" xfId="0"/>
    <cellStyle name="40% - 강조색1 2 2 5" xfId="0"/>
    <cellStyle name="40% - 강조색1 2 2 6" xfId="0"/>
    <cellStyle name="40% - 강조색1 2 2 7" xfId="0"/>
    <cellStyle name="40% - 강조색1 2 2 8" xfId="0"/>
    <cellStyle name="40% - 강조색1 2 2 9" xfId="0"/>
    <cellStyle name="40% - 강조색1 2 20" xfId="0"/>
    <cellStyle name="40% - 강조색1 2 21" xfId="0"/>
    <cellStyle name="40% - 강조색1 2 22" xfId="0"/>
    <cellStyle name="40% - 강조색1 2 23" xfId="0"/>
    <cellStyle name="40% - 강조색1 2 3" xfId="0"/>
    <cellStyle name="40% - 강조색1 2 3 10" xfId="0"/>
    <cellStyle name="40% - 강조색1 2 3 2" xfId="0"/>
    <cellStyle name="40% - 강조색1 2 3 3" xfId="0"/>
    <cellStyle name="40% - 강조색1 2 3 4" xfId="0"/>
    <cellStyle name="40% - 강조색1 2 3 5" xfId="0"/>
    <cellStyle name="40% - 강조색1 2 3 6" xfId="0"/>
    <cellStyle name="40% - 강조색1 2 3 7" xfId="0"/>
    <cellStyle name="40% - 강조색1 2 3 8" xfId="0"/>
    <cellStyle name="40% - 강조색1 2 3 9" xfId="0"/>
    <cellStyle name="40% - 강조색1 2 4" xfId="0"/>
    <cellStyle name="40% - 강조색1 2 4 10" xfId="0"/>
    <cellStyle name="40% - 강조색1 2 4 2" xfId="0"/>
    <cellStyle name="40% - 강조색1 2 4 3" xfId="0"/>
    <cellStyle name="40% - 강조색1 2 4 4" xfId="0"/>
    <cellStyle name="40% - 강조색1 2 4 5" xfId="0"/>
    <cellStyle name="40% - 강조색1 2 4 6" xfId="0"/>
    <cellStyle name="40% - 강조색1 2 4 7" xfId="0"/>
    <cellStyle name="40% - 강조색1 2 4 8" xfId="0"/>
    <cellStyle name="40% - 강조색1 2 4 9" xfId="0"/>
    <cellStyle name="40% - 강조색1 2 5" xfId="0"/>
    <cellStyle name="40% - 강조색1 2 5 10" xfId="0"/>
    <cellStyle name="40% - 강조색1 2 5 2" xfId="0"/>
    <cellStyle name="40% - 강조색1 2 5 3" xfId="0"/>
    <cellStyle name="40% - 강조색1 2 5 4" xfId="0"/>
    <cellStyle name="40% - 강조색1 2 5 5" xfId="0"/>
    <cellStyle name="40% - 강조색1 2 5 6" xfId="0"/>
    <cellStyle name="40% - 강조색1 2 5 7" xfId="0"/>
    <cellStyle name="40% - 강조색1 2 5 8" xfId="0"/>
    <cellStyle name="40% - 강조색1 2 5 9" xfId="0"/>
    <cellStyle name="40% - 강조색1 2 6" xfId="0"/>
    <cellStyle name="40% - 강조색1 2 6 10" xfId="0"/>
    <cellStyle name="40% - 강조색1 2 6 2" xfId="0"/>
    <cellStyle name="40% - 강조색1 2 6 3" xfId="0"/>
    <cellStyle name="40% - 강조색1 2 6 4" xfId="0"/>
    <cellStyle name="40% - 강조색1 2 6 5" xfId="0"/>
    <cellStyle name="40% - 강조색1 2 6 6" xfId="0"/>
    <cellStyle name="40% - 강조색1 2 6 7" xfId="0"/>
    <cellStyle name="40% - 강조색1 2 6 8" xfId="0"/>
    <cellStyle name="40% - 강조색1 2 6 9" xfId="0"/>
    <cellStyle name="40% - 강조색1 2 7" xfId="0"/>
    <cellStyle name="40% - 강조색1 2 7 10" xfId="0"/>
    <cellStyle name="40% - 강조색1 2 7 2" xfId="0"/>
    <cellStyle name="40% - 강조색1 2 7 3" xfId="0"/>
    <cellStyle name="40% - 강조색1 2 7 4" xfId="0"/>
    <cellStyle name="40% - 강조색1 2 7 5" xfId="0"/>
    <cellStyle name="40% - 강조색1 2 7 6" xfId="0"/>
    <cellStyle name="40% - 강조색1 2 7 7" xfId="0"/>
    <cellStyle name="40% - 강조색1 2 7 8" xfId="0"/>
    <cellStyle name="40% - 강조색1 2 7 9" xfId="0"/>
    <cellStyle name="40% - 강조색1 2 8" xfId="0"/>
    <cellStyle name="40% - 강조색1 2 8 2" xfId="0"/>
    <cellStyle name="40% - 강조색1 2 9" xfId="0"/>
    <cellStyle name="40% - 강조색1 2 9 2" xfId="0"/>
    <cellStyle name="40% - 강조색1 20" xfId="0"/>
    <cellStyle name="40% - 강조색1 20 2" xfId="0"/>
    <cellStyle name="40% - 강조색1 20 3" xfId="0"/>
    <cellStyle name="40% - 강조색1 20 4" xfId="0"/>
    <cellStyle name="40% - 강조색1 20 5" xfId="0"/>
    <cellStyle name="40% - 강조색1 20 6" xfId="0"/>
    <cellStyle name="40% - 강조색1 20 7" xfId="0"/>
    <cellStyle name="40% - 강조색1 20 8" xfId="0"/>
    <cellStyle name="40% - 강조색1 20 9" xfId="0"/>
    <cellStyle name="40% - 강조색1 21" xfId="0"/>
    <cellStyle name="40% - 강조색1 21 2" xfId="0"/>
    <cellStyle name="40% - 강조색1 21 3" xfId="0"/>
    <cellStyle name="40% - 강조색1 21 4" xfId="0"/>
    <cellStyle name="40% - 강조색1 21 5" xfId="0"/>
    <cellStyle name="40% - 강조색1 21 6" xfId="0"/>
    <cellStyle name="40% - 강조색1 21 7" xfId="0"/>
    <cellStyle name="40% - 강조색1 21 8" xfId="0"/>
    <cellStyle name="40% - 강조색1 21 9" xfId="0"/>
    <cellStyle name="40% - 강조색1 22" xfId="0"/>
    <cellStyle name="40% - 강조색1 22 2" xfId="0"/>
    <cellStyle name="40% - 강조색1 22 3" xfId="0"/>
    <cellStyle name="40% - 강조색1 22 4" xfId="0"/>
    <cellStyle name="40% - 강조색1 22 5" xfId="0"/>
    <cellStyle name="40% - 강조색1 22 6" xfId="0"/>
    <cellStyle name="40% - 강조색1 22 7" xfId="0"/>
    <cellStyle name="40% - 강조색1 22 8" xfId="0"/>
    <cellStyle name="40% - 강조색1 22 9" xfId="0"/>
    <cellStyle name="40% - 강조색1 23" xfId="0"/>
    <cellStyle name="40% - 강조색1 23 2" xfId="0"/>
    <cellStyle name="40% - 강조색1 23 3" xfId="0"/>
    <cellStyle name="40% - 강조색1 23 4" xfId="0"/>
    <cellStyle name="40% - 강조색1 23 5" xfId="0"/>
    <cellStyle name="40% - 강조색1 23 6" xfId="0"/>
    <cellStyle name="40% - 강조색1 23 7" xfId="0"/>
    <cellStyle name="40% - 강조색1 23 8" xfId="0"/>
    <cellStyle name="40% - 강조색1 23 9" xfId="0"/>
    <cellStyle name="40% - 강조색1 24" xfId="0"/>
    <cellStyle name="40% - 강조색1 24 2" xfId="0"/>
    <cellStyle name="40% - 강조색1 24 3" xfId="0"/>
    <cellStyle name="40% - 강조색1 24 4" xfId="0"/>
    <cellStyle name="40% - 강조색1 24 5" xfId="0"/>
    <cellStyle name="40% - 강조색1 24 6" xfId="0"/>
    <cellStyle name="40% - 강조색1 24 7" xfId="0"/>
    <cellStyle name="40% - 강조색1 24 8" xfId="0"/>
    <cellStyle name="40% - 강조색1 24 9" xfId="0"/>
    <cellStyle name="40% - 강조색1 25" xfId="0"/>
    <cellStyle name="40% - 강조색1 25 2" xfId="0"/>
    <cellStyle name="40% - 강조색1 25 3" xfId="0"/>
    <cellStyle name="40% - 강조색1 25 4" xfId="0"/>
    <cellStyle name="40% - 강조색1 25 5" xfId="0"/>
    <cellStyle name="40% - 강조색1 25 6" xfId="0"/>
    <cellStyle name="40% - 강조색1 25 7" xfId="0"/>
    <cellStyle name="40% - 강조색1 25 8" xfId="0"/>
    <cellStyle name="40% - 강조색1 25 9" xfId="0"/>
    <cellStyle name="40% - 강조색1 26" xfId="0"/>
    <cellStyle name="40% - 강조색1 26 2" xfId="0"/>
    <cellStyle name="40% - 강조색1 26 3" xfId="0"/>
    <cellStyle name="40% - 강조색1 26 4" xfId="0"/>
    <cellStyle name="40% - 강조색1 26 5" xfId="0"/>
    <cellStyle name="40% - 강조색1 26 6" xfId="0"/>
    <cellStyle name="40% - 강조색1 26 7" xfId="0"/>
    <cellStyle name="40% - 강조색1 26 8" xfId="0"/>
    <cellStyle name="40% - 강조색1 26 9" xfId="0"/>
    <cellStyle name="40% - 강조색1 27" xfId="0"/>
    <cellStyle name="40% - 강조색1 27 2" xfId="0"/>
    <cellStyle name="40% - 강조색1 27 3" xfId="0"/>
    <cellStyle name="40% - 강조색1 27 4" xfId="0"/>
    <cellStyle name="40% - 강조색1 27 5" xfId="0"/>
    <cellStyle name="40% - 강조색1 27 6" xfId="0"/>
    <cellStyle name="40% - 강조색1 27 7" xfId="0"/>
    <cellStyle name="40% - 강조색1 27 8" xfId="0"/>
    <cellStyle name="40% - 강조색1 27 9" xfId="0"/>
    <cellStyle name="40% - 강조색1 28 2" xfId="0"/>
    <cellStyle name="40% - 강조색1 28 3" xfId="0"/>
    <cellStyle name="40% - 강조색1 28 4" xfId="0"/>
    <cellStyle name="40% - 강조색1 28 5" xfId="0"/>
    <cellStyle name="40% - 강조색1 28 6" xfId="0"/>
    <cellStyle name="40% - 강조색1 28 7" xfId="0"/>
    <cellStyle name="40% - 강조색1 28 8" xfId="0"/>
    <cellStyle name="40% - 강조색1 28 9" xfId="0"/>
    <cellStyle name="40% - 강조색1 29 2" xfId="0"/>
    <cellStyle name="40% - 강조색1 29 3" xfId="0"/>
    <cellStyle name="40% - 강조색1 29 4" xfId="0"/>
    <cellStyle name="40% - 강조색1 29 5" xfId="0"/>
    <cellStyle name="40% - 강조색1 29 6" xfId="0"/>
    <cellStyle name="40% - 강조색1 29 7" xfId="0"/>
    <cellStyle name="40% - 강조색1 29 8" xfId="0"/>
    <cellStyle name="40% - 강조색1 29 9" xfId="0"/>
    <cellStyle name="40% - 강조색1 2_3300현금및예치금" xfId="0"/>
    <cellStyle name="40% - 강조색1 3" xfId="0"/>
    <cellStyle name="40% - 강조색1 3 10" xfId="0"/>
    <cellStyle name="40% - 강조색1 3 10 2" xfId="0"/>
    <cellStyle name="40% - 강조색1 3 10 3" xfId="0"/>
    <cellStyle name="40% - 강조색1 3 11" xfId="0"/>
    <cellStyle name="40% - 강조색1 3 11 2" xfId="0"/>
    <cellStyle name="40% - 강조색1 3 11 3" xfId="0"/>
    <cellStyle name="40% - 강조색1 3 12" xfId="0"/>
    <cellStyle name="40% - 강조색1 3 12 2" xfId="0"/>
    <cellStyle name="40% - 강조색1 3 12 3" xfId="0"/>
    <cellStyle name="40% - 강조색1 3 13" xfId="0"/>
    <cellStyle name="40% - 강조색1 3 14" xfId="0"/>
    <cellStyle name="40% - 강조색1 3 15" xfId="0"/>
    <cellStyle name="40% - 강조색1 3 16" xfId="0"/>
    <cellStyle name="40% - 강조색1 3 17" xfId="0"/>
    <cellStyle name="40% - 강조색1 3 18" xfId="0"/>
    <cellStyle name="40% - 강조색1 3 19" xfId="0"/>
    <cellStyle name="40% - 강조색1 3 19 2" xfId="0"/>
    <cellStyle name="40% - 강조색1 3 2" xfId="0"/>
    <cellStyle name="40% - 강조색1 3 2 2" xfId="0"/>
    <cellStyle name="40% - 강조색1 3 2 3" xfId="0"/>
    <cellStyle name="40% - 강조색1 3 20" xfId="0"/>
    <cellStyle name="40% - 강조색1 3 21" xfId="0"/>
    <cellStyle name="40% - 강조색1 3 22" xfId="0"/>
    <cellStyle name="40% - 강조색1 3 23" xfId="0"/>
    <cellStyle name="40% - 강조색1 3 3" xfId="0"/>
    <cellStyle name="40% - 강조색1 3 3 2" xfId="0"/>
    <cellStyle name="40% - 강조색1 3 3 3" xfId="0"/>
    <cellStyle name="40% - 강조색1 3 4" xfId="0"/>
    <cellStyle name="40% - 강조색1 3 4 2" xfId="0"/>
    <cellStyle name="40% - 강조색1 3 4 3" xfId="0"/>
    <cellStyle name="40% - 강조색1 3 5" xfId="0"/>
    <cellStyle name="40% - 강조색1 3 5 2" xfId="0"/>
    <cellStyle name="40% - 강조색1 3 5 3" xfId="0"/>
    <cellStyle name="40% - 강조색1 3 6" xfId="0"/>
    <cellStyle name="40% - 강조색1 3 6 2" xfId="0"/>
    <cellStyle name="40% - 강조색1 3 6 3" xfId="0"/>
    <cellStyle name="40% - 강조색1 3 7" xfId="0"/>
    <cellStyle name="40% - 강조색1 3 7 2" xfId="0"/>
    <cellStyle name="40% - 강조색1 3 7 3" xfId="0"/>
    <cellStyle name="40% - 강조색1 3 8" xfId="0"/>
    <cellStyle name="40% - 강조색1 3 8 2" xfId="0"/>
    <cellStyle name="40% - 강조색1 3 8 3" xfId="0"/>
    <cellStyle name="40% - 강조색1 3 9" xfId="0"/>
    <cellStyle name="40% - 강조색1 3 9 2" xfId="0"/>
    <cellStyle name="40% - 강조색1 3 9 3" xfId="0"/>
    <cellStyle name="40% - 강조색1 30 2" xfId="0"/>
    <cellStyle name="40% - 강조색1 30 3" xfId="0"/>
    <cellStyle name="40% - 강조색1 30 4" xfId="0"/>
    <cellStyle name="40% - 강조색1 30 5" xfId="0"/>
    <cellStyle name="40% - 강조색1 30 6" xfId="0"/>
    <cellStyle name="40% - 강조색1 30 7" xfId="0"/>
    <cellStyle name="40% - 강조색1 30 8" xfId="0"/>
    <cellStyle name="40% - 강조색1 30 9" xfId="0"/>
    <cellStyle name="40% - 강조색1 31 2" xfId="0"/>
    <cellStyle name="40% - 강조색1 31 3" xfId="0"/>
    <cellStyle name="40% - 강조색1 31 4" xfId="0"/>
    <cellStyle name="40% - 강조색1 31 5" xfId="0"/>
    <cellStyle name="40% - 강조색1 31 6" xfId="0"/>
    <cellStyle name="40% - 강조색1 31 7" xfId="0"/>
    <cellStyle name="40% - 강조색1 31 8" xfId="0"/>
    <cellStyle name="40% - 강조색1 31 9" xfId="0"/>
    <cellStyle name="40% - 강조색1 32 2" xfId="0"/>
    <cellStyle name="40% - 강조색1 32 3" xfId="0"/>
    <cellStyle name="40% - 강조색1 32 4" xfId="0"/>
    <cellStyle name="40% - 강조색1 32 5" xfId="0"/>
    <cellStyle name="40% - 강조색1 32 6" xfId="0"/>
    <cellStyle name="40% - 강조색1 32 7" xfId="0"/>
    <cellStyle name="40% - 강조색1 32 8" xfId="0"/>
    <cellStyle name="40% - 강조색1 32 9" xfId="0"/>
    <cellStyle name="40% - 강조색1 33 2" xfId="0"/>
    <cellStyle name="40% - 강조색1 33 3" xfId="0"/>
    <cellStyle name="40% - 강조색1 33 4" xfId="0"/>
    <cellStyle name="40% - 강조색1 33 5" xfId="0"/>
    <cellStyle name="40% - 강조색1 33 6" xfId="0"/>
    <cellStyle name="40% - 강조색1 33 7" xfId="0"/>
    <cellStyle name="40% - 강조색1 33 8" xfId="0"/>
    <cellStyle name="40% - 강조색1 33 9" xfId="0"/>
    <cellStyle name="40% - 강조색1 34 2" xfId="0"/>
    <cellStyle name="40% - 강조색1 34 3" xfId="0"/>
    <cellStyle name="40% - 강조색1 34 4" xfId="0"/>
    <cellStyle name="40% - 강조색1 34 5" xfId="0"/>
    <cellStyle name="40% - 강조색1 34 6" xfId="0"/>
    <cellStyle name="40% - 강조색1 34 7" xfId="0"/>
    <cellStyle name="40% - 강조색1 34 8" xfId="0"/>
    <cellStyle name="40% - 강조색1 34 9" xfId="0"/>
    <cellStyle name="40% - 강조색1 35 2" xfId="0"/>
    <cellStyle name="40% - 강조색1 35 3" xfId="0"/>
    <cellStyle name="40% - 강조색1 35 4" xfId="0"/>
    <cellStyle name="40% - 강조색1 35 5" xfId="0"/>
    <cellStyle name="40% - 강조색1 35 6" xfId="0"/>
    <cellStyle name="40% - 강조색1 35 7" xfId="0"/>
    <cellStyle name="40% - 강조색1 35 8" xfId="0"/>
    <cellStyle name="40% - 강조색1 35 9" xfId="0"/>
    <cellStyle name="40% - 강조색1 3_운용자산별 손익분석" xfId="0"/>
    <cellStyle name="40% - 강조색1 4" xfId="0"/>
    <cellStyle name="40% - 강조색1 4 10" xfId="0"/>
    <cellStyle name="40% - 강조색1 4 11" xfId="0"/>
    <cellStyle name="40% - 강조색1 4 12" xfId="0"/>
    <cellStyle name="40% - 강조색1 4 13" xfId="0"/>
    <cellStyle name="40% - 강조색1 4 14" xfId="0"/>
    <cellStyle name="40% - 강조색1 4 15" xfId="0"/>
    <cellStyle name="40% - 강조색1 4 16" xfId="0"/>
    <cellStyle name="40% - 강조색1 4 17" xfId="0"/>
    <cellStyle name="40% - 강조색1 4 18" xfId="0"/>
    <cellStyle name="40% - 강조색1 4 19" xfId="0"/>
    <cellStyle name="40% - 강조색1 4 2" xfId="0"/>
    <cellStyle name="40% - 강조색1 4 20" xfId="0"/>
    <cellStyle name="40% - 강조색1 4 21" xfId="0"/>
    <cellStyle name="40% - 강조색1 4 22" xfId="0"/>
    <cellStyle name="40% - 강조색1 4 23" xfId="0"/>
    <cellStyle name="40% - 강조색1 4 24" xfId="0"/>
    <cellStyle name="40% - 강조색1 4 3" xfId="0"/>
    <cellStyle name="40% - 강조색1 4 4" xfId="0"/>
    <cellStyle name="40% - 강조색1 4 5" xfId="0"/>
    <cellStyle name="40% - 강조색1 4 6" xfId="0"/>
    <cellStyle name="40% - 강조색1 4 7" xfId="0"/>
    <cellStyle name="40% - 강조색1 4 8" xfId="0"/>
    <cellStyle name="40% - 강조색1 4 9" xfId="0"/>
    <cellStyle name="40% - 강조색1 4_운용자산별 손익분석" xfId="0"/>
    <cellStyle name="40% - 강조색1 5" xfId="0"/>
    <cellStyle name="40% - 강조색1 5 10" xfId="0"/>
    <cellStyle name="40% - 강조색1 5 11" xfId="0"/>
    <cellStyle name="40% - 강조색1 5 12" xfId="0"/>
    <cellStyle name="40% - 강조색1 5 13" xfId="0"/>
    <cellStyle name="40% - 강조색1 5 14" xfId="0"/>
    <cellStyle name="40% - 강조색1 5 15" xfId="0"/>
    <cellStyle name="40% - 강조색1 5 16" xfId="0"/>
    <cellStyle name="40% - 강조색1 5 17" xfId="0"/>
    <cellStyle name="40% - 강조색1 5 18" xfId="0"/>
    <cellStyle name="40% - 강조색1 5 19" xfId="0"/>
    <cellStyle name="40% - 강조색1 5 2" xfId="0"/>
    <cellStyle name="40% - 강조색1 5 20" xfId="0"/>
    <cellStyle name="40% - 강조색1 5 21" xfId="0"/>
    <cellStyle name="40% - 강조색1 5 22" xfId="0"/>
    <cellStyle name="40% - 강조색1 5 23" xfId="0"/>
    <cellStyle name="40% - 강조색1 5 24" xfId="0"/>
    <cellStyle name="40% - 강조색1 5 25" xfId="0"/>
    <cellStyle name="40% - 강조색1 5 26" xfId="0"/>
    <cellStyle name="40% - 강조색1 5 27" xfId="0"/>
    <cellStyle name="40% - 강조색1 5 28" xfId="0"/>
    <cellStyle name="40% - 강조색1 5 29" xfId="0"/>
    <cellStyle name="40% - 강조색1 5 3" xfId="0"/>
    <cellStyle name="40% - 강조색1 5 30" xfId="0"/>
    <cellStyle name="40% - 강조색1 5 31" xfId="0"/>
    <cellStyle name="40% - 강조색1 5 32" xfId="0"/>
    <cellStyle name="40% - 강조색1 5 33" xfId="0"/>
    <cellStyle name="40% - 강조색1 5 34" xfId="0"/>
    <cellStyle name="40% - 강조색1 5 4" xfId="0"/>
    <cellStyle name="40% - 강조색1 5 5" xfId="0"/>
    <cellStyle name="40% - 강조색1 5 6" xfId="0"/>
    <cellStyle name="40% - 강조색1 5 7" xfId="0"/>
    <cellStyle name="40% - 강조색1 5 8" xfId="0"/>
    <cellStyle name="40% - 강조색1 5 9" xfId="0"/>
    <cellStyle name="40% - 강조색1 6" xfId="0"/>
    <cellStyle name="40% - 강조색1 6 10" xfId="0"/>
    <cellStyle name="40% - 강조색1 6 11" xfId="0"/>
    <cellStyle name="40% - 강조색1 6 12" xfId="0"/>
    <cellStyle name="40% - 강조색1 6 13" xfId="0"/>
    <cellStyle name="40% - 강조색1 6 14" xfId="0"/>
    <cellStyle name="40% - 강조색1 6 15" xfId="0"/>
    <cellStyle name="40% - 강조색1 6 16" xfId="0"/>
    <cellStyle name="40% - 강조색1 6 17" xfId="0"/>
    <cellStyle name="40% - 강조색1 6 18" xfId="0"/>
    <cellStyle name="40% - 강조색1 6 19" xfId="0"/>
    <cellStyle name="40% - 강조색1 6 2" xfId="0"/>
    <cellStyle name="40% - 강조색1 6 20" xfId="0"/>
    <cellStyle name="40% - 강조색1 6 21" xfId="0"/>
    <cellStyle name="40% - 강조색1 6 22" xfId="0"/>
    <cellStyle name="40% - 강조색1 6 23" xfId="0"/>
    <cellStyle name="40% - 강조색1 6 24" xfId="0"/>
    <cellStyle name="40% - 강조색1 6 25" xfId="0"/>
    <cellStyle name="40% - 강조색1 6 26" xfId="0"/>
    <cellStyle name="40% - 강조색1 6 27" xfId="0"/>
    <cellStyle name="40% - 강조색1 6 28" xfId="0"/>
    <cellStyle name="40% - 강조색1 6 29" xfId="0"/>
    <cellStyle name="40% - 강조색1 6 3" xfId="0"/>
    <cellStyle name="40% - 강조색1 6 30" xfId="0"/>
    <cellStyle name="40% - 강조색1 6 4" xfId="0"/>
    <cellStyle name="40% - 강조색1 6 5" xfId="0"/>
    <cellStyle name="40% - 강조색1 6 6" xfId="0"/>
    <cellStyle name="40% - 강조색1 6 7" xfId="0"/>
    <cellStyle name="40% - 강조색1 6 8" xfId="0"/>
    <cellStyle name="40% - 강조색1 6 9" xfId="0"/>
    <cellStyle name="40% - 강조색1 7" xfId="0"/>
    <cellStyle name="40% - 강조색1 7 10" xfId="0"/>
    <cellStyle name="40% - 강조색1 7 11" xfId="0"/>
    <cellStyle name="40% - 강조색1 7 12" xfId="0"/>
    <cellStyle name="40% - 강조색1 7 13" xfId="0"/>
    <cellStyle name="40% - 강조색1 7 14" xfId="0"/>
    <cellStyle name="40% - 강조색1 7 15" xfId="0"/>
    <cellStyle name="40% - 강조색1 7 16" xfId="0"/>
    <cellStyle name="40% - 강조색1 7 17" xfId="0"/>
    <cellStyle name="40% - 강조색1 7 18" xfId="0"/>
    <cellStyle name="40% - 강조색1 7 19" xfId="0"/>
    <cellStyle name="40% - 강조색1 7 2" xfId="0"/>
    <cellStyle name="40% - 강조색1 7 2 2" xfId="0"/>
    <cellStyle name="40% - 강조색1 7 2 3" xfId="0"/>
    <cellStyle name="40% - 강조색1 7 20" xfId="0"/>
    <cellStyle name="40% - 강조색1 7 21" xfId="0"/>
    <cellStyle name="40% - 강조색1 7 22" xfId="0"/>
    <cellStyle name="40% - 강조색1 7 23" xfId="0"/>
    <cellStyle name="40% - 강조색1 7 24" xfId="0"/>
    <cellStyle name="40% - 강조색1 7 3" xfId="0"/>
    <cellStyle name="40% - 강조색1 7 3 2" xfId="0"/>
    <cellStyle name="40% - 강조색1 7 3 3" xfId="0"/>
    <cellStyle name="40% - 강조색1 7 4" xfId="0"/>
    <cellStyle name="40% - 강조색1 7 4 2" xfId="0"/>
    <cellStyle name="40% - 강조색1 7 4 3" xfId="0"/>
    <cellStyle name="40% - 강조색1 7 5" xfId="0"/>
    <cellStyle name="40% - 강조색1 7 5 2" xfId="0"/>
    <cellStyle name="40% - 강조색1 7 5 3" xfId="0"/>
    <cellStyle name="40% - 강조색1 7 6" xfId="0"/>
    <cellStyle name="40% - 강조색1 7 6 2" xfId="0"/>
    <cellStyle name="40% - 강조색1 7 6 3" xfId="0"/>
    <cellStyle name="40% - 강조색1 7 7" xfId="0"/>
    <cellStyle name="40% - 강조색1 7 8" xfId="0"/>
    <cellStyle name="40% - 강조색1 7 9" xfId="0"/>
    <cellStyle name="40% - 강조색1 8" xfId="0"/>
    <cellStyle name="40% - 강조색1 8 10" xfId="0"/>
    <cellStyle name="40% - 강조색1 8 11" xfId="0"/>
    <cellStyle name="40% - 강조색1 8 12" xfId="0"/>
    <cellStyle name="40% - 강조색1 8 13" xfId="0"/>
    <cellStyle name="40% - 강조색1 8 14" xfId="0"/>
    <cellStyle name="40% - 강조색1 8 15" xfId="0"/>
    <cellStyle name="40% - 강조색1 8 16" xfId="0"/>
    <cellStyle name="40% - 강조색1 8 17" xfId="0"/>
    <cellStyle name="40% - 강조색1 8 18" xfId="0"/>
    <cellStyle name="40% - 강조색1 8 19" xfId="0"/>
    <cellStyle name="40% - 강조색1 8 2" xfId="0"/>
    <cellStyle name="40% - 강조색1 8 2 2" xfId="0"/>
    <cellStyle name="40% - 강조색1 8 2 3" xfId="0"/>
    <cellStyle name="40% - 강조색1 8 20" xfId="0"/>
    <cellStyle name="40% - 강조색1 8 21" xfId="0"/>
    <cellStyle name="40% - 강조색1 8 22" xfId="0"/>
    <cellStyle name="40% - 강조색1 8 23" xfId="0"/>
    <cellStyle name="40% - 강조색1 8 24" xfId="0"/>
    <cellStyle name="40% - 강조색1 8 3" xfId="0"/>
    <cellStyle name="40% - 강조색1 8 3 2" xfId="0"/>
    <cellStyle name="40% - 강조색1 8 3 3" xfId="0"/>
    <cellStyle name="40% - 강조색1 8 4" xfId="0"/>
    <cellStyle name="40% - 강조색1 8 4 2" xfId="0"/>
    <cellStyle name="40% - 강조색1 8 4 3" xfId="0"/>
    <cellStyle name="40% - 강조색1 8 5" xfId="0"/>
    <cellStyle name="40% - 강조색1 8 5 2" xfId="0"/>
    <cellStyle name="40% - 강조색1 8 5 3" xfId="0"/>
    <cellStyle name="40% - 강조색1 8 6" xfId="0"/>
    <cellStyle name="40% - 강조색1 8 6 2" xfId="0"/>
    <cellStyle name="40% - 강조색1 8 6 3" xfId="0"/>
    <cellStyle name="40% - 강조색1 8 7" xfId="0"/>
    <cellStyle name="40% - 강조색1 8 8" xfId="0"/>
    <cellStyle name="40% - 강조색1 8 9" xfId="0"/>
    <cellStyle name="40% - 강조색1 9" xfId="0"/>
    <cellStyle name="40% - 강조색1 9 10" xfId="0"/>
    <cellStyle name="40% - 강조색1 9 11" xfId="0"/>
    <cellStyle name="40% - 강조색1 9 12" xfId="0"/>
    <cellStyle name="40% - 강조색1 9 13" xfId="0"/>
    <cellStyle name="40% - 강조색1 9 14" xfId="0"/>
    <cellStyle name="40% - 강조색1 9 15" xfId="0"/>
    <cellStyle name="40% - 강조색1 9 16" xfId="0"/>
    <cellStyle name="40% - 강조색1 9 17" xfId="0"/>
    <cellStyle name="40% - 강조색1 9 18" xfId="0"/>
    <cellStyle name="40% - 강조색1 9 19" xfId="0"/>
    <cellStyle name="40% - 강조색1 9 2" xfId="0"/>
    <cellStyle name="40% - 강조색1 9 2 2" xfId="0"/>
    <cellStyle name="40% - 강조색1 9 2 3" xfId="0"/>
    <cellStyle name="40% - 강조색1 9 20" xfId="0"/>
    <cellStyle name="40% - 강조색1 9 21" xfId="0"/>
    <cellStyle name="40% - 강조색1 9 22" xfId="0"/>
    <cellStyle name="40% - 강조색1 9 23" xfId="0"/>
    <cellStyle name="40% - 강조색1 9 24" xfId="0"/>
    <cellStyle name="40% - 강조색1 9 3" xfId="0"/>
    <cellStyle name="40% - 강조색1 9 3 2" xfId="0"/>
    <cellStyle name="40% - 강조색1 9 3 3" xfId="0"/>
    <cellStyle name="40% - 강조색1 9 4" xfId="0"/>
    <cellStyle name="40% - 강조색1 9 4 2" xfId="0"/>
    <cellStyle name="40% - 강조색1 9 4 3" xfId="0"/>
    <cellStyle name="40% - 강조색1 9 5" xfId="0"/>
    <cellStyle name="40% - 강조색1 9 5 2" xfId="0"/>
    <cellStyle name="40% - 강조색1 9 5 3" xfId="0"/>
    <cellStyle name="40% - 강조색1 9 6" xfId="0"/>
    <cellStyle name="40% - 강조색1 9 6 2" xfId="0"/>
    <cellStyle name="40% - 강조색1 9 6 3" xfId="0"/>
    <cellStyle name="40% - 강조색1 9 7" xfId="0"/>
    <cellStyle name="40% - 강조색1 9 8" xfId="0"/>
    <cellStyle name="40% - 강조색1 9 9" xfId="0"/>
    <cellStyle name="40% - 강조색2 10" xfId="0"/>
    <cellStyle name="40% - 강조색2 10 10" xfId="0"/>
    <cellStyle name="40% - 강조색2 10 11" xfId="0"/>
    <cellStyle name="40% - 강조색2 10 12" xfId="0"/>
    <cellStyle name="40% - 강조색2 10 13" xfId="0"/>
    <cellStyle name="40% - 강조색2 10 14" xfId="0"/>
    <cellStyle name="40% - 강조색2 10 15" xfId="0"/>
    <cellStyle name="40% - 강조색2 10 16" xfId="0"/>
    <cellStyle name="40% - 강조색2 10 17" xfId="0"/>
    <cellStyle name="40% - 강조색2 10 18" xfId="0"/>
    <cellStyle name="40% - 강조색2 10 19" xfId="0"/>
    <cellStyle name="40% - 강조색2 10 2" xfId="0"/>
    <cellStyle name="40% - 강조색2 10 2 2" xfId="0"/>
    <cellStyle name="40% - 강조색2 10 2 3" xfId="0"/>
    <cellStyle name="40% - 강조색2 10 20" xfId="0"/>
    <cellStyle name="40% - 강조색2 10 21" xfId="0"/>
    <cellStyle name="40% - 강조색2 10 22" xfId="0"/>
    <cellStyle name="40% - 강조색2 10 23" xfId="0"/>
    <cellStyle name="40% - 강조색2 10 24" xfId="0"/>
    <cellStyle name="40% - 강조색2 10 3" xfId="0"/>
    <cellStyle name="40% - 강조색2 10 3 2" xfId="0"/>
    <cellStyle name="40% - 강조색2 10 3 3" xfId="0"/>
    <cellStyle name="40% - 강조색2 10 4" xfId="0"/>
    <cellStyle name="40% - 강조색2 10 4 2" xfId="0"/>
    <cellStyle name="40% - 강조색2 10 4 3" xfId="0"/>
    <cellStyle name="40% - 강조색2 10 5" xfId="0"/>
    <cellStyle name="40% - 강조색2 10 5 2" xfId="0"/>
    <cellStyle name="40% - 강조색2 10 5 3" xfId="0"/>
    <cellStyle name="40% - 강조색2 10 6" xfId="0"/>
    <cellStyle name="40% - 강조색2 10 6 2" xfId="0"/>
    <cellStyle name="40% - 강조색2 10 6 3" xfId="0"/>
    <cellStyle name="40% - 강조색2 10 7" xfId="0"/>
    <cellStyle name="40% - 강조색2 10 8" xfId="0"/>
    <cellStyle name="40% - 강조색2 10 9" xfId="0"/>
    <cellStyle name="40% - 강조색2 11" xfId="0"/>
    <cellStyle name="40% - 강조색2 11 10" xfId="0"/>
    <cellStyle name="40% - 강조색2 11 2" xfId="0"/>
    <cellStyle name="40% - 강조색2 11 2 2" xfId="0"/>
    <cellStyle name="40% - 강조색2 11 2 3" xfId="0"/>
    <cellStyle name="40% - 강조색2 11 3" xfId="0"/>
    <cellStyle name="40% - 강조색2 11 3 2" xfId="0"/>
    <cellStyle name="40% - 강조색2 11 3 3" xfId="0"/>
    <cellStyle name="40% - 강조색2 11 4" xfId="0"/>
    <cellStyle name="40% - 강조색2 11 4 2" xfId="0"/>
    <cellStyle name="40% - 강조색2 11 4 3" xfId="0"/>
    <cellStyle name="40% - 강조색2 11 5" xfId="0"/>
    <cellStyle name="40% - 강조색2 11 5 2" xfId="0"/>
    <cellStyle name="40% - 강조색2 11 5 3" xfId="0"/>
    <cellStyle name="40% - 강조색2 11 6" xfId="0"/>
    <cellStyle name="40% - 강조색2 11 6 2" xfId="0"/>
    <cellStyle name="40% - 강조색2 11 6 3" xfId="0"/>
    <cellStyle name="40% - 강조색2 11 7" xfId="0"/>
    <cellStyle name="40% - 강조색2 11 8" xfId="0"/>
    <cellStyle name="40% - 강조색2 11 9" xfId="0"/>
    <cellStyle name="40% - 강조색2 12" xfId="0"/>
    <cellStyle name="40% - 강조색2 12 2" xfId="0"/>
    <cellStyle name="40% - 강조색2 12 3" xfId="0"/>
    <cellStyle name="40% - 강조색2 12 4" xfId="0"/>
    <cellStyle name="40% - 강조색2 12 5" xfId="0"/>
    <cellStyle name="40% - 강조색2 12 6" xfId="0"/>
    <cellStyle name="40% - 강조색2 12 7" xfId="0"/>
    <cellStyle name="40% - 강조색2 12 8" xfId="0"/>
    <cellStyle name="40% - 강조색2 12 9" xfId="0"/>
    <cellStyle name="40% - 강조색2 13" xfId="0"/>
    <cellStyle name="40% - 강조색2 13 2" xfId="0"/>
    <cellStyle name="40% - 강조색2 13 3" xfId="0"/>
    <cellStyle name="40% - 강조색2 13 4" xfId="0"/>
    <cellStyle name="40% - 강조색2 13 5" xfId="0"/>
    <cellStyle name="40% - 강조색2 13 6" xfId="0"/>
    <cellStyle name="40% - 강조색2 13 7" xfId="0"/>
    <cellStyle name="40% - 강조색2 13 8" xfId="0"/>
    <cellStyle name="40% - 강조색2 13 9" xfId="0"/>
    <cellStyle name="40% - 강조색2 14" xfId="0"/>
    <cellStyle name="40% - 강조색2 14 2" xfId="0"/>
    <cellStyle name="40% - 강조색2 14 3" xfId="0"/>
    <cellStyle name="40% - 강조색2 14 4" xfId="0"/>
    <cellStyle name="40% - 강조색2 14 5" xfId="0"/>
    <cellStyle name="40% - 강조색2 14 6" xfId="0"/>
    <cellStyle name="40% - 강조색2 14 7" xfId="0"/>
    <cellStyle name="40% - 강조색2 14 8" xfId="0"/>
    <cellStyle name="40% - 강조색2 14 9" xfId="0"/>
    <cellStyle name="40% - 강조색2 15" xfId="0"/>
    <cellStyle name="40% - 강조색2 15 2" xfId="0"/>
    <cellStyle name="40% - 강조색2 15 3" xfId="0"/>
    <cellStyle name="40% - 강조색2 15 4" xfId="0"/>
    <cellStyle name="40% - 강조색2 15 5" xfId="0"/>
    <cellStyle name="40% - 강조색2 15 6" xfId="0"/>
    <cellStyle name="40% - 강조색2 15 7" xfId="0"/>
    <cellStyle name="40% - 강조색2 15 8" xfId="0"/>
    <cellStyle name="40% - 강조색2 15 9" xfId="0"/>
    <cellStyle name="40% - 강조색2 16" xfId="0"/>
    <cellStyle name="40% - 강조색2 16 2" xfId="0"/>
    <cellStyle name="40% - 강조색2 16 3" xfId="0"/>
    <cellStyle name="40% - 강조색2 16 4" xfId="0"/>
    <cellStyle name="40% - 강조색2 16 5" xfId="0"/>
    <cellStyle name="40% - 강조색2 16 6" xfId="0"/>
    <cellStyle name="40% - 강조색2 16 7" xfId="0"/>
    <cellStyle name="40% - 강조색2 16 8" xfId="0"/>
    <cellStyle name="40% - 강조색2 16 9" xfId="0"/>
    <cellStyle name="40% - 강조색2 17" xfId="0"/>
    <cellStyle name="40% - 강조색2 17 2" xfId="0"/>
    <cellStyle name="40% - 강조색2 17 3" xfId="0"/>
    <cellStyle name="40% - 강조색2 17 4" xfId="0"/>
    <cellStyle name="40% - 강조색2 17 5" xfId="0"/>
    <cellStyle name="40% - 강조색2 17 6" xfId="0"/>
    <cellStyle name="40% - 강조색2 17 7" xfId="0"/>
    <cellStyle name="40% - 강조색2 17 8" xfId="0"/>
    <cellStyle name="40% - 강조색2 17 9" xfId="0"/>
    <cellStyle name="40% - 강조색2 18" xfId="0"/>
    <cellStyle name="40% - 강조색2 18 2" xfId="0"/>
    <cellStyle name="40% - 강조색2 18 3" xfId="0"/>
    <cellStyle name="40% - 강조색2 18 4" xfId="0"/>
    <cellStyle name="40% - 강조색2 18 5" xfId="0"/>
    <cellStyle name="40% - 강조색2 18 6" xfId="0"/>
    <cellStyle name="40% - 강조색2 18 7" xfId="0"/>
    <cellStyle name="40% - 강조색2 18 8" xfId="0"/>
    <cellStyle name="40% - 강조색2 18 9" xfId="0"/>
    <cellStyle name="40% - 강조색2 19" xfId="0"/>
    <cellStyle name="40% - 강조색2 19 2" xfId="0"/>
    <cellStyle name="40% - 강조색2 19 3" xfId="0"/>
    <cellStyle name="40% - 강조색2 19 4" xfId="0"/>
    <cellStyle name="40% - 강조색2 19 5" xfId="0"/>
    <cellStyle name="40% - 강조색2 19 6" xfId="0"/>
    <cellStyle name="40% - 강조색2 19 7" xfId="0"/>
    <cellStyle name="40% - 강조색2 19 8" xfId="0"/>
    <cellStyle name="40% - 강조색2 19 9" xfId="0"/>
    <cellStyle name="40% - 강조색2 2" xfId="0"/>
    <cellStyle name="40% - 강조색2 2 10" xfId="0"/>
    <cellStyle name="40% - 강조색2 2 10 2" xfId="0"/>
    <cellStyle name="40% - 강조색2 2 11" xfId="0"/>
    <cellStyle name="40% - 강조색2 2 11 2" xfId="0"/>
    <cellStyle name="40% - 강조색2 2 12" xfId="0"/>
    <cellStyle name="40% - 강조색2 2 12 2" xfId="0"/>
    <cellStyle name="40% - 강조색2 2 13" xfId="0"/>
    <cellStyle name="40% - 강조색2 2 14" xfId="0"/>
    <cellStyle name="40% - 강조색2 2 15" xfId="0"/>
    <cellStyle name="40% - 강조색2 2 16" xfId="0"/>
    <cellStyle name="40% - 강조색2 2 17" xfId="0"/>
    <cellStyle name="40% - 강조색2 2 18" xfId="0"/>
    <cellStyle name="40% - 강조색2 2 19" xfId="0"/>
    <cellStyle name="40% - 강조색2 2 2" xfId="0"/>
    <cellStyle name="40% - 강조색2 2 2 10" xfId="0"/>
    <cellStyle name="40% - 강조색2 2 2 11" xfId="0"/>
    <cellStyle name="40% - 강조색2 2 2 12" xfId="0"/>
    <cellStyle name="40% - 강조색2 2 2 13" xfId="0"/>
    <cellStyle name="40% - 강조색2 2 2 14" xfId="0"/>
    <cellStyle name="40% - 강조색2 2 2 15" xfId="0"/>
    <cellStyle name="40% - 강조색2 2 2 16" xfId="0"/>
    <cellStyle name="40% - 강조색2 2 2 17" xfId="0"/>
    <cellStyle name="40% - 강조색2 2 2 18" xfId="0"/>
    <cellStyle name="40% - 강조색2 2 2 19" xfId="0"/>
    <cellStyle name="40% - 강조색2 2 2 2" xfId="0"/>
    <cellStyle name="40% - 강조색2 2 2 2 2" xfId="0"/>
    <cellStyle name="40% - 강조색2 2 2 2 2 2" xfId="0"/>
    <cellStyle name="40% - 강조색2 2 2 2 2 3" xfId="0"/>
    <cellStyle name="40% - 강조색2 2 2 2 2 4" xfId="0"/>
    <cellStyle name="40% - 강조색2 2 2 2 2 5" xfId="0"/>
    <cellStyle name="40% - 강조색2 2 2 2 2 6" xfId="0"/>
    <cellStyle name="40% - 강조색2 2 2 2 2 7" xfId="0"/>
    <cellStyle name="40% - 강조색2 2 2 2 2 8" xfId="0"/>
    <cellStyle name="40% - 강조색2 2 2 2 2 9" xfId="0"/>
    <cellStyle name="40% - 강조색2 2 2 2 3" xfId="0"/>
    <cellStyle name="40% - 강조색2 2 2 2 4" xfId="0"/>
    <cellStyle name="40% - 강조색2 2 2 2 5" xfId="0"/>
    <cellStyle name="40% - 강조색2 2 2 2 6" xfId="0"/>
    <cellStyle name="40% - 강조색2 2 2 2 7" xfId="0"/>
    <cellStyle name="40% - 강조색2 2 2 2 8" xfId="0"/>
    <cellStyle name="40% - 강조색2 2 2 2 9" xfId="0"/>
    <cellStyle name="40% - 강조색2 2 2 20" xfId="0"/>
    <cellStyle name="40% - 강조색2 2 2 21" xfId="0"/>
    <cellStyle name="40% - 강조색2 2 2 22" xfId="0"/>
    <cellStyle name="40% - 강조색2 2 2 23" xfId="0"/>
    <cellStyle name="40% - 강조색2 2 2 3" xfId="0"/>
    <cellStyle name="40% - 강조색2 2 2 4" xfId="0"/>
    <cellStyle name="40% - 강조색2 2 2 5" xfId="0"/>
    <cellStyle name="40% - 강조색2 2 2 6" xfId="0"/>
    <cellStyle name="40% - 강조색2 2 2 7" xfId="0"/>
    <cellStyle name="40% - 강조색2 2 2 8" xfId="0"/>
    <cellStyle name="40% - 강조색2 2 2 9" xfId="0"/>
    <cellStyle name="40% - 강조색2 2 20" xfId="0"/>
    <cellStyle name="40% - 강조색2 2 21" xfId="0"/>
    <cellStyle name="40% - 강조색2 2 22" xfId="0"/>
    <cellStyle name="40% - 강조색2 2 23" xfId="0"/>
    <cellStyle name="40% - 강조색2 2 3" xfId="0"/>
    <cellStyle name="40% - 강조색2 2 3 10" xfId="0"/>
    <cellStyle name="40% - 강조색2 2 3 2" xfId="0"/>
    <cellStyle name="40% - 강조색2 2 3 3" xfId="0"/>
    <cellStyle name="40% - 강조색2 2 3 4" xfId="0"/>
    <cellStyle name="40% - 강조색2 2 3 5" xfId="0"/>
    <cellStyle name="40% - 강조색2 2 3 6" xfId="0"/>
    <cellStyle name="40% - 강조색2 2 3 7" xfId="0"/>
    <cellStyle name="40% - 강조색2 2 3 8" xfId="0"/>
    <cellStyle name="40% - 강조색2 2 3 9" xfId="0"/>
    <cellStyle name="40% - 강조색2 2 4" xfId="0"/>
    <cellStyle name="40% - 강조색2 2 4 10" xfId="0"/>
    <cellStyle name="40% - 강조색2 2 4 2" xfId="0"/>
    <cellStyle name="40% - 강조색2 2 4 3" xfId="0"/>
    <cellStyle name="40% - 강조색2 2 4 4" xfId="0"/>
    <cellStyle name="40% - 강조색2 2 4 5" xfId="0"/>
    <cellStyle name="40% - 강조색2 2 4 6" xfId="0"/>
    <cellStyle name="40% - 강조색2 2 4 7" xfId="0"/>
    <cellStyle name="40% - 강조색2 2 4 8" xfId="0"/>
    <cellStyle name="40% - 강조색2 2 4 9" xfId="0"/>
    <cellStyle name="40% - 강조색2 2 5" xfId="0"/>
    <cellStyle name="40% - 강조색2 2 5 10" xfId="0"/>
    <cellStyle name="40% - 강조색2 2 5 2" xfId="0"/>
    <cellStyle name="40% - 강조색2 2 5 3" xfId="0"/>
    <cellStyle name="40% - 강조색2 2 5 4" xfId="0"/>
    <cellStyle name="40% - 강조색2 2 5 5" xfId="0"/>
    <cellStyle name="40% - 강조색2 2 5 6" xfId="0"/>
    <cellStyle name="40% - 강조색2 2 5 7" xfId="0"/>
    <cellStyle name="40% - 강조색2 2 5 8" xfId="0"/>
    <cellStyle name="40% - 강조색2 2 5 9" xfId="0"/>
    <cellStyle name="40% - 강조색2 2 6" xfId="0"/>
    <cellStyle name="40% - 강조색2 2 6 10" xfId="0"/>
    <cellStyle name="40% - 강조색2 2 6 2" xfId="0"/>
    <cellStyle name="40% - 강조색2 2 6 3" xfId="0"/>
    <cellStyle name="40% - 강조색2 2 6 4" xfId="0"/>
    <cellStyle name="40% - 강조색2 2 6 5" xfId="0"/>
    <cellStyle name="40% - 강조색2 2 6 6" xfId="0"/>
    <cellStyle name="40% - 강조색2 2 6 7" xfId="0"/>
    <cellStyle name="40% - 강조색2 2 6 8" xfId="0"/>
    <cellStyle name="40% - 강조색2 2 6 9" xfId="0"/>
    <cellStyle name="40% - 강조색2 2 7" xfId="0"/>
    <cellStyle name="40% - 강조색2 2 7 10" xfId="0"/>
    <cellStyle name="40% - 강조색2 2 7 2" xfId="0"/>
    <cellStyle name="40% - 강조색2 2 7 3" xfId="0"/>
    <cellStyle name="40% - 강조색2 2 7 4" xfId="0"/>
    <cellStyle name="40% - 강조색2 2 7 5" xfId="0"/>
    <cellStyle name="40% - 강조색2 2 7 6" xfId="0"/>
    <cellStyle name="40% - 강조색2 2 7 7" xfId="0"/>
    <cellStyle name="40% - 강조색2 2 7 8" xfId="0"/>
    <cellStyle name="40% - 강조색2 2 7 9" xfId="0"/>
    <cellStyle name="40% - 강조색2 2 8" xfId="0"/>
    <cellStyle name="40% - 강조색2 2 8 2" xfId="0"/>
    <cellStyle name="40% - 강조색2 2 9" xfId="0"/>
    <cellStyle name="40% - 강조색2 2 9 2" xfId="0"/>
    <cellStyle name="40% - 강조색2 20" xfId="0"/>
    <cellStyle name="40% - 강조색2 20 2" xfId="0"/>
    <cellStyle name="40% - 강조색2 20 3" xfId="0"/>
    <cellStyle name="40% - 강조색2 20 4" xfId="0"/>
    <cellStyle name="40% - 강조색2 20 5" xfId="0"/>
    <cellStyle name="40% - 강조색2 20 6" xfId="0"/>
    <cellStyle name="40% - 강조색2 20 7" xfId="0"/>
    <cellStyle name="40% - 강조색2 20 8" xfId="0"/>
    <cellStyle name="40% - 강조색2 20 9" xfId="0"/>
    <cellStyle name="40% - 강조색2 21" xfId="0"/>
    <cellStyle name="40% - 강조색2 21 2" xfId="0"/>
    <cellStyle name="40% - 강조색2 21 3" xfId="0"/>
    <cellStyle name="40% - 강조색2 21 4" xfId="0"/>
    <cellStyle name="40% - 강조색2 21 5" xfId="0"/>
    <cellStyle name="40% - 강조색2 21 6" xfId="0"/>
    <cellStyle name="40% - 강조색2 21 7" xfId="0"/>
    <cellStyle name="40% - 강조색2 21 8" xfId="0"/>
    <cellStyle name="40% - 강조색2 21 9" xfId="0"/>
    <cellStyle name="40% - 강조색2 22" xfId="0"/>
    <cellStyle name="40% - 강조색2 22 2" xfId="0"/>
    <cellStyle name="40% - 강조색2 22 3" xfId="0"/>
    <cellStyle name="40% - 강조색2 22 4" xfId="0"/>
    <cellStyle name="40% - 강조색2 22 5" xfId="0"/>
    <cellStyle name="40% - 강조색2 22 6" xfId="0"/>
    <cellStyle name="40% - 강조색2 22 7" xfId="0"/>
    <cellStyle name="40% - 강조색2 22 8" xfId="0"/>
    <cellStyle name="40% - 강조색2 22 9" xfId="0"/>
    <cellStyle name="40% - 강조색2 23" xfId="0"/>
    <cellStyle name="40% - 강조색2 23 2" xfId="0"/>
    <cellStyle name="40% - 강조색2 23 3" xfId="0"/>
    <cellStyle name="40% - 강조색2 23 4" xfId="0"/>
    <cellStyle name="40% - 강조색2 23 5" xfId="0"/>
    <cellStyle name="40% - 강조색2 23 6" xfId="0"/>
    <cellStyle name="40% - 강조색2 23 7" xfId="0"/>
    <cellStyle name="40% - 강조색2 23 8" xfId="0"/>
    <cellStyle name="40% - 강조색2 23 9" xfId="0"/>
    <cellStyle name="40% - 강조색2 24" xfId="0"/>
    <cellStyle name="40% - 강조색2 24 2" xfId="0"/>
    <cellStyle name="40% - 강조색2 24 3" xfId="0"/>
    <cellStyle name="40% - 강조색2 24 4" xfId="0"/>
    <cellStyle name="40% - 강조색2 24 5" xfId="0"/>
    <cellStyle name="40% - 강조색2 24 6" xfId="0"/>
    <cellStyle name="40% - 강조색2 24 7" xfId="0"/>
    <cellStyle name="40% - 강조색2 24 8" xfId="0"/>
    <cellStyle name="40% - 강조색2 24 9" xfId="0"/>
    <cellStyle name="40% - 강조색2 25" xfId="0"/>
    <cellStyle name="40% - 강조색2 25 2" xfId="0"/>
    <cellStyle name="40% - 강조색2 25 3" xfId="0"/>
    <cellStyle name="40% - 강조색2 25 4" xfId="0"/>
    <cellStyle name="40% - 강조색2 25 5" xfId="0"/>
    <cellStyle name="40% - 강조색2 25 6" xfId="0"/>
    <cellStyle name="40% - 강조색2 25 7" xfId="0"/>
    <cellStyle name="40% - 강조색2 25 8" xfId="0"/>
    <cellStyle name="40% - 강조색2 25 9" xfId="0"/>
    <cellStyle name="40% - 강조색2 26" xfId="0"/>
    <cellStyle name="40% - 강조색2 26 2" xfId="0"/>
    <cellStyle name="40% - 강조색2 26 3" xfId="0"/>
    <cellStyle name="40% - 강조색2 26 4" xfId="0"/>
    <cellStyle name="40% - 강조색2 26 5" xfId="0"/>
    <cellStyle name="40% - 강조색2 26 6" xfId="0"/>
    <cellStyle name="40% - 강조색2 26 7" xfId="0"/>
    <cellStyle name="40% - 강조색2 26 8" xfId="0"/>
    <cellStyle name="40% - 강조색2 26 9" xfId="0"/>
    <cellStyle name="40% - 강조색2 27" xfId="0"/>
    <cellStyle name="40% - 강조색2 27 2" xfId="0"/>
    <cellStyle name="40% - 강조색2 27 3" xfId="0"/>
    <cellStyle name="40% - 강조색2 27 4" xfId="0"/>
    <cellStyle name="40% - 강조색2 27 5" xfId="0"/>
    <cellStyle name="40% - 강조색2 27 6" xfId="0"/>
    <cellStyle name="40% - 강조색2 27 7" xfId="0"/>
    <cellStyle name="40% - 강조색2 27 8" xfId="0"/>
    <cellStyle name="40% - 강조색2 27 9" xfId="0"/>
    <cellStyle name="40% - 강조색2 28 2" xfId="0"/>
    <cellStyle name="40% - 강조색2 28 3" xfId="0"/>
    <cellStyle name="40% - 강조색2 28 4" xfId="0"/>
    <cellStyle name="40% - 강조색2 28 5" xfId="0"/>
    <cellStyle name="40% - 강조색2 28 6" xfId="0"/>
    <cellStyle name="40% - 강조색2 28 7" xfId="0"/>
    <cellStyle name="40% - 강조색2 28 8" xfId="0"/>
    <cellStyle name="40% - 강조색2 28 9" xfId="0"/>
    <cellStyle name="40% - 강조색2 29 2" xfId="0"/>
    <cellStyle name="40% - 강조색2 29 3" xfId="0"/>
    <cellStyle name="40% - 강조색2 29 4" xfId="0"/>
    <cellStyle name="40% - 강조색2 29 5" xfId="0"/>
    <cellStyle name="40% - 강조색2 29 6" xfId="0"/>
    <cellStyle name="40% - 강조색2 29 7" xfId="0"/>
    <cellStyle name="40% - 강조색2 29 8" xfId="0"/>
    <cellStyle name="40% - 강조색2 29 9" xfId="0"/>
    <cellStyle name="40% - 강조색2 2_3300현금및예치금" xfId="0"/>
    <cellStyle name="40% - 강조색2 3" xfId="0"/>
    <cellStyle name="40% - 강조색2 3 10" xfId="0"/>
    <cellStyle name="40% - 강조색2 3 10 2" xfId="0"/>
    <cellStyle name="40% - 강조색2 3 10 3" xfId="0"/>
    <cellStyle name="40% - 강조색2 3 11" xfId="0"/>
    <cellStyle name="40% - 강조색2 3 11 2" xfId="0"/>
    <cellStyle name="40% - 강조색2 3 11 3" xfId="0"/>
    <cellStyle name="40% - 강조색2 3 12" xfId="0"/>
    <cellStyle name="40% - 강조색2 3 12 2" xfId="0"/>
    <cellStyle name="40% - 강조색2 3 12 3" xfId="0"/>
    <cellStyle name="40% - 강조색2 3 13" xfId="0"/>
    <cellStyle name="40% - 강조색2 3 14" xfId="0"/>
    <cellStyle name="40% - 강조색2 3 15" xfId="0"/>
    <cellStyle name="40% - 강조색2 3 16" xfId="0"/>
    <cellStyle name="40% - 강조색2 3 17" xfId="0"/>
    <cellStyle name="40% - 강조색2 3 18" xfId="0"/>
    <cellStyle name="40% - 강조색2 3 19" xfId="0"/>
    <cellStyle name="40% - 강조색2 3 19 2" xfId="0"/>
    <cellStyle name="40% - 강조색2 3 2" xfId="0"/>
    <cellStyle name="40% - 강조색2 3 2 2" xfId="0"/>
    <cellStyle name="40% - 강조색2 3 2 3" xfId="0"/>
    <cellStyle name="40% - 강조색2 3 20" xfId="0"/>
    <cellStyle name="40% - 강조색2 3 21" xfId="0"/>
    <cellStyle name="40% - 강조색2 3 22" xfId="0"/>
    <cellStyle name="40% - 강조색2 3 23" xfId="0"/>
    <cellStyle name="40% - 강조색2 3 3" xfId="0"/>
    <cellStyle name="40% - 강조색2 3 3 2" xfId="0"/>
    <cellStyle name="40% - 강조색2 3 3 3" xfId="0"/>
    <cellStyle name="40% - 강조색2 3 4" xfId="0"/>
    <cellStyle name="40% - 강조색2 3 4 2" xfId="0"/>
    <cellStyle name="40% - 강조색2 3 4 3" xfId="0"/>
    <cellStyle name="40% - 강조색2 3 5" xfId="0"/>
    <cellStyle name="40% - 강조색2 3 5 2" xfId="0"/>
    <cellStyle name="40% - 강조색2 3 5 3" xfId="0"/>
    <cellStyle name="40% - 강조색2 3 6" xfId="0"/>
    <cellStyle name="40% - 강조색2 3 6 2" xfId="0"/>
    <cellStyle name="40% - 강조색2 3 6 3" xfId="0"/>
    <cellStyle name="40% - 강조색2 3 7" xfId="0"/>
    <cellStyle name="40% - 강조색2 3 7 2" xfId="0"/>
    <cellStyle name="40% - 강조색2 3 7 3" xfId="0"/>
    <cellStyle name="40% - 강조색2 3 8" xfId="0"/>
    <cellStyle name="40% - 강조색2 3 8 2" xfId="0"/>
    <cellStyle name="40% - 강조색2 3 8 3" xfId="0"/>
    <cellStyle name="40% - 강조색2 3 9" xfId="0"/>
    <cellStyle name="40% - 강조색2 3 9 2" xfId="0"/>
    <cellStyle name="40% - 강조색2 3 9 3" xfId="0"/>
    <cellStyle name="40% - 강조색2 30 2" xfId="0"/>
    <cellStyle name="40% - 강조색2 30 3" xfId="0"/>
    <cellStyle name="40% - 강조색2 30 4" xfId="0"/>
    <cellStyle name="40% - 강조색2 30 5" xfId="0"/>
    <cellStyle name="40% - 강조색2 30 6" xfId="0"/>
    <cellStyle name="40% - 강조색2 30 7" xfId="0"/>
    <cellStyle name="40% - 강조색2 30 8" xfId="0"/>
    <cellStyle name="40% - 강조색2 30 9" xfId="0"/>
    <cellStyle name="40% - 강조색2 31 2" xfId="0"/>
    <cellStyle name="40% - 강조색2 31 3" xfId="0"/>
    <cellStyle name="40% - 강조색2 31 4" xfId="0"/>
    <cellStyle name="40% - 강조색2 31 5" xfId="0"/>
    <cellStyle name="40% - 강조색2 31 6" xfId="0"/>
    <cellStyle name="40% - 강조색2 31 7" xfId="0"/>
    <cellStyle name="40% - 강조색2 31 8" xfId="0"/>
    <cellStyle name="40% - 강조색2 31 9" xfId="0"/>
    <cellStyle name="40% - 강조색2 32 2" xfId="0"/>
    <cellStyle name="40% - 강조색2 32 3" xfId="0"/>
    <cellStyle name="40% - 강조색2 32 4" xfId="0"/>
    <cellStyle name="40% - 강조색2 32 5" xfId="0"/>
    <cellStyle name="40% - 강조색2 32 6" xfId="0"/>
    <cellStyle name="40% - 강조색2 32 7" xfId="0"/>
    <cellStyle name="40% - 강조색2 32 8" xfId="0"/>
    <cellStyle name="40% - 강조색2 32 9" xfId="0"/>
    <cellStyle name="40% - 강조색2 33 2" xfId="0"/>
    <cellStyle name="40% - 강조색2 33 3" xfId="0"/>
    <cellStyle name="40% - 강조색2 33 4" xfId="0"/>
    <cellStyle name="40% - 강조색2 33 5" xfId="0"/>
    <cellStyle name="40% - 강조색2 33 6" xfId="0"/>
    <cellStyle name="40% - 강조색2 33 7" xfId="0"/>
    <cellStyle name="40% - 강조색2 33 8" xfId="0"/>
    <cellStyle name="40% - 강조색2 33 9" xfId="0"/>
    <cellStyle name="40% - 강조색2 34 2" xfId="0"/>
    <cellStyle name="40% - 강조색2 34 3" xfId="0"/>
    <cellStyle name="40% - 강조색2 34 4" xfId="0"/>
    <cellStyle name="40% - 강조색2 34 5" xfId="0"/>
    <cellStyle name="40% - 강조색2 34 6" xfId="0"/>
    <cellStyle name="40% - 강조색2 34 7" xfId="0"/>
    <cellStyle name="40% - 강조색2 34 8" xfId="0"/>
    <cellStyle name="40% - 강조색2 34 9" xfId="0"/>
    <cellStyle name="40% - 강조색2 35 2" xfId="0"/>
    <cellStyle name="40% - 강조색2 35 3" xfId="0"/>
    <cellStyle name="40% - 강조색2 35 4" xfId="0"/>
    <cellStyle name="40% - 강조색2 35 5" xfId="0"/>
    <cellStyle name="40% - 강조색2 35 6" xfId="0"/>
    <cellStyle name="40% - 강조색2 35 7" xfId="0"/>
    <cellStyle name="40% - 강조색2 35 8" xfId="0"/>
    <cellStyle name="40% - 강조색2 35 9" xfId="0"/>
    <cellStyle name="40% - 강조색2 3_운용자산별 손익분석" xfId="0"/>
    <cellStyle name="40% - 강조색2 4" xfId="0"/>
    <cellStyle name="40% - 강조색2 4 10" xfId="0"/>
    <cellStyle name="40% - 강조색2 4 11" xfId="0"/>
    <cellStyle name="40% - 강조색2 4 12" xfId="0"/>
    <cellStyle name="40% - 강조색2 4 13" xfId="0"/>
    <cellStyle name="40% - 강조색2 4 14" xfId="0"/>
    <cellStyle name="40% - 강조색2 4 15" xfId="0"/>
    <cellStyle name="40% - 강조색2 4 16" xfId="0"/>
    <cellStyle name="40% - 강조색2 4 17" xfId="0"/>
    <cellStyle name="40% - 강조색2 4 18" xfId="0"/>
    <cellStyle name="40% - 강조색2 4 19" xfId="0"/>
    <cellStyle name="40% - 강조색2 4 2" xfId="0"/>
    <cellStyle name="40% - 강조색2 4 20" xfId="0"/>
    <cellStyle name="40% - 강조색2 4 21" xfId="0"/>
    <cellStyle name="40% - 강조색2 4 22" xfId="0"/>
    <cellStyle name="40% - 강조색2 4 23" xfId="0"/>
    <cellStyle name="40% - 강조색2 4 24" xfId="0"/>
    <cellStyle name="40% - 강조색2 4 3" xfId="0"/>
    <cellStyle name="40% - 강조색2 4 4" xfId="0"/>
    <cellStyle name="40% - 강조색2 4 5" xfId="0"/>
    <cellStyle name="40% - 강조색2 4 6" xfId="0"/>
    <cellStyle name="40% - 강조색2 4 7" xfId="0"/>
    <cellStyle name="40% - 강조색2 4 8" xfId="0"/>
    <cellStyle name="40% - 강조색2 4 9" xfId="0"/>
    <cellStyle name="40% - 강조색2 4_운용자산별 손익분석" xfId="0"/>
    <cellStyle name="40% - 강조색2 5" xfId="0"/>
    <cellStyle name="40% - 강조색2 5 10" xfId="0"/>
    <cellStyle name="40% - 강조색2 5 11" xfId="0"/>
    <cellStyle name="40% - 강조색2 5 12" xfId="0"/>
    <cellStyle name="40% - 강조색2 5 13" xfId="0"/>
    <cellStyle name="40% - 강조색2 5 14" xfId="0"/>
    <cellStyle name="40% - 강조색2 5 15" xfId="0"/>
    <cellStyle name="40% - 강조색2 5 16" xfId="0"/>
    <cellStyle name="40% - 강조색2 5 17" xfId="0"/>
    <cellStyle name="40% - 강조색2 5 18" xfId="0"/>
    <cellStyle name="40% - 강조색2 5 19" xfId="0"/>
    <cellStyle name="40% - 강조색2 5 2" xfId="0"/>
    <cellStyle name="40% - 강조색2 5 20" xfId="0"/>
    <cellStyle name="40% - 강조색2 5 21" xfId="0"/>
    <cellStyle name="40% - 강조색2 5 22" xfId="0"/>
    <cellStyle name="40% - 강조색2 5 23" xfId="0"/>
    <cellStyle name="40% - 강조색2 5 24" xfId="0"/>
    <cellStyle name="40% - 강조색2 5 25" xfId="0"/>
    <cellStyle name="40% - 강조색2 5 26" xfId="0"/>
    <cellStyle name="40% - 강조색2 5 27" xfId="0"/>
    <cellStyle name="40% - 강조색2 5 28" xfId="0"/>
    <cellStyle name="40% - 강조색2 5 29" xfId="0"/>
    <cellStyle name="40% - 강조색2 5 3" xfId="0"/>
    <cellStyle name="40% - 강조색2 5 3 2" xfId="0"/>
    <cellStyle name="40% - 강조색2 5 30" xfId="0"/>
    <cellStyle name="40% - 강조색2 5 31" xfId="0"/>
    <cellStyle name="40% - 강조색2 5 32" xfId="0"/>
    <cellStyle name="40% - 강조색2 5 33" xfId="0"/>
    <cellStyle name="40% - 강조색2 5 34" xfId="0"/>
    <cellStyle name="40% - 강조색2 5 4" xfId="0"/>
    <cellStyle name="40% - 강조색2 5 4 2" xfId="0"/>
    <cellStyle name="40% - 강조색2 5 5" xfId="0"/>
    <cellStyle name="40% - 강조색2 5 5 2" xfId="0"/>
    <cellStyle name="40% - 강조색2 5 6" xfId="0"/>
    <cellStyle name="40% - 강조색2 5 6 2" xfId="0"/>
    <cellStyle name="40% - 강조색2 5 7" xfId="0"/>
    <cellStyle name="40% - 강조색2 5 7 2" xfId="0"/>
    <cellStyle name="40% - 강조색2 5 8" xfId="0"/>
    <cellStyle name="40% - 강조색2 5 8 2" xfId="0"/>
    <cellStyle name="40% - 강조색2 5 9" xfId="0"/>
    <cellStyle name="40% - 강조색2 5 9 2" xfId="0"/>
    <cellStyle name="40% - 강조색2 6" xfId="0"/>
    <cellStyle name="40% - 강조색2 6 10" xfId="0"/>
    <cellStyle name="40% - 강조색2 6 10 2" xfId="0"/>
    <cellStyle name="40% - 강조색2 6 11" xfId="0"/>
    <cellStyle name="40% - 강조색2 6 11 2" xfId="0"/>
    <cellStyle name="40% - 강조색2 6 12" xfId="0"/>
    <cellStyle name="40% - 강조색2 6 12 2" xfId="0"/>
    <cellStyle name="40% - 강조색2 6 13" xfId="0"/>
    <cellStyle name="40% - 강조색2 6 13 2" xfId="0"/>
    <cellStyle name="40% - 강조색2 6 14" xfId="0"/>
    <cellStyle name="40% - 강조색2 6 14 2" xfId="0"/>
    <cellStyle name="40% - 강조색2 6 15" xfId="0"/>
    <cellStyle name="40% - 강조색2 6 15 2" xfId="0"/>
    <cellStyle name="40% - 강조색2 6 16" xfId="0"/>
    <cellStyle name="40% - 강조색2 6 16 2" xfId="0"/>
    <cellStyle name="40% - 강조색2 6 17" xfId="0"/>
    <cellStyle name="40% - 강조색2 6 17 2" xfId="0"/>
    <cellStyle name="40% - 강조색2 6 18" xfId="0"/>
    <cellStyle name="40% - 강조색2 6 18 2" xfId="0"/>
    <cellStyle name="40% - 강조색2 6 19" xfId="0"/>
    <cellStyle name="40% - 강조색2 6 19 2" xfId="0"/>
    <cellStyle name="40% - 강조색2 6 2" xfId="0"/>
    <cellStyle name="40% - 강조색2 6 2 2" xfId="0"/>
    <cellStyle name="40% - 강조색2 6 20" xfId="0"/>
    <cellStyle name="40% - 강조색2 6 20 2" xfId="0"/>
    <cellStyle name="40% - 강조색2 6 21" xfId="0"/>
    <cellStyle name="40% - 강조색2 6 21 2" xfId="0"/>
    <cellStyle name="40% - 강조색2 6 22" xfId="0"/>
    <cellStyle name="40% - 강조색2 6 22 2" xfId="0"/>
    <cellStyle name="40% - 강조색2 6 23" xfId="0"/>
    <cellStyle name="40% - 강조색2 6 23 2" xfId="0"/>
    <cellStyle name="40% - 강조색2 6 24" xfId="0"/>
    <cellStyle name="40% - 강조색2 6 25" xfId="0"/>
    <cellStyle name="40% - 강조색2 6 26" xfId="0"/>
    <cellStyle name="40% - 강조색2 6 27" xfId="0"/>
    <cellStyle name="40% - 강조색2 6 28" xfId="0"/>
    <cellStyle name="40% - 강조색2 6 29" xfId="0"/>
    <cellStyle name="40% - 강조색2 6 3" xfId="0"/>
    <cellStyle name="40% - 강조색2 6 3 2" xfId="0"/>
    <cellStyle name="40% - 강조색2 6 30" xfId="0"/>
    <cellStyle name="40% - 강조색2 6 4" xfId="0"/>
    <cellStyle name="40% - 강조색2 6 4 2" xfId="0"/>
    <cellStyle name="40% - 강조색2 6 5" xfId="0"/>
    <cellStyle name="40% - 강조색2 6 5 2" xfId="0"/>
    <cellStyle name="40% - 강조색2 6 6" xfId="0"/>
    <cellStyle name="40% - 강조색2 6 6 2" xfId="0"/>
    <cellStyle name="40% - 강조색2 6 7" xfId="0"/>
    <cellStyle name="40% - 강조색2 6 7 2" xfId="0"/>
    <cellStyle name="40% - 강조색2 6 8" xfId="0"/>
    <cellStyle name="40% - 강조색2 6 8 2" xfId="0"/>
    <cellStyle name="40% - 강조색2 6 9" xfId="0"/>
    <cellStyle name="40% - 강조색2 6 9 2" xfId="0"/>
    <cellStyle name="40% - 강조색2 7" xfId="0"/>
    <cellStyle name="40% - 강조색2 7 10" xfId="0"/>
    <cellStyle name="40% - 강조색2 7 10 2" xfId="0"/>
    <cellStyle name="40% - 강조색2 7 11" xfId="0"/>
    <cellStyle name="40% - 강조색2 7 11 2" xfId="0"/>
    <cellStyle name="40% - 강조색2 7 12" xfId="0"/>
    <cellStyle name="40% - 강조색2 7 12 2" xfId="0"/>
    <cellStyle name="40% - 강조색2 7 13" xfId="0"/>
    <cellStyle name="40% - 강조색2 7 13 2" xfId="0"/>
    <cellStyle name="40% - 강조색2 7 14" xfId="0"/>
    <cellStyle name="40% - 강조색2 7 14 2" xfId="0"/>
    <cellStyle name="40% - 강조색2 7 15" xfId="0"/>
    <cellStyle name="40% - 강조색2 7 16" xfId="0"/>
    <cellStyle name="40% - 강조색2 7 17" xfId="0"/>
    <cellStyle name="40% - 강조색2 7 18" xfId="0"/>
    <cellStyle name="40% - 강조색2 7 19" xfId="0"/>
    <cellStyle name="40% - 강조색2 7 2" xfId="0"/>
    <cellStyle name="40% - 강조색2 7 2 2" xfId="0"/>
    <cellStyle name="40% - 강조색2 7 2 2 2" xfId="0"/>
    <cellStyle name="40% - 강조색2 7 2 3" xfId="0"/>
    <cellStyle name="40% - 강조색2 7 20" xfId="0"/>
    <cellStyle name="40% - 강조색2 7 21" xfId="0"/>
    <cellStyle name="40% - 강조색2 7 22" xfId="0"/>
    <cellStyle name="40% - 강조색2 7 23" xfId="0"/>
    <cellStyle name="40% - 강조색2 7 24" xfId="0"/>
    <cellStyle name="40% - 강조색2 7 3" xfId="0"/>
    <cellStyle name="40% - 강조색2 7 3 2" xfId="0"/>
    <cellStyle name="40% - 강조색2 7 3 2 2" xfId="0"/>
    <cellStyle name="40% - 강조색2 7 3 3" xfId="0"/>
    <cellStyle name="40% - 강조색2 7 4" xfId="0"/>
    <cellStyle name="40% - 강조색2 7 4 2" xfId="0"/>
    <cellStyle name="40% - 강조색2 7 4 2 2" xfId="0"/>
    <cellStyle name="40% - 강조색2 7 4 3" xfId="0"/>
    <cellStyle name="40% - 강조색2 7 5" xfId="0"/>
    <cellStyle name="40% - 강조색2 7 5 2" xfId="0"/>
    <cellStyle name="40% - 강조색2 7 5 2 2" xfId="0"/>
    <cellStyle name="40% - 강조색2 7 5 3" xfId="0"/>
    <cellStyle name="40% - 강조색2 7 6" xfId="0"/>
    <cellStyle name="40% - 강조색2 7 6 2" xfId="0"/>
    <cellStyle name="40% - 강조색2 7 6 2 2" xfId="0"/>
    <cellStyle name="40% - 강조색2 7 6 3" xfId="0"/>
    <cellStyle name="40% - 강조색2 7 7" xfId="0"/>
    <cellStyle name="40% - 강조색2 7 7 2" xfId="0"/>
    <cellStyle name="40% - 강조색2 7 8" xfId="0"/>
    <cellStyle name="40% - 강조색2 7 8 2" xfId="0"/>
    <cellStyle name="40% - 강조색2 7 9" xfId="0"/>
    <cellStyle name="40% - 강조색2 7 9 2" xfId="0"/>
    <cellStyle name="40% - 강조색2 8" xfId="0"/>
    <cellStyle name="40% - 강조색2 8 10" xfId="0"/>
    <cellStyle name="40% - 강조색2 8 10 2" xfId="0"/>
    <cellStyle name="40% - 강조색2 8 11" xfId="0"/>
    <cellStyle name="40% - 강조색2 8 11 2" xfId="0"/>
    <cellStyle name="40% - 강조색2 8 12" xfId="0"/>
    <cellStyle name="40% - 강조색2 8 12 2" xfId="0"/>
    <cellStyle name="40% - 강조색2 8 13" xfId="0"/>
    <cellStyle name="40% - 강조색2 8 13 2" xfId="0"/>
    <cellStyle name="40% - 강조색2 8 14" xfId="0"/>
    <cellStyle name="40% - 강조색2 8 15" xfId="0"/>
    <cellStyle name="40% - 강조색2 8 16" xfId="0"/>
    <cellStyle name="40% - 강조색2 8 17" xfId="0"/>
    <cellStyle name="40% - 강조색2 8 18" xfId="0"/>
    <cellStyle name="40% - 강조색2 8 19" xfId="0"/>
    <cellStyle name="40% - 강조색2 8 2" xfId="0"/>
    <cellStyle name="40% - 강조색2 8 2 2" xfId="0"/>
    <cellStyle name="40% - 강조색2 8 2 2 2" xfId="0"/>
    <cellStyle name="40% - 강조색2 8 2 3" xfId="0"/>
    <cellStyle name="40% - 강조색2 8 20" xfId="0"/>
    <cellStyle name="40% - 강조색2 8 21" xfId="0"/>
    <cellStyle name="40% - 강조색2 8 22" xfId="0"/>
    <cellStyle name="40% - 강조색2 8 23" xfId="0"/>
    <cellStyle name="40% - 강조색2 8 24" xfId="0"/>
    <cellStyle name="40% - 강조색2 8 3" xfId="0"/>
    <cellStyle name="40% - 강조색2 8 3 2" xfId="0"/>
    <cellStyle name="40% - 강조색2 8 3 2 2" xfId="0"/>
    <cellStyle name="40% - 강조색2 8 3 3" xfId="0"/>
    <cellStyle name="40% - 강조색2 8 4" xfId="0"/>
    <cellStyle name="40% - 강조색2 8 4 2" xfId="0"/>
    <cellStyle name="40% - 강조색2 8 4 2 2" xfId="0"/>
    <cellStyle name="40% - 강조색2 8 4 3" xfId="0"/>
    <cellStyle name="40% - 강조색2 8 5" xfId="0"/>
    <cellStyle name="40% - 강조색2 8 5 2" xfId="0"/>
    <cellStyle name="40% - 강조색2 8 5 2 2" xfId="0"/>
    <cellStyle name="40% - 강조색2 8 5 3" xfId="0"/>
    <cellStyle name="40% - 강조색2 8 6" xfId="0"/>
    <cellStyle name="40% - 강조색2 8 6 2" xfId="0"/>
    <cellStyle name="40% - 강조색2 8 6 2 2" xfId="0"/>
    <cellStyle name="40% - 강조색2 8 6 3" xfId="0"/>
    <cellStyle name="40% - 강조색2 8 7" xfId="0"/>
    <cellStyle name="40% - 강조색2 8 7 2" xfId="0"/>
    <cellStyle name="40% - 강조색2 8 8" xfId="0"/>
    <cellStyle name="40% - 강조색2 8 8 2" xfId="0"/>
    <cellStyle name="40% - 강조색2 8 9" xfId="0"/>
    <cellStyle name="40% - 강조색2 8 9 2" xfId="0"/>
    <cellStyle name="40% - 강조색2 9" xfId="0"/>
    <cellStyle name="40% - 강조색2 9 10" xfId="0"/>
    <cellStyle name="40% - 강조색2 9 10 2" xfId="0"/>
    <cellStyle name="40% - 강조색2 9 11" xfId="0"/>
    <cellStyle name="40% - 강조색2 9 11 2" xfId="0"/>
    <cellStyle name="40% - 강조색2 9 12" xfId="0"/>
    <cellStyle name="40% - 강조색2 9 12 2" xfId="0"/>
    <cellStyle name="40% - 강조색2 9 13" xfId="0"/>
    <cellStyle name="40% - 강조색2 9 13 2" xfId="0"/>
    <cellStyle name="40% - 강조색2 9 14" xfId="0"/>
    <cellStyle name="40% - 강조색2 9 15" xfId="0"/>
    <cellStyle name="40% - 강조색2 9 16" xfId="0"/>
    <cellStyle name="40% - 강조색2 9 17" xfId="0"/>
    <cellStyle name="40% - 강조색2 9 18" xfId="0"/>
    <cellStyle name="40% - 강조색2 9 19" xfId="0"/>
    <cellStyle name="40% - 강조색2 9 2" xfId="0"/>
    <cellStyle name="40% - 강조색2 9 2 2" xfId="0"/>
    <cellStyle name="40% - 강조색2 9 2 2 2" xfId="0"/>
    <cellStyle name="40% - 강조색2 9 2 3" xfId="0"/>
    <cellStyle name="40% - 강조색2 9 20" xfId="0"/>
    <cellStyle name="40% - 강조색2 9 21" xfId="0"/>
    <cellStyle name="40% - 강조색2 9 22" xfId="0"/>
    <cellStyle name="40% - 강조색2 9 23" xfId="0"/>
    <cellStyle name="40% - 강조색2 9 24" xfId="0"/>
    <cellStyle name="40% - 강조색2 9 3" xfId="0"/>
    <cellStyle name="40% - 강조색2 9 3 2" xfId="0"/>
    <cellStyle name="40% - 강조색2 9 3 2 2" xfId="0"/>
    <cellStyle name="40% - 강조색2 9 3 3" xfId="0"/>
    <cellStyle name="40% - 강조색2 9 4" xfId="0"/>
    <cellStyle name="40% - 강조색2 9 4 2" xfId="0"/>
    <cellStyle name="40% - 강조색2 9 4 2 2" xfId="0"/>
    <cellStyle name="40% - 강조색2 9 4 3" xfId="0"/>
    <cellStyle name="40% - 강조색2 9 5" xfId="0"/>
    <cellStyle name="40% - 강조색2 9 5 2" xfId="0"/>
    <cellStyle name="40% - 강조색2 9 5 2 2" xfId="0"/>
    <cellStyle name="40% - 강조색2 9 5 3" xfId="0"/>
    <cellStyle name="40% - 강조색2 9 6" xfId="0"/>
    <cellStyle name="40% - 강조색2 9 6 2" xfId="0"/>
    <cellStyle name="40% - 강조색2 9 6 2 2" xfId="0"/>
    <cellStyle name="40% - 강조색2 9 6 3" xfId="0"/>
    <cellStyle name="40% - 강조색2 9 7" xfId="0"/>
    <cellStyle name="40% - 강조색2 9 7 2" xfId="0"/>
    <cellStyle name="40% - 강조색2 9 8" xfId="0"/>
    <cellStyle name="40% - 강조색2 9 8 2" xfId="0"/>
    <cellStyle name="40% - 강조색2 9 9" xfId="0"/>
    <cellStyle name="40% - 강조색2 9 9 2" xfId="0"/>
    <cellStyle name="40% - 강조색3 10" xfId="0"/>
    <cellStyle name="40% - 강조색3 10 10" xfId="0"/>
    <cellStyle name="40% - 강조색3 10 11" xfId="0"/>
    <cellStyle name="40% - 강조색3 10 12" xfId="0"/>
    <cellStyle name="40% - 강조색3 10 13" xfId="0"/>
    <cellStyle name="40% - 강조색3 10 14" xfId="0"/>
    <cellStyle name="40% - 강조색3 10 15" xfId="0"/>
    <cellStyle name="40% - 강조색3 10 16" xfId="0"/>
    <cellStyle name="40% - 강조색3 10 17" xfId="0"/>
    <cellStyle name="40% - 강조색3 10 18" xfId="0"/>
    <cellStyle name="40% - 강조색3 10 19" xfId="0"/>
    <cellStyle name="40% - 강조색3 10 2" xfId="0"/>
    <cellStyle name="40% - 강조색3 10 2 2" xfId="0"/>
    <cellStyle name="40% - 강조색3 10 2 2 2" xfId="0"/>
    <cellStyle name="40% - 강조색3 10 2 3" xfId="0"/>
    <cellStyle name="40% - 강조색3 10 20" xfId="0"/>
    <cellStyle name="40% - 강조색3 10 21" xfId="0"/>
    <cellStyle name="40% - 강조색3 10 22" xfId="0"/>
    <cellStyle name="40% - 강조색3 10 23" xfId="0"/>
    <cellStyle name="40% - 강조색3 10 24" xfId="0"/>
    <cellStyle name="40% - 강조색3 10 3" xfId="0"/>
    <cellStyle name="40% - 강조색3 10 3 2" xfId="0"/>
    <cellStyle name="40% - 강조색3 10 3 2 2" xfId="0"/>
    <cellStyle name="40% - 강조색3 10 3 3" xfId="0"/>
    <cellStyle name="40% - 강조색3 10 4" xfId="0"/>
    <cellStyle name="40% - 강조색3 10 4 2" xfId="0"/>
    <cellStyle name="40% - 강조색3 10 4 2 2" xfId="0"/>
    <cellStyle name="40% - 강조색3 10 4 3" xfId="0"/>
    <cellStyle name="40% - 강조색3 10 5" xfId="0"/>
    <cellStyle name="40% - 강조색3 10 5 2" xfId="0"/>
    <cellStyle name="40% - 강조색3 10 5 3" xfId="0"/>
    <cellStyle name="40% - 강조색3 10 6" xfId="0"/>
    <cellStyle name="40% - 강조색3 10 6 2" xfId="0"/>
    <cellStyle name="40% - 강조색3 10 6 3" xfId="0"/>
    <cellStyle name="40% - 강조색3 10 7" xfId="0"/>
    <cellStyle name="40% - 강조색3 10 8" xfId="0"/>
    <cellStyle name="40% - 강조색3 10 9" xfId="0"/>
    <cellStyle name="40% - 강조색3 11" xfId="0"/>
    <cellStyle name="40% - 강조색3 11 10" xfId="0"/>
    <cellStyle name="40% - 강조색3 11 2" xfId="0"/>
    <cellStyle name="40% - 강조색3 11 2 2" xfId="0"/>
    <cellStyle name="40% - 강조색3 11 2 2 2" xfId="0"/>
    <cellStyle name="40% - 강조색3 11 2 3" xfId="0"/>
    <cellStyle name="40% - 강조색3 11 3" xfId="0"/>
    <cellStyle name="40% - 강조색3 11 3 2" xfId="0"/>
    <cellStyle name="40% - 강조색3 11 3 2 2" xfId="0"/>
    <cellStyle name="40% - 강조색3 11 3 3" xfId="0"/>
    <cellStyle name="40% - 강조색3 11 4" xfId="0"/>
    <cellStyle name="40% - 강조색3 11 4 2" xfId="0"/>
    <cellStyle name="40% - 강조색3 11 4 2 2" xfId="0"/>
    <cellStyle name="40% - 강조색3 11 4 3" xfId="0"/>
    <cellStyle name="40% - 강조색3 11 5" xfId="0"/>
    <cellStyle name="40% - 강조색3 11 5 2" xfId="0"/>
    <cellStyle name="40% - 강조색3 11 5 3" xfId="0"/>
    <cellStyle name="40% - 강조색3 11 6" xfId="0"/>
    <cellStyle name="40% - 강조색3 11 6 2" xfId="0"/>
    <cellStyle name="40% - 강조색3 11 6 3" xfId="0"/>
    <cellStyle name="40% - 강조색3 11 7" xfId="0"/>
    <cellStyle name="40% - 강조색3 11 8" xfId="0"/>
    <cellStyle name="40% - 강조색3 11 9" xfId="0"/>
    <cellStyle name="40% - 강조색3 12" xfId="0"/>
    <cellStyle name="40% - 강조색3 12 2" xfId="0"/>
    <cellStyle name="40% - 강조색3 12 2 2" xfId="0"/>
    <cellStyle name="40% - 강조색3 12 3" xfId="0"/>
    <cellStyle name="40% - 강조색3 12 3 2" xfId="0"/>
    <cellStyle name="40% - 강조색3 12 4" xfId="0"/>
    <cellStyle name="40% - 강조색3 12 4 2" xfId="0"/>
    <cellStyle name="40% - 강조색3 12 5" xfId="0"/>
    <cellStyle name="40% - 강조색3 12 6" xfId="0"/>
    <cellStyle name="40% - 강조색3 12 7" xfId="0"/>
    <cellStyle name="40% - 강조색3 12 8" xfId="0"/>
    <cellStyle name="40% - 강조색3 12 9" xfId="0"/>
    <cellStyle name="40% - 강조색3 13" xfId="0"/>
    <cellStyle name="40% - 강조색3 13 2" xfId="0"/>
    <cellStyle name="40% - 강조색3 13 2 2" xfId="0"/>
    <cellStyle name="40% - 강조색3 13 3" xfId="0"/>
    <cellStyle name="40% - 강조색3 13 3 2" xfId="0"/>
    <cellStyle name="40% - 강조색3 13 4" xfId="0"/>
    <cellStyle name="40% - 강조색3 13 4 2" xfId="0"/>
    <cellStyle name="40% - 강조색3 13 5" xfId="0"/>
    <cellStyle name="40% - 강조색3 13 6" xfId="0"/>
    <cellStyle name="40% - 강조색3 13 7" xfId="0"/>
    <cellStyle name="40% - 강조색3 13 8" xfId="0"/>
    <cellStyle name="40% - 강조색3 13 9" xfId="0"/>
    <cellStyle name="40% - 강조색3 14" xfId="0"/>
    <cellStyle name="40% - 강조색3 14 2" xfId="0"/>
    <cellStyle name="40% - 강조색3 14 3" xfId="0"/>
    <cellStyle name="40% - 강조색3 14 4" xfId="0"/>
    <cellStyle name="40% - 강조색3 14 5" xfId="0"/>
    <cellStyle name="40% - 강조색3 14 6" xfId="0"/>
    <cellStyle name="40% - 강조색3 14 7" xfId="0"/>
    <cellStyle name="40% - 강조색3 14 8" xfId="0"/>
    <cellStyle name="40% - 강조색3 14 9" xfId="0"/>
    <cellStyle name="40% - 강조색3 15" xfId="0"/>
    <cellStyle name="40% - 강조색3 15 2" xfId="0"/>
    <cellStyle name="40% - 강조색3 15 3" xfId="0"/>
    <cellStyle name="40% - 강조색3 15 4" xfId="0"/>
    <cellStyle name="40% - 강조색3 15 5" xfId="0"/>
    <cellStyle name="40% - 강조색3 15 6" xfId="0"/>
    <cellStyle name="40% - 강조색3 15 7" xfId="0"/>
    <cellStyle name="40% - 강조색3 15 8" xfId="0"/>
    <cellStyle name="40% - 강조색3 15 9" xfId="0"/>
    <cellStyle name="40% - 강조색3 16" xfId="0"/>
    <cellStyle name="40% - 강조색3 16 2" xfId="0"/>
    <cellStyle name="40% - 강조색3 16 3" xfId="0"/>
    <cellStyle name="40% - 강조색3 16 4" xfId="0"/>
    <cellStyle name="40% - 강조색3 16 5" xfId="0"/>
    <cellStyle name="40% - 강조색3 16 6" xfId="0"/>
    <cellStyle name="40% - 강조색3 16 7" xfId="0"/>
    <cellStyle name="40% - 강조색3 16 8" xfId="0"/>
    <cellStyle name="40% - 강조색3 16 9" xfId="0"/>
    <cellStyle name="40% - 강조색3 17" xfId="0"/>
    <cellStyle name="40% - 강조색3 17 2" xfId="0"/>
    <cellStyle name="40% - 강조색3 17 3" xfId="0"/>
    <cellStyle name="40% - 강조색3 17 4" xfId="0"/>
    <cellStyle name="40% - 강조색3 17 5" xfId="0"/>
    <cellStyle name="40% - 강조색3 17 6" xfId="0"/>
    <cellStyle name="40% - 강조색3 17 7" xfId="0"/>
    <cellStyle name="40% - 강조색3 17 8" xfId="0"/>
    <cellStyle name="40% - 강조색3 17 9" xfId="0"/>
    <cellStyle name="40% - 강조색3 18" xfId="0"/>
    <cellStyle name="40% - 강조색3 18 2" xfId="0"/>
    <cellStyle name="40% - 강조색3 18 3" xfId="0"/>
    <cellStyle name="40% - 강조색3 18 4" xfId="0"/>
    <cellStyle name="40% - 강조색3 18 5" xfId="0"/>
    <cellStyle name="40% - 강조색3 18 6" xfId="0"/>
    <cellStyle name="40% - 강조색3 18 7" xfId="0"/>
    <cellStyle name="40% - 강조색3 18 8" xfId="0"/>
    <cellStyle name="40% - 강조색3 18 9" xfId="0"/>
    <cellStyle name="40% - 강조색3 19" xfId="0"/>
    <cellStyle name="40% - 강조색3 19 2" xfId="0"/>
    <cellStyle name="40% - 강조색3 19 3" xfId="0"/>
    <cellStyle name="40% - 강조색3 19 4" xfId="0"/>
    <cellStyle name="40% - 강조색3 19 5" xfId="0"/>
    <cellStyle name="40% - 강조색3 2" xfId="0"/>
    <cellStyle name="40% - 강조색3 2 10" xfId="0"/>
    <cellStyle name="40% - 강조색3 2 11" xfId="0"/>
    <cellStyle name="40% - 강조색3 2 12" xfId="0"/>
    <cellStyle name="40% - 강조색3 2 13" xfId="0"/>
    <cellStyle name="40% - 강조색3 2 2" xfId="0"/>
    <cellStyle name="40% - 강조색3 2 2 10" xfId="0"/>
    <cellStyle name="40% - 강조색3 2 2 2" xfId="0"/>
    <cellStyle name="40% - 강조색3 2 2 3" xfId="0"/>
    <cellStyle name="40% - 강조색3 2 2 4" xfId="0"/>
    <cellStyle name="40% - 강조색3 2 2 5" xfId="0"/>
    <cellStyle name="40% - 강조색3 2 2 6" xfId="0"/>
    <cellStyle name="40% - 강조색3 2 2 7" xfId="0"/>
    <cellStyle name="40% - 강조색3 2 2 8" xfId="0"/>
    <cellStyle name="40% - 강조색3 2 2 9" xfId="0"/>
    <cellStyle name="40% - 강조색3 2 3" xfId="0"/>
    <cellStyle name="40% - 강조색3 2 3 10" xfId="0"/>
    <cellStyle name="40% - 강조색3 2 3 2" xfId="0"/>
    <cellStyle name="40% - 강조색3 2 3 3" xfId="0"/>
    <cellStyle name="40% - 강조색3 2 3 4" xfId="0"/>
    <cellStyle name="40% - 강조색3 2 3 5" xfId="0"/>
    <cellStyle name="40% - 강조색3 2 3 6" xfId="0"/>
    <cellStyle name="40% - 강조색3 2 3 7" xfId="0"/>
    <cellStyle name="40% - 강조색3 2 3 8" xfId="0"/>
    <cellStyle name="40% - 강조색3 2 3 9" xfId="0"/>
    <cellStyle name="40% - 강조색3 2 4" xfId="0"/>
    <cellStyle name="40% - 강조색3 2 4 10" xfId="0"/>
    <cellStyle name="40% - 강조색3 2 4 2" xfId="0"/>
    <cellStyle name="40% - 강조색3 2 4 3" xfId="0"/>
    <cellStyle name="40% - 강조색3 2 4 4" xfId="0"/>
    <cellStyle name="40% - 강조색3 2 4 5" xfId="0"/>
    <cellStyle name="40% - 강조색3 2 4 6" xfId="0"/>
    <cellStyle name="40% - 강조색3 2 4 7" xfId="0"/>
    <cellStyle name="40% - 강조색3 2 4 8" xfId="0"/>
    <cellStyle name="40% - 강조색3 2 4 9" xfId="0"/>
    <cellStyle name="40% - 강조색3 2 5" xfId="0"/>
    <cellStyle name="40% - 강조색3 2 5 10" xfId="0"/>
    <cellStyle name="40% - 강조색3 2 5 2" xfId="0"/>
    <cellStyle name="40% - 강조색3 2 5 3" xfId="0"/>
    <cellStyle name="40% - 강조색3 2 5 4" xfId="0"/>
    <cellStyle name="40% - 강조색3 2 5 5" xfId="0"/>
    <cellStyle name="40% - 강조색3 2 5 6" xfId="0"/>
    <cellStyle name="40% - 강조색3 2 5 7" xfId="0"/>
    <cellStyle name="40% - 강조색3 2 5 8" xfId="0"/>
    <cellStyle name="40% - 강조색3 2 5 9" xfId="0"/>
    <cellStyle name="40% - 강조색3 2 6" xfId="0"/>
    <cellStyle name="40% - 강조색3 2 6 10" xfId="0"/>
    <cellStyle name="40% - 강조색3 2 6 2" xfId="0"/>
    <cellStyle name="40% - 강조색3 2 6 3" xfId="0"/>
    <cellStyle name="40% - 강조색3 2 6 4" xfId="0"/>
    <cellStyle name="40% - 강조색3 2 6 5" xfId="0"/>
    <cellStyle name="40% - 강조색3 2 6 6" xfId="0"/>
    <cellStyle name="40% - 강조색3 2 6 7" xfId="0"/>
    <cellStyle name="40% - 강조색3 2 6 8" xfId="0"/>
    <cellStyle name="40% - 강조색3 2 6 9" xfId="0"/>
    <cellStyle name="40% - 강조색3 2 7" xfId="0"/>
    <cellStyle name="40% - 강조색3 2 7 10" xfId="0"/>
    <cellStyle name="40% - 강조색3 2 7 2" xfId="0"/>
    <cellStyle name="40% - 강조색3 2 7 3" xfId="0"/>
    <cellStyle name="40% - 강조색3 2 7 4" xfId="0"/>
    <cellStyle name="40% - 강조색3 2 7 5" xfId="0"/>
    <cellStyle name="40% - 강조색3 2 7 6" xfId="0"/>
    <cellStyle name="40% - 강조색3 2 7 7" xfId="0"/>
    <cellStyle name="40% - 강조색3 2 7 8" xfId="0"/>
    <cellStyle name="40% - 강조색3 2 7 9" xfId="0"/>
    <cellStyle name="40% - 강조색3 2 8" xfId="0"/>
    <cellStyle name="40% - 강조색3 2 8 2" xfId="0"/>
    <cellStyle name="40% - 강조색3 2 9" xfId="0"/>
    <cellStyle name="40% - 강조색3 20" xfId="0"/>
    <cellStyle name="40% - 강조색3 21" xfId="0"/>
    <cellStyle name="40% - 강조색3 22" xfId="0"/>
    <cellStyle name="40% - 강조색3 23" xfId="0"/>
    <cellStyle name="40% - 강조색3 24" xfId="0"/>
    <cellStyle name="40% - 강조색3 25" xfId="0"/>
    <cellStyle name="40% - 강조색3 26" xfId="0"/>
    <cellStyle name="40% - 강조색3 27" xfId="0"/>
    <cellStyle name="40% - 강조색3 2_3300현금및예치금" xfId="0"/>
    <cellStyle name="40% - 강조색3 3" xfId="0"/>
    <cellStyle name="40% - 강조색3 3 10" xfId="0"/>
    <cellStyle name="40% - 강조색3 3 10 2" xfId="0"/>
    <cellStyle name="40% - 강조색3 3 11" xfId="0"/>
    <cellStyle name="40% - 강조색3 3 11 2" xfId="0"/>
    <cellStyle name="40% - 강조색3 3 12" xfId="0"/>
    <cellStyle name="40% - 강조색3 3 12 2" xfId="0"/>
    <cellStyle name="40% - 강조색3 3 13" xfId="0"/>
    <cellStyle name="40% - 강조색3 3 14" xfId="0"/>
    <cellStyle name="40% - 강조색3 3 15" xfId="0"/>
    <cellStyle name="40% - 강조색3 3 16" xfId="0"/>
    <cellStyle name="40% - 강조색3 3 17" xfId="0"/>
    <cellStyle name="40% - 강조색3 3 18" xfId="0"/>
    <cellStyle name="40% - 강조색3 3 19" xfId="0"/>
    <cellStyle name="40% - 강조색3 3 2" xfId="0"/>
    <cellStyle name="40% - 강조색3 3 2 2" xfId="0"/>
    <cellStyle name="40% - 강조색3 3 2 3" xfId="0"/>
    <cellStyle name="40% - 강조색3 3 20" xfId="0"/>
    <cellStyle name="40% - 강조색3 3 3" xfId="0"/>
    <cellStyle name="40% - 강조색3 3 3 2" xfId="0"/>
    <cellStyle name="40% - 강조색3 3 3 3" xfId="0"/>
    <cellStyle name="40% - 강조색3 3 4" xfId="0"/>
    <cellStyle name="40% - 강조색3 3 4 2" xfId="0"/>
    <cellStyle name="40% - 강조색3 3 4 3" xfId="0"/>
    <cellStyle name="40% - 강조색3 3 5" xfId="0"/>
    <cellStyle name="40% - 강조색3 3 5 2" xfId="0"/>
    <cellStyle name="40% - 강조색3 3 5 3" xfId="0"/>
    <cellStyle name="40% - 강조색3 3 6" xfId="0"/>
    <cellStyle name="40% - 강조색3 3 6 2" xfId="0"/>
    <cellStyle name="40% - 강조색3 3 6 3" xfId="0"/>
    <cellStyle name="40% - 강조색3 3 7" xfId="0"/>
    <cellStyle name="40% - 강조색3 3 7 2" xfId="0"/>
    <cellStyle name="40% - 강조색3 3 7 3" xfId="0"/>
    <cellStyle name="40% - 강조색3 3 8" xfId="0"/>
    <cellStyle name="40% - 강조색3 3 8 2" xfId="0"/>
    <cellStyle name="40% - 강조색3 3 8 3" xfId="0"/>
    <cellStyle name="40% - 강조색3 3 9" xfId="0"/>
    <cellStyle name="40% - 강조색3 3 9 2" xfId="0"/>
    <cellStyle name="40% - 강조색3 3_운용자산별 손익분석" xfId="0"/>
    <cellStyle name="40% - 강조색3 4" xfId="0"/>
    <cellStyle name="40% - 강조색3 4 10" xfId="0"/>
    <cellStyle name="40% - 강조색3 4 11" xfId="0"/>
    <cellStyle name="40% - 강조색3 4 12" xfId="0"/>
    <cellStyle name="40% - 강조색3 4 13" xfId="0"/>
    <cellStyle name="40% - 강조색3 4 2" xfId="0"/>
    <cellStyle name="40% - 강조색3 4 3" xfId="0"/>
    <cellStyle name="40% - 강조색3 4 4" xfId="0"/>
    <cellStyle name="40% - 강조색3 4 5" xfId="0"/>
    <cellStyle name="40% - 강조색3 4 6" xfId="0"/>
    <cellStyle name="40% - 강조색3 4 7" xfId="0"/>
    <cellStyle name="40% - 강조색3 4 8" xfId="0"/>
    <cellStyle name="40% - 강조색3 4 9" xfId="0"/>
    <cellStyle name="40% - 강조색3 4_운용자산별 손익분석" xfId="0"/>
    <cellStyle name="40% - 강조색3 5" xfId="0"/>
    <cellStyle name="40% - 강조색3 5 10" xfId="0"/>
    <cellStyle name="40% - 강조색3 5 11" xfId="0"/>
    <cellStyle name="40% - 강조색3 5 12" xfId="0"/>
    <cellStyle name="40% - 강조색3 5 13" xfId="0"/>
    <cellStyle name="40% - 강조색3 5 14" xfId="0"/>
    <cellStyle name="40% - 강조색3 5 15" xfId="0"/>
    <cellStyle name="40% - 강조색3 5 16" xfId="0"/>
    <cellStyle name="40% - 강조색3 5 17" xfId="0"/>
    <cellStyle name="40% - 강조색3 5 18" xfId="0"/>
    <cellStyle name="40% - 강조색3 5 19" xfId="0"/>
    <cellStyle name="40% - 강조색3 5 2" xfId="0"/>
    <cellStyle name="40% - 강조색3 5 20" xfId="0"/>
    <cellStyle name="40% - 강조색3 5 21" xfId="0"/>
    <cellStyle name="40% - 강조색3 5 22" xfId="0"/>
    <cellStyle name="40% - 강조색3 5 23" xfId="0"/>
    <cellStyle name="40% - 강조색3 5 24" xfId="0"/>
    <cellStyle name="40% - 강조색3 5 25" xfId="0"/>
    <cellStyle name="40% - 강조색3 5 26" xfId="0"/>
    <cellStyle name="40% - 강조색3 5 27" xfId="0"/>
    <cellStyle name="40% - 강조색3 5 28" xfId="0"/>
    <cellStyle name="40% - 강조색3 5 29" xfId="0"/>
    <cellStyle name="40% - 강조색3 5 3" xfId="0"/>
    <cellStyle name="40% - 강조색3 5 30" xfId="0"/>
    <cellStyle name="40% - 강조색3 5 31" xfId="0"/>
    <cellStyle name="40% - 강조색3 5 32" xfId="0"/>
    <cellStyle name="40% - 강조색3 5 33" xfId="0"/>
    <cellStyle name="40% - 강조색3 5 34" xfId="0"/>
    <cellStyle name="40% - 강조색3 5 4" xfId="0"/>
    <cellStyle name="40% - 강조색3 5 5" xfId="0"/>
    <cellStyle name="40% - 강조색3 5 6" xfId="0"/>
    <cellStyle name="40% - 강조색3 5 7" xfId="0"/>
    <cellStyle name="40% - 강조색3 5 8" xfId="0"/>
    <cellStyle name="40% - 강조색3 5 9" xfId="0"/>
    <cellStyle name="40% - 강조색3 6" xfId="0"/>
    <cellStyle name="40% - 강조색3 6 10" xfId="0"/>
    <cellStyle name="40% - 강조색3 6 11" xfId="0"/>
    <cellStyle name="40% - 강조색3 6 12" xfId="0"/>
    <cellStyle name="40% - 강조색3 6 13" xfId="0"/>
    <cellStyle name="40% - 강조색3 6 14" xfId="0"/>
    <cellStyle name="40% - 강조색3 6 15" xfId="0"/>
    <cellStyle name="40% - 강조색3 6 16" xfId="0"/>
    <cellStyle name="40% - 강조색3 6 17" xfId="0"/>
    <cellStyle name="40% - 강조색3 6 18" xfId="0"/>
    <cellStyle name="40% - 강조색3 6 19" xfId="0"/>
    <cellStyle name="40% - 강조색3 6 2" xfId="0"/>
    <cellStyle name="40% - 강조색3 6 20" xfId="0"/>
    <cellStyle name="40% - 강조색3 6 21" xfId="0"/>
    <cellStyle name="40% - 강조색3 6 22" xfId="0"/>
    <cellStyle name="40% - 강조색3 6 23" xfId="0"/>
    <cellStyle name="40% - 강조색3 6 24" xfId="0"/>
    <cellStyle name="40% - 강조색3 6 25" xfId="0"/>
    <cellStyle name="40% - 강조색3 6 26" xfId="0"/>
    <cellStyle name="40% - 강조색3 6 27" xfId="0"/>
    <cellStyle name="40% - 강조색3 6 28" xfId="0"/>
    <cellStyle name="40% - 강조색3 6 29" xfId="0"/>
    <cellStyle name="40% - 강조색3 6 3" xfId="0"/>
    <cellStyle name="40% - 강조색3 6 30" xfId="0"/>
    <cellStyle name="40% - 강조색3 6 4" xfId="0"/>
    <cellStyle name="40% - 강조색3 6 5" xfId="0"/>
    <cellStyle name="40% - 강조색3 6 6" xfId="0"/>
    <cellStyle name="40% - 강조색3 6 7" xfId="0"/>
    <cellStyle name="40% - 강조색3 6 8" xfId="0"/>
    <cellStyle name="40% - 강조색3 6 9" xfId="0"/>
    <cellStyle name="40% - 강조색3 7" xfId="0"/>
    <cellStyle name="40% - 강조색3 7 10" xfId="0"/>
    <cellStyle name="40% - 강조색3 7 11" xfId="0"/>
    <cellStyle name="40% - 강조색3 7 12" xfId="0"/>
    <cellStyle name="40% - 강조색3 7 13" xfId="0"/>
    <cellStyle name="40% - 강조색3 7 14" xfId="0"/>
    <cellStyle name="40% - 강조색3 7 15" xfId="0"/>
    <cellStyle name="40% - 강조색3 7 2" xfId="0"/>
    <cellStyle name="40% - 강조색3 7 2 2" xfId="0"/>
    <cellStyle name="40% - 강조색3 7 3" xfId="0"/>
    <cellStyle name="40% - 강조색3 7 3 2" xfId="0"/>
    <cellStyle name="40% - 강조색3 7 4" xfId="0"/>
    <cellStyle name="40% - 강조색3 7 4 2" xfId="0"/>
    <cellStyle name="40% - 강조색3 7 5" xfId="0"/>
    <cellStyle name="40% - 강조색3 7 5 2" xfId="0"/>
    <cellStyle name="40% - 강조색3 7 6" xfId="0"/>
    <cellStyle name="40% - 강조색3 7 6 2" xfId="0"/>
    <cellStyle name="40% - 강조색3 7 7" xfId="0"/>
    <cellStyle name="40% - 강조색3 7 8" xfId="0"/>
    <cellStyle name="40% - 강조색3 7 9" xfId="0"/>
    <cellStyle name="40% - 강조색3 8" xfId="0"/>
    <cellStyle name="40% - 강조색3 8 10" xfId="0"/>
    <cellStyle name="40% - 강조색3 8 11" xfId="0"/>
    <cellStyle name="40% - 강조색3 8 12" xfId="0"/>
    <cellStyle name="40% - 강조색3 8 13" xfId="0"/>
    <cellStyle name="40% - 강조색3 8 14" xfId="0"/>
    <cellStyle name="40% - 강조색3 8 2" xfId="0"/>
    <cellStyle name="40% - 강조색3 8 2 2" xfId="0"/>
    <cellStyle name="40% - 강조색3 8 3" xfId="0"/>
    <cellStyle name="40% - 강조색3 8 3 2" xfId="0"/>
    <cellStyle name="40% - 강조색3 8 4" xfId="0"/>
    <cellStyle name="40% - 강조색3 8 4 2" xfId="0"/>
    <cellStyle name="40% - 강조색3 8 5" xfId="0"/>
    <cellStyle name="40% - 강조색3 8 5 2" xfId="0"/>
    <cellStyle name="40% - 강조색3 8 6" xfId="0"/>
    <cellStyle name="40% - 강조색3 8 6 2" xfId="0"/>
    <cellStyle name="40% - 강조색3 8 7" xfId="0"/>
    <cellStyle name="40% - 강조색3 8 8" xfId="0"/>
    <cellStyle name="40% - 강조색3 8 9" xfId="0"/>
    <cellStyle name="40% - 강조색3 9" xfId="0"/>
    <cellStyle name="40% - 강조색3 9 10" xfId="0"/>
    <cellStyle name="40% - 강조색3 9 11" xfId="0"/>
    <cellStyle name="40% - 강조색3 9 12" xfId="0"/>
    <cellStyle name="40% - 강조색3 9 13" xfId="0"/>
    <cellStyle name="40% - 강조색3 9 14" xfId="0"/>
    <cellStyle name="40% - 강조색3 9 2" xfId="0"/>
    <cellStyle name="40% - 강조색3 9 2 2" xfId="0"/>
    <cellStyle name="40% - 강조색3 9 3" xfId="0"/>
    <cellStyle name="40% - 강조색3 9 3 2" xfId="0"/>
    <cellStyle name="40% - 강조색3 9 4" xfId="0"/>
    <cellStyle name="40% - 강조색3 9 4 2" xfId="0"/>
    <cellStyle name="40% - 강조색3 9 5" xfId="0"/>
    <cellStyle name="40% - 강조색3 9 5 2" xfId="0"/>
    <cellStyle name="40% - 강조색3 9 6" xfId="0"/>
    <cellStyle name="40% - 강조색3 9 6 2" xfId="0"/>
    <cellStyle name="40% - 강조색3 9 7" xfId="0"/>
    <cellStyle name="40% - 강조색3 9 8" xfId="0"/>
    <cellStyle name="40% - 강조색3 9 9" xfId="0"/>
    <cellStyle name="40% - 강조색4 10" xfId="0"/>
    <cellStyle name="40% - 강조색4 10 2" xfId="0"/>
    <cellStyle name="40% - 강조색4 10 2 2" xfId="0"/>
    <cellStyle name="40% - 강조색4 10 3" xfId="0"/>
    <cellStyle name="40% - 강조색4 10 3 2" xfId="0"/>
    <cellStyle name="40% - 강조색4 10 4" xfId="0"/>
    <cellStyle name="40% - 강조색4 10 4 2" xfId="0"/>
    <cellStyle name="40% - 강조색4 10 5" xfId="0"/>
    <cellStyle name="40% - 강조색4 10 6" xfId="0"/>
    <cellStyle name="40% - 강조색4 10 7" xfId="0"/>
    <cellStyle name="40% - 강조색4 11" xfId="0"/>
    <cellStyle name="40% - 강조색4 11 2" xfId="0"/>
    <cellStyle name="40% - 강조색4 11 2 2" xfId="0"/>
    <cellStyle name="40% - 강조색4 11 3" xfId="0"/>
    <cellStyle name="40% - 강조색4 11 3 2" xfId="0"/>
    <cellStyle name="40% - 강조색4 11 4" xfId="0"/>
    <cellStyle name="40% - 강조색4 11 4 2" xfId="0"/>
    <cellStyle name="40% - 강조색4 11 5" xfId="0"/>
    <cellStyle name="40% - 강조색4 11 6" xfId="0"/>
    <cellStyle name="40% - 강조색4 11 7" xfId="0"/>
    <cellStyle name="40% - 강조색4 12" xfId="0"/>
    <cellStyle name="40% - 강조색4 12 2" xfId="0"/>
    <cellStyle name="40% - 강조색4 12 3" xfId="0"/>
    <cellStyle name="40% - 강조색4 12 4" xfId="0"/>
    <cellStyle name="40% - 강조색4 13" xfId="0"/>
    <cellStyle name="40% - 강조색4 13 2" xfId="0"/>
    <cellStyle name="40% - 강조색4 13 3" xfId="0"/>
    <cellStyle name="40% - 강조색4 13 4" xfId="0"/>
    <cellStyle name="40% - 강조색4 14" xfId="0"/>
    <cellStyle name="40% - 강조색4 14 2" xfId="0"/>
    <cellStyle name="40% - 강조색4 15" xfId="0"/>
    <cellStyle name="40% - 강조색4 15 2" xfId="0"/>
    <cellStyle name="40% - 강조색4 16" xfId="0"/>
    <cellStyle name="40% - 강조색4 16 2" xfId="0"/>
    <cellStyle name="40% - 강조색4 17" xfId="0"/>
    <cellStyle name="40% - 강조색4 17 2" xfId="0"/>
    <cellStyle name="40% - 강조색4 18" xfId="0"/>
    <cellStyle name="40% - 강조색4 18 2" xfId="0"/>
    <cellStyle name="40% - 강조색4 19" xfId="0"/>
    <cellStyle name="40% - 강조색4 19 2" xfId="0"/>
    <cellStyle name="40% - 강조색4 19 3" xfId="0"/>
    <cellStyle name="40% - 강조색4 2" xfId="0"/>
    <cellStyle name="40% - 강조색4 2 10" xfId="0"/>
    <cellStyle name="40% - 강조색4 2 11" xfId="0"/>
    <cellStyle name="40% - 강조색4 2 12" xfId="0"/>
    <cellStyle name="40% - 강조색4 2 13" xfId="0"/>
    <cellStyle name="40% - 강조색4 2 2" xfId="0"/>
    <cellStyle name="40% - 강조색4 2 2 10" xfId="0"/>
    <cellStyle name="40% - 강조색4 2 2 2" xfId="0"/>
    <cellStyle name="40% - 강조색4 2 2 3" xfId="0"/>
    <cellStyle name="40% - 강조색4 2 2 4" xfId="0"/>
    <cellStyle name="40% - 강조색4 2 2 5" xfId="0"/>
    <cellStyle name="40% - 강조색4 2 2 6" xfId="0"/>
    <cellStyle name="40% - 강조색4 2 2 7" xfId="0"/>
    <cellStyle name="40% - 강조색4 2 2 8" xfId="0"/>
    <cellStyle name="40% - 강조색4 2 2 9" xfId="0"/>
    <cellStyle name="40% - 강조색4 2 3" xfId="0"/>
    <cellStyle name="40% - 강조색4 2 3 10" xfId="0"/>
    <cellStyle name="40% - 강조색4 2 3 2" xfId="0"/>
    <cellStyle name="40% - 강조색4 2 3 3" xfId="0"/>
    <cellStyle name="40% - 강조색4 2 3 4" xfId="0"/>
    <cellStyle name="40% - 강조색4 2 3 5" xfId="0"/>
    <cellStyle name="40% - 강조색4 2 3 6" xfId="0"/>
    <cellStyle name="40% - 강조색4 2 3 7" xfId="0"/>
    <cellStyle name="40% - 강조색4 2 3 8" xfId="0"/>
    <cellStyle name="40% - 강조색4 2 3 9" xfId="0"/>
    <cellStyle name="40% - 강조색4 2 4" xfId="0"/>
    <cellStyle name="40% - 강조색4 2 4 10" xfId="0"/>
    <cellStyle name="40% - 강조색4 2 4 2" xfId="0"/>
    <cellStyle name="40% - 강조색4 2 4 3" xfId="0"/>
    <cellStyle name="40% - 강조색4 2 4 4" xfId="0"/>
    <cellStyle name="40% - 강조색4 2 4 5" xfId="0"/>
    <cellStyle name="40% - 강조색4 2 4 6" xfId="0"/>
    <cellStyle name="40% - 강조색4 2 4 7" xfId="0"/>
    <cellStyle name="40% - 강조색4 2 4 8" xfId="0"/>
    <cellStyle name="40% - 강조색4 2 4 9" xfId="0"/>
    <cellStyle name="40% - 강조색4 2 5" xfId="0"/>
    <cellStyle name="40% - 강조색4 2 5 10" xfId="0"/>
    <cellStyle name="40% - 강조색4 2 5 2" xfId="0"/>
    <cellStyle name="40% - 강조색4 2 5 3" xfId="0"/>
    <cellStyle name="40% - 강조색4 2 5 4" xfId="0"/>
    <cellStyle name="40% - 강조색4 2 5 5" xfId="0"/>
    <cellStyle name="40% - 강조색4 2 5 6" xfId="0"/>
    <cellStyle name="40% - 강조색4 2 5 7" xfId="0"/>
    <cellStyle name="40% - 강조색4 2 5 8" xfId="0"/>
    <cellStyle name="40% - 강조색4 2 5 9" xfId="0"/>
    <cellStyle name="40% - 강조색4 2 6" xfId="0"/>
    <cellStyle name="40% - 강조색4 2 6 10" xfId="0"/>
    <cellStyle name="40% - 강조색4 2 6 2" xfId="0"/>
    <cellStyle name="40% - 강조색4 2 6 3" xfId="0"/>
    <cellStyle name="40% - 강조색4 2 6 4" xfId="0"/>
    <cellStyle name="40% - 강조색4 2 6 5" xfId="0"/>
    <cellStyle name="40% - 강조색4 2 6 6" xfId="0"/>
    <cellStyle name="40% - 강조색4 2 6 7" xfId="0"/>
    <cellStyle name="40% - 강조색4 2 6 8" xfId="0"/>
    <cellStyle name="40% - 강조색4 2 6 9" xfId="0"/>
    <cellStyle name="40% - 강조색4 2 7" xfId="0"/>
    <cellStyle name="40% - 강조색4 2 7 10" xfId="0"/>
    <cellStyle name="40% - 강조색4 2 7 2" xfId="0"/>
    <cellStyle name="40% - 강조색4 2 7 3" xfId="0"/>
    <cellStyle name="40% - 강조색4 2 7 4" xfId="0"/>
    <cellStyle name="40% - 강조색4 2 7 5" xfId="0"/>
    <cellStyle name="40% - 강조색4 2 7 6" xfId="0"/>
    <cellStyle name="40% - 강조색4 2 7 7" xfId="0"/>
    <cellStyle name="40% - 강조색4 2 7 8" xfId="0"/>
    <cellStyle name="40% - 강조색4 2 7 9" xfId="0"/>
    <cellStyle name="40% - 강조색4 2 8" xfId="0"/>
    <cellStyle name="40% - 강조색4 2 8 2" xfId="0"/>
    <cellStyle name="40% - 강조색4 2 9" xfId="0"/>
    <cellStyle name="40% - 강조색4 20" xfId="0"/>
    <cellStyle name="40% - 강조색4 21" xfId="0"/>
    <cellStyle name="40% - 강조색4 22" xfId="0"/>
    <cellStyle name="40% - 강조색4 23" xfId="0"/>
    <cellStyle name="40% - 강조색4 24" xfId="0"/>
    <cellStyle name="40% - 강조색4 25" xfId="0"/>
    <cellStyle name="40% - 강조색4 26" xfId="0"/>
    <cellStyle name="40% - 강조색4 27" xfId="0"/>
    <cellStyle name="40% - 강조색4 2_3300현금및예치금" xfId="0"/>
    <cellStyle name="40% - 강조색4 3" xfId="0"/>
    <cellStyle name="40% - 강조색4 3 10" xfId="0"/>
    <cellStyle name="40% - 강조색4 3 10 2" xfId="0"/>
    <cellStyle name="40% - 강조색4 3 11" xfId="0"/>
    <cellStyle name="40% - 강조색4 3 11 2" xfId="0"/>
    <cellStyle name="40% - 강조색4 3 12" xfId="0"/>
    <cellStyle name="40% - 강조색4 3 12 2" xfId="0"/>
    <cellStyle name="40% - 강조색4 3 13" xfId="0"/>
    <cellStyle name="40% - 강조색4 3 14" xfId="0"/>
    <cellStyle name="40% - 강조색4 3 15" xfId="0"/>
    <cellStyle name="40% - 강조색4 3 16" xfId="0"/>
    <cellStyle name="40% - 강조색4 3 17" xfId="0"/>
    <cellStyle name="40% - 강조색4 3 18" xfId="0"/>
    <cellStyle name="40% - 강조색4 3 19" xfId="0"/>
    <cellStyle name="40% - 강조색4 3 2" xfId="0"/>
    <cellStyle name="40% - 강조색4 3 2 2" xfId="0"/>
    <cellStyle name="40% - 강조색4 3 2 3" xfId="0"/>
    <cellStyle name="40% - 강조색4 3 20" xfId="0"/>
    <cellStyle name="40% - 강조색4 3 3" xfId="0"/>
    <cellStyle name="40% - 강조색4 3 3 2" xfId="0"/>
    <cellStyle name="40% - 강조색4 3 3 3" xfId="0"/>
    <cellStyle name="40% - 강조색4 3 4" xfId="0"/>
    <cellStyle name="40% - 강조색4 3 4 2" xfId="0"/>
    <cellStyle name="40% - 강조색4 3 4 3" xfId="0"/>
    <cellStyle name="40% - 강조색4 3 5" xfId="0"/>
    <cellStyle name="40% - 강조색4 3 5 2" xfId="0"/>
    <cellStyle name="40% - 강조색4 3 5 3" xfId="0"/>
    <cellStyle name="40% - 강조색4 3 6" xfId="0"/>
    <cellStyle name="40% - 강조색4 3 6 2" xfId="0"/>
    <cellStyle name="40% - 강조색4 3 6 3" xfId="0"/>
    <cellStyle name="40% - 강조색4 3 7" xfId="0"/>
    <cellStyle name="40% - 강조색4 3 7 2" xfId="0"/>
    <cellStyle name="40% - 강조색4 3 7 3" xfId="0"/>
    <cellStyle name="40% - 강조색4 3 8" xfId="0"/>
    <cellStyle name="40% - 강조색4 3 8 2" xfId="0"/>
    <cellStyle name="40% - 강조색4 3 8 3" xfId="0"/>
    <cellStyle name="40% - 강조색4 3 9" xfId="0"/>
    <cellStyle name="40% - 강조색4 3 9 2" xfId="0"/>
    <cellStyle name="40% - 강조색4 3_운용자산별 손익분석" xfId="0"/>
    <cellStyle name="40% - 강조색4 4" xfId="0"/>
    <cellStyle name="40% - 강조색4 4 10" xfId="0"/>
    <cellStyle name="40% - 강조색4 4 11" xfId="0"/>
    <cellStyle name="40% - 강조색4 4 12" xfId="0"/>
    <cellStyle name="40% - 강조색4 4 13" xfId="0"/>
    <cellStyle name="40% - 강조색4 4 2" xfId="0"/>
    <cellStyle name="40% - 강조색4 4 3" xfId="0"/>
    <cellStyle name="40% - 강조색4 4 4" xfId="0"/>
    <cellStyle name="40% - 강조색4 4 5" xfId="0"/>
    <cellStyle name="40% - 강조색4 4 6" xfId="0"/>
    <cellStyle name="40% - 강조색4 4 7" xfId="0"/>
    <cellStyle name="40% - 강조색4 4 8" xfId="0"/>
    <cellStyle name="40% - 강조색4 4 9" xfId="0"/>
    <cellStyle name="40% - 강조색4 4_운용자산별 손익분석" xfId="0"/>
    <cellStyle name="40% - 강조색4 5" xfId="0"/>
    <cellStyle name="40% - 강조색4 5 10" xfId="0"/>
    <cellStyle name="40% - 강조색4 5 11" xfId="0"/>
    <cellStyle name="40% - 강조색4 5 12" xfId="0"/>
    <cellStyle name="40% - 강조색4 5 13" xfId="0"/>
    <cellStyle name="40% - 강조색4 5 14" xfId="0"/>
    <cellStyle name="40% - 강조색4 5 15" xfId="0"/>
    <cellStyle name="40% - 강조색4 5 16" xfId="0"/>
    <cellStyle name="40% - 강조색4 5 17" xfId="0"/>
    <cellStyle name="40% - 강조색4 5 18" xfId="0"/>
    <cellStyle name="40% - 강조색4 5 19" xfId="0"/>
    <cellStyle name="40% - 강조색4 5 2" xfId="0"/>
    <cellStyle name="40% - 강조색4 5 20" xfId="0"/>
    <cellStyle name="40% - 강조색4 5 21" xfId="0"/>
    <cellStyle name="40% - 강조색4 5 22" xfId="0"/>
    <cellStyle name="40% - 강조색4 5 23" xfId="0"/>
    <cellStyle name="40% - 강조색4 5 24" xfId="0"/>
    <cellStyle name="40% - 강조색4 5 25" xfId="0"/>
    <cellStyle name="40% - 강조색4 5 26" xfId="0"/>
    <cellStyle name="40% - 강조색4 5 27" xfId="0"/>
    <cellStyle name="40% - 강조색4 5 28" xfId="0"/>
    <cellStyle name="40% - 강조색4 5 29" xfId="0"/>
    <cellStyle name="40% - 강조색4 5 3" xfId="0"/>
    <cellStyle name="40% - 강조색4 5 30" xfId="0"/>
    <cellStyle name="40% - 강조색4 5 31" xfId="0"/>
    <cellStyle name="40% - 강조색4 5 32" xfId="0"/>
    <cellStyle name="40% - 강조색4 5 33" xfId="0"/>
    <cellStyle name="40% - 강조색4 5 34" xfId="0"/>
    <cellStyle name="40% - 강조색4 5 4" xfId="0"/>
    <cellStyle name="40% - 강조색4 5 5" xfId="0"/>
    <cellStyle name="40% - 강조색4 5 6" xfId="0"/>
    <cellStyle name="40% - 강조색4 5 7" xfId="0"/>
    <cellStyle name="40% - 강조색4 5 8" xfId="0"/>
    <cellStyle name="40% - 강조색4 5 9" xfId="0"/>
    <cellStyle name="40% - 강조색4 6" xfId="0"/>
    <cellStyle name="40% - 강조색4 6 10" xfId="0"/>
    <cellStyle name="40% - 강조색4 6 11" xfId="0"/>
    <cellStyle name="40% - 강조색4 6 12" xfId="0"/>
    <cellStyle name="40% - 강조색4 6 13" xfId="0"/>
    <cellStyle name="40% - 강조색4 6 14" xfId="0"/>
    <cellStyle name="40% - 강조색4 6 15" xfId="0"/>
    <cellStyle name="40% - 강조색4 6 16" xfId="0"/>
    <cellStyle name="40% - 강조색4 6 17" xfId="0"/>
    <cellStyle name="40% - 강조색4 6 18" xfId="0"/>
    <cellStyle name="40% - 강조색4 6 19" xfId="0"/>
    <cellStyle name="40% - 강조색4 6 2" xfId="0"/>
    <cellStyle name="40% - 강조색4 6 20" xfId="0"/>
    <cellStyle name="40% - 강조색4 6 21" xfId="0"/>
    <cellStyle name="40% - 강조색4 6 22" xfId="0"/>
    <cellStyle name="40% - 강조색4 6 23" xfId="0"/>
    <cellStyle name="40% - 강조색4 6 24" xfId="0"/>
    <cellStyle name="40% - 강조색4 6 25" xfId="0"/>
    <cellStyle name="40% - 강조색4 6 26" xfId="0"/>
    <cellStyle name="40% - 강조색4 6 27" xfId="0"/>
    <cellStyle name="40% - 강조색4 6 28" xfId="0"/>
    <cellStyle name="40% - 강조색4 6 29" xfId="0"/>
    <cellStyle name="40% - 강조색4 6 3" xfId="0"/>
    <cellStyle name="40% - 강조색4 6 30" xfId="0"/>
    <cellStyle name="40% - 강조색4 6 4" xfId="0"/>
    <cellStyle name="40% - 강조색4 6 5" xfId="0"/>
    <cellStyle name="40% - 강조색4 6 6" xfId="0"/>
    <cellStyle name="40% - 강조색4 6 7" xfId="0"/>
    <cellStyle name="40% - 강조색4 6 8" xfId="0"/>
    <cellStyle name="40% - 강조색4 6 9" xfId="0"/>
    <cellStyle name="40% - 강조색4 7" xfId="0"/>
    <cellStyle name="40% - 강조색4 7 10" xfId="0"/>
    <cellStyle name="40% - 강조색4 7 11" xfId="0"/>
    <cellStyle name="40% - 강조색4 7 12" xfId="0"/>
    <cellStyle name="40% - 강조색4 7 13" xfId="0"/>
    <cellStyle name="40% - 강조색4 7 14" xfId="0"/>
    <cellStyle name="40% - 강조색4 7 15" xfId="0"/>
    <cellStyle name="40% - 강조색4 7 2" xfId="0"/>
    <cellStyle name="40% - 강조색4 7 2 2" xfId="0"/>
    <cellStyle name="40% - 강조색4 7 3" xfId="0"/>
    <cellStyle name="40% - 강조색4 7 3 2" xfId="0"/>
    <cellStyle name="40% - 강조색4 7 4" xfId="0"/>
    <cellStyle name="40% - 강조색4 7 4 2" xfId="0"/>
    <cellStyle name="40% - 강조색4 7 5" xfId="0"/>
    <cellStyle name="40% - 강조색4 7 5 2" xfId="0"/>
    <cellStyle name="40% - 강조색4 7 6" xfId="0"/>
    <cellStyle name="40% - 강조색4 7 6 2" xfId="0"/>
    <cellStyle name="40% - 강조색4 7 7" xfId="0"/>
    <cellStyle name="40% - 강조색4 7 8" xfId="0"/>
    <cellStyle name="40% - 강조색4 7 9" xfId="0"/>
    <cellStyle name="40% - 강조색4 8" xfId="0"/>
    <cellStyle name="40% - 강조색4 8 10" xfId="0"/>
    <cellStyle name="40% - 강조색4 8 11" xfId="0"/>
    <cellStyle name="40% - 강조색4 8 12" xfId="0"/>
    <cellStyle name="40% - 강조색4 8 13" xfId="0"/>
    <cellStyle name="40% - 강조색4 8 14" xfId="0"/>
    <cellStyle name="40% - 강조색4 8 2" xfId="0"/>
    <cellStyle name="40% - 강조색4 8 2 2" xfId="0"/>
    <cellStyle name="40% - 강조색4 8 3" xfId="0"/>
    <cellStyle name="40% - 강조색4 8 3 2" xfId="0"/>
    <cellStyle name="40% - 강조색4 8 4" xfId="0"/>
    <cellStyle name="40% - 강조색4 8 4 2" xfId="0"/>
    <cellStyle name="40% - 강조색4 8 5" xfId="0"/>
    <cellStyle name="40% - 강조색4 8 5 2" xfId="0"/>
    <cellStyle name="40% - 강조색4 8 6" xfId="0"/>
    <cellStyle name="40% - 강조색4 8 6 2" xfId="0"/>
    <cellStyle name="40% - 강조색4 8 7" xfId="0"/>
    <cellStyle name="40% - 강조색4 8 8" xfId="0"/>
    <cellStyle name="40% - 강조색4 8 9" xfId="0"/>
    <cellStyle name="40% - 강조색4 9" xfId="0"/>
    <cellStyle name="40% - 강조색4 9 10" xfId="0"/>
    <cellStyle name="40% - 강조색4 9 11" xfId="0"/>
    <cellStyle name="40% - 강조색4 9 12" xfId="0"/>
    <cellStyle name="40% - 강조색4 9 13" xfId="0"/>
    <cellStyle name="40% - 강조색4 9 14" xfId="0"/>
    <cellStyle name="40% - 강조색4 9 2" xfId="0"/>
    <cellStyle name="40% - 강조색4 9 2 2" xfId="0"/>
    <cellStyle name="40% - 강조색4 9 3" xfId="0"/>
    <cellStyle name="40% - 강조색4 9 3 2" xfId="0"/>
    <cellStyle name="40% - 강조색4 9 4" xfId="0"/>
    <cellStyle name="40% - 강조색4 9 4 2" xfId="0"/>
    <cellStyle name="40% - 강조색4 9 5" xfId="0"/>
    <cellStyle name="40% - 강조색4 9 5 2" xfId="0"/>
    <cellStyle name="40% - 강조색4 9 6" xfId="0"/>
    <cellStyle name="40% - 강조색4 9 6 2" xfId="0"/>
    <cellStyle name="40% - 강조색4 9 7" xfId="0"/>
    <cellStyle name="40% - 강조색4 9 8" xfId="0"/>
    <cellStyle name="40% - 강조색4 9 9" xfId="0"/>
    <cellStyle name="40% - 강조색5 10" xfId="0"/>
    <cellStyle name="40% - 강조색5 10 2" xfId="0"/>
    <cellStyle name="40% - 강조색5 10 2 2" xfId="0"/>
    <cellStyle name="40% - 강조색5 10 3" xfId="0"/>
    <cellStyle name="40% - 강조색5 10 3 2" xfId="0"/>
    <cellStyle name="40% - 강조색5 10 4" xfId="0"/>
    <cellStyle name="40% - 강조색5 10 4 2" xfId="0"/>
    <cellStyle name="40% - 강조색5 10 5" xfId="0"/>
    <cellStyle name="40% - 강조색5 10 6" xfId="0"/>
    <cellStyle name="40% - 강조색5 10 7" xfId="0"/>
    <cellStyle name="40% - 강조색5 11" xfId="0"/>
    <cellStyle name="40% - 강조색5 11 2" xfId="0"/>
    <cellStyle name="40% - 강조색5 11 2 2" xfId="0"/>
    <cellStyle name="40% - 강조색5 11 3" xfId="0"/>
    <cellStyle name="40% - 강조색5 11 3 2" xfId="0"/>
    <cellStyle name="40% - 강조색5 11 4" xfId="0"/>
    <cellStyle name="40% - 강조색5 11 4 2" xfId="0"/>
    <cellStyle name="40% - 강조색5 11 5" xfId="0"/>
    <cellStyle name="40% - 강조색5 11 6" xfId="0"/>
    <cellStyle name="40% - 강조색5 11 7" xfId="0"/>
    <cellStyle name="40% - 강조색5 12" xfId="0"/>
    <cellStyle name="40% - 강조색5 12 2" xfId="0"/>
    <cellStyle name="40% - 강조색5 12 3" xfId="0"/>
    <cellStyle name="40% - 강조색5 12 4" xfId="0"/>
    <cellStyle name="40% - 강조색5 13" xfId="0"/>
    <cellStyle name="40% - 강조색5 13 2" xfId="0"/>
    <cellStyle name="40% - 강조색5 13 3" xfId="0"/>
    <cellStyle name="40% - 강조색5 13 4" xfId="0"/>
    <cellStyle name="40% - 강조색5 14" xfId="0"/>
    <cellStyle name="40% - 강조색5 14 2" xfId="0"/>
    <cellStyle name="40% - 강조색5 15" xfId="0"/>
    <cellStyle name="40% - 강조색5 15 2" xfId="0"/>
    <cellStyle name="40% - 강조색5 16" xfId="0"/>
    <cellStyle name="40% - 강조색5 16 2" xfId="0"/>
    <cellStyle name="40% - 강조색5 17" xfId="0"/>
    <cellStyle name="40% - 강조색5 17 2" xfId="0"/>
    <cellStyle name="40% - 강조색5 18" xfId="0"/>
    <cellStyle name="40% - 강조색5 18 2" xfId="0"/>
    <cellStyle name="40% - 강조색5 19" xfId="0"/>
    <cellStyle name="40% - 강조색5 19 2" xfId="0"/>
    <cellStyle name="40% - 강조색5 19 3" xfId="0"/>
    <cellStyle name="40% - 강조색5 2" xfId="0"/>
    <cellStyle name="40% - 강조색5 2 10" xfId="0"/>
    <cellStyle name="40% - 강조색5 2 11" xfId="0"/>
    <cellStyle name="40% - 강조색5 2 12" xfId="0"/>
    <cellStyle name="40% - 강조색5 2 13" xfId="0"/>
    <cellStyle name="40% - 강조색5 2 2" xfId="0"/>
    <cellStyle name="40% - 강조색5 2 2 10" xfId="0"/>
    <cellStyle name="40% - 강조색5 2 2 2" xfId="0"/>
    <cellStyle name="40% - 강조색5 2 2 3" xfId="0"/>
    <cellStyle name="40% - 강조색5 2 2 4" xfId="0"/>
    <cellStyle name="40% - 강조색5 2 2 5" xfId="0"/>
    <cellStyle name="40% - 강조색5 2 2 6" xfId="0"/>
    <cellStyle name="40% - 강조색5 2 2 7" xfId="0"/>
    <cellStyle name="40% - 강조색5 2 2 8" xfId="0"/>
    <cellStyle name="40% - 강조색5 2 2 9" xfId="0"/>
    <cellStyle name="40% - 강조색5 2 3" xfId="0"/>
    <cellStyle name="40% - 강조색5 2 3 10" xfId="0"/>
    <cellStyle name="40% - 강조색5 2 3 2" xfId="0"/>
    <cellStyle name="40% - 강조색5 2 3 3" xfId="0"/>
    <cellStyle name="40% - 강조색5 2 3 4" xfId="0"/>
    <cellStyle name="40% - 강조색5 2 3 5" xfId="0"/>
    <cellStyle name="40% - 강조색5 2 3 6" xfId="0"/>
    <cellStyle name="40% - 강조색5 2 3 7" xfId="0"/>
    <cellStyle name="40% - 강조색5 2 3 8" xfId="0"/>
    <cellStyle name="40% - 강조색5 2 3 9" xfId="0"/>
    <cellStyle name="40% - 강조색5 2 4" xfId="0"/>
    <cellStyle name="40% - 강조색5 2 4 10" xfId="0"/>
    <cellStyle name="40% - 강조색5 2 4 2" xfId="0"/>
    <cellStyle name="40% - 강조색5 2 4 3" xfId="0"/>
    <cellStyle name="40% - 강조색5 2 4 4" xfId="0"/>
    <cellStyle name="40% - 강조색5 2 4 5" xfId="0"/>
    <cellStyle name="40% - 강조색5 2 4 6" xfId="0"/>
    <cellStyle name="40% - 강조색5 2 4 7" xfId="0"/>
    <cellStyle name="40% - 강조색5 2 4 8" xfId="0"/>
    <cellStyle name="40% - 강조색5 2 4 9" xfId="0"/>
    <cellStyle name="40% - 강조색5 2 5" xfId="0"/>
    <cellStyle name="40% - 강조색5 2 5 10" xfId="0"/>
    <cellStyle name="40% - 강조색5 2 5 2" xfId="0"/>
    <cellStyle name="40% - 강조색5 2 5 3" xfId="0"/>
    <cellStyle name="40% - 강조색5 2 5 4" xfId="0"/>
    <cellStyle name="40% - 강조색5 2 5 5" xfId="0"/>
    <cellStyle name="40% - 강조색5 2 5 6" xfId="0"/>
    <cellStyle name="40% - 강조색5 2 5 7" xfId="0"/>
    <cellStyle name="40% - 강조색5 2 5 8" xfId="0"/>
    <cellStyle name="40% - 강조색5 2 5 9" xfId="0"/>
    <cellStyle name="40% - 강조색5 2 6" xfId="0"/>
    <cellStyle name="40% - 강조색5 2 6 10" xfId="0"/>
    <cellStyle name="40% - 강조색5 2 6 2" xfId="0"/>
    <cellStyle name="40% - 강조색5 2 6 3" xfId="0"/>
    <cellStyle name="40% - 강조색5 2 6 4" xfId="0"/>
    <cellStyle name="40% - 강조색5 2 6 5" xfId="0"/>
    <cellStyle name="40% - 강조색5 2 6 6" xfId="0"/>
    <cellStyle name="40% - 강조색5 2 6 7" xfId="0"/>
    <cellStyle name="40% - 강조색5 2 6 8" xfId="0"/>
    <cellStyle name="40% - 강조색5 2 6 9" xfId="0"/>
    <cellStyle name="40% - 강조색5 2 7" xfId="0"/>
    <cellStyle name="40% - 강조색5 2 7 10" xfId="0"/>
    <cellStyle name="40% - 강조색5 2 7 2" xfId="0"/>
    <cellStyle name="40% - 강조색5 2 7 3" xfId="0"/>
    <cellStyle name="40% - 강조색5 2 7 4" xfId="0"/>
    <cellStyle name="40% - 강조색5 2 7 5" xfId="0"/>
    <cellStyle name="40% - 강조색5 2 7 6" xfId="0"/>
    <cellStyle name="40% - 강조색5 2 7 7" xfId="0"/>
    <cellStyle name="40% - 강조색5 2 7 8" xfId="0"/>
    <cellStyle name="40% - 강조색5 2 7 9" xfId="0"/>
    <cellStyle name="40% - 강조색5 2 8" xfId="0"/>
    <cellStyle name="40% - 강조색5 2 8 2" xfId="0"/>
    <cellStyle name="40% - 강조색5 2 9" xfId="0"/>
    <cellStyle name="40% - 강조색5 20" xfId="0"/>
    <cellStyle name="40% - 강조색5 21" xfId="0"/>
    <cellStyle name="40% - 강조색5 22" xfId="0"/>
    <cellStyle name="40% - 강조색5 23" xfId="0"/>
    <cellStyle name="40% - 강조색5 24" xfId="0"/>
    <cellStyle name="40% - 강조색5 25" xfId="0"/>
    <cellStyle name="40% - 강조색5 26" xfId="0"/>
    <cellStyle name="40% - 강조색5 27" xfId="0"/>
    <cellStyle name="40% - 강조색5 2_3300현금및예치금" xfId="0"/>
    <cellStyle name="40% - 강조색5 3" xfId="0"/>
    <cellStyle name="40% - 강조색5 3 10" xfId="0"/>
    <cellStyle name="40% - 강조색5 3 10 2" xfId="0"/>
    <cellStyle name="40% - 강조색5 3 11" xfId="0"/>
    <cellStyle name="40% - 강조색5 3 11 2" xfId="0"/>
    <cellStyle name="40% - 강조색5 3 12" xfId="0"/>
    <cellStyle name="40% - 강조색5 3 12 2" xfId="0"/>
    <cellStyle name="40% - 강조색5 3 13" xfId="0"/>
    <cellStyle name="40% - 강조색5 3 14" xfId="0"/>
    <cellStyle name="40% - 강조색5 3 15" xfId="0"/>
    <cellStyle name="40% - 강조색5 3 16" xfId="0"/>
    <cellStyle name="40% - 강조색5 3 17" xfId="0"/>
    <cellStyle name="40% - 강조색5 3 18" xfId="0"/>
    <cellStyle name="40% - 강조색5 3 19" xfId="0"/>
    <cellStyle name="40% - 강조색5 3 2" xfId="0"/>
    <cellStyle name="40% - 강조색5 3 2 2" xfId="0"/>
    <cellStyle name="40% - 강조색5 3 2 3" xfId="0"/>
    <cellStyle name="40% - 강조색5 3 20" xfId="0"/>
    <cellStyle name="40% - 강조색5 3 3" xfId="0"/>
    <cellStyle name="40% - 강조색5 3 3 2" xfId="0"/>
    <cellStyle name="40% - 강조색5 3 3 3" xfId="0"/>
    <cellStyle name="40% - 강조색5 3 4" xfId="0"/>
    <cellStyle name="40% - 강조색5 3 4 2" xfId="0"/>
    <cellStyle name="40% - 강조색5 3 4 3" xfId="0"/>
    <cellStyle name="40% - 강조색5 3 5" xfId="0"/>
    <cellStyle name="40% - 강조색5 3 5 2" xfId="0"/>
    <cellStyle name="40% - 강조색5 3 5 3" xfId="0"/>
    <cellStyle name="40% - 강조색5 3 6" xfId="0"/>
    <cellStyle name="40% - 강조색5 3 6 2" xfId="0"/>
    <cellStyle name="40% - 강조색5 3 6 3" xfId="0"/>
    <cellStyle name="40% - 강조색5 3 7" xfId="0"/>
    <cellStyle name="40% - 강조색5 3 7 2" xfId="0"/>
    <cellStyle name="40% - 강조색5 3 7 3" xfId="0"/>
    <cellStyle name="40% - 강조색5 3 8" xfId="0"/>
    <cellStyle name="40% - 강조색5 3 8 2" xfId="0"/>
    <cellStyle name="40% - 강조색5 3 8 3" xfId="0"/>
    <cellStyle name="40% - 강조색5 3 9" xfId="0"/>
    <cellStyle name="40% - 강조색5 3 9 2" xfId="0"/>
    <cellStyle name="40% - 강조색5 3_운용자산별 손익분석" xfId="0"/>
    <cellStyle name="40% - 강조색5 4" xfId="0"/>
    <cellStyle name="40% - 강조색5 4 10" xfId="0"/>
    <cellStyle name="40% - 강조색5 4 11" xfId="0"/>
    <cellStyle name="40% - 강조색5 4 12" xfId="0"/>
    <cellStyle name="40% - 강조색5 4 13" xfId="0"/>
    <cellStyle name="40% - 강조색5 4 2" xfId="0"/>
    <cellStyle name="40% - 강조색5 4 3" xfId="0"/>
    <cellStyle name="40% - 강조색5 4 4" xfId="0"/>
    <cellStyle name="40% - 강조색5 4 5" xfId="0"/>
    <cellStyle name="40% - 강조색5 4 6" xfId="0"/>
    <cellStyle name="40% - 강조색5 4 7" xfId="0"/>
    <cellStyle name="40% - 강조색5 4 8" xfId="0"/>
    <cellStyle name="40% - 강조색5 4 9" xfId="0"/>
    <cellStyle name="40% - 강조색5 4_운용자산별 손익분석" xfId="0"/>
    <cellStyle name="40% - 강조색5 5" xfId="0"/>
    <cellStyle name="40% - 강조색5 5 10" xfId="0"/>
    <cellStyle name="40% - 강조색5 5 11" xfId="0"/>
    <cellStyle name="40% - 강조색5 5 12" xfId="0"/>
    <cellStyle name="40% - 강조색5 5 13" xfId="0"/>
    <cellStyle name="40% - 강조색5 5 14" xfId="0"/>
    <cellStyle name="40% - 강조색5 5 15" xfId="0"/>
    <cellStyle name="40% - 강조색5 5 16" xfId="0"/>
    <cellStyle name="40% - 강조색5 5 17" xfId="0"/>
    <cellStyle name="40% - 강조색5 5 18" xfId="0"/>
    <cellStyle name="40% - 강조색5 5 19" xfId="0"/>
    <cellStyle name="40% - 강조색5 5 2" xfId="0"/>
    <cellStyle name="40% - 강조색5 5 20" xfId="0"/>
    <cellStyle name="40% - 강조색5 5 21" xfId="0"/>
    <cellStyle name="40% - 강조색5 5 22" xfId="0"/>
    <cellStyle name="40% - 강조색5 5 23" xfId="0"/>
    <cellStyle name="40% - 강조색5 5 24" xfId="0"/>
    <cellStyle name="40% - 강조색5 5 25" xfId="0"/>
    <cellStyle name="40% - 강조색5 5 26" xfId="0"/>
    <cellStyle name="40% - 강조색5 5 27" xfId="0"/>
    <cellStyle name="40% - 강조색5 5 28" xfId="0"/>
    <cellStyle name="40% - 강조색5 5 29" xfId="0"/>
    <cellStyle name="40% - 강조색5 5 3" xfId="0"/>
    <cellStyle name="40% - 강조색5 5 30" xfId="0"/>
    <cellStyle name="40% - 강조색5 5 31" xfId="0"/>
    <cellStyle name="40% - 강조색5 5 32" xfId="0"/>
    <cellStyle name="40% - 강조색5 5 33" xfId="0"/>
    <cellStyle name="40% - 강조색5 5 34" xfId="0"/>
    <cellStyle name="40% - 강조색5 5 4" xfId="0"/>
    <cellStyle name="40% - 강조색5 5 5" xfId="0"/>
    <cellStyle name="40% - 강조색5 5 6" xfId="0"/>
    <cellStyle name="40% - 강조색5 5 7" xfId="0"/>
    <cellStyle name="40% - 강조색5 5 8" xfId="0"/>
    <cellStyle name="40% - 강조색5 5 9" xfId="0"/>
    <cellStyle name="40% - 강조색5 6" xfId="0"/>
    <cellStyle name="40% - 강조색5 6 10" xfId="0"/>
    <cellStyle name="40% - 강조색5 6 11" xfId="0"/>
    <cellStyle name="40% - 강조색5 6 12" xfId="0"/>
    <cellStyle name="40% - 강조색5 6 13" xfId="0"/>
    <cellStyle name="40% - 강조색5 6 14" xfId="0"/>
    <cellStyle name="40% - 강조색5 6 15" xfId="0"/>
    <cellStyle name="40% - 강조색5 6 16" xfId="0"/>
    <cellStyle name="40% - 강조색5 6 17" xfId="0"/>
    <cellStyle name="40% - 강조색5 6 18" xfId="0"/>
    <cellStyle name="40% - 강조색5 6 19" xfId="0"/>
    <cellStyle name="40% - 강조색5 6 2" xfId="0"/>
    <cellStyle name="40% - 강조색5 6 20" xfId="0"/>
    <cellStyle name="40% - 강조색5 6 21" xfId="0"/>
    <cellStyle name="40% - 강조색5 6 22" xfId="0"/>
    <cellStyle name="40% - 강조색5 6 23" xfId="0"/>
    <cellStyle name="40% - 강조색5 6 24" xfId="0"/>
    <cellStyle name="40% - 강조색5 6 25" xfId="0"/>
    <cellStyle name="40% - 강조색5 6 26" xfId="0"/>
    <cellStyle name="40% - 강조색5 6 27" xfId="0"/>
    <cellStyle name="40% - 강조색5 6 28" xfId="0"/>
    <cellStyle name="40% - 강조색5 6 29" xfId="0"/>
    <cellStyle name="40% - 강조색5 6 3" xfId="0"/>
    <cellStyle name="40% - 강조색5 6 30" xfId="0"/>
    <cellStyle name="40% - 강조색5 6 4" xfId="0"/>
    <cellStyle name="40% - 강조색5 6 5" xfId="0"/>
    <cellStyle name="40% - 강조색5 6 6" xfId="0"/>
    <cellStyle name="40% - 강조색5 6 7" xfId="0"/>
    <cellStyle name="40% - 강조색5 6 8" xfId="0"/>
    <cellStyle name="40% - 강조색5 6 9" xfId="0"/>
    <cellStyle name="40% - 강조색5 7" xfId="0"/>
    <cellStyle name="40% - 강조색5 7 10" xfId="0"/>
    <cellStyle name="40% - 강조색5 7 11" xfId="0"/>
    <cellStyle name="40% - 강조색5 7 12" xfId="0"/>
    <cellStyle name="40% - 강조색5 7 13" xfId="0"/>
    <cellStyle name="40% - 강조색5 7 14" xfId="0"/>
    <cellStyle name="40% - 강조색5 7 15" xfId="0"/>
    <cellStyle name="40% - 강조색5 7 2" xfId="0"/>
    <cellStyle name="40% - 강조색5 7 2 2" xfId="0"/>
    <cellStyle name="40% - 강조색5 7 3" xfId="0"/>
    <cellStyle name="40% - 강조색5 7 3 2" xfId="0"/>
    <cellStyle name="40% - 강조색5 7 4" xfId="0"/>
    <cellStyle name="40% - 강조색5 7 4 2" xfId="0"/>
    <cellStyle name="40% - 강조색5 7 5" xfId="0"/>
    <cellStyle name="40% - 강조색5 7 5 2" xfId="0"/>
    <cellStyle name="40% - 강조색5 7 6" xfId="0"/>
    <cellStyle name="40% - 강조색5 7 6 2" xfId="0"/>
    <cellStyle name="40% - 강조색5 7 7" xfId="0"/>
    <cellStyle name="40% - 강조색5 7 8" xfId="0"/>
    <cellStyle name="40% - 강조색5 7 9" xfId="0"/>
    <cellStyle name="40% - 강조색5 8" xfId="0"/>
    <cellStyle name="40% - 강조색5 8 10" xfId="0"/>
    <cellStyle name="40% - 강조색5 8 11" xfId="0"/>
    <cellStyle name="40% - 강조색5 8 12" xfId="0"/>
    <cellStyle name="40% - 강조색5 8 13" xfId="0"/>
    <cellStyle name="40% - 강조색5 8 14" xfId="0"/>
    <cellStyle name="40% - 강조색5 8 2" xfId="0"/>
    <cellStyle name="40% - 강조색5 8 2 2" xfId="0"/>
    <cellStyle name="40% - 강조색5 8 3" xfId="0"/>
    <cellStyle name="40% - 강조색5 8 3 2" xfId="0"/>
    <cellStyle name="40% - 강조색5 8 4" xfId="0"/>
    <cellStyle name="40% - 강조색5 8 4 2" xfId="0"/>
    <cellStyle name="40% - 강조색5 8 5" xfId="0"/>
    <cellStyle name="40% - 강조색5 8 5 2" xfId="0"/>
    <cellStyle name="40% - 강조색5 8 6" xfId="0"/>
    <cellStyle name="40% - 강조색5 8 6 2" xfId="0"/>
    <cellStyle name="40% - 강조색5 8 7" xfId="0"/>
    <cellStyle name="40% - 강조색5 8 8" xfId="0"/>
    <cellStyle name="40% - 강조색5 8 9" xfId="0"/>
    <cellStyle name="40% - 강조색5 9" xfId="0"/>
    <cellStyle name="40% - 강조색5 9 10" xfId="0"/>
    <cellStyle name="40% - 강조색5 9 11" xfId="0"/>
    <cellStyle name="40% - 강조색5 9 12" xfId="0"/>
    <cellStyle name="40% - 강조색5 9 13" xfId="0"/>
    <cellStyle name="40% - 강조색5 9 14" xfId="0"/>
    <cellStyle name="40% - 강조색5 9 2" xfId="0"/>
    <cellStyle name="40% - 강조색5 9 2 2" xfId="0"/>
    <cellStyle name="40% - 강조색5 9 3" xfId="0"/>
    <cellStyle name="40% - 강조색5 9 3 2" xfId="0"/>
    <cellStyle name="40% - 강조색5 9 4" xfId="0"/>
    <cellStyle name="40% - 강조색5 9 4 2" xfId="0"/>
    <cellStyle name="40% - 강조색5 9 5" xfId="0"/>
    <cellStyle name="40% - 강조색5 9 5 2" xfId="0"/>
    <cellStyle name="40% - 강조색5 9 6" xfId="0"/>
    <cellStyle name="40% - 강조색5 9 6 2" xfId="0"/>
    <cellStyle name="40% - 강조색5 9 7" xfId="0"/>
    <cellStyle name="40% - 강조색5 9 8" xfId="0"/>
    <cellStyle name="40% - 강조색5 9 9" xfId="0"/>
    <cellStyle name="40% - 강조색6 10" xfId="0"/>
    <cellStyle name="40% - 강조색6 10 2" xfId="0"/>
    <cellStyle name="40% - 강조색6 10 2 2" xfId="0"/>
    <cellStyle name="40% - 강조색6 10 3" xfId="0"/>
    <cellStyle name="40% - 강조색6 10 3 2" xfId="0"/>
    <cellStyle name="40% - 강조색6 10 4" xfId="0"/>
    <cellStyle name="40% - 강조색6 10 4 2" xfId="0"/>
    <cellStyle name="40% - 강조색6 10 5" xfId="0"/>
    <cellStyle name="40% - 강조색6 10 6" xfId="0"/>
    <cellStyle name="40% - 강조색6 10 7" xfId="0"/>
    <cellStyle name="40% - 강조색6 11" xfId="0"/>
    <cellStyle name="40% - 강조색6 11 2" xfId="0"/>
    <cellStyle name="40% - 강조색6 11 2 2" xfId="0"/>
    <cellStyle name="40% - 강조색6 11 3" xfId="0"/>
    <cellStyle name="40% - 강조색6 11 3 2" xfId="0"/>
    <cellStyle name="40% - 강조색6 11 4" xfId="0"/>
    <cellStyle name="40% - 강조색6 11 4 2" xfId="0"/>
    <cellStyle name="40% - 강조색6 11 5" xfId="0"/>
    <cellStyle name="40% - 강조색6 11 6" xfId="0"/>
    <cellStyle name="40% - 강조색6 11 7" xfId="0"/>
    <cellStyle name="40% - 강조색6 12" xfId="0"/>
    <cellStyle name="40% - 강조색6 12 2" xfId="0"/>
    <cellStyle name="40% - 강조색6 12 3" xfId="0"/>
    <cellStyle name="40% - 강조색6 12 4" xfId="0"/>
    <cellStyle name="40% - 강조색6 13" xfId="0"/>
    <cellStyle name="40% - 강조색6 13 2" xfId="0"/>
    <cellStyle name="40% - 강조색6 13 3" xfId="0"/>
    <cellStyle name="40% - 강조색6 13 4" xfId="0"/>
    <cellStyle name="40% - 강조색6 14" xfId="0"/>
    <cellStyle name="40% - 강조색6 14 2" xfId="0"/>
    <cellStyle name="40% - 강조색6 15" xfId="0"/>
    <cellStyle name="40% - 강조색6 15 2" xfId="0"/>
    <cellStyle name="40% - 강조색6 16" xfId="0"/>
    <cellStyle name="40% - 강조색6 16 2" xfId="0"/>
    <cellStyle name="40% - 강조색6 17" xfId="0"/>
    <cellStyle name="40% - 강조색6 17 2" xfId="0"/>
    <cellStyle name="40% - 강조색6 18" xfId="0"/>
    <cellStyle name="40% - 강조색6 18 2" xfId="0"/>
    <cellStyle name="40% - 강조색6 19" xfId="0"/>
    <cellStyle name="40% - 강조색6 19 2" xfId="0"/>
    <cellStyle name="40% - 강조색6 19 3" xfId="0"/>
    <cellStyle name="40% - 강조색6 2" xfId="0"/>
    <cellStyle name="40% - 강조색6 2 10" xfId="0"/>
    <cellStyle name="40% - 강조색6 2 11" xfId="0"/>
    <cellStyle name="40% - 강조색6 2 12" xfId="0"/>
    <cellStyle name="40% - 강조색6 2 13" xfId="0"/>
    <cellStyle name="40% - 강조색6 2 2" xfId="0"/>
    <cellStyle name="40% - 강조색6 2 2 10" xfId="0"/>
    <cellStyle name="40% - 강조색6 2 2 2" xfId="0"/>
    <cellStyle name="40% - 강조색6 2 2 3" xfId="0"/>
    <cellStyle name="40% - 강조색6 2 2 4" xfId="0"/>
    <cellStyle name="40% - 강조색6 2 2 5" xfId="0"/>
    <cellStyle name="40% - 강조색6 2 2 6" xfId="0"/>
    <cellStyle name="40% - 강조색6 2 2 7" xfId="0"/>
    <cellStyle name="40% - 강조색6 2 2 8" xfId="0"/>
    <cellStyle name="40% - 강조색6 2 2 9" xfId="0"/>
    <cellStyle name="40% - 강조색6 2 3" xfId="0"/>
    <cellStyle name="40% - 강조색6 2 3 10" xfId="0"/>
    <cellStyle name="40% - 강조색6 2 3 2" xfId="0"/>
    <cellStyle name="40% - 강조색6 2 3 3" xfId="0"/>
    <cellStyle name="40% - 강조색6 2 3 4" xfId="0"/>
    <cellStyle name="40% - 강조색6 2 3 5" xfId="0"/>
    <cellStyle name="40% - 강조색6 2 3 6" xfId="0"/>
    <cellStyle name="40% - 강조색6 2 3 7" xfId="0"/>
    <cellStyle name="40% - 강조색6 2 3 8" xfId="0"/>
    <cellStyle name="40% - 강조색6 2 3 9" xfId="0"/>
    <cellStyle name="40% - 강조색6 2 4" xfId="0"/>
    <cellStyle name="40% - 강조색6 2 4 10" xfId="0"/>
    <cellStyle name="40% - 강조색6 2 4 2" xfId="0"/>
    <cellStyle name="40% - 강조색6 2 4 3" xfId="0"/>
    <cellStyle name="40% - 강조색6 2 4 4" xfId="0"/>
    <cellStyle name="40% - 강조색6 2 4 5" xfId="0"/>
    <cellStyle name="40% - 강조색6 2 4 6" xfId="0"/>
    <cellStyle name="40% - 강조색6 2 4 7" xfId="0"/>
    <cellStyle name="40% - 강조색6 2 4 8" xfId="0"/>
    <cellStyle name="40% - 강조색6 2 4 9" xfId="0"/>
    <cellStyle name="40% - 강조색6 2 5" xfId="0"/>
    <cellStyle name="40% - 강조색6 2 5 10" xfId="0"/>
    <cellStyle name="40% - 강조색6 2 5 2" xfId="0"/>
    <cellStyle name="40% - 강조색6 2 5 3" xfId="0"/>
    <cellStyle name="40% - 강조색6 2 5 4" xfId="0"/>
    <cellStyle name="40% - 강조색6 2 5 5" xfId="0"/>
    <cellStyle name="40% - 강조색6 2 5 6" xfId="0"/>
    <cellStyle name="40% - 강조색6 2 5 7" xfId="0"/>
    <cellStyle name="40% - 강조색6 2 5 8" xfId="0"/>
    <cellStyle name="40% - 강조색6 2 5 9" xfId="0"/>
    <cellStyle name="40% - 강조색6 2 6" xfId="0"/>
    <cellStyle name="40% - 강조색6 2 6 10" xfId="0"/>
    <cellStyle name="40% - 강조색6 2 6 2" xfId="0"/>
    <cellStyle name="40% - 강조색6 2 6 3" xfId="0"/>
    <cellStyle name="40% - 강조색6 2 6 4" xfId="0"/>
    <cellStyle name="40% - 강조색6 2 6 5" xfId="0"/>
    <cellStyle name="40% - 강조색6 2 6 6" xfId="0"/>
    <cellStyle name="40% - 강조색6 2 6 7" xfId="0"/>
    <cellStyle name="40% - 강조색6 2 6 8" xfId="0"/>
    <cellStyle name="40% - 강조색6 2 6 9" xfId="0"/>
    <cellStyle name="40% - 강조색6 2 7" xfId="0"/>
    <cellStyle name="40% - 강조색6 2 7 10" xfId="0"/>
    <cellStyle name="40% - 강조색6 2 7 2" xfId="0"/>
    <cellStyle name="40% - 강조색6 2 7 3" xfId="0"/>
    <cellStyle name="40% - 강조색6 2 7 4" xfId="0"/>
    <cellStyle name="40% - 강조색6 2 7 5" xfId="0"/>
    <cellStyle name="40% - 강조색6 2 7 6" xfId="0"/>
    <cellStyle name="40% - 강조색6 2 7 7" xfId="0"/>
    <cellStyle name="40% - 강조색6 2 7 8" xfId="0"/>
    <cellStyle name="40% - 강조색6 2 7 9" xfId="0"/>
    <cellStyle name="40% - 강조색6 2 8" xfId="0"/>
    <cellStyle name="40% - 강조색6 2 8 2" xfId="0"/>
    <cellStyle name="40% - 강조색6 2 9" xfId="0"/>
    <cellStyle name="40% - 강조색6 20" xfId="0"/>
    <cellStyle name="40% - 강조색6 21" xfId="0"/>
    <cellStyle name="40% - 강조색6 22" xfId="0"/>
    <cellStyle name="40% - 강조색6 23" xfId="0"/>
    <cellStyle name="40% - 강조색6 24" xfId="0"/>
    <cellStyle name="40% - 강조색6 25" xfId="0"/>
    <cellStyle name="40% - 강조색6 26" xfId="0"/>
    <cellStyle name="40% - 강조색6 27" xfId="0"/>
    <cellStyle name="40% - 강조색6 2_3300현금및예치금" xfId="0"/>
    <cellStyle name="40% - 강조색6 3" xfId="0"/>
    <cellStyle name="40% - 강조색6 3 10" xfId="0"/>
    <cellStyle name="40% - 강조색6 3 10 2" xfId="0"/>
    <cellStyle name="40% - 강조색6 3 11" xfId="0"/>
    <cellStyle name="40% - 강조색6 3 11 2" xfId="0"/>
    <cellStyle name="40% - 강조색6 3 12" xfId="0"/>
    <cellStyle name="40% - 강조색6 3 12 2" xfId="0"/>
    <cellStyle name="40% - 강조색6 3 13" xfId="0"/>
    <cellStyle name="40% - 강조색6 3 14" xfId="0"/>
    <cellStyle name="40% - 강조색6 3 15" xfId="0"/>
    <cellStyle name="40% - 강조색6 3 16" xfId="0"/>
    <cellStyle name="40% - 강조색6 3 17" xfId="0"/>
    <cellStyle name="40% - 강조색6 3 18" xfId="0"/>
    <cellStyle name="40% - 강조색6 3 19" xfId="0"/>
    <cellStyle name="40% - 강조색6 3 2" xfId="0"/>
    <cellStyle name="40% - 강조색6 3 2 2" xfId="0"/>
    <cellStyle name="40% - 강조색6 3 2 3" xfId="0"/>
    <cellStyle name="40% - 강조색6 3 20" xfId="0"/>
    <cellStyle name="40% - 강조색6 3 3" xfId="0"/>
    <cellStyle name="40% - 강조색6 3 3 2" xfId="0"/>
    <cellStyle name="40% - 강조색6 3 3 3" xfId="0"/>
    <cellStyle name="40% - 강조색6 3 4" xfId="0"/>
    <cellStyle name="40% - 강조색6 3 4 2" xfId="0"/>
    <cellStyle name="40% - 강조색6 3 4 3" xfId="0"/>
    <cellStyle name="40% - 강조색6 3 5" xfId="0"/>
    <cellStyle name="40% - 강조색6 3 5 2" xfId="0"/>
    <cellStyle name="40% - 강조색6 3 5 3" xfId="0"/>
    <cellStyle name="40% - 강조색6 3 6" xfId="0"/>
    <cellStyle name="40% - 강조색6 3 6 2" xfId="0"/>
    <cellStyle name="40% - 강조색6 3 6 3" xfId="0"/>
    <cellStyle name="40% - 강조색6 3 7" xfId="0"/>
    <cellStyle name="40% - 강조색6 3 7 2" xfId="0"/>
    <cellStyle name="40% - 강조색6 3 7 3" xfId="0"/>
    <cellStyle name="40% - 강조색6 3 8" xfId="0"/>
    <cellStyle name="40% - 강조색6 3 8 2" xfId="0"/>
    <cellStyle name="40% - 강조색6 3 8 3" xfId="0"/>
    <cellStyle name="40% - 강조색6 3 9" xfId="0"/>
    <cellStyle name="40% - 강조색6 3 9 2" xfId="0"/>
    <cellStyle name="40% - 강조색6 3_운용자산별 손익분석" xfId="0"/>
    <cellStyle name="40% - 강조색6 4" xfId="0"/>
    <cellStyle name="40% - 강조색6 4 10" xfId="0"/>
    <cellStyle name="40% - 강조색6 4 11" xfId="0"/>
    <cellStyle name="40% - 강조색6 4 12" xfId="0"/>
    <cellStyle name="40% - 강조색6 4 13" xfId="0"/>
    <cellStyle name="40% - 강조색6 4 2" xfId="0"/>
    <cellStyle name="40% - 강조색6 4 3" xfId="0"/>
    <cellStyle name="40% - 강조색6 4 4" xfId="0"/>
    <cellStyle name="40% - 강조색6 4 5" xfId="0"/>
    <cellStyle name="40% - 강조색6 4 6" xfId="0"/>
    <cellStyle name="40% - 강조색6 4 7" xfId="0"/>
    <cellStyle name="40% - 강조색6 4 8" xfId="0"/>
    <cellStyle name="40% - 강조색6 4 9" xfId="0"/>
    <cellStyle name="40% - 강조색6 4_운용자산별 손익분석" xfId="0"/>
    <cellStyle name="40% - 강조색6 5" xfId="0"/>
    <cellStyle name="40% - 강조색6 5 10" xfId="0"/>
    <cellStyle name="40% - 강조색6 5 11" xfId="0"/>
    <cellStyle name="40% - 강조색6 5 12" xfId="0"/>
    <cellStyle name="40% - 강조색6 5 13" xfId="0"/>
    <cellStyle name="40% - 강조색6 5 14" xfId="0"/>
    <cellStyle name="40% - 강조색6 5 15" xfId="0"/>
    <cellStyle name="40% - 강조색6 5 16" xfId="0"/>
    <cellStyle name="40% - 강조색6 5 17" xfId="0"/>
    <cellStyle name="40% - 강조색6 5 18" xfId="0"/>
    <cellStyle name="40% - 강조색6 5 19" xfId="0"/>
    <cellStyle name="40% - 강조색6 5 2" xfId="0"/>
    <cellStyle name="40% - 강조색6 5 20" xfId="0"/>
    <cellStyle name="40% - 강조색6 5 21" xfId="0"/>
    <cellStyle name="40% - 강조색6 5 22" xfId="0"/>
    <cellStyle name="40% - 강조색6 5 23" xfId="0"/>
    <cellStyle name="40% - 강조색6 5 24" xfId="0"/>
    <cellStyle name="40% - 강조색6 5 25" xfId="0"/>
    <cellStyle name="40% - 강조색6 5 26" xfId="0"/>
    <cellStyle name="40% - 강조색6 5 27" xfId="0"/>
    <cellStyle name="40% - 강조색6 5 28" xfId="0"/>
    <cellStyle name="40% - 강조색6 5 29" xfId="0"/>
    <cellStyle name="40% - 강조색6 5 3" xfId="0"/>
    <cellStyle name="40% - 강조색6 5 30" xfId="0"/>
    <cellStyle name="40% - 강조색6 5 31" xfId="0"/>
    <cellStyle name="40% - 강조색6 5 32" xfId="0"/>
    <cellStyle name="40% - 강조색6 5 33" xfId="0"/>
    <cellStyle name="40% - 강조색6 5 34" xfId="0"/>
    <cellStyle name="40% - 강조색6 5 4" xfId="0"/>
    <cellStyle name="40% - 강조색6 5 5" xfId="0"/>
    <cellStyle name="40% - 강조색6 5 6" xfId="0"/>
    <cellStyle name="40% - 강조색6 5 7" xfId="0"/>
    <cellStyle name="40% - 강조색6 5 8" xfId="0"/>
    <cellStyle name="40% - 강조색6 5 9" xfId="0"/>
    <cellStyle name="40% - 강조색6 6" xfId="0"/>
    <cellStyle name="40% - 강조색6 6 10" xfId="0"/>
    <cellStyle name="40% - 강조색6 6 11" xfId="0"/>
    <cellStyle name="40% - 강조색6 6 12" xfId="0"/>
    <cellStyle name="40% - 강조색6 6 13" xfId="0"/>
    <cellStyle name="40% - 강조색6 6 14" xfId="0"/>
    <cellStyle name="40% - 강조색6 6 15" xfId="0"/>
    <cellStyle name="40% - 강조색6 6 16" xfId="0"/>
    <cellStyle name="40% - 강조색6 6 17" xfId="0"/>
    <cellStyle name="40% - 강조색6 6 18" xfId="0"/>
    <cellStyle name="40% - 강조색6 6 19" xfId="0"/>
    <cellStyle name="40% - 강조색6 6 2" xfId="0"/>
    <cellStyle name="40% - 강조색6 6 20" xfId="0"/>
    <cellStyle name="40% - 강조색6 6 21" xfId="0"/>
    <cellStyle name="40% - 강조색6 6 22" xfId="0"/>
    <cellStyle name="40% - 강조색6 6 23" xfId="0"/>
    <cellStyle name="40% - 강조색6 6 24" xfId="0"/>
    <cellStyle name="40% - 강조색6 6 25" xfId="0"/>
    <cellStyle name="40% - 강조색6 6 26" xfId="0"/>
    <cellStyle name="40% - 강조색6 6 27" xfId="0"/>
    <cellStyle name="40% - 강조색6 6 28" xfId="0"/>
    <cellStyle name="40% - 강조색6 6 29" xfId="0"/>
    <cellStyle name="40% - 강조색6 6 3" xfId="0"/>
    <cellStyle name="40% - 강조색6 6 30" xfId="0"/>
    <cellStyle name="40% - 강조색6 6 4" xfId="0"/>
    <cellStyle name="40% - 강조색6 6 5" xfId="0"/>
    <cellStyle name="40% - 강조색6 6 6" xfId="0"/>
    <cellStyle name="40% - 강조색6 6 7" xfId="0"/>
    <cellStyle name="40% - 강조색6 6 8" xfId="0"/>
    <cellStyle name="40% - 강조색6 6 9" xfId="0"/>
    <cellStyle name="40% - 강조색6 7" xfId="0"/>
    <cellStyle name="40% - 강조색6 7 10" xfId="0"/>
    <cellStyle name="40% - 강조색6 7 11" xfId="0"/>
    <cellStyle name="40% - 강조색6 7 12" xfId="0"/>
    <cellStyle name="40% - 강조색6 7 13" xfId="0"/>
    <cellStyle name="40% - 강조색6 7 14" xfId="0"/>
    <cellStyle name="40% - 강조색6 7 15" xfId="0"/>
    <cellStyle name="40% - 강조색6 7 2" xfId="0"/>
    <cellStyle name="40% - 강조색6 7 2 2" xfId="0"/>
    <cellStyle name="40% - 강조색6 7 3" xfId="0"/>
    <cellStyle name="40% - 강조색6 7 3 2" xfId="0"/>
    <cellStyle name="40% - 강조색6 7 4" xfId="0"/>
    <cellStyle name="40% - 강조색6 7 4 2" xfId="0"/>
    <cellStyle name="40% - 강조색6 7 5" xfId="0"/>
    <cellStyle name="40% - 강조색6 7 5 2" xfId="0"/>
    <cellStyle name="40% - 강조색6 7 6" xfId="0"/>
    <cellStyle name="40% - 강조색6 7 6 2" xfId="0"/>
    <cellStyle name="40% - 강조색6 7 7" xfId="0"/>
    <cellStyle name="40% - 강조색6 7 8" xfId="0"/>
    <cellStyle name="40% - 강조색6 7 9" xfId="0"/>
    <cellStyle name="40% - 강조색6 8" xfId="0"/>
    <cellStyle name="40% - 강조색6 8 10" xfId="0"/>
    <cellStyle name="40% - 강조색6 8 11" xfId="0"/>
    <cellStyle name="40% - 강조색6 8 12" xfId="0"/>
    <cellStyle name="40% - 강조색6 8 13" xfId="0"/>
    <cellStyle name="40% - 강조색6 8 14" xfId="0"/>
    <cellStyle name="40% - 강조색6 8 2" xfId="0"/>
    <cellStyle name="40% - 강조색6 8 2 2" xfId="0"/>
    <cellStyle name="40% - 강조색6 8 3" xfId="0"/>
    <cellStyle name="40% - 강조색6 8 3 2" xfId="0"/>
    <cellStyle name="40% - 강조색6 8 4" xfId="0"/>
    <cellStyle name="40% - 강조색6 8 4 2" xfId="0"/>
    <cellStyle name="40% - 강조색6 8 5" xfId="0"/>
    <cellStyle name="40% - 강조색6 8 5 2" xfId="0"/>
    <cellStyle name="40% - 강조색6 8 6" xfId="0"/>
    <cellStyle name="40% - 강조색6 8 6 2" xfId="0"/>
    <cellStyle name="40% - 강조색6 8 7" xfId="0"/>
    <cellStyle name="40% - 강조색6 8 8" xfId="0"/>
    <cellStyle name="40% - 강조색6 8 9" xfId="0"/>
    <cellStyle name="40% - 강조색6 9" xfId="0"/>
    <cellStyle name="40% - 강조색6 9 10" xfId="0"/>
    <cellStyle name="40% - 강조색6 9 11" xfId="0"/>
    <cellStyle name="40% - 강조색6 9 12" xfId="0"/>
    <cellStyle name="40% - 강조색6 9 13" xfId="0"/>
    <cellStyle name="40% - 강조색6 9 14" xfId="0"/>
    <cellStyle name="40% - 강조색6 9 2" xfId="0"/>
    <cellStyle name="40% - 강조색6 9 2 2" xfId="0"/>
    <cellStyle name="40% - 강조색6 9 3" xfId="0"/>
    <cellStyle name="40% - 강조색6 9 3 2" xfId="0"/>
    <cellStyle name="40% - 강조색6 9 4" xfId="0"/>
    <cellStyle name="40% - 강조색6 9 4 2" xfId="0"/>
    <cellStyle name="40% - 강조색6 9 5" xfId="0"/>
    <cellStyle name="40% - 강조색6 9 5 2" xfId="0"/>
    <cellStyle name="40% - 강조색6 9 6" xfId="0"/>
    <cellStyle name="40% - 강조색6 9 6 2" xfId="0"/>
    <cellStyle name="40% - 강조색6 9 7" xfId="0"/>
    <cellStyle name="40% - 강조색6 9 8" xfId="0"/>
    <cellStyle name="40% - 강조색6 9 9" xfId="0"/>
    <cellStyle name="60" xfId="0"/>
    <cellStyle name="60% - Accent1" xfId="0"/>
    <cellStyle name="60% - Accent1 2" xfId="0"/>
    <cellStyle name="60% - Accent1 3" xfId="0"/>
    <cellStyle name="60% - Accent1 4" xfId="0"/>
    <cellStyle name="60% - Accent1 5" xfId="0"/>
    <cellStyle name="60% - Accent2" xfId="0"/>
    <cellStyle name="60% - Accent2 2" xfId="0"/>
    <cellStyle name="60% - Accent2 3" xfId="0"/>
    <cellStyle name="60% - Accent2 4" xfId="0"/>
    <cellStyle name="60% - Accent2 5" xfId="0"/>
    <cellStyle name="60% - Accent3" xfId="0"/>
    <cellStyle name="60% - Accent3 2" xfId="0"/>
    <cellStyle name="60% - Accent3 3" xfId="0"/>
    <cellStyle name="60% - Accent3 4" xfId="0"/>
    <cellStyle name="60% - Accent3 5" xfId="0"/>
    <cellStyle name="60% - Accent4" xfId="0"/>
    <cellStyle name="60% - Accent4 2" xfId="0"/>
    <cellStyle name="60% - Accent4 3" xfId="0"/>
    <cellStyle name="60% - Accent4 4" xfId="0"/>
    <cellStyle name="60% - Accent4 5" xfId="0"/>
    <cellStyle name="60% - Accent5" xfId="0"/>
    <cellStyle name="60% - Accent5 2" xfId="0"/>
    <cellStyle name="60% - Accent5 3" xfId="0"/>
    <cellStyle name="60% - Accent5 4" xfId="0"/>
    <cellStyle name="60% - Accent5 5" xfId="0"/>
    <cellStyle name="60% - Accent6" xfId="0"/>
    <cellStyle name="60% - Accent6 2" xfId="0"/>
    <cellStyle name="60% - Accent6 3" xfId="0"/>
    <cellStyle name="60% - Accent6 4" xfId="0"/>
    <cellStyle name="60% - Accent6 5" xfId="0"/>
    <cellStyle name="60% - 강조색1 10" xfId="0"/>
    <cellStyle name="60% - 강조색1 10 2" xfId="0"/>
    <cellStyle name="60% - 강조색1 10 2 2" xfId="0"/>
    <cellStyle name="60% - 강조색1 10 3" xfId="0"/>
    <cellStyle name="60% - 강조색1 10 3 2" xfId="0"/>
    <cellStyle name="60% - 강조색1 10 4" xfId="0"/>
    <cellStyle name="60% - 강조색1 10 4 2" xfId="0"/>
    <cellStyle name="60% - 강조색1 10 5" xfId="0"/>
    <cellStyle name="60% - 강조색1 10 6" xfId="0"/>
    <cellStyle name="60% - 강조색1 10 7" xfId="0"/>
    <cellStyle name="60% - 강조색1 11" xfId="0"/>
    <cellStyle name="60% - 강조색1 11 2" xfId="0"/>
    <cellStyle name="60% - 강조색1 11 2 2" xfId="0"/>
    <cellStyle name="60% - 강조색1 11 3" xfId="0"/>
    <cellStyle name="60% - 강조색1 11 3 2" xfId="0"/>
    <cellStyle name="60% - 강조색1 11 4" xfId="0"/>
    <cellStyle name="60% - 강조색1 11 4 2" xfId="0"/>
    <cellStyle name="60% - 강조색1 11 5" xfId="0"/>
    <cellStyle name="60% - 강조색1 11 6" xfId="0"/>
    <cellStyle name="60% - 강조색1 11 7" xfId="0"/>
    <cellStyle name="60% - 강조색1 12" xfId="0"/>
    <cellStyle name="60% - 강조색1 12 2" xfId="0"/>
    <cellStyle name="60% - 강조색1 12 3" xfId="0"/>
    <cellStyle name="60% - 강조색1 12 4" xfId="0"/>
    <cellStyle name="60% - 강조색1 12 5" xfId="0"/>
    <cellStyle name="60% - 강조색1 13" xfId="0"/>
    <cellStyle name="60% - 강조색1 13 2" xfId="0"/>
    <cellStyle name="60% - 강조색1 13 3" xfId="0"/>
    <cellStyle name="60% - 강조색1 13 4" xfId="0"/>
    <cellStyle name="60% - 강조색1 13 5" xfId="0"/>
    <cellStyle name="60% - 강조색1 14" xfId="0"/>
    <cellStyle name="60% - 강조색1 14 2" xfId="0"/>
    <cellStyle name="60% - 강조색1 15" xfId="0"/>
    <cellStyle name="60% - 강조색1 15 2" xfId="0"/>
    <cellStyle name="60% - 강조색1 16" xfId="0"/>
    <cellStyle name="60% - 강조색1 16 2" xfId="0"/>
    <cellStyle name="60% - 강조색1 17" xfId="0"/>
    <cellStyle name="60% - 강조색1 17 2" xfId="0"/>
    <cellStyle name="60% - 강조색1 18" xfId="0"/>
    <cellStyle name="60% - 강조색1 19" xfId="0"/>
    <cellStyle name="60% - 강조색1 2" xfId="0"/>
    <cellStyle name="60% - 강조색1 2 10" xfId="0"/>
    <cellStyle name="60% - 강조색1 2 11" xfId="0"/>
    <cellStyle name="60% - 강조색1 2 12" xfId="0"/>
    <cellStyle name="60% - 강조색1 2 13" xfId="0"/>
    <cellStyle name="60% - 강조색1 2 2" xfId="0"/>
    <cellStyle name="60% - 강조색1 2 2 10" xfId="0"/>
    <cellStyle name="60% - 강조색1 2 2 2" xfId="0"/>
    <cellStyle name="60% - 강조색1 2 2 3" xfId="0"/>
    <cellStyle name="60% - 강조색1 2 2 4" xfId="0"/>
    <cellStyle name="60% - 강조색1 2 2 5" xfId="0"/>
    <cellStyle name="60% - 강조색1 2 2 6" xfId="0"/>
    <cellStyle name="60% - 강조색1 2 2 7" xfId="0"/>
    <cellStyle name="60% - 강조색1 2 2 8" xfId="0"/>
    <cellStyle name="60% - 강조색1 2 2 9" xfId="0"/>
    <cellStyle name="60% - 강조색1 2 3" xfId="0"/>
    <cellStyle name="60% - 강조색1 2 3 10" xfId="0"/>
    <cellStyle name="60% - 강조색1 2 3 2" xfId="0"/>
    <cellStyle name="60% - 강조색1 2 3 3" xfId="0"/>
    <cellStyle name="60% - 강조색1 2 3 4" xfId="0"/>
    <cellStyle name="60% - 강조색1 2 3 5" xfId="0"/>
    <cellStyle name="60% - 강조색1 2 3 6" xfId="0"/>
    <cellStyle name="60% - 강조색1 2 3 7" xfId="0"/>
    <cellStyle name="60% - 강조색1 2 3 8" xfId="0"/>
    <cellStyle name="60% - 강조색1 2 3 9" xfId="0"/>
    <cellStyle name="60% - 강조색1 2 4" xfId="0"/>
    <cellStyle name="60% - 강조색1 2 4 10" xfId="0"/>
    <cellStyle name="60% - 강조색1 2 4 2" xfId="0"/>
    <cellStyle name="60% - 강조색1 2 4 3" xfId="0"/>
    <cellStyle name="60% - 강조색1 2 4 4" xfId="0"/>
    <cellStyle name="60% - 강조색1 2 4 5" xfId="0"/>
    <cellStyle name="60% - 강조색1 2 4 6" xfId="0"/>
    <cellStyle name="60% - 강조색1 2 4 7" xfId="0"/>
    <cellStyle name="60% - 강조색1 2 4 8" xfId="0"/>
    <cellStyle name="60% - 강조색1 2 4 9" xfId="0"/>
    <cellStyle name="60% - 강조색1 2 5" xfId="0"/>
    <cellStyle name="60% - 강조색1 2 5 10" xfId="0"/>
    <cellStyle name="60% - 강조색1 2 5 2" xfId="0"/>
    <cellStyle name="60% - 강조색1 2 5 3" xfId="0"/>
    <cellStyle name="60% - 강조색1 2 5 4" xfId="0"/>
    <cellStyle name="60% - 강조색1 2 5 5" xfId="0"/>
    <cellStyle name="60% - 강조색1 2 5 6" xfId="0"/>
    <cellStyle name="60% - 강조색1 2 5 7" xfId="0"/>
    <cellStyle name="60% - 강조색1 2 5 8" xfId="0"/>
    <cellStyle name="60% - 강조색1 2 5 9" xfId="0"/>
    <cellStyle name="60% - 강조색1 2 6" xfId="0"/>
    <cellStyle name="60% - 강조색1 2 6 10" xfId="0"/>
    <cellStyle name="60% - 강조색1 2 6 2" xfId="0"/>
    <cellStyle name="60% - 강조색1 2 6 3" xfId="0"/>
    <cellStyle name="60% - 강조색1 2 6 4" xfId="0"/>
    <cellStyle name="60% - 강조색1 2 6 5" xfId="0"/>
    <cellStyle name="60% - 강조색1 2 6 6" xfId="0"/>
    <cellStyle name="60% - 강조색1 2 6 7" xfId="0"/>
    <cellStyle name="60% - 강조색1 2 6 8" xfId="0"/>
    <cellStyle name="60% - 강조색1 2 6 9" xfId="0"/>
    <cellStyle name="60% - 강조색1 2 7" xfId="0"/>
    <cellStyle name="60% - 강조색1 2 7 10" xfId="0"/>
    <cellStyle name="60% - 강조색1 2 7 2" xfId="0"/>
    <cellStyle name="60% - 강조색1 2 7 3" xfId="0"/>
    <cellStyle name="60% - 강조색1 2 7 4" xfId="0"/>
    <cellStyle name="60% - 강조색1 2 7 5" xfId="0"/>
    <cellStyle name="60% - 강조색1 2 7 6" xfId="0"/>
    <cellStyle name="60% - 강조색1 2 7 7" xfId="0"/>
    <cellStyle name="60% - 강조색1 2 7 8" xfId="0"/>
    <cellStyle name="60% - 강조색1 2 7 9" xfId="0"/>
    <cellStyle name="60% - 강조색1 2 8" xfId="0"/>
    <cellStyle name="60% - 강조색1 2 8 2" xfId="0"/>
    <cellStyle name="60% - 강조색1 2 9" xfId="0"/>
    <cellStyle name="60% - 강조색1 20" xfId="0"/>
    <cellStyle name="60% - 강조색1 21" xfId="0"/>
    <cellStyle name="60% - 강조색1 22" xfId="0"/>
    <cellStyle name="60% - 강조색1 23" xfId="0"/>
    <cellStyle name="60% - 강조색1 24" xfId="0"/>
    <cellStyle name="60% - 강조색1 25" xfId="0"/>
    <cellStyle name="60% - 강조색1 26" xfId="0"/>
    <cellStyle name="60% - 강조색1 27" xfId="0"/>
    <cellStyle name="60% - 강조색1 2_3300현금및예치금" xfId="0"/>
    <cellStyle name="60% - 강조색1 3" xfId="0"/>
    <cellStyle name="60% - 강조색1 3 10" xfId="0"/>
    <cellStyle name="60% - 강조색1 3 10 2" xfId="0"/>
    <cellStyle name="60% - 강조색1 3 11" xfId="0"/>
    <cellStyle name="60% - 강조색1 3 11 2" xfId="0"/>
    <cellStyle name="60% - 강조색1 3 12" xfId="0"/>
    <cellStyle name="60% - 강조색1 3 12 2" xfId="0"/>
    <cellStyle name="60% - 강조색1 3 13" xfId="0"/>
    <cellStyle name="60% - 강조색1 3 14" xfId="0"/>
    <cellStyle name="60% - 강조색1 3 15" xfId="0"/>
    <cellStyle name="60% - 강조색1 3 16" xfId="0"/>
    <cellStyle name="60% - 강조색1 3 17" xfId="0"/>
    <cellStyle name="60% - 강조색1 3 18" xfId="0"/>
    <cellStyle name="60% - 강조색1 3 19" xfId="0"/>
    <cellStyle name="60% - 강조색1 3 2" xfId="0"/>
    <cellStyle name="60% - 강조색1 3 2 2" xfId="0"/>
    <cellStyle name="60% - 강조색1 3 2 3" xfId="0"/>
    <cellStyle name="60% - 강조색1 3 20" xfId="0"/>
    <cellStyle name="60% - 강조색1 3 3" xfId="0"/>
    <cellStyle name="60% - 강조색1 3 3 2" xfId="0"/>
    <cellStyle name="60% - 강조색1 3 3 3" xfId="0"/>
    <cellStyle name="60% - 강조색1 3 4" xfId="0"/>
    <cellStyle name="60% - 강조색1 3 4 2" xfId="0"/>
    <cellStyle name="60% - 강조색1 3 4 3" xfId="0"/>
    <cellStyle name="60% - 강조색1 3 5" xfId="0"/>
    <cellStyle name="60% - 강조색1 3 5 2" xfId="0"/>
    <cellStyle name="60% - 강조색1 3 5 3" xfId="0"/>
    <cellStyle name="60% - 강조색1 3 6" xfId="0"/>
    <cellStyle name="60% - 강조색1 3 6 2" xfId="0"/>
    <cellStyle name="60% - 강조색1 3 6 3" xfId="0"/>
    <cellStyle name="60% - 강조색1 3 7" xfId="0"/>
    <cellStyle name="60% - 강조색1 3 7 2" xfId="0"/>
    <cellStyle name="60% - 강조색1 3 7 3" xfId="0"/>
    <cellStyle name="60% - 강조색1 3 8" xfId="0"/>
    <cellStyle name="60% - 강조색1 3 8 2" xfId="0"/>
    <cellStyle name="60% - 강조색1 3 8 3" xfId="0"/>
    <cellStyle name="60% - 강조색1 3 9" xfId="0"/>
    <cellStyle name="60% - 강조색1 3 9 2" xfId="0"/>
    <cellStyle name="60% - 강조색1 3_운용자산별 손익분석" xfId="0"/>
    <cellStyle name="60% - 강조색1 4" xfId="0"/>
    <cellStyle name="60% - 강조색1 4 10" xfId="0"/>
    <cellStyle name="60% - 강조색1 4 11" xfId="0"/>
    <cellStyle name="60% - 강조색1 4 12" xfId="0"/>
    <cellStyle name="60% - 강조색1 4 13" xfId="0"/>
    <cellStyle name="60% - 강조색1 4 2" xfId="0"/>
    <cellStyle name="60% - 강조색1 4 3" xfId="0"/>
    <cellStyle name="60% - 강조색1 4 4" xfId="0"/>
    <cellStyle name="60% - 강조색1 4 5" xfId="0"/>
    <cellStyle name="60% - 강조색1 4 6" xfId="0"/>
    <cellStyle name="60% - 강조색1 4 7" xfId="0"/>
    <cellStyle name="60% - 강조색1 4 8" xfId="0"/>
    <cellStyle name="60% - 강조색1 4 9" xfId="0"/>
    <cellStyle name="60% - 강조색1 4_운용자산별 손익분석" xfId="0"/>
    <cellStyle name="60% - 강조색1 5" xfId="0"/>
    <cellStyle name="60% - 강조색1 5 10" xfId="0"/>
    <cellStyle name="60% - 강조색1 5 11" xfId="0"/>
    <cellStyle name="60% - 강조색1 5 12" xfId="0"/>
    <cellStyle name="60% - 강조색1 5 13" xfId="0"/>
    <cellStyle name="60% - 강조색1 5 14" xfId="0"/>
    <cellStyle name="60% - 강조색1 5 15" xfId="0"/>
    <cellStyle name="60% - 강조색1 5 16" xfId="0"/>
    <cellStyle name="60% - 강조색1 5 17" xfId="0"/>
    <cellStyle name="60% - 강조색1 5 18" xfId="0"/>
    <cellStyle name="60% - 강조색1 5 19" xfId="0"/>
    <cellStyle name="60% - 강조색1 5 2" xfId="0"/>
    <cellStyle name="60% - 강조색1 5 20" xfId="0"/>
    <cellStyle name="60% - 강조색1 5 21" xfId="0"/>
    <cellStyle name="60% - 강조색1 5 22" xfId="0"/>
    <cellStyle name="60% - 강조색1 5 23" xfId="0"/>
    <cellStyle name="60% - 강조색1 5 24" xfId="0"/>
    <cellStyle name="60% - 강조색1 5 25" xfId="0"/>
    <cellStyle name="60% - 강조색1 5 26" xfId="0"/>
    <cellStyle name="60% - 강조색1 5 27" xfId="0"/>
    <cellStyle name="60% - 강조색1 5 28" xfId="0"/>
    <cellStyle name="60% - 강조색1 5 29" xfId="0"/>
    <cellStyle name="60% - 강조색1 5 3" xfId="0"/>
    <cellStyle name="60% - 강조색1 5 30" xfId="0"/>
    <cellStyle name="60% - 강조색1 5 31" xfId="0"/>
    <cellStyle name="60% - 강조색1 5 32" xfId="0"/>
    <cellStyle name="60% - 강조색1 5 33" xfId="0"/>
    <cellStyle name="60% - 강조색1 5 34" xfId="0"/>
    <cellStyle name="60% - 강조색1 5 4" xfId="0"/>
    <cellStyle name="60% - 강조색1 5 5" xfId="0"/>
    <cellStyle name="60% - 강조색1 5 6" xfId="0"/>
    <cellStyle name="60% - 강조색1 5 7" xfId="0"/>
    <cellStyle name="60% - 강조색1 5 8" xfId="0"/>
    <cellStyle name="60% - 강조색1 5 9" xfId="0"/>
    <cellStyle name="60% - 강조색1 6" xfId="0"/>
    <cellStyle name="60% - 강조색1 6 10" xfId="0"/>
    <cellStyle name="60% - 강조색1 6 11" xfId="0"/>
    <cellStyle name="60% - 강조색1 6 12" xfId="0"/>
    <cellStyle name="60% - 강조색1 6 13" xfId="0"/>
    <cellStyle name="60% - 강조색1 6 14" xfId="0"/>
    <cellStyle name="60% - 강조색1 6 15" xfId="0"/>
    <cellStyle name="60% - 강조색1 6 16" xfId="0"/>
    <cellStyle name="60% - 강조색1 6 17" xfId="0"/>
    <cellStyle name="60% - 강조색1 6 18" xfId="0"/>
    <cellStyle name="60% - 강조색1 6 19" xfId="0"/>
    <cellStyle name="60% - 강조색1 6 2" xfId="0"/>
    <cellStyle name="60% - 강조색1 6 20" xfId="0"/>
    <cellStyle name="60% - 강조색1 6 21" xfId="0"/>
    <cellStyle name="60% - 강조색1 6 22" xfId="0"/>
    <cellStyle name="60% - 강조색1 6 23" xfId="0"/>
    <cellStyle name="60% - 강조색1 6 24" xfId="0"/>
    <cellStyle name="60% - 강조색1 6 25" xfId="0"/>
    <cellStyle name="60% - 강조색1 6 26" xfId="0"/>
    <cellStyle name="60% - 강조색1 6 27" xfId="0"/>
    <cellStyle name="60% - 강조색1 6 28" xfId="0"/>
    <cellStyle name="60% - 강조색1 6 29" xfId="0"/>
    <cellStyle name="60% - 강조색1 6 3" xfId="0"/>
    <cellStyle name="60% - 강조색1 6 30" xfId="0"/>
    <cellStyle name="60% - 강조색1 6 4" xfId="0"/>
    <cellStyle name="60% - 강조색1 6 5" xfId="0"/>
    <cellStyle name="60% - 강조색1 6 6" xfId="0"/>
    <cellStyle name="60% - 강조색1 6 7" xfId="0"/>
    <cellStyle name="60% - 강조색1 6 8" xfId="0"/>
    <cellStyle name="60% - 강조색1 6 9" xfId="0"/>
    <cellStyle name="60% - 강조색1 7" xfId="0"/>
    <cellStyle name="60% - 강조색1 7 10" xfId="0"/>
    <cellStyle name="60% - 강조색1 7 11" xfId="0"/>
    <cellStyle name="60% - 강조색1 7 12" xfId="0"/>
    <cellStyle name="60% - 강조색1 7 13" xfId="0"/>
    <cellStyle name="60% - 강조색1 7 14" xfId="0"/>
    <cellStyle name="60% - 강조색1 7 15" xfId="0"/>
    <cellStyle name="60% - 강조색1 7 2" xfId="0"/>
    <cellStyle name="60% - 강조색1 7 2 2" xfId="0"/>
    <cellStyle name="60% - 강조색1 7 3" xfId="0"/>
    <cellStyle name="60% - 강조색1 7 3 2" xfId="0"/>
    <cellStyle name="60% - 강조색1 7 4" xfId="0"/>
    <cellStyle name="60% - 강조색1 7 4 2" xfId="0"/>
    <cellStyle name="60% - 강조색1 7 5" xfId="0"/>
    <cellStyle name="60% - 강조색1 7 5 2" xfId="0"/>
    <cellStyle name="60% - 강조색1 7 6" xfId="0"/>
    <cellStyle name="60% - 강조색1 7 6 2" xfId="0"/>
    <cellStyle name="60% - 강조색1 7 7" xfId="0"/>
    <cellStyle name="60% - 강조색1 7 8" xfId="0"/>
    <cellStyle name="60% - 강조색1 7 9" xfId="0"/>
    <cellStyle name="60% - 강조색1 8" xfId="0"/>
    <cellStyle name="60% - 강조색1 8 10" xfId="0"/>
    <cellStyle name="60% - 강조색1 8 11" xfId="0"/>
    <cellStyle name="60% - 강조색1 8 12" xfId="0"/>
    <cellStyle name="60% - 강조색1 8 13" xfId="0"/>
    <cellStyle name="60% - 강조색1 8 14" xfId="0"/>
    <cellStyle name="60% - 강조색1 8 2" xfId="0"/>
    <cellStyle name="60% - 강조색1 8 2 2" xfId="0"/>
    <cellStyle name="60% - 강조색1 8 3" xfId="0"/>
    <cellStyle name="60% - 강조색1 8 3 2" xfId="0"/>
    <cellStyle name="60% - 강조색1 8 4" xfId="0"/>
    <cellStyle name="60% - 강조색1 8 4 2" xfId="0"/>
    <cellStyle name="60% - 강조색1 8 5" xfId="0"/>
    <cellStyle name="60% - 강조색1 8 5 2" xfId="0"/>
    <cellStyle name="60% - 강조색1 8 6" xfId="0"/>
    <cellStyle name="60% - 강조색1 8 6 2" xfId="0"/>
    <cellStyle name="60% - 강조색1 8 7" xfId="0"/>
    <cellStyle name="60% - 강조색1 8 8" xfId="0"/>
    <cellStyle name="60% - 강조색1 8 9" xfId="0"/>
    <cellStyle name="60% - 강조색1 9" xfId="0"/>
    <cellStyle name="60% - 강조색1 9 10" xfId="0"/>
    <cellStyle name="60% - 강조색1 9 11" xfId="0"/>
    <cellStyle name="60% - 강조색1 9 12" xfId="0"/>
    <cellStyle name="60% - 강조색1 9 13" xfId="0"/>
    <cellStyle name="60% - 강조색1 9 14" xfId="0"/>
    <cellStyle name="60% - 강조색1 9 2" xfId="0"/>
    <cellStyle name="60% - 강조색1 9 2 2" xfId="0"/>
    <cellStyle name="60% - 강조색1 9 3" xfId="0"/>
    <cellStyle name="60% - 강조색1 9 3 2" xfId="0"/>
    <cellStyle name="60% - 강조색1 9 4" xfId="0"/>
    <cellStyle name="60% - 강조색1 9 4 2" xfId="0"/>
    <cellStyle name="60% - 강조색1 9 5" xfId="0"/>
    <cellStyle name="60% - 강조색1 9 5 2" xfId="0"/>
    <cellStyle name="60% - 강조색1 9 6" xfId="0"/>
    <cellStyle name="60% - 강조색1 9 6 2" xfId="0"/>
    <cellStyle name="60% - 강조색1 9 7" xfId="0"/>
    <cellStyle name="60% - 강조색1 9 8" xfId="0"/>
    <cellStyle name="60% - 강조색1 9 9" xfId="0"/>
    <cellStyle name="60% - 강조색2 10" xfId="0"/>
    <cellStyle name="60% - 강조색2 10 2" xfId="0"/>
    <cellStyle name="60% - 강조색2 10 2 2" xfId="0"/>
    <cellStyle name="60% - 강조색2 10 3" xfId="0"/>
    <cellStyle name="60% - 강조색2 10 3 2" xfId="0"/>
    <cellStyle name="60% - 강조색2 10 4" xfId="0"/>
    <cellStyle name="60% - 강조색2 10 4 2" xfId="0"/>
    <cellStyle name="60% - 강조색2 10 5" xfId="0"/>
    <cellStyle name="60% - 강조색2 10 6" xfId="0"/>
    <cellStyle name="60% - 강조색2 10 7" xfId="0"/>
    <cellStyle name="60% - 강조색2 11" xfId="0"/>
    <cellStyle name="60% - 강조색2 11 2" xfId="0"/>
    <cellStyle name="60% - 강조색2 11 2 2" xfId="0"/>
    <cellStyle name="60% - 강조색2 11 3" xfId="0"/>
    <cellStyle name="60% - 강조색2 11 3 2" xfId="0"/>
    <cellStyle name="60% - 강조색2 11 4" xfId="0"/>
    <cellStyle name="60% - 강조색2 11 4 2" xfId="0"/>
    <cellStyle name="60% - 강조색2 11 5" xfId="0"/>
    <cellStyle name="60% - 강조색2 11 6" xfId="0"/>
    <cellStyle name="60% - 강조색2 11 7" xfId="0"/>
    <cellStyle name="60% - 강조색2 12" xfId="0"/>
    <cellStyle name="60% - 강조색2 12 2" xfId="0"/>
    <cellStyle name="60% - 강조색2 12 3" xfId="0"/>
    <cellStyle name="60% - 강조색2 12 4" xfId="0"/>
    <cellStyle name="60% - 강조색2 12 5" xfId="0"/>
    <cellStyle name="60% - 강조색2 13" xfId="0"/>
    <cellStyle name="60% - 강조색2 13 2" xfId="0"/>
    <cellStyle name="60% - 강조색2 13 3" xfId="0"/>
    <cellStyle name="60% - 강조색2 13 4" xfId="0"/>
    <cellStyle name="60% - 강조색2 13 5" xfId="0"/>
    <cellStyle name="60% - 강조색2 14" xfId="0"/>
    <cellStyle name="60% - 강조색2 14 2" xfId="0"/>
    <cellStyle name="60% - 강조색2 15" xfId="0"/>
    <cellStyle name="60% - 강조색2 15 2" xfId="0"/>
    <cellStyle name="60% - 강조색2 16" xfId="0"/>
    <cellStyle name="60% - 강조색2 16 2" xfId="0"/>
    <cellStyle name="60% - 강조색2 17" xfId="0"/>
    <cellStyle name="60% - 강조색2 17 2" xfId="0"/>
    <cellStyle name="60% - 강조색2 18" xfId="0"/>
    <cellStyle name="60% - 강조색2 19" xfId="0"/>
    <cellStyle name="60% - 강조색2 2" xfId="0"/>
    <cellStyle name="60% - 강조색2 2 10" xfId="0"/>
    <cellStyle name="60% - 강조색2 2 11" xfId="0"/>
    <cellStyle name="60% - 강조색2 2 12" xfId="0"/>
    <cellStyle name="60% - 강조색2 2 13" xfId="0"/>
    <cellStyle name="60% - 강조색2 2 2" xfId="0"/>
    <cellStyle name="60% - 강조색2 2 2 10" xfId="0"/>
    <cellStyle name="60% - 강조색2 2 2 2" xfId="0"/>
    <cellStyle name="60% - 강조색2 2 2 3" xfId="0"/>
    <cellStyle name="60% - 강조색2 2 2 4" xfId="0"/>
    <cellStyle name="60% - 강조색2 2 2 5" xfId="0"/>
    <cellStyle name="60% - 강조색2 2 2 6" xfId="0"/>
    <cellStyle name="60% - 강조색2 2 2 7" xfId="0"/>
    <cellStyle name="60% - 강조색2 2 2 8" xfId="0"/>
    <cellStyle name="60% - 강조색2 2 2 9" xfId="0"/>
    <cellStyle name="60% - 강조색2 2 3" xfId="0"/>
    <cellStyle name="60% - 강조색2 2 3 10" xfId="0"/>
    <cellStyle name="60% - 강조색2 2 3 2" xfId="0"/>
    <cellStyle name="60% - 강조색2 2 3 3" xfId="0"/>
    <cellStyle name="60% - 강조색2 2 3 4" xfId="0"/>
    <cellStyle name="60% - 강조색2 2 3 5" xfId="0"/>
    <cellStyle name="60% - 강조색2 2 3 6" xfId="0"/>
    <cellStyle name="60% - 강조색2 2 3 7" xfId="0"/>
    <cellStyle name="60% - 강조색2 2 3 8" xfId="0"/>
    <cellStyle name="60% - 강조색2 2 3 9" xfId="0"/>
    <cellStyle name="60% - 강조색2 2 4" xfId="0"/>
    <cellStyle name="60% - 강조색2 2 4 10" xfId="0"/>
    <cellStyle name="60% - 강조색2 2 4 2" xfId="0"/>
    <cellStyle name="60% - 강조색2 2 4 3" xfId="0"/>
    <cellStyle name="60% - 강조색2 2 4 4" xfId="0"/>
    <cellStyle name="60% - 강조색2 2 4 5" xfId="0"/>
    <cellStyle name="60% - 강조색2 2 4 6" xfId="0"/>
    <cellStyle name="60% - 강조색2 2 4 7" xfId="0"/>
    <cellStyle name="60% - 강조색2 2 4 8" xfId="0"/>
    <cellStyle name="60% - 강조색2 2 4 9" xfId="0"/>
    <cellStyle name="60% - 강조색2 2 5" xfId="0"/>
    <cellStyle name="60% - 강조색2 2 5 10" xfId="0"/>
    <cellStyle name="60% - 강조색2 2 5 2" xfId="0"/>
    <cellStyle name="60% - 강조색2 2 5 3" xfId="0"/>
    <cellStyle name="60% - 강조색2 2 5 4" xfId="0"/>
    <cellStyle name="60% - 강조색2 2 5 5" xfId="0"/>
    <cellStyle name="60% - 강조색2 2 5 6" xfId="0"/>
    <cellStyle name="60% - 강조색2 2 5 7" xfId="0"/>
    <cellStyle name="60% - 강조색2 2 5 8" xfId="0"/>
    <cellStyle name="60% - 강조색2 2 5 9" xfId="0"/>
    <cellStyle name="60% - 강조색2 2 6" xfId="0"/>
    <cellStyle name="60% - 강조색2 2 6 10" xfId="0"/>
    <cellStyle name="60% - 강조색2 2 6 2" xfId="0"/>
    <cellStyle name="60% - 강조색2 2 6 3" xfId="0"/>
    <cellStyle name="60% - 강조색2 2 6 4" xfId="0"/>
    <cellStyle name="60% - 강조색2 2 6 5" xfId="0"/>
    <cellStyle name="60% - 강조색2 2 6 6" xfId="0"/>
    <cellStyle name="60% - 강조색2 2 6 7" xfId="0"/>
    <cellStyle name="60% - 강조색2 2 6 8" xfId="0"/>
    <cellStyle name="60% - 강조색2 2 6 9" xfId="0"/>
    <cellStyle name="60% - 강조색2 2 7" xfId="0"/>
    <cellStyle name="60% - 강조색2 2 7 10" xfId="0"/>
    <cellStyle name="60% - 강조색2 2 7 2" xfId="0"/>
    <cellStyle name="60% - 강조색2 2 7 3" xfId="0"/>
    <cellStyle name="60% - 강조색2 2 7 4" xfId="0"/>
    <cellStyle name="60% - 강조색2 2 7 5" xfId="0"/>
    <cellStyle name="60% - 강조색2 2 7 6" xfId="0"/>
    <cellStyle name="60% - 강조색2 2 7 7" xfId="0"/>
    <cellStyle name="60% - 강조색2 2 7 8" xfId="0"/>
    <cellStyle name="60% - 강조색2 2 7 9" xfId="0"/>
    <cellStyle name="60% - 강조색2 2 8" xfId="0"/>
    <cellStyle name="60% - 강조색2 2 8 2" xfId="0"/>
    <cellStyle name="60% - 강조색2 2 9" xfId="0"/>
    <cellStyle name="60% - 강조색2 20" xfId="0"/>
    <cellStyle name="60% - 강조색2 21" xfId="0"/>
    <cellStyle name="60% - 강조색2 22" xfId="0"/>
    <cellStyle name="60% - 강조색2 23" xfId="0"/>
    <cellStyle name="60% - 강조색2 24" xfId="0"/>
    <cellStyle name="60% - 강조색2 25" xfId="0"/>
    <cellStyle name="60% - 강조색2 26" xfId="0"/>
    <cellStyle name="60% - 강조색2 27" xfId="0"/>
    <cellStyle name="60% - 강조색2 2_3300현금및예치금" xfId="0"/>
    <cellStyle name="60% - 강조색2 3" xfId="0"/>
    <cellStyle name="60% - 강조색2 3 10" xfId="0"/>
    <cellStyle name="60% - 강조색2 3 10 2" xfId="0"/>
    <cellStyle name="60% - 강조색2 3 11" xfId="0"/>
    <cellStyle name="60% - 강조색2 3 11 2" xfId="0"/>
    <cellStyle name="60% - 강조색2 3 12" xfId="0"/>
    <cellStyle name="60% - 강조색2 3 12 2" xfId="0"/>
    <cellStyle name="60% - 강조색2 3 13" xfId="0"/>
    <cellStyle name="60% - 강조색2 3 14" xfId="0"/>
    <cellStyle name="60% - 강조색2 3 15" xfId="0"/>
    <cellStyle name="60% - 강조색2 3 16" xfId="0"/>
    <cellStyle name="60% - 강조색2 3 17" xfId="0"/>
    <cellStyle name="60% - 강조색2 3 18" xfId="0"/>
    <cellStyle name="60% - 강조색2 3 19" xfId="0"/>
    <cellStyle name="60% - 강조색2 3 2" xfId="0"/>
    <cellStyle name="60% - 강조색2 3 2 2" xfId="0"/>
    <cellStyle name="60% - 강조색2 3 2 3" xfId="0"/>
    <cellStyle name="60% - 강조색2 3 20" xfId="0"/>
    <cellStyle name="60% - 강조색2 3 3" xfId="0"/>
    <cellStyle name="60% - 강조색2 3 3 2" xfId="0"/>
    <cellStyle name="60% - 강조색2 3 3 3" xfId="0"/>
    <cellStyle name="60% - 강조색2 3 4" xfId="0"/>
    <cellStyle name="60% - 강조색2 3 4 2" xfId="0"/>
    <cellStyle name="60% - 강조색2 3 4 3" xfId="0"/>
    <cellStyle name="60% - 강조색2 3 5" xfId="0"/>
    <cellStyle name="60% - 강조색2 3 5 2" xfId="0"/>
    <cellStyle name="60% - 강조색2 3 5 3" xfId="0"/>
    <cellStyle name="60% - 강조색2 3 6" xfId="0"/>
    <cellStyle name="60% - 강조색2 3 6 2" xfId="0"/>
    <cellStyle name="60% - 강조색2 3 6 3" xfId="0"/>
    <cellStyle name="60% - 강조색2 3 7" xfId="0"/>
    <cellStyle name="60% - 강조색2 3 7 2" xfId="0"/>
    <cellStyle name="60% - 강조색2 3 7 3" xfId="0"/>
    <cellStyle name="60% - 강조색2 3 8" xfId="0"/>
    <cellStyle name="60% - 강조색2 3 8 2" xfId="0"/>
    <cellStyle name="60% - 강조색2 3 8 3" xfId="0"/>
    <cellStyle name="60% - 강조색2 3 9" xfId="0"/>
    <cellStyle name="60% - 강조색2 3 9 2" xfId="0"/>
    <cellStyle name="60% - 강조색2 3_운용자산별 손익분석" xfId="0"/>
    <cellStyle name="60% - 강조색2 4" xfId="0"/>
    <cellStyle name="60% - 강조색2 4 10" xfId="0"/>
    <cellStyle name="60% - 강조색2 4 11" xfId="0"/>
    <cellStyle name="60% - 강조색2 4 12" xfId="0"/>
    <cellStyle name="60% - 강조색2 4 13" xfId="0"/>
    <cellStyle name="60% - 강조색2 4 2" xfId="0"/>
    <cellStyle name="60% - 강조색2 4 3" xfId="0"/>
    <cellStyle name="60% - 강조색2 4 4" xfId="0"/>
    <cellStyle name="60% - 강조색2 4 5" xfId="0"/>
    <cellStyle name="60% - 강조색2 4 6" xfId="0"/>
    <cellStyle name="60% - 강조색2 4 7" xfId="0"/>
    <cellStyle name="60% - 강조색2 4 8" xfId="0"/>
    <cellStyle name="60% - 강조색2 4 9" xfId="0"/>
    <cellStyle name="60% - 강조색2 4_운용자산별 손익분석" xfId="0"/>
    <cellStyle name="60% - 강조색2 5" xfId="0"/>
    <cellStyle name="60% - 강조색2 5 10" xfId="0"/>
    <cellStyle name="60% - 강조색2 5 11" xfId="0"/>
    <cellStyle name="60% - 강조색2 5 12" xfId="0"/>
    <cellStyle name="60% - 강조색2 5 13" xfId="0"/>
    <cellStyle name="60% - 강조색2 5 14" xfId="0"/>
    <cellStyle name="60% - 강조색2 5 15" xfId="0"/>
    <cellStyle name="60% - 강조색2 5 16" xfId="0"/>
    <cellStyle name="60% - 강조색2 5 17" xfId="0"/>
    <cellStyle name="60% - 강조색2 5 18" xfId="0"/>
    <cellStyle name="60% - 강조색2 5 19" xfId="0"/>
    <cellStyle name="60% - 강조색2 5 2" xfId="0"/>
    <cellStyle name="60% - 강조색2 5 20" xfId="0"/>
    <cellStyle name="60% - 강조색2 5 21" xfId="0"/>
    <cellStyle name="60% - 강조색2 5 22" xfId="0"/>
    <cellStyle name="60% - 강조색2 5 23" xfId="0"/>
    <cellStyle name="60% - 강조색2 5 24" xfId="0"/>
    <cellStyle name="60% - 강조색2 5 25" xfId="0"/>
    <cellStyle name="60% - 강조색2 5 26" xfId="0"/>
    <cellStyle name="60% - 강조색2 5 27" xfId="0"/>
    <cellStyle name="60% - 강조색2 5 28" xfId="0"/>
    <cellStyle name="60% - 강조색2 5 29" xfId="0"/>
    <cellStyle name="60% - 강조색2 5 3" xfId="0"/>
    <cellStyle name="60% - 강조색2 5 30" xfId="0"/>
    <cellStyle name="60% - 강조색2 5 31" xfId="0"/>
    <cellStyle name="60% - 강조색2 5 32" xfId="0"/>
    <cellStyle name="60% - 강조색2 5 33" xfId="0"/>
    <cellStyle name="60% - 강조색2 5 34" xfId="0"/>
    <cellStyle name="60% - 강조색2 5 4" xfId="0"/>
    <cellStyle name="60% - 강조색2 5 5" xfId="0"/>
    <cellStyle name="60% - 강조색2 5 6" xfId="0"/>
    <cellStyle name="60% - 강조색2 5 7" xfId="0"/>
    <cellStyle name="60% - 강조색2 5 8" xfId="0"/>
    <cellStyle name="60% - 강조색2 5 9" xfId="0"/>
    <cellStyle name="60% - 강조색2 6" xfId="0"/>
    <cellStyle name="60% - 강조색2 6 10" xfId="0"/>
    <cellStyle name="60% - 강조색2 6 11" xfId="0"/>
    <cellStyle name="60% - 강조색2 6 12" xfId="0"/>
    <cellStyle name="60% - 강조색2 6 13" xfId="0"/>
    <cellStyle name="60% - 강조색2 6 14" xfId="0"/>
    <cellStyle name="60% - 강조색2 6 15" xfId="0"/>
    <cellStyle name="60% - 강조색2 6 16" xfId="0"/>
    <cellStyle name="60% - 강조색2 6 17" xfId="0"/>
    <cellStyle name="60% - 강조색2 6 18" xfId="0"/>
    <cellStyle name="60% - 강조색2 6 19" xfId="0"/>
    <cellStyle name="60% - 강조색2 6 2" xfId="0"/>
    <cellStyle name="60% - 강조색2 6 20" xfId="0"/>
    <cellStyle name="60% - 강조색2 6 21" xfId="0"/>
    <cellStyle name="60% - 강조색2 6 22" xfId="0"/>
    <cellStyle name="60% - 강조색2 6 23" xfId="0"/>
    <cellStyle name="60% - 강조색2 6 24" xfId="0"/>
    <cellStyle name="60% - 강조색2 6 25" xfId="0"/>
    <cellStyle name="60% - 강조색2 6 26" xfId="0"/>
    <cellStyle name="60% - 강조색2 6 27" xfId="0"/>
    <cellStyle name="60% - 강조색2 6 28" xfId="0"/>
    <cellStyle name="60% - 강조색2 6 29" xfId="0"/>
    <cellStyle name="60% - 강조색2 6 3" xfId="0"/>
    <cellStyle name="60% - 강조색2 6 30" xfId="0"/>
    <cellStyle name="60% - 강조색2 6 4" xfId="0"/>
    <cellStyle name="60% - 강조색2 6 5" xfId="0"/>
    <cellStyle name="60% - 강조색2 6 6" xfId="0"/>
    <cellStyle name="60% - 강조색2 6 7" xfId="0"/>
    <cellStyle name="60% - 강조색2 6 8" xfId="0"/>
    <cellStyle name="60% - 강조색2 6 9" xfId="0"/>
    <cellStyle name="60% - 강조색2 7" xfId="0"/>
    <cellStyle name="60% - 강조색2 7 10" xfId="0"/>
    <cellStyle name="60% - 강조색2 7 11" xfId="0"/>
    <cellStyle name="60% - 강조색2 7 12" xfId="0"/>
    <cellStyle name="60% - 강조색2 7 13" xfId="0"/>
    <cellStyle name="60% - 강조색2 7 14" xfId="0"/>
    <cellStyle name="60% - 강조색2 7 15" xfId="0"/>
    <cellStyle name="60% - 강조색2 7 2" xfId="0"/>
    <cellStyle name="60% - 강조색2 7 2 2" xfId="0"/>
    <cellStyle name="60% - 강조색2 7 3" xfId="0"/>
    <cellStyle name="60% - 강조색2 7 3 2" xfId="0"/>
    <cellStyle name="60% - 강조색2 7 4" xfId="0"/>
    <cellStyle name="60% - 강조색2 7 4 2" xfId="0"/>
    <cellStyle name="60% - 강조색2 7 5" xfId="0"/>
    <cellStyle name="60% - 강조색2 7 5 2" xfId="0"/>
    <cellStyle name="60% - 강조색2 7 6" xfId="0"/>
    <cellStyle name="60% - 강조색2 7 6 2" xfId="0"/>
    <cellStyle name="60% - 강조색2 7 7" xfId="0"/>
    <cellStyle name="60% - 강조색2 7 8" xfId="0"/>
    <cellStyle name="60% - 강조색2 7 9" xfId="0"/>
    <cellStyle name="60% - 강조색2 8" xfId="0"/>
    <cellStyle name="60% - 강조색2 8 10" xfId="0"/>
    <cellStyle name="60% - 강조색2 8 11" xfId="0"/>
    <cellStyle name="60% - 강조색2 8 12" xfId="0"/>
    <cellStyle name="60% - 강조색2 8 13" xfId="0"/>
    <cellStyle name="60% - 강조색2 8 14" xfId="0"/>
    <cellStyle name="60% - 강조색2 8 2" xfId="0"/>
    <cellStyle name="60% - 강조색2 8 2 2" xfId="0"/>
    <cellStyle name="60% - 강조색2 8 3" xfId="0"/>
    <cellStyle name="60% - 강조색2 8 3 2" xfId="0"/>
    <cellStyle name="60% - 강조색2 8 4" xfId="0"/>
    <cellStyle name="60% - 강조색2 8 4 2" xfId="0"/>
    <cellStyle name="60% - 강조색2 8 5" xfId="0"/>
    <cellStyle name="60% - 강조색2 8 5 2" xfId="0"/>
    <cellStyle name="60% - 강조색2 8 6" xfId="0"/>
    <cellStyle name="60% - 강조색2 8 6 2" xfId="0"/>
    <cellStyle name="60% - 강조색2 8 7" xfId="0"/>
    <cellStyle name="60% - 강조색2 8 8" xfId="0"/>
    <cellStyle name="60% - 강조색2 8 9" xfId="0"/>
    <cellStyle name="60% - 강조색2 9" xfId="0"/>
    <cellStyle name="60% - 강조색2 9 10" xfId="0"/>
    <cellStyle name="60% - 강조색2 9 11" xfId="0"/>
    <cellStyle name="60% - 강조색2 9 12" xfId="0"/>
    <cellStyle name="60% - 강조색2 9 13" xfId="0"/>
    <cellStyle name="60% - 강조색2 9 14" xfId="0"/>
    <cellStyle name="60% - 강조색2 9 2" xfId="0"/>
    <cellStyle name="60% - 강조색2 9 2 2" xfId="0"/>
    <cellStyle name="60% - 강조색2 9 3" xfId="0"/>
    <cellStyle name="60% - 강조색2 9 3 2" xfId="0"/>
    <cellStyle name="60% - 강조색2 9 4" xfId="0"/>
    <cellStyle name="60% - 강조색2 9 4 2" xfId="0"/>
    <cellStyle name="60% - 강조색2 9 5" xfId="0"/>
    <cellStyle name="60% - 강조색2 9 5 2" xfId="0"/>
    <cellStyle name="60% - 강조색2 9 6" xfId="0"/>
    <cellStyle name="60% - 강조색2 9 6 2" xfId="0"/>
    <cellStyle name="60% - 강조색2 9 7" xfId="0"/>
    <cellStyle name="60% - 강조색2 9 8" xfId="0"/>
    <cellStyle name="60% - 강조색2 9 9" xfId="0"/>
    <cellStyle name="60% - 강조색3 10" xfId="0"/>
    <cellStyle name="60% - 강조색3 10 2" xfId="0"/>
    <cellStyle name="60% - 강조색3 10 2 2" xfId="0"/>
    <cellStyle name="60% - 강조색3 10 3" xfId="0"/>
    <cellStyle name="60% - 강조색3 10 3 2" xfId="0"/>
    <cellStyle name="60% - 강조색3 10 4" xfId="0"/>
    <cellStyle name="60% - 강조색3 10 4 2" xfId="0"/>
    <cellStyle name="60% - 강조색3 10 5" xfId="0"/>
    <cellStyle name="60% - 강조색3 10 6" xfId="0"/>
    <cellStyle name="60% - 강조색3 10 7" xfId="0"/>
    <cellStyle name="60% - 강조색3 11" xfId="0"/>
    <cellStyle name="60% - 강조색3 11 2" xfId="0"/>
    <cellStyle name="60% - 강조색3 11 2 2" xfId="0"/>
    <cellStyle name="60% - 강조색3 11 3" xfId="0"/>
    <cellStyle name="60% - 강조색3 11 3 2" xfId="0"/>
    <cellStyle name="60% - 강조색3 11 4" xfId="0"/>
    <cellStyle name="60% - 강조색3 11 4 2" xfId="0"/>
    <cellStyle name="60% - 강조색3 11 5" xfId="0"/>
    <cellStyle name="60% - 강조색3 11 6" xfId="0"/>
    <cellStyle name="60% - 강조색3 11 7" xfId="0"/>
    <cellStyle name="60% - 강조색3 12" xfId="0"/>
    <cellStyle name="60% - 강조색3 12 2" xfId="0"/>
    <cellStyle name="60% - 강조색3 12 3" xfId="0"/>
    <cellStyle name="60% - 강조색3 12 4" xfId="0"/>
    <cellStyle name="60% - 강조색3 12 5" xfId="0"/>
    <cellStyle name="60% - 강조색3 13" xfId="0"/>
    <cellStyle name="60% - 강조색3 13 2" xfId="0"/>
    <cellStyle name="60% - 강조색3 13 3" xfId="0"/>
    <cellStyle name="60% - 강조색3 13 4" xfId="0"/>
    <cellStyle name="60% - 강조색3 13 5" xfId="0"/>
    <cellStyle name="60% - 강조색3 14" xfId="0"/>
    <cellStyle name="60% - 강조색3 14 2" xfId="0"/>
    <cellStyle name="60% - 강조색3 15" xfId="0"/>
    <cellStyle name="60% - 강조색3 15 2" xfId="0"/>
    <cellStyle name="60% - 강조색3 16" xfId="0"/>
    <cellStyle name="60% - 강조색3 16 2" xfId="0"/>
    <cellStyle name="60% - 강조색3 17" xfId="0"/>
    <cellStyle name="60% - 강조색3 17 2" xfId="0"/>
    <cellStyle name="60% - 강조색3 18" xfId="0"/>
    <cellStyle name="60% - 강조색3 19" xfId="0"/>
    <cellStyle name="60% - 강조색3 2" xfId="0"/>
    <cellStyle name="60% - 강조색3 2 10" xfId="0"/>
    <cellStyle name="60% - 강조색3 2 11" xfId="0"/>
    <cellStyle name="60% - 강조색3 2 12" xfId="0"/>
    <cellStyle name="60% - 강조색3 2 13" xfId="0"/>
    <cellStyle name="60% - 강조색3 2 2" xfId="0"/>
    <cellStyle name="60% - 강조색3 2 2 10" xfId="0"/>
    <cellStyle name="60% - 강조색3 2 2 2" xfId="0"/>
    <cellStyle name="60% - 강조색3 2 2 3" xfId="0"/>
    <cellStyle name="60% - 강조색3 2 2 4" xfId="0"/>
    <cellStyle name="60% - 강조색3 2 2 5" xfId="0"/>
    <cellStyle name="60% - 강조색3 2 2 6" xfId="0"/>
    <cellStyle name="60% - 강조색3 2 2 7" xfId="0"/>
    <cellStyle name="60% - 강조색3 2 2 8" xfId="0"/>
    <cellStyle name="60% - 강조색3 2 2 9" xfId="0"/>
    <cellStyle name="60% - 강조색3 2 3" xfId="0"/>
    <cellStyle name="60% - 강조색3 2 3 10" xfId="0"/>
    <cellStyle name="60% - 강조색3 2 3 2" xfId="0"/>
    <cellStyle name="60% - 강조색3 2 3 3" xfId="0"/>
    <cellStyle name="60% - 강조색3 2 3 4" xfId="0"/>
    <cellStyle name="60% - 강조색3 2 3 5" xfId="0"/>
    <cellStyle name="60% - 강조색3 2 3 6" xfId="0"/>
    <cellStyle name="60% - 강조색3 2 3 7" xfId="0"/>
    <cellStyle name="60% - 강조색3 2 3 8" xfId="0"/>
    <cellStyle name="60% - 강조색3 2 3 9" xfId="0"/>
    <cellStyle name="60% - 강조색3 2 4" xfId="0"/>
    <cellStyle name="60% - 강조색3 2 4 10" xfId="0"/>
    <cellStyle name="60% - 강조색3 2 4 2" xfId="0"/>
    <cellStyle name="60% - 강조색3 2 4 3" xfId="0"/>
    <cellStyle name="60% - 강조색3 2 4 4" xfId="0"/>
    <cellStyle name="60% - 강조색3 2 4 5" xfId="0"/>
    <cellStyle name="60% - 강조색3 2 4 6" xfId="0"/>
    <cellStyle name="60% - 강조색3 2 4 7" xfId="0"/>
    <cellStyle name="60% - 강조색3 2 4 8" xfId="0"/>
    <cellStyle name="60% - 강조색3 2 4 9" xfId="0"/>
    <cellStyle name="60% - 강조색3 2 5" xfId="0"/>
    <cellStyle name="60% - 강조색3 2 5 10" xfId="0"/>
    <cellStyle name="60% - 강조색3 2 5 2" xfId="0"/>
    <cellStyle name="60% - 강조색3 2 5 3" xfId="0"/>
    <cellStyle name="60% - 강조색3 2 5 4" xfId="0"/>
    <cellStyle name="60% - 강조색3 2 5 5" xfId="0"/>
    <cellStyle name="60% - 강조색3 2 5 6" xfId="0"/>
    <cellStyle name="60% - 강조색3 2 5 7" xfId="0"/>
    <cellStyle name="60% - 강조색3 2 5 8" xfId="0"/>
    <cellStyle name="60% - 강조색3 2 5 9" xfId="0"/>
    <cellStyle name="60% - 강조색3 2 6" xfId="0"/>
    <cellStyle name="60% - 강조색3 2 6 10" xfId="0"/>
    <cellStyle name="60% - 강조색3 2 6 2" xfId="0"/>
    <cellStyle name="60% - 강조색3 2 6 3" xfId="0"/>
    <cellStyle name="60% - 강조색3 2 6 4" xfId="0"/>
    <cellStyle name="60% - 강조색3 2 6 5" xfId="0"/>
    <cellStyle name="60% - 강조색3 2 6 6" xfId="0"/>
    <cellStyle name="60% - 강조색3 2 6 7" xfId="0"/>
    <cellStyle name="60% - 강조색3 2 6 8" xfId="0"/>
    <cellStyle name="60% - 강조색3 2 6 9" xfId="0"/>
    <cellStyle name="60% - 강조색3 2 7" xfId="0"/>
    <cellStyle name="60% - 강조색3 2 7 10" xfId="0"/>
    <cellStyle name="60% - 강조색3 2 7 2" xfId="0"/>
    <cellStyle name="60% - 강조색3 2 7 3" xfId="0"/>
    <cellStyle name="60% - 강조색3 2 7 4" xfId="0"/>
    <cellStyle name="60% - 강조색3 2 7 5" xfId="0"/>
    <cellStyle name="60% - 강조색3 2 7 6" xfId="0"/>
    <cellStyle name="60% - 강조색3 2 7 7" xfId="0"/>
    <cellStyle name="60% - 강조색3 2 7 8" xfId="0"/>
    <cellStyle name="60% - 강조색3 2 7 9" xfId="0"/>
    <cellStyle name="60% - 강조색3 2 8" xfId="0"/>
    <cellStyle name="60% - 강조색3 2 8 2" xfId="0"/>
    <cellStyle name="60% - 강조색3 2 9" xfId="0"/>
    <cellStyle name="60% - 강조색3 20" xfId="0"/>
    <cellStyle name="60% - 강조색3 21" xfId="0"/>
    <cellStyle name="60% - 강조색3 22" xfId="0"/>
    <cellStyle name="60% - 강조색3 23" xfId="0"/>
    <cellStyle name="60% - 강조색3 24" xfId="0"/>
    <cellStyle name="60% - 강조색3 25" xfId="0"/>
    <cellStyle name="60% - 강조색3 26" xfId="0"/>
    <cellStyle name="60% - 강조색3 27" xfId="0"/>
    <cellStyle name="60% - 강조색3 2_3300현금및예치금" xfId="0"/>
    <cellStyle name="60% - 강조색3 3" xfId="0"/>
    <cellStyle name="60% - 강조색3 3 10" xfId="0"/>
    <cellStyle name="60% - 강조색3 3 10 2" xfId="0"/>
    <cellStyle name="60% - 강조색3 3 11" xfId="0"/>
    <cellStyle name="60% - 강조색3 3 11 2" xfId="0"/>
    <cellStyle name="60% - 강조색3 3 12" xfId="0"/>
    <cellStyle name="60% - 강조색3 3 12 2" xfId="0"/>
    <cellStyle name="60% - 강조색3 3 13" xfId="0"/>
    <cellStyle name="60% - 강조색3 3 14" xfId="0"/>
    <cellStyle name="60% - 강조색3 3 15" xfId="0"/>
    <cellStyle name="60% - 강조색3 3 16" xfId="0"/>
    <cellStyle name="60% - 강조색3 3 17" xfId="0"/>
    <cellStyle name="60% - 강조색3 3 18" xfId="0"/>
    <cellStyle name="60% - 강조색3 3 19" xfId="0"/>
    <cellStyle name="60% - 강조색3 3 2" xfId="0"/>
    <cellStyle name="60% - 강조색3 3 2 2" xfId="0"/>
    <cellStyle name="60% - 강조색3 3 2 3" xfId="0"/>
    <cellStyle name="60% - 강조색3 3 20" xfId="0"/>
    <cellStyle name="60% - 강조색3 3 3" xfId="0"/>
    <cellStyle name="60% - 강조색3 3 3 2" xfId="0"/>
    <cellStyle name="60% - 강조색3 3 3 3" xfId="0"/>
    <cellStyle name="60% - 강조색3 3 4" xfId="0"/>
    <cellStyle name="60% - 강조색3 3 4 2" xfId="0"/>
    <cellStyle name="60% - 강조색3 3 4 3" xfId="0"/>
    <cellStyle name="60% - 강조색3 3 5" xfId="0"/>
    <cellStyle name="60% - 강조색3 3 5 2" xfId="0"/>
    <cellStyle name="60% - 강조색3 3 5 3" xfId="0"/>
    <cellStyle name="60% - 강조색3 3 6" xfId="0"/>
    <cellStyle name="60% - 강조색3 3 6 2" xfId="0"/>
    <cellStyle name="60% - 강조색3 3 6 3" xfId="0"/>
    <cellStyle name="60% - 강조색3 3 7" xfId="0"/>
    <cellStyle name="60% - 강조색3 3 7 2" xfId="0"/>
    <cellStyle name="60% - 강조색3 3 7 3" xfId="0"/>
    <cellStyle name="60% - 강조색3 3 8" xfId="0"/>
    <cellStyle name="60% - 강조색3 3 8 2" xfId="0"/>
    <cellStyle name="60% - 강조색3 3 8 3" xfId="0"/>
    <cellStyle name="60% - 강조색3 3 9" xfId="0"/>
    <cellStyle name="60% - 강조색3 3 9 2" xfId="0"/>
    <cellStyle name="60% - 강조색3 3_운용자산별 손익분석" xfId="0"/>
    <cellStyle name="60% - 강조색3 4" xfId="0"/>
    <cellStyle name="60% - 강조색3 4 10" xfId="0"/>
    <cellStyle name="60% - 강조색3 4 11" xfId="0"/>
    <cellStyle name="60% - 강조색3 4 12" xfId="0"/>
    <cellStyle name="60% - 강조색3 4 13" xfId="0"/>
    <cellStyle name="60% - 강조색3 4 2" xfId="0"/>
    <cellStyle name="60% - 강조색3 4 3" xfId="0"/>
    <cellStyle name="60% - 강조색3 4 4" xfId="0"/>
    <cellStyle name="60% - 강조색3 4 5" xfId="0"/>
    <cellStyle name="60% - 강조색3 4 6" xfId="0"/>
    <cellStyle name="60% - 강조색3 4 7" xfId="0"/>
    <cellStyle name="60% - 강조색3 4 8" xfId="0"/>
    <cellStyle name="60% - 강조색3 4 9" xfId="0"/>
    <cellStyle name="60% - 강조색3 4_운용자산별 손익분석" xfId="0"/>
    <cellStyle name="60% - 강조색3 5" xfId="0"/>
    <cellStyle name="60% - 강조색3 5 10" xfId="0"/>
    <cellStyle name="60% - 강조색3 5 11" xfId="0"/>
    <cellStyle name="60% - 강조색3 5 12" xfId="0"/>
    <cellStyle name="60% - 강조색3 5 13" xfId="0"/>
    <cellStyle name="60% - 강조색3 5 14" xfId="0"/>
    <cellStyle name="60% - 강조색3 5 15" xfId="0"/>
    <cellStyle name="60% - 강조색3 5 16" xfId="0"/>
    <cellStyle name="60% - 강조색3 5 17" xfId="0"/>
    <cellStyle name="60% - 강조색3 5 18" xfId="0"/>
    <cellStyle name="60% - 강조색3 5 19" xfId="0"/>
    <cellStyle name="60% - 강조색3 5 2" xfId="0"/>
    <cellStyle name="60% - 강조색3 5 20" xfId="0"/>
    <cellStyle name="60% - 강조색3 5 21" xfId="0"/>
    <cellStyle name="60% - 강조색3 5 22" xfId="0"/>
    <cellStyle name="60% - 강조색3 5 23" xfId="0"/>
    <cellStyle name="60% - 강조색3 5 24" xfId="0"/>
    <cellStyle name="60% - 강조색3 5 25" xfId="0"/>
    <cellStyle name="60% - 강조색3 5 26" xfId="0"/>
    <cellStyle name="60% - 강조색3 5 27" xfId="0"/>
    <cellStyle name="60% - 강조색3 5 28" xfId="0"/>
    <cellStyle name="60% - 강조색3 5 29" xfId="0"/>
    <cellStyle name="60% - 강조색3 5 3" xfId="0"/>
    <cellStyle name="60% - 강조색3 5 30" xfId="0"/>
    <cellStyle name="60% - 강조색3 5 31" xfId="0"/>
    <cellStyle name="60% - 강조색3 5 32" xfId="0"/>
    <cellStyle name="60% - 강조색3 5 33" xfId="0"/>
    <cellStyle name="60% - 강조색3 5 34" xfId="0"/>
    <cellStyle name="60% - 강조색3 5 4" xfId="0"/>
    <cellStyle name="60% - 강조색3 5 5" xfId="0"/>
    <cellStyle name="60% - 강조색3 5 6" xfId="0"/>
    <cellStyle name="60% - 강조색3 5 7" xfId="0"/>
    <cellStyle name="60% - 강조색3 5 8" xfId="0"/>
    <cellStyle name="60% - 강조색3 5 9" xfId="0"/>
    <cellStyle name="60% - 강조색3 6" xfId="0"/>
    <cellStyle name="60% - 강조색3 6 10" xfId="0"/>
    <cellStyle name="60% - 강조색3 6 11" xfId="0"/>
    <cellStyle name="60% - 강조색3 6 12" xfId="0"/>
    <cellStyle name="60% - 강조색3 6 13" xfId="0"/>
    <cellStyle name="60% - 강조색3 6 14" xfId="0"/>
    <cellStyle name="60% - 강조색3 6 15" xfId="0"/>
    <cellStyle name="60% - 강조색3 6 16" xfId="0"/>
    <cellStyle name="60% - 강조색3 6 17" xfId="0"/>
    <cellStyle name="60% - 강조색3 6 18" xfId="0"/>
    <cellStyle name="60% - 강조색3 6 19" xfId="0"/>
    <cellStyle name="60% - 강조색3 6 2" xfId="0"/>
    <cellStyle name="60% - 강조색3 6 20" xfId="0"/>
    <cellStyle name="60% - 강조색3 6 21" xfId="0"/>
    <cellStyle name="60% - 강조색3 6 22" xfId="0"/>
    <cellStyle name="60% - 강조색3 6 23" xfId="0"/>
    <cellStyle name="60% - 강조색3 6 24" xfId="0"/>
    <cellStyle name="60% - 강조색3 6 25" xfId="0"/>
    <cellStyle name="60% - 강조색3 6 26" xfId="0"/>
    <cellStyle name="60% - 강조색3 6 27" xfId="0"/>
    <cellStyle name="60% - 강조색3 6 28" xfId="0"/>
    <cellStyle name="60% - 강조색3 6 29" xfId="0"/>
    <cellStyle name="60% - 강조색3 6 3" xfId="0"/>
    <cellStyle name="60% - 강조색3 6 30" xfId="0"/>
    <cellStyle name="60% - 강조색3 6 4" xfId="0"/>
    <cellStyle name="60% - 강조색3 6 5" xfId="0"/>
    <cellStyle name="60% - 강조색3 6 6" xfId="0"/>
    <cellStyle name="60% - 강조색3 6 7" xfId="0"/>
    <cellStyle name="60% - 강조색3 6 8" xfId="0"/>
    <cellStyle name="60% - 강조색3 6 9" xfId="0"/>
    <cellStyle name="60% - 강조색3 7" xfId="0"/>
    <cellStyle name="60% - 강조색3 7 10" xfId="0"/>
    <cellStyle name="60% - 강조색3 7 11" xfId="0"/>
    <cellStyle name="60% - 강조색3 7 12" xfId="0"/>
    <cellStyle name="60% - 강조색3 7 13" xfId="0"/>
    <cellStyle name="60% - 강조색3 7 14" xfId="0"/>
    <cellStyle name="60% - 강조색3 7 15" xfId="0"/>
    <cellStyle name="60% - 강조색3 7 2" xfId="0"/>
    <cellStyle name="60% - 강조색3 7 2 2" xfId="0"/>
    <cellStyle name="60% - 강조색3 7 3" xfId="0"/>
    <cellStyle name="60% - 강조색3 7 3 2" xfId="0"/>
    <cellStyle name="60% - 강조색3 7 4" xfId="0"/>
    <cellStyle name="60% - 강조색3 7 4 2" xfId="0"/>
    <cellStyle name="60% - 강조색3 7 5" xfId="0"/>
    <cellStyle name="60% - 강조색3 7 5 2" xfId="0"/>
    <cellStyle name="60% - 강조색3 7 6" xfId="0"/>
    <cellStyle name="60% - 강조색3 7 6 2" xfId="0"/>
    <cellStyle name="60% - 강조색3 7 7" xfId="0"/>
    <cellStyle name="60% - 강조색3 7 8" xfId="0"/>
    <cellStyle name="60% - 강조색3 7 9" xfId="0"/>
    <cellStyle name="60% - 강조색3 8" xfId="0"/>
    <cellStyle name="60% - 강조색3 8 10" xfId="0"/>
    <cellStyle name="60% - 강조색3 8 11" xfId="0"/>
    <cellStyle name="60% - 강조색3 8 12" xfId="0"/>
    <cellStyle name="60% - 강조색3 8 13" xfId="0"/>
    <cellStyle name="60% - 강조색3 8 14" xfId="0"/>
    <cellStyle name="60% - 강조색3 8 2" xfId="0"/>
    <cellStyle name="60% - 강조색3 8 2 2" xfId="0"/>
    <cellStyle name="60% - 강조색3 8 3" xfId="0"/>
    <cellStyle name="60% - 강조색3 8 3 2" xfId="0"/>
    <cellStyle name="60% - 강조색3 8 4" xfId="0"/>
    <cellStyle name="60% - 강조색3 8 4 2" xfId="0"/>
    <cellStyle name="60% - 강조색3 8 5" xfId="0"/>
    <cellStyle name="60% - 강조색3 8 5 2" xfId="0"/>
    <cellStyle name="60% - 강조색3 8 6" xfId="0"/>
    <cellStyle name="60% - 강조색3 8 6 2" xfId="0"/>
    <cellStyle name="60% - 강조색3 8 7" xfId="0"/>
    <cellStyle name="60% - 강조색3 8 8" xfId="0"/>
    <cellStyle name="60% - 강조색3 8 9" xfId="0"/>
    <cellStyle name="60% - 강조색3 9" xfId="0"/>
    <cellStyle name="60% - 강조색3 9 10" xfId="0"/>
    <cellStyle name="60% - 강조색3 9 11" xfId="0"/>
    <cellStyle name="60% - 강조색3 9 12" xfId="0"/>
    <cellStyle name="60% - 강조색3 9 13" xfId="0"/>
    <cellStyle name="60% - 강조색3 9 14" xfId="0"/>
    <cellStyle name="60% - 강조색3 9 2" xfId="0"/>
    <cellStyle name="60% - 강조색3 9 2 2" xfId="0"/>
    <cellStyle name="60% - 강조색3 9 3" xfId="0"/>
    <cellStyle name="60% - 강조색3 9 3 2" xfId="0"/>
    <cellStyle name="60% - 강조색3 9 4" xfId="0"/>
    <cellStyle name="60% - 강조색3 9 4 2" xfId="0"/>
    <cellStyle name="60% - 강조색3 9 5" xfId="0"/>
    <cellStyle name="60% - 강조색3 9 5 2" xfId="0"/>
    <cellStyle name="60% - 강조색3 9 6" xfId="0"/>
    <cellStyle name="60% - 강조색3 9 6 2" xfId="0"/>
    <cellStyle name="60% - 강조색3 9 7" xfId="0"/>
    <cellStyle name="60% - 강조색3 9 8" xfId="0"/>
    <cellStyle name="60% - 강조색3 9 9" xfId="0"/>
    <cellStyle name="60% - 강조색4 10" xfId="0"/>
    <cellStyle name="60% - 강조색4 10 2" xfId="0"/>
    <cellStyle name="60% - 강조색4 10 2 2" xfId="0"/>
    <cellStyle name="60% - 강조색4 10 3" xfId="0"/>
    <cellStyle name="60% - 강조색4 10 3 2" xfId="0"/>
    <cellStyle name="60% - 강조색4 10 4" xfId="0"/>
    <cellStyle name="60% - 강조색4 10 4 2" xfId="0"/>
    <cellStyle name="60% - 강조색4 10 5" xfId="0"/>
    <cellStyle name="60% - 강조색4 10 6" xfId="0"/>
    <cellStyle name="60% - 강조색4 10 7" xfId="0"/>
    <cellStyle name="60% - 강조색4 11" xfId="0"/>
    <cellStyle name="60% - 강조색4 11 2" xfId="0"/>
    <cellStyle name="60% - 강조색4 11 2 2" xfId="0"/>
    <cellStyle name="60% - 강조색4 11 3" xfId="0"/>
    <cellStyle name="60% - 강조색4 11 3 2" xfId="0"/>
    <cellStyle name="60% - 강조색4 11 4" xfId="0"/>
    <cellStyle name="60% - 강조색4 11 4 2" xfId="0"/>
    <cellStyle name="60% - 강조색4 11 5" xfId="0"/>
    <cellStyle name="60% - 강조색4 11 6" xfId="0"/>
    <cellStyle name="60% - 강조색4 11 7" xfId="0"/>
    <cellStyle name="60% - 강조색4 12" xfId="0"/>
    <cellStyle name="60% - 강조색4 12 2" xfId="0"/>
    <cellStyle name="60% - 강조색4 12 3" xfId="0"/>
    <cellStyle name="60% - 강조색4 12 4" xfId="0"/>
    <cellStyle name="60% - 강조색4 12 5" xfId="0"/>
    <cellStyle name="60% - 강조색4 13" xfId="0"/>
    <cellStyle name="60% - 강조색4 13 2" xfId="0"/>
    <cellStyle name="60% - 강조색4 13 3" xfId="0"/>
    <cellStyle name="60% - 강조색4 13 4" xfId="0"/>
    <cellStyle name="60% - 강조색4 13 5" xfId="0"/>
    <cellStyle name="60% - 강조색4 14" xfId="0"/>
    <cellStyle name="60% - 강조색4 14 2" xfId="0"/>
    <cellStyle name="60% - 강조색4 15" xfId="0"/>
    <cellStyle name="60% - 강조색4 15 2" xfId="0"/>
    <cellStyle name="60% - 강조색4 16" xfId="0"/>
    <cellStyle name="60% - 강조색4 16 2" xfId="0"/>
    <cellStyle name="60% - 강조색4 17" xfId="0"/>
    <cellStyle name="60% - 강조색4 17 2" xfId="0"/>
    <cellStyle name="60% - 강조색4 18" xfId="0"/>
    <cellStyle name="60% - 강조색4 19" xfId="0"/>
    <cellStyle name="60% - 강조색4 2" xfId="0"/>
    <cellStyle name="60% - 강조색4 2 10" xfId="0"/>
    <cellStyle name="60% - 강조색4 2 11" xfId="0"/>
    <cellStyle name="60% - 강조색4 2 12" xfId="0"/>
    <cellStyle name="60% - 강조색4 2 13" xfId="0"/>
    <cellStyle name="60% - 강조색4 2 2" xfId="0"/>
    <cellStyle name="60% - 강조색4 2 2 10" xfId="0"/>
    <cellStyle name="60% - 강조색4 2 2 2" xfId="0"/>
    <cellStyle name="60% - 강조색4 2 2 3" xfId="0"/>
    <cellStyle name="60% - 강조색4 2 2 4" xfId="0"/>
    <cellStyle name="60% - 강조색4 2 2 5" xfId="0"/>
    <cellStyle name="60% - 강조색4 2 2 6" xfId="0"/>
    <cellStyle name="60% - 강조색4 2 2 7" xfId="0"/>
    <cellStyle name="60% - 강조색4 2 2 8" xfId="0"/>
    <cellStyle name="60% - 강조색4 2 2 9" xfId="0"/>
    <cellStyle name="60% - 강조색4 2 3" xfId="0"/>
    <cellStyle name="60% - 강조색4 2 3 10" xfId="0"/>
    <cellStyle name="60% - 강조색4 2 3 2" xfId="0"/>
    <cellStyle name="60% - 강조색4 2 3 3" xfId="0"/>
    <cellStyle name="60% - 강조색4 2 3 4" xfId="0"/>
    <cellStyle name="60% - 강조색4 2 3 5" xfId="0"/>
    <cellStyle name="60% - 강조색4 2 3 6" xfId="0"/>
    <cellStyle name="60% - 강조색4 2 3 7" xfId="0"/>
    <cellStyle name="60% - 강조색4 2 3 8" xfId="0"/>
    <cellStyle name="60% - 강조색4 2 3 9" xfId="0"/>
    <cellStyle name="60% - 강조색4 2 4" xfId="0"/>
    <cellStyle name="60% - 강조색4 2 4 10" xfId="0"/>
    <cellStyle name="60% - 강조색4 2 4 2" xfId="0"/>
    <cellStyle name="60% - 강조색4 2 4 3" xfId="0"/>
    <cellStyle name="60% - 강조색4 2 4 4" xfId="0"/>
    <cellStyle name="60% - 강조색4 2 4 5" xfId="0"/>
    <cellStyle name="60% - 강조색4 2 4 6" xfId="0"/>
    <cellStyle name="60% - 강조색4 2 4 7" xfId="0"/>
    <cellStyle name="60% - 강조색4 2 4 8" xfId="0"/>
    <cellStyle name="60% - 강조색4 2 4 9" xfId="0"/>
    <cellStyle name="60% - 강조색4 2 5" xfId="0"/>
    <cellStyle name="60% - 강조색4 2 5 10" xfId="0"/>
    <cellStyle name="60% - 강조색4 2 5 2" xfId="0"/>
    <cellStyle name="60% - 강조색4 2 5 3" xfId="0"/>
    <cellStyle name="60% - 강조색4 2 5 4" xfId="0"/>
    <cellStyle name="60% - 강조색4 2 5 5" xfId="0"/>
    <cellStyle name="60% - 강조색4 2 5 6" xfId="0"/>
    <cellStyle name="60% - 강조색4 2 5 7" xfId="0"/>
    <cellStyle name="60% - 강조색4 2 5 8" xfId="0"/>
    <cellStyle name="60% - 강조색4 2 5 9" xfId="0"/>
    <cellStyle name="60% - 강조색4 2 6" xfId="0"/>
    <cellStyle name="60% - 강조색4 2 6 10" xfId="0"/>
    <cellStyle name="60% - 강조색4 2 6 2" xfId="0"/>
    <cellStyle name="60% - 강조색4 2 6 3" xfId="0"/>
    <cellStyle name="60% - 강조색4 2 6 4" xfId="0"/>
    <cellStyle name="60% - 강조색4 2 6 5" xfId="0"/>
    <cellStyle name="60% - 강조색4 2 6 6" xfId="0"/>
    <cellStyle name="60% - 강조색4 2 6 7" xfId="0"/>
    <cellStyle name="60% - 강조색4 2 6 8" xfId="0"/>
    <cellStyle name="60% - 강조색4 2 6 9" xfId="0"/>
    <cellStyle name="60% - 강조색4 2 7" xfId="0"/>
    <cellStyle name="60% - 강조색4 2 7 10" xfId="0"/>
    <cellStyle name="60% - 강조색4 2 7 2" xfId="0"/>
    <cellStyle name="60% - 강조색4 2 7 3" xfId="0"/>
    <cellStyle name="60% - 강조색4 2 7 4" xfId="0"/>
    <cellStyle name="60% - 강조색4 2 7 5" xfId="0"/>
    <cellStyle name="60% - 강조색4 2 7 6" xfId="0"/>
    <cellStyle name="60% - 강조색4 2 7 7" xfId="0"/>
    <cellStyle name="60% - 강조색4 2 7 8" xfId="0"/>
    <cellStyle name="60% - 강조색4 2 7 9" xfId="0"/>
    <cellStyle name="60% - 강조색4 2 8" xfId="0"/>
    <cellStyle name="60% - 강조색4 2 8 2" xfId="0"/>
    <cellStyle name="60% - 강조색4 2 9" xfId="0"/>
    <cellStyle name="60% - 강조색4 20" xfId="0"/>
    <cellStyle name="60% - 강조색4 21" xfId="0"/>
    <cellStyle name="60% - 강조색4 22" xfId="0"/>
    <cellStyle name="60% - 강조색4 23" xfId="0"/>
    <cellStyle name="60% - 강조색4 24" xfId="0"/>
    <cellStyle name="60% - 강조색4 25" xfId="0"/>
    <cellStyle name="60% - 강조색4 26" xfId="0"/>
    <cellStyle name="60% - 강조색4 27" xfId="0"/>
    <cellStyle name="60% - 강조색4 2_3300현금및예치금" xfId="0"/>
    <cellStyle name="60% - 강조색4 3" xfId="0"/>
    <cellStyle name="60% - 강조색4 3 10" xfId="0"/>
    <cellStyle name="60% - 강조색4 3 10 2" xfId="0"/>
    <cellStyle name="60% - 강조색4 3 11" xfId="0"/>
    <cellStyle name="60% - 강조색4 3 11 2" xfId="0"/>
    <cellStyle name="60% - 강조색4 3 12" xfId="0"/>
    <cellStyle name="60% - 강조색4 3 12 2" xfId="0"/>
    <cellStyle name="60% - 강조색4 3 13" xfId="0"/>
    <cellStyle name="60% - 강조색4 3 14" xfId="0"/>
    <cellStyle name="60% - 강조색4 3 15" xfId="0"/>
    <cellStyle name="60% - 강조색4 3 16" xfId="0"/>
    <cellStyle name="60% - 강조색4 3 17" xfId="0"/>
    <cellStyle name="60% - 강조색4 3 18" xfId="0"/>
    <cellStyle name="60% - 강조색4 3 19" xfId="0"/>
    <cellStyle name="60% - 강조색4 3 2" xfId="0"/>
    <cellStyle name="60% - 강조색4 3 2 2" xfId="0"/>
    <cellStyle name="60% - 강조색4 3 2 3" xfId="0"/>
    <cellStyle name="60% - 강조색4 3 20" xfId="0"/>
    <cellStyle name="60% - 강조색4 3 3" xfId="0"/>
    <cellStyle name="60% - 강조색4 3 3 2" xfId="0"/>
    <cellStyle name="60% - 강조색4 3 3 3" xfId="0"/>
    <cellStyle name="60% - 강조색4 3 4" xfId="0"/>
    <cellStyle name="60% - 강조색4 3 4 2" xfId="0"/>
    <cellStyle name="60% - 강조색4 3 4 3" xfId="0"/>
    <cellStyle name="60% - 강조색4 3 5" xfId="0"/>
    <cellStyle name="60% - 강조색4 3 5 2" xfId="0"/>
    <cellStyle name="60% - 강조색4 3 5 3" xfId="0"/>
    <cellStyle name="60% - 강조색4 3 6" xfId="0"/>
    <cellStyle name="60% - 강조색4 3 6 2" xfId="0"/>
    <cellStyle name="60% - 강조색4 3 6 3" xfId="0"/>
    <cellStyle name="60% - 강조색4 3 7" xfId="0"/>
    <cellStyle name="60% - 강조색4 3 7 2" xfId="0"/>
    <cellStyle name="60% - 강조색4 3 7 3" xfId="0"/>
    <cellStyle name="60% - 강조색4 3 8" xfId="0"/>
    <cellStyle name="60% - 강조색4 3 8 2" xfId="0"/>
    <cellStyle name="60% - 강조색4 3 8 3" xfId="0"/>
    <cellStyle name="60% - 강조색4 3 9" xfId="0"/>
    <cellStyle name="60% - 강조색4 3 9 2" xfId="0"/>
    <cellStyle name="60% - 강조색4 3_운용자산별 손익분석" xfId="0"/>
    <cellStyle name="60% - 강조색4 4" xfId="0"/>
    <cellStyle name="60% - 강조색4 4 10" xfId="0"/>
    <cellStyle name="60% - 강조색4 4 11" xfId="0"/>
    <cellStyle name="60% - 강조색4 4 12" xfId="0"/>
    <cellStyle name="60% - 강조색4 4 13" xfId="0"/>
    <cellStyle name="60% - 강조색4 4 2" xfId="0"/>
    <cellStyle name="60% - 강조색4 4 3" xfId="0"/>
    <cellStyle name="60% - 강조색4 4 4" xfId="0"/>
    <cellStyle name="60% - 강조색4 4 5" xfId="0"/>
    <cellStyle name="60% - 강조색4 4 6" xfId="0"/>
    <cellStyle name="60% - 강조색4 4 7" xfId="0"/>
    <cellStyle name="60% - 강조색4 4 8" xfId="0"/>
    <cellStyle name="60% - 강조색4 4 9" xfId="0"/>
    <cellStyle name="60% - 강조색4 4_운용자산별 손익분석" xfId="0"/>
    <cellStyle name="60% - 강조색4 5" xfId="0"/>
    <cellStyle name="60% - 강조색4 5 10" xfId="0"/>
    <cellStyle name="60% - 강조색4 5 11" xfId="0"/>
    <cellStyle name="60% - 강조색4 5 12" xfId="0"/>
    <cellStyle name="60% - 강조색4 5 13" xfId="0"/>
    <cellStyle name="60% - 강조색4 5 14" xfId="0"/>
    <cellStyle name="60% - 강조색4 5 15" xfId="0"/>
    <cellStyle name="60% - 강조색4 5 16" xfId="0"/>
    <cellStyle name="60% - 강조색4 5 17" xfId="0"/>
    <cellStyle name="60% - 강조색4 5 18" xfId="0"/>
    <cellStyle name="60% - 강조색4 5 19" xfId="0"/>
    <cellStyle name="60% - 강조색4 5 2" xfId="0"/>
    <cellStyle name="60% - 강조색4 5 20" xfId="0"/>
    <cellStyle name="60% - 강조색4 5 21" xfId="0"/>
    <cellStyle name="60% - 강조색4 5 22" xfId="0"/>
    <cellStyle name="60% - 강조색4 5 23" xfId="0"/>
    <cellStyle name="60% - 강조색4 5 24" xfId="0"/>
    <cellStyle name="60% - 강조색4 5 25" xfId="0"/>
    <cellStyle name="60% - 강조색4 5 26" xfId="0"/>
    <cellStyle name="60% - 강조색4 5 27" xfId="0"/>
    <cellStyle name="60% - 강조색4 5 28" xfId="0"/>
    <cellStyle name="60% - 강조색4 5 29" xfId="0"/>
    <cellStyle name="60% - 강조색4 5 3" xfId="0"/>
    <cellStyle name="60% - 강조색4 5 30" xfId="0"/>
    <cellStyle name="60% - 강조색4 5 31" xfId="0"/>
    <cellStyle name="60% - 강조색4 5 32" xfId="0"/>
    <cellStyle name="60% - 강조색4 5 33" xfId="0"/>
    <cellStyle name="60% - 강조색4 5 34" xfId="0"/>
    <cellStyle name="60% - 강조색4 5 4" xfId="0"/>
    <cellStyle name="60% - 강조색4 5 5" xfId="0"/>
    <cellStyle name="60% - 강조색4 5 6" xfId="0"/>
    <cellStyle name="60% - 강조색4 5 7" xfId="0"/>
    <cellStyle name="60% - 강조색4 5 8" xfId="0"/>
    <cellStyle name="60% - 강조색4 5 9" xfId="0"/>
    <cellStyle name="60% - 강조색4 6" xfId="0"/>
    <cellStyle name="60% - 강조색4 6 10" xfId="0"/>
    <cellStyle name="60% - 강조색4 6 11" xfId="0"/>
    <cellStyle name="60% - 강조색4 6 12" xfId="0"/>
    <cellStyle name="60% - 강조색4 6 13" xfId="0"/>
    <cellStyle name="60% - 강조색4 6 14" xfId="0"/>
    <cellStyle name="60% - 강조색4 6 15" xfId="0"/>
    <cellStyle name="60% - 강조색4 6 16" xfId="0"/>
    <cellStyle name="60% - 강조색4 6 17" xfId="0"/>
    <cellStyle name="60% - 강조색4 6 18" xfId="0"/>
    <cellStyle name="60% - 강조색4 6 19" xfId="0"/>
    <cellStyle name="60% - 강조색4 6 2" xfId="0"/>
    <cellStyle name="60% - 강조색4 6 20" xfId="0"/>
    <cellStyle name="60% - 강조색4 6 21" xfId="0"/>
    <cellStyle name="60% - 강조색4 6 22" xfId="0"/>
    <cellStyle name="60% - 강조색4 6 23" xfId="0"/>
    <cellStyle name="60% - 강조색4 6 24" xfId="0"/>
    <cellStyle name="60% - 강조색4 6 25" xfId="0"/>
    <cellStyle name="60% - 강조색4 6 26" xfId="0"/>
    <cellStyle name="60% - 강조색4 6 27" xfId="0"/>
    <cellStyle name="60% - 강조색4 6 28" xfId="0"/>
    <cellStyle name="60% - 강조색4 6 29" xfId="0"/>
    <cellStyle name="60% - 강조색4 6 3" xfId="0"/>
    <cellStyle name="60% - 강조색4 6 30" xfId="0"/>
    <cellStyle name="60% - 강조색4 6 4" xfId="0"/>
    <cellStyle name="60% - 강조색4 6 5" xfId="0"/>
    <cellStyle name="60% - 강조색4 6 6" xfId="0"/>
    <cellStyle name="60% - 강조색4 6 7" xfId="0"/>
    <cellStyle name="60% - 강조색4 6 8" xfId="0"/>
    <cellStyle name="60% - 강조색4 6 9" xfId="0"/>
    <cellStyle name="60% - 강조색4 7" xfId="0"/>
    <cellStyle name="60% - 강조색4 7 10" xfId="0"/>
    <cellStyle name="60% - 강조색4 7 11" xfId="0"/>
    <cellStyle name="60% - 강조색4 7 12" xfId="0"/>
    <cellStyle name="60% - 강조색4 7 13" xfId="0"/>
    <cellStyle name="60% - 강조색4 7 14" xfId="0"/>
    <cellStyle name="60% - 강조색4 7 15" xfId="0"/>
    <cellStyle name="60% - 강조색4 7 2" xfId="0"/>
    <cellStyle name="60% - 강조색4 7 2 2" xfId="0"/>
    <cellStyle name="60% - 강조색4 7 3" xfId="0"/>
    <cellStyle name="60% - 강조색4 7 3 2" xfId="0"/>
    <cellStyle name="60% - 강조색4 7 4" xfId="0"/>
    <cellStyle name="60% - 강조색4 7 4 2" xfId="0"/>
    <cellStyle name="60% - 강조색4 7 5" xfId="0"/>
    <cellStyle name="60% - 강조색4 7 5 2" xfId="0"/>
    <cellStyle name="60% - 강조색4 7 6" xfId="0"/>
    <cellStyle name="60% - 강조색4 7 6 2" xfId="0"/>
    <cellStyle name="60% - 강조색4 7 7" xfId="0"/>
    <cellStyle name="60% - 강조색4 7 8" xfId="0"/>
    <cellStyle name="60% - 강조색4 7 9" xfId="0"/>
    <cellStyle name="60% - 강조색4 8" xfId="0"/>
    <cellStyle name="60% - 강조색4 8 10" xfId="0"/>
    <cellStyle name="60% - 강조색4 8 11" xfId="0"/>
    <cellStyle name="60% - 강조색4 8 12" xfId="0"/>
    <cellStyle name="60% - 강조색4 8 13" xfId="0"/>
    <cellStyle name="60% - 강조색4 8 14" xfId="0"/>
    <cellStyle name="60% - 강조색4 8 2" xfId="0"/>
    <cellStyle name="60% - 강조색4 8 2 2" xfId="0"/>
    <cellStyle name="60% - 강조색4 8 3" xfId="0"/>
    <cellStyle name="60% - 강조색4 8 3 2" xfId="0"/>
    <cellStyle name="60% - 강조색4 8 4" xfId="0"/>
    <cellStyle name="60% - 강조색4 8 4 2" xfId="0"/>
    <cellStyle name="60% - 강조색4 8 5" xfId="0"/>
    <cellStyle name="60% - 강조색4 8 5 2" xfId="0"/>
    <cellStyle name="60% - 강조색4 8 6" xfId="0"/>
    <cellStyle name="60% - 강조색4 8 6 2" xfId="0"/>
    <cellStyle name="60% - 강조색4 8 7" xfId="0"/>
    <cellStyle name="60% - 강조색4 8 8" xfId="0"/>
    <cellStyle name="60% - 강조색4 8 9" xfId="0"/>
    <cellStyle name="60% - 강조색4 9" xfId="0"/>
    <cellStyle name="60% - 강조색4 9 10" xfId="0"/>
    <cellStyle name="60% - 강조색4 9 11" xfId="0"/>
    <cellStyle name="60% - 강조색4 9 12" xfId="0"/>
    <cellStyle name="60% - 강조색4 9 13" xfId="0"/>
    <cellStyle name="60% - 강조색4 9 14" xfId="0"/>
    <cellStyle name="60% - 강조색4 9 2" xfId="0"/>
    <cellStyle name="60% - 강조색4 9 2 2" xfId="0"/>
    <cellStyle name="60% - 강조색4 9 3" xfId="0"/>
    <cellStyle name="60% - 강조색4 9 3 2" xfId="0"/>
    <cellStyle name="60% - 강조색4 9 4" xfId="0"/>
    <cellStyle name="60% - 강조색4 9 4 2" xfId="0"/>
    <cellStyle name="60% - 강조색4 9 5" xfId="0"/>
    <cellStyle name="60% - 강조색4 9 5 2" xfId="0"/>
    <cellStyle name="60% - 강조색4 9 6" xfId="0"/>
    <cellStyle name="60% - 강조색4 9 6 2" xfId="0"/>
    <cellStyle name="60% - 강조색4 9 7" xfId="0"/>
    <cellStyle name="60% - 강조색4 9 8" xfId="0"/>
    <cellStyle name="60% - 강조색4 9 9" xfId="0"/>
    <cellStyle name="60% - 강조색5 10" xfId="0"/>
    <cellStyle name="60% - 강조색5 10 2" xfId="0"/>
    <cellStyle name="60% - 강조색5 10 2 2" xfId="0"/>
    <cellStyle name="60% - 강조색5 10 3" xfId="0"/>
    <cellStyle name="60% - 강조색5 10 3 2" xfId="0"/>
    <cellStyle name="60% - 강조색5 10 4" xfId="0"/>
    <cellStyle name="60% - 강조색5 10 4 2" xfId="0"/>
    <cellStyle name="60% - 강조색5 10 5" xfId="0"/>
    <cellStyle name="60% - 강조색5 10 6" xfId="0"/>
    <cellStyle name="60% - 강조색5 10 7" xfId="0"/>
    <cellStyle name="60% - 강조색5 11" xfId="0"/>
    <cellStyle name="60% - 강조색5 11 2" xfId="0"/>
    <cellStyle name="60% - 강조색5 11 2 2" xfId="0"/>
    <cellStyle name="60% - 강조색5 11 3" xfId="0"/>
    <cellStyle name="60% - 강조색5 11 3 2" xfId="0"/>
    <cellStyle name="60% - 강조색5 11 4" xfId="0"/>
    <cellStyle name="60% - 강조색5 11 4 2" xfId="0"/>
    <cellStyle name="60% - 강조색5 11 5" xfId="0"/>
    <cellStyle name="60% - 강조색5 11 6" xfId="0"/>
    <cellStyle name="60% - 강조색5 11 7" xfId="0"/>
    <cellStyle name="60% - 강조색5 12" xfId="0"/>
    <cellStyle name="60% - 강조색5 12 2" xfId="0"/>
    <cellStyle name="60% - 강조색5 12 3" xfId="0"/>
    <cellStyle name="60% - 강조색5 12 4" xfId="0"/>
    <cellStyle name="60% - 강조색5 12 5" xfId="0"/>
    <cellStyle name="60% - 강조색5 13" xfId="0"/>
    <cellStyle name="60% - 강조색5 13 2" xfId="0"/>
    <cellStyle name="60% - 강조색5 13 3" xfId="0"/>
    <cellStyle name="60% - 강조색5 13 4" xfId="0"/>
    <cellStyle name="60% - 강조색5 13 5" xfId="0"/>
    <cellStyle name="60% - 강조색5 14" xfId="0"/>
    <cellStyle name="60% - 강조색5 14 2" xfId="0"/>
    <cellStyle name="60% - 강조색5 15" xfId="0"/>
    <cellStyle name="60% - 강조색5 15 2" xfId="0"/>
    <cellStyle name="60% - 강조색5 16" xfId="0"/>
    <cellStyle name="60% - 강조색5 16 2" xfId="0"/>
    <cellStyle name="60% - 강조색5 17" xfId="0"/>
    <cellStyle name="60% - 강조색5 17 2" xfId="0"/>
    <cellStyle name="60% - 강조색5 18" xfId="0"/>
    <cellStyle name="60% - 강조색5 19" xfId="0"/>
    <cellStyle name="60% - 강조색5 2" xfId="0"/>
    <cellStyle name="60% - 강조색5 2 10" xfId="0"/>
    <cellStyle name="60% - 강조색5 2 11" xfId="0"/>
    <cellStyle name="60% - 강조색5 2 12" xfId="0"/>
    <cellStyle name="60% - 강조색5 2 13" xfId="0"/>
    <cellStyle name="60% - 강조색5 2 2" xfId="0"/>
    <cellStyle name="60% - 강조색5 2 2 10" xfId="0"/>
    <cellStyle name="60% - 강조색5 2 2 2" xfId="0"/>
    <cellStyle name="60% - 강조색5 2 2 3" xfId="0"/>
    <cellStyle name="60% - 강조색5 2 2 4" xfId="0"/>
    <cellStyle name="60% - 강조색5 2 2 5" xfId="0"/>
    <cellStyle name="60% - 강조색5 2 2 6" xfId="0"/>
    <cellStyle name="60% - 강조색5 2 2 7" xfId="0"/>
    <cellStyle name="60% - 강조색5 2 2 8" xfId="0"/>
    <cellStyle name="60% - 강조색5 2 2 9" xfId="0"/>
    <cellStyle name="60% - 강조색5 2 3" xfId="0"/>
    <cellStyle name="60% - 강조색5 2 3 10" xfId="0"/>
    <cellStyle name="60% - 강조색5 2 3 2" xfId="0"/>
    <cellStyle name="60% - 강조색5 2 3 3" xfId="0"/>
    <cellStyle name="60% - 강조색5 2 3 4" xfId="0"/>
    <cellStyle name="60% - 강조색5 2 3 5" xfId="0"/>
    <cellStyle name="60% - 강조색5 2 3 6" xfId="0"/>
    <cellStyle name="60% - 강조색5 2 3 7" xfId="0"/>
    <cellStyle name="60% - 강조색5 2 3 8" xfId="0"/>
    <cellStyle name="60% - 강조색5 2 3 9" xfId="0"/>
    <cellStyle name="60% - 강조색5 2 4" xfId="0"/>
    <cellStyle name="60% - 강조색5 2 4 10" xfId="0"/>
    <cellStyle name="60% - 강조색5 2 4 2" xfId="0"/>
    <cellStyle name="60% - 강조색5 2 4 3" xfId="0"/>
    <cellStyle name="60% - 강조색5 2 4 4" xfId="0"/>
    <cellStyle name="60% - 강조색5 2 4 5" xfId="0"/>
    <cellStyle name="60% - 강조색5 2 4 6" xfId="0"/>
    <cellStyle name="60% - 강조색5 2 4 7" xfId="0"/>
    <cellStyle name="60% - 강조색5 2 4 8" xfId="0"/>
    <cellStyle name="60% - 강조색5 2 4 9" xfId="0"/>
    <cellStyle name="60% - 강조색5 2 5" xfId="0"/>
    <cellStyle name="60% - 강조색5 2 5 10" xfId="0"/>
    <cellStyle name="60% - 강조색5 2 5 2" xfId="0"/>
    <cellStyle name="60% - 강조색5 2 5 3" xfId="0"/>
    <cellStyle name="60% - 강조색5 2 5 4" xfId="0"/>
    <cellStyle name="60% - 강조색5 2 5 5" xfId="0"/>
    <cellStyle name="60% - 강조색5 2 5 6" xfId="0"/>
    <cellStyle name="60% - 강조색5 2 5 7" xfId="0"/>
    <cellStyle name="60% - 강조색5 2 5 8" xfId="0"/>
    <cellStyle name="60% - 강조색5 2 5 9" xfId="0"/>
    <cellStyle name="60% - 강조색5 2 6" xfId="0"/>
    <cellStyle name="60% - 강조색5 2 6 10" xfId="0"/>
    <cellStyle name="60% - 강조색5 2 6 2" xfId="0"/>
    <cellStyle name="60% - 강조색5 2 6 3" xfId="0"/>
    <cellStyle name="60% - 강조색5 2 6 4" xfId="0"/>
    <cellStyle name="60% - 강조색5 2 6 5" xfId="0"/>
    <cellStyle name="60% - 강조색5 2 6 6" xfId="0"/>
    <cellStyle name="60% - 강조색5 2 6 7" xfId="0"/>
    <cellStyle name="60% - 강조색5 2 6 8" xfId="0"/>
    <cellStyle name="60% - 강조색5 2 6 9" xfId="0"/>
    <cellStyle name="60% - 강조색5 2 7" xfId="0"/>
    <cellStyle name="60% - 강조색5 2 7 10" xfId="0"/>
    <cellStyle name="60% - 강조색5 2 7 2" xfId="0"/>
    <cellStyle name="60% - 강조색5 2 7 3" xfId="0"/>
    <cellStyle name="60% - 강조색5 2 7 4" xfId="0"/>
    <cellStyle name="60% - 강조색5 2 7 5" xfId="0"/>
    <cellStyle name="60% - 강조색5 2 7 6" xfId="0"/>
    <cellStyle name="60% - 강조색5 2 7 7" xfId="0"/>
    <cellStyle name="60% - 강조색5 2 7 8" xfId="0"/>
    <cellStyle name="60% - 강조색5 2 7 9" xfId="0"/>
    <cellStyle name="60% - 강조색5 2 8" xfId="0"/>
    <cellStyle name="60% - 강조색5 2 8 2" xfId="0"/>
    <cellStyle name="60% - 강조색5 2 9" xfId="0"/>
    <cellStyle name="60% - 강조색5 20" xfId="0"/>
    <cellStyle name="60% - 강조색5 21" xfId="0"/>
    <cellStyle name="60% - 강조색5 22" xfId="0"/>
    <cellStyle name="60% - 강조색5 23" xfId="0"/>
    <cellStyle name="60% - 강조색5 24" xfId="0"/>
    <cellStyle name="60% - 강조색5 25" xfId="0"/>
    <cellStyle name="60% - 강조색5 26" xfId="0"/>
    <cellStyle name="60% - 강조색5 27" xfId="0"/>
    <cellStyle name="60% - 강조색5 2_3300현금및예치금" xfId="0"/>
    <cellStyle name="60% - 강조색5 3" xfId="0"/>
    <cellStyle name="60% - 강조색5 3 10" xfId="0"/>
    <cellStyle name="60% - 강조색5 3 10 2" xfId="0"/>
    <cellStyle name="60% - 강조색5 3 11" xfId="0"/>
    <cellStyle name="60% - 강조색5 3 11 2" xfId="0"/>
    <cellStyle name="60% - 강조색5 3 12" xfId="0"/>
    <cellStyle name="60% - 강조색5 3 12 2" xfId="0"/>
    <cellStyle name="60% - 강조색5 3 13" xfId="0"/>
    <cellStyle name="60% - 강조색5 3 14" xfId="0"/>
    <cellStyle name="60% - 강조색5 3 15" xfId="0"/>
    <cellStyle name="60% - 강조색5 3 16" xfId="0"/>
    <cellStyle name="60% - 강조색5 3 17" xfId="0"/>
    <cellStyle name="60% - 강조색5 3 18" xfId="0"/>
    <cellStyle name="60% - 강조색5 3 19" xfId="0"/>
    <cellStyle name="60% - 강조색5 3 2" xfId="0"/>
    <cellStyle name="60% - 강조색5 3 2 2" xfId="0"/>
    <cellStyle name="60% - 강조색5 3 2 3" xfId="0"/>
    <cellStyle name="60% - 강조색5 3 20" xfId="0"/>
    <cellStyle name="60% - 강조색5 3 3" xfId="0"/>
    <cellStyle name="60% - 강조색5 3 3 2" xfId="0"/>
    <cellStyle name="60% - 강조색5 3 3 3" xfId="0"/>
    <cellStyle name="60% - 강조색5 3 4" xfId="0"/>
    <cellStyle name="60% - 강조색5 3 4 2" xfId="0"/>
    <cellStyle name="60% - 강조색5 3 4 3" xfId="0"/>
    <cellStyle name="60% - 강조색5 3 5" xfId="0"/>
    <cellStyle name="60% - 강조색5 3 5 2" xfId="0"/>
    <cellStyle name="60% - 강조색5 3 5 3" xfId="0"/>
    <cellStyle name="60% - 강조색5 3 6" xfId="0"/>
    <cellStyle name="60% - 강조색5 3 6 2" xfId="0"/>
    <cellStyle name="60% - 강조색5 3 6 3" xfId="0"/>
    <cellStyle name="60% - 강조색5 3 7" xfId="0"/>
    <cellStyle name="60% - 강조색5 3 7 2" xfId="0"/>
    <cellStyle name="60% - 강조색5 3 7 3" xfId="0"/>
    <cellStyle name="60% - 강조색5 3 8" xfId="0"/>
    <cellStyle name="60% - 강조색5 3 8 2" xfId="0"/>
    <cellStyle name="60% - 강조색5 3 8 3" xfId="0"/>
    <cellStyle name="60% - 강조색5 3 9" xfId="0"/>
    <cellStyle name="60% - 강조색5 3 9 2" xfId="0"/>
    <cellStyle name="60% - 강조색5 3_운용자산별 손익분석" xfId="0"/>
    <cellStyle name="60% - 강조색5 4" xfId="0"/>
    <cellStyle name="60% - 강조색5 4 10" xfId="0"/>
    <cellStyle name="60% - 강조색5 4 11" xfId="0"/>
    <cellStyle name="60% - 강조색5 4 12" xfId="0"/>
    <cellStyle name="60% - 강조색5 4 13" xfId="0"/>
    <cellStyle name="60% - 강조색5 4 2" xfId="0"/>
    <cellStyle name="60% - 강조색5 4 3" xfId="0"/>
    <cellStyle name="60% - 강조색5 4 4" xfId="0"/>
    <cellStyle name="60% - 강조색5 4 5" xfId="0"/>
    <cellStyle name="60% - 강조색5 4 6" xfId="0"/>
    <cellStyle name="60% - 강조색5 4 7" xfId="0"/>
    <cellStyle name="60% - 강조색5 4 8" xfId="0"/>
    <cellStyle name="60% - 강조색5 4 9" xfId="0"/>
    <cellStyle name="60% - 강조색5 4_운용자산별 손익분석" xfId="0"/>
    <cellStyle name="60% - 강조색5 5" xfId="0"/>
    <cellStyle name="60% - 강조색5 5 10" xfId="0"/>
    <cellStyle name="60% - 강조색5 5 11" xfId="0"/>
    <cellStyle name="60% - 강조색5 5 12" xfId="0"/>
    <cellStyle name="60% - 강조색5 5 13" xfId="0"/>
    <cellStyle name="60% - 강조색5 5 14" xfId="0"/>
    <cellStyle name="60% - 강조색5 5 15" xfId="0"/>
    <cellStyle name="60% - 강조색5 5 16" xfId="0"/>
    <cellStyle name="60% - 강조색5 5 17" xfId="0"/>
    <cellStyle name="60% - 강조색5 5 18" xfId="0"/>
    <cellStyle name="60% - 강조색5 5 19" xfId="0"/>
    <cellStyle name="60% - 강조색5 5 2" xfId="0"/>
    <cellStyle name="60% - 강조색5 5 20" xfId="0"/>
    <cellStyle name="60% - 강조색5 5 21" xfId="0"/>
    <cellStyle name="60% - 강조색5 5 22" xfId="0"/>
    <cellStyle name="60% - 강조색5 5 23" xfId="0"/>
    <cellStyle name="60% - 강조색5 5 24" xfId="0"/>
    <cellStyle name="60% - 강조색5 5 25" xfId="0"/>
    <cellStyle name="60% - 강조색5 5 26" xfId="0"/>
    <cellStyle name="60% - 강조색5 5 27" xfId="0"/>
    <cellStyle name="60% - 강조색5 5 28" xfId="0"/>
    <cellStyle name="60% - 강조색5 5 29" xfId="0"/>
    <cellStyle name="60% - 강조색5 5 3" xfId="0"/>
    <cellStyle name="60% - 강조색5 5 30" xfId="0"/>
    <cellStyle name="60% - 강조색5 5 31" xfId="0"/>
    <cellStyle name="60% - 강조색5 5 32" xfId="0"/>
    <cellStyle name="60% - 강조색5 5 33" xfId="0"/>
    <cellStyle name="60% - 강조색5 5 34" xfId="0"/>
    <cellStyle name="60% - 강조색5 5 4" xfId="0"/>
    <cellStyle name="60% - 강조색5 5 5" xfId="0"/>
    <cellStyle name="60% - 강조색5 5 6" xfId="0"/>
    <cellStyle name="60% - 강조색5 5 7" xfId="0"/>
    <cellStyle name="60% - 강조색5 5 8" xfId="0"/>
    <cellStyle name="60% - 강조색5 5 9" xfId="0"/>
    <cellStyle name="60% - 강조색5 6" xfId="0"/>
    <cellStyle name="60% - 강조색5 6 10" xfId="0"/>
    <cellStyle name="60% - 강조색5 6 11" xfId="0"/>
    <cellStyle name="60% - 강조색5 6 12" xfId="0"/>
    <cellStyle name="60% - 강조색5 6 13" xfId="0"/>
    <cellStyle name="60% - 강조색5 6 14" xfId="0"/>
    <cellStyle name="60% - 강조색5 6 15" xfId="0"/>
    <cellStyle name="60% - 강조색5 6 16" xfId="0"/>
    <cellStyle name="60% - 강조색5 6 17" xfId="0"/>
    <cellStyle name="60% - 강조색5 6 18" xfId="0"/>
    <cellStyle name="60% - 강조색5 6 19" xfId="0"/>
    <cellStyle name="60% - 강조색5 6 2" xfId="0"/>
    <cellStyle name="60% - 강조색5 6 20" xfId="0"/>
    <cellStyle name="60% - 강조색5 6 21" xfId="0"/>
    <cellStyle name="60% - 강조색5 6 22" xfId="0"/>
    <cellStyle name="60% - 강조색5 6 23" xfId="0"/>
    <cellStyle name="60% - 강조색5 6 24" xfId="0"/>
    <cellStyle name="60% - 강조색5 6 25" xfId="0"/>
    <cellStyle name="60% - 강조색5 6 26" xfId="0"/>
    <cellStyle name="60% - 강조색5 6 27" xfId="0"/>
    <cellStyle name="60% - 강조색5 6 28" xfId="0"/>
    <cellStyle name="60% - 강조색5 6 29" xfId="0"/>
    <cellStyle name="60% - 강조색5 6 3" xfId="0"/>
    <cellStyle name="60% - 강조색5 6 30" xfId="0"/>
    <cellStyle name="60% - 강조색5 6 4" xfId="0"/>
    <cellStyle name="60% - 강조색5 6 5" xfId="0"/>
    <cellStyle name="60% - 강조색5 6 6" xfId="0"/>
    <cellStyle name="60% - 강조색5 6 7" xfId="0"/>
    <cellStyle name="60% - 강조색5 6 8" xfId="0"/>
    <cellStyle name="60% - 강조색5 6 9" xfId="0"/>
    <cellStyle name="60% - 강조색5 7" xfId="0"/>
    <cellStyle name="60% - 강조색5 7 10" xfId="0"/>
    <cellStyle name="60% - 강조색5 7 11" xfId="0"/>
    <cellStyle name="60% - 강조색5 7 12" xfId="0"/>
    <cellStyle name="60% - 강조색5 7 13" xfId="0"/>
    <cellStyle name="60% - 강조색5 7 14" xfId="0"/>
    <cellStyle name="60% - 강조색5 7 15" xfId="0"/>
    <cellStyle name="60% - 강조색5 7 2" xfId="0"/>
    <cellStyle name="60% - 강조색5 7 2 2" xfId="0"/>
    <cellStyle name="60% - 강조색5 7 3" xfId="0"/>
    <cellStyle name="60% - 강조색5 7 3 2" xfId="0"/>
    <cellStyle name="60% - 강조색5 7 4" xfId="0"/>
    <cellStyle name="60% - 강조색5 7 4 2" xfId="0"/>
    <cellStyle name="60% - 강조색5 7 5" xfId="0"/>
    <cellStyle name="60% - 강조색5 7 5 2" xfId="0"/>
    <cellStyle name="60% - 강조색5 7 6" xfId="0"/>
    <cellStyle name="60% - 강조색5 7 6 2" xfId="0"/>
    <cellStyle name="60% - 강조색5 7 7" xfId="0"/>
    <cellStyle name="60% - 강조색5 7 8" xfId="0"/>
    <cellStyle name="60% - 강조색5 7 9" xfId="0"/>
    <cellStyle name="60% - 강조색5 8" xfId="0"/>
    <cellStyle name="60% - 강조색5 8 10" xfId="0"/>
    <cellStyle name="60% - 강조색5 8 11" xfId="0"/>
    <cellStyle name="60% - 강조색5 8 12" xfId="0"/>
    <cellStyle name="60% - 강조색5 8 13" xfId="0"/>
    <cellStyle name="60% - 강조색5 8 14" xfId="0"/>
    <cellStyle name="60% - 강조색5 8 2" xfId="0"/>
    <cellStyle name="60% - 강조색5 8 2 2" xfId="0"/>
    <cellStyle name="60% - 강조색5 8 3" xfId="0"/>
    <cellStyle name="60% - 강조색5 8 3 2" xfId="0"/>
    <cellStyle name="60% - 강조색5 8 4" xfId="0"/>
    <cellStyle name="60% - 강조색5 8 4 2" xfId="0"/>
    <cellStyle name="60% - 강조색5 8 5" xfId="0"/>
    <cellStyle name="60% - 강조색5 8 5 2" xfId="0"/>
    <cellStyle name="60% - 강조색5 8 6" xfId="0"/>
    <cellStyle name="60% - 강조색5 8 6 2" xfId="0"/>
    <cellStyle name="60% - 강조색5 8 7" xfId="0"/>
    <cellStyle name="60% - 강조색5 8 8" xfId="0"/>
    <cellStyle name="60% - 강조색5 8 9" xfId="0"/>
    <cellStyle name="60% - 강조색5 9" xfId="0"/>
    <cellStyle name="60% - 강조색5 9 10" xfId="0"/>
    <cellStyle name="60% - 강조색5 9 11" xfId="0"/>
    <cellStyle name="60% - 강조색5 9 12" xfId="0"/>
    <cellStyle name="60% - 강조색5 9 13" xfId="0"/>
    <cellStyle name="60% - 강조색5 9 14" xfId="0"/>
    <cellStyle name="60% - 강조색5 9 2" xfId="0"/>
    <cellStyle name="60% - 강조색5 9 2 2" xfId="0"/>
    <cellStyle name="60% - 강조색5 9 3" xfId="0"/>
    <cellStyle name="60% - 강조색5 9 3 2" xfId="0"/>
    <cellStyle name="60% - 강조색5 9 4" xfId="0"/>
    <cellStyle name="60% - 강조색5 9 4 2" xfId="0"/>
    <cellStyle name="60% - 강조색5 9 5" xfId="0"/>
    <cellStyle name="60% - 강조색5 9 5 2" xfId="0"/>
    <cellStyle name="60% - 강조색5 9 6" xfId="0"/>
    <cellStyle name="60% - 강조색5 9 6 2" xfId="0"/>
    <cellStyle name="60% - 강조색5 9 7" xfId="0"/>
    <cellStyle name="60% - 강조색5 9 8" xfId="0"/>
    <cellStyle name="60% - 강조색5 9 9" xfId="0"/>
    <cellStyle name="60% - 강조색6 10" xfId="0"/>
    <cellStyle name="60% - 강조색6 10 2" xfId="0"/>
    <cellStyle name="60% - 강조색6 10 2 2" xfId="0"/>
    <cellStyle name="60% - 강조색6 10 3" xfId="0"/>
    <cellStyle name="60% - 강조색6 10 3 2" xfId="0"/>
    <cellStyle name="60% - 강조색6 10 4" xfId="0"/>
    <cellStyle name="60% - 강조색6 10 4 2" xfId="0"/>
    <cellStyle name="60% - 강조색6 10 5" xfId="0"/>
    <cellStyle name="60% - 강조색6 10 6" xfId="0"/>
    <cellStyle name="60% - 강조색6 10 7" xfId="0"/>
    <cellStyle name="60% - 강조색6 11" xfId="0"/>
    <cellStyle name="60% - 강조색6 11 2" xfId="0"/>
    <cellStyle name="60% - 강조색6 11 2 2" xfId="0"/>
    <cellStyle name="60% - 강조색6 11 3" xfId="0"/>
    <cellStyle name="60% - 강조색6 11 3 2" xfId="0"/>
    <cellStyle name="60% - 강조색6 11 4" xfId="0"/>
    <cellStyle name="60% - 강조색6 11 4 2" xfId="0"/>
    <cellStyle name="60% - 강조색6 11 5" xfId="0"/>
    <cellStyle name="60% - 강조색6 11 6" xfId="0"/>
    <cellStyle name="60% - 강조색6 11 7" xfId="0"/>
    <cellStyle name="60% - 강조색6 12" xfId="0"/>
    <cellStyle name="60% - 강조색6 12 2" xfId="0"/>
    <cellStyle name="60% - 강조색6 12 3" xfId="0"/>
    <cellStyle name="60% - 강조색6 12 4" xfId="0"/>
    <cellStyle name="60% - 강조색6 12 5" xfId="0"/>
    <cellStyle name="60% - 강조색6 13" xfId="0"/>
    <cellStyle name="60% - 강조색6 13 2" xfId="0"/>
    <cellStyle name="60% - 강조색6 13 3" xfId="0"/>
    <cellStyle name="60% - 강조색6 13 4" xfId="0"/>
    <cellStyle name="60% - 강조색6 13 5" xfId="0"/>
    <cellStyle name="60% - 강조색6 14" xfId="0"/>
    <cellStyle name="60% - 강조색6 14 2" xfId="0"/>
    <cellStyle name="60% - 강조색6 15" xfId="0"/>
    <cellStyle name="60% - 강조색6 15 2" xfId="0"/>
    <cellStyle name="60% - 강조색6 16" xfId="0"/>
    <cellStyle name="60% - 강조색6 16 2" xfId="0"/>
    <cellStyle name="60% - 강조색6 17" xfId="0"/>
    <cellStyle name="60% - 강조색6 17 2" xfId="0"/>
    <cellStyle name="60% - 강조색6 18" xfId="0"/>
    <cellStyle name="60% - 강조색6 19" xfId="0"/>
    <cellStyle name="60% - 강조색6 2" xfId="0"/>
    <cellStyle name="60% - 강조색6 2 10" xfId="0"/>
    <cellStyle name="60% - 강조색6 2 11" xfId="0"/>
    <cellStyle name="60% - 강조색6 2 12" xfId="0"/>
    <cellStyle name="60% - 강조색6 2 13" xfId="0"/>
    <cellStyle name="60% - 강조색6 2 2" xfId="0"/>
    <cellStyle name="60% - 강조색6 2 2 10" xfId="0"/>
    <cellStyle name="60% - 강조색6 2 2 2" xfId="0"/>
    <cellStyle name="60% - 강조색6 2 2 3" xfId="0"/>
    <cellStyle name="60% - 강조색6 2 2 4" xfId="0"/>
    <cellStyle name="60% - 강조색6 2 2 5" xfId="0"/>
    <cellStyle name="60% - 강조색6 2 2 6" xfId="0"/>
    <cellStyle name="60% - 강조색6 2 2 7" xfId="0"/>
    <cellStyle name="60% - 강조색6 2 2 8" xfId="0"/>
    <cellStyle name="60% - 강조색6 2 2 9" xfId="0"/>
    <cellStyle name="60% - 강조색6 2 3" xfId="0"/>
    <cellStyle name="60% - 강조색6 2 3 10" xfId="0"/>
    <cellStyle name="60% - 강조색6 2 3 2" xfId="0"/>
    <cellStyle name="60% - 강조색6 2 3 3" xfId="0"/>
    <cellStyle name="60% - 강조색6 2 3 4" xfId="0"/>
    <cellStyle name="60% - 강조색6 2 3 5" xfId="0"/>
    <cellStyle name="60% - 강조색6 2 3 6" xfId="0"/>
    <cellStyle name="60% - 강조색6 2 3 7" xfId="0"/>
    <cellStyle name="60% - 강조색6 2 3 8" xfId="0"/>
    <cellStyle name="60% - 강조색6 2 3 9" xfId="0"/>
    <cellStyle name="60% - 강조색6 2 4" xfId="0"/>
    <cellStyle name="60% - 강조색6 2 4 10" xfId="0"/>
    <cellStyle name="60% - 강조색6 2 4 2" xfId="0"/>
    <cellStyle name="60% - 강조색6 2 4 3" xfId="0"/>
    <cellStyle name="60% - 강조색6 2 4 4" xfId="0"/>
    <cellStyle name="60% - 강조색6 2 4 5" xfId="0"/>
    <cellStyle name="60% - 강조색6 2 4 6" xfId="0"/>
    <cellStyle name="60% - 강조색6 2 4 7" xfId="0"/>
    <cellStyle name="60% - 강조색6 2 4 8" xfId="0"/>
    <cellStyle name="60% - 강조색6 2 4 9" xfId="0"/>
    <cellStyle name="60% - 강조색6 2 5" xfId="0"/>
    <cellStyle name="60% - 강조색6 2 5 10" xfId="0"/>
    <cellStyle name="60% - 강조색6 2 5 2" xfId="0"/>
    <cellStyle name="60% - 강조색6 2 5 3" xfId="0"/>
    <cellStyle name="60% - 강조색6 2 5 4" xfId="0"/>
    <cellStyle name="60% - 강조색6 2 5 5" xfId="0"/>
    <cellStyle name="60% - 강조색6 2 5 6" xfId="0"/>
    <cellStyle name="60% - 강조색6 2 5 7" xfId="0"/>
    <cellStyle name="60% - 강조색6 2 5 8" xfId="0"/>
    <cellStyle name="60% - 강조색6 2 5 9" xfId="0"/>
    <cellStyle name="60% - 강조색6 2 6" xfId="0"/>
    <cellStyle name="60% - 강조색6 2 6 10" xfId="0"/>
    <cellStyle name="60% - 강조색6 2 6 2" xfId="0"/>
    <cellStyle name="60% - 강조색6 2 6 3" xfId="0"/>
    <cellStyle name="60% - 강조색6 2 6 4" xfId="0"/>
    <cellStyle name="60% - 강조색6 2 6 5" xfId="0"/>
    <cellStyle name="60% - 강조색6 2 6 6" xfId="0"/>
    <cellStyle name="60% - 강조색6 2 6 7" xfId="0"/>
    <cellStyle name="60% - 강조색6 2 6 8" xfId="0"/>
    <cellStyle name="60% - 강조색6 2 6 9" xfId="0"/>
    <cellStyle name="60% - 강조색6 2 7" xfId="0"/>
    <cellStyle name="60% - 강조색6 2 7 10" xfId="0"/>
    <cellStyle name="60% - 강조색6 2 7 2" xfId="0"/>
    <cellStyle name="60% - 강조색6 2 7 3" xfId="0"/>
    <cellStyle name="60% - 강조색6 2 7 4" xfId="0"/>
    <cellStyle name="60% - 강조색6 2 7 5" xfId="0"/>
    <cellStyle name="60% - 강조색6 2 7 6" xfId="0"/>
    <cellStyle name="60% - 강조색6 2 7 7" xfId="0"/>
    <cellStyle name="60% - 강조색6 2 7 8" xfId="0"/>
    <cellStyle name="60% - 강조색6 2 7 9" xfId="0"/>
    <cellStyle name="60% - 강조색6 2 8" xfId="0"/>
    <cellStyle name="60% - 강조색6 2 8 2" xfId="0"/>
    <cellStyle name="60% - 강조색6 2 9" xfId="0"/>
    <cellStyle name="60% - 강조색6 20" xfId="0"/>
    <cellStyle name="60% - 강조색6 21" xfId="0"/>
    <cellStyle name="60% - 강조색6 22" xfId="0"/>
    <cellStyle name="60% - 강조색6 23" xfId="0"/>
    <cellStyle name="60% - 강조색6 24" xfId="0"/>
    <cellStyle name="60% - 강조색6 25" xfId="0"/>
    <cellStyle name="60% - 강조색6 26" xfId="0"/>
    <cellStyle name="60% - 강조색6 27" xfId="0"/>
    <cellStyle name="60% - 강조색6 2_3300현금및예치금" xfId="0"/>
    <cellStyle name="60% - 강조색6 3" xfId="0"/>
    <cellStyle name="60% - 강조색6 3 10" xfId="0"/>
    <cellStyle name="60% - 강조색6 3 10 2" xfId="0"/>
    <cellStyle name="60% - 강조색6 3 11" xfId="0"/>
    <cellStyle name="60% - 강조색6 3 11 2" xfId="0"/>
    <cellStyle name="60% - 강조색6 3 12" xfId="0"/>
    <cellStyle name="60% - 강조색6 3 12 2" xfId="0"/>
    <cellStyle name="60% - 강조색6 3 13" xfId="0"/>
    <cellStyle name="60% - 강조색6 3 14" xfId="0"/>
    <cellStyle name="60% - 강조색6 3 15" xfId="0"/>
    <cellStyle name="60% - 강조색6 3 16" xfId="0"/>
    <cellStyle name="60% - 강조색6 3 17" xfId="0"/>
    <cellStyle name="60% - 강조색6 3 18" xfId="0"/>
    <cellStyle name="60% - 강조색6 3 19" xfId="0"/>
    <cellStyle name="60% - 강조색6 3 2" xfId="0"/>
    <cellStyle name="60% - 강조색6 3 2 2" xfId="0"/>
    <cellStyle name="60% - 강조색6 3 2 3" xfId="0"/>
    <cellStyle name="60% - 강조색6 3 20" xfId="0"/>
    <cellStyle name="60% - 강조색6 3 3" xfId="0"/>
    <cellStyle name="60% - 강조색6 3 3 2" xfId="0"/>
    <cellStyle name="60% - 강조색6 3 3 3" xfId="0"/>
    <cellStyle name="60% - 강조색6 3 4" xfId="0"/>
    <cellStyle name="60% - 강조색6 3 4 2" xfId="0"/>
    <cellStyle name="60% - 강조색6 3 4 3" xfId="0"/>
    <cellStyle name="60% - 강조색6 3 5" xfId="0"/>
    <cellStyle name="60% - 강조색6 3 5 2" xfId="0"/>
    <cellStyle name="60% - 강조색6 3 5 3" xfId="0"/>
    <cellStyle name="60% - 강조색6 3 6" xfId="0"/>
    <cellStyle name="60% - 강조색6 3 6 2" xfId="0"/>
    <cellStyle name="60% - 강조색6 3 6 3" xfId="0"/>
    <cellStyle name="60% - 강조색6 3 7" xfId="0"/>
    <cellStyle name="60% - 강조색6 3 7 2" xfId="0"/>
    <cellStyle name="60% - 강조색6 3 7 3" xfId="0"/>
    <cellStyle name="60% - 강조색6 3 8" xfId="0"/>
    <cellStyle name="60% - 강조색6 3 8 2" xfId="0"/>
    <cellStyle name="60% - 강조색6 3 8 3" xfId="0"/>
    <cellStyle name="60% - 강조색6 3 9" xfId="0"/>
    <cellStyle name="60% - 강조색6 3 9 2" xfId="0"/>
    <cellStyle name="60% - 강조색6 3_운용자산별 손익분석" xfId="0"/>
    <cellStyle name="60% - 강조색6 4" xfId="0"/>
    <cellStyle name="60% - 강조색6 4 10" xfId="0"/>
    <cellStyle name="60% - 강조색6 4 11" xfId="0"/>
    <cellStyle name="60% - 강조색6 4 12" xfId="0"/>
    <cellStyle name="60% - 강조색6 4 13" xfId="0"/>
    <cellStyle name="60% - 강조색6 4 2" xfId="0"/>
    <cellStyle name="60% - 강조색6 4 3" xfId="0"/>
    <cellStyle name="60% - 강조색6 4 4" xfId="0"/>
    <cellStyle name="60% - 강조색6 4 5" xfId="0"/>
    <cellStyle name="60% - 강조색6 4 6" xfId="0"/>
    <cellStyle name="60% - 강조색6 4 7" xfId="0"/>
    <cellStyle name="60% - 강조색6 4 8" xfId="0"/>
    <cellStyle name="60% - 강조색6 4 9" xfId="0"/>
    <cellStyle name="60% - 강조색6 4_운용자산별 손익분석" xfId="0"/>
    <cellStyle name="60% - 강조색6 5" xfId="0"/>
    <cellStyle name="60% - 강조색6 5 10" xfId="0"/>
    <cellStyle name="60% - 강조색6 5 11" xfId="0"/>
    <cellStyle name="60% - 강조색6 5 12" xfId="0"/>
    <cellStyle name="60% - 강조색6 5 13" xfId="0"/>
    <cellStyle name="60% - 강조색6 5 14" xfId="0"/>
    <cellStyle name="60% - 강조색6 5 15" xfId="0"/>
    <cellStyle name="60% - 강조색6 5 16" xfId="0"/>
    <cellStyle name="60% - 강조색6 5 17" xfId="0"/>
    <cellStyle name="60% - 강조색6 5 18" xfId="0"/>
    <cellStyle name="60% - 강조색6 5 19" xfId="0"/>
    <cellStyle name="60% - 강조색6 5 2" xfId="0"/>
    <cellStyle name="60% - 강조색6 5 20" xfId="0"/>
    <cellStyle name="60% - 강조색6 5 21" xfId="0"/>
    <cellStyle name="60% - 강조색6 5 22" xfId="0"/>
    <cellStyle name="60% - 강조색6 5 23" xfId="0"/>
    <cellStyle name="60% - 강조색6 5 24" xfId="0"/>
    <cellStyle name="60% - 강조색6 5 25" xfId="0"/>
    <cellStyle name="60% - 강조색6 5 26" xfId="0"/>
    <cellStyle name="60% - 강조색6 5 27" xfId="0"/>
    <cellStyle name="60% - 강조색6 5 28" xfId="0"/>
    <cellStyle name="60% - 강조색6 5 29" xfId="0"/>
    <cellStyle name="60% - 강조색6 5 3" xfId="0"/>
    <cellStyle name="60% - 강조색6 5 30" xfId="0"/>
    <cellStyle name="60% - 강조색6 5 31" xfId="0"/>
    <cellStyle name="60% - 강조색6 5 32" xfId="0"/>
    <cellStyle name="60% - 강조색6 5 33" xfId="0"/>
    <cellStyle name="60% - 강조색6 5 34" xfId="0"/>
    <cellStyle name="60% - 강조색6 5 4" xfId="0"/>
    <cellStyle name="60% - 강조색6 5 5" xfId="0"/>
    <cellStyle name="60% - 강조색6 5 6" xfId="0"/>
    <cellStyle name="60% - 강조색6 5 7" xfId="0"/>
    <cellStyle name="60% - 강조색6 5 8" xfId="0"/>
    <cellStyle name="60% - 강조색6 5 9" xfId="0"/>
    <cellStyle name="60% - 강조색6 6" xfId="0"/>
    <cellStyle name="60% - 강조색6 6 10" xfId="0"/>
    <cellStyle name="60% - 강조색6 6 11" xfId="0"/>
    <cellStyle name="60% - 강조색6 6 12" xfId="0"/>
    <cellStyle name="60% - 강조색6 6 13" xfId="0"/>
    <cellStyle name="60% - 강조색6 6 14" xfId="0"/>
    <cellStyle name="60% - 강조색6 6 15" xfId="0"/>
    <cellStyle name="60% - 강조색6 6 16" xfId="0"/>
    <cellStyle name="60% - 강조색6 6 17" xfId="0"/>
    <cellStyle name="60% - 강조색6 6 18" xfId="0"/>
    <cellStyle name="60% - 강조색6 6 19" xfId="0"/>
    <cellStyle name="60% - 강조색6 6 2" xfId="0"/>
    <cellStyle name="60% - 강조색6 6 20" xfId="0"/>
    <cellStyle name="60% - 강조색6 6 21" xfId="0"/>
    <cellStyle name="60% - 강조색6 6 22" xfId="0"/>
    <cellStyle name="60% - 강조색6 6 23" xfId="0"/>
    <cellStyle name="60% - 강조색6 6 24" xfId="0"/>
    <cellStyle name="60% - 강조색6 6 25" xfId="0"/>
    <cellStyle name="60% - 강조색6 6 26" xfId="0"/>
    <cellStyle name="60% - 강조색6 6 27" xfId="0"/>
    <cellStyle name="60% - 강조색6 6 28" xfId="0"/>
    <cellStyle name="60% - 강조색6 6 29" xfId="0"/>
    <cellStyle name="60% - 강조색6 6 3" xfId="0"/>
    <cellStyle name="60% - 강조색6 6 30" xfId="0"/>
    <cellStyle name="60% - 강조색6 6 4" xfId="0"/>
    <cellStyle name="60% - 강조색6 6 5" xfId="0"/>
    <cellStyle name="60% - 강조색6 6 6" xfId="0"/>
    <cellStyle name="60% - 강조색6 6 7" xfId="0"/>
    <cellStyle name="60% - 강조색6 6 8" xfId="0"/>
    <cellStyle name="60% - 강조색6 6 9" xfId="0"/>
    <cellStyle name="60% - 강조색6 7" xfId="0"/>
    <cellStyle name="60% - 강조색6 7 10" xfId="0"/>
    <cellStyle name="60% - 강조색6 7 11" xfId="0"/>
    <cellStyle name="60% - 강조색6 7 12" xfId="0"/>
    <cellStyle name="60% - 강조색6 7 13" xfId="0"/>
    <cellStyle name="60% - 강조색6 7 14" xfId="0"/>
    <cellStyle name="60% - 강조색6 7 15" xfId="0"/>
    <cellStyle name="60% - 강조색6 7 2" xfId="0"/>
    <cellStyle name="60% - 강조색6 7 2 2" xfId="0"/>
    <cellStyle name="60% - 강조색6 7 3" xfId="0"/>
    <cellStyle name="60% - 강조색6 7 3 2" xfId="0"/>
    <cellStyle name="60% - 강조색6 7 4" xfId="0"/>
    <cellStyle name="60% - 강조색6 7 4 2" xfId="0"/>
    <cellStyle name="60% - 강조색6 7 5" xfId="0"/>
    <cellStyle name="60% - 강조색6 7 5 2" xfId="0"/>
    <cellStyle name="60% - 강조색6 7 6" xfId="0"/>
    <cellStyle name="60% - 강조색6 7 6 2" xfId="0"/>
    <cellStyle name="60% - 강조색6 7 7" xfId="0"/>
    <cellStyle name="60% - 강조색6 7 8" xfId="0"/>
    <cellStyle name="60% - 강조색6 7 9" xfId="0"/>
    <cellStyle name="60% - 강조색6 8" xfId="0"/>
    <cellStyle name="60% - 강조색6 8 10" xfId="0"/>
    <cellStyle name="60% - 강조색6 8 11" xfId="0"/>
    <cellStyle name="60% - 강조색6 8 12" xfId="0"/>
    <cellStyle name="60% - 강조색6 8 13" xfId="0"/>
    <cellStyle name="60% - 강조색6 8 14" xfId="0"/>
    <cellStyle name="60% - 강조색6 8 2" xfId="0"/>
    <cellStyle name="60% - 강조색6 8 2 2" xfId="0"/>
    <cellStyle name="60% - 강조색6 8 3" xfId="0"/>
    <cellStyle name="60% - 강조색6 8 3 2" xfId="0"/>
    <cellStyle name="60% - 강조색6 8 4" xfId="0"/>
    <cellStyle name="60% - 강조색6 8 4 2" xfId="0"/>
    <cellStyle name="60% - 강조색6 8 5" xfId="0"/>
    <cellStyle name="60% - 강조색6 8 5 2" xfId="0"/>
    <cellStyle name="60% - 강조색6 8 6" xfId="0"/>
    <cellStyle name="60% - 강조색6 8 6 2" xfId="0"/>
    <cellStyle name="60% - 강조색6 8 7" xfId="0"/>
    <cellStyle name="60% - 강조색6 8 8" xfId="0"/>
    <cellStyle name="60% - 강조색6 8 9" xfId="0"/>
    <cellStyle name="60% - 강조색6 9" xfId="0"/>
    <cellStyle name="60% - 강조색6 9 10" xfId="0"/>
    <cellStyle name="60% - 강조색6 9 11" xfId="0"/>
    <cellStyle name="60% - 강조색6 9 12" xfId="0"/>
    <cellStyle name="60% - 강조색6 9 13" xfId="0"/>
    <cellStyle name="60% - 강조색6 9 14" xfId="0"/>
    <cellStyle name="60% - 강조색6 9 2" xfId="0"/>
    <cellStyle name="60% - 강조색6 9 2 2" xfId="0"/>
    <cellStyle name="60% - 강조색6 9 3" xfId="0"/>
    <cellStyle name="60% - 강조색6 9 3 2" xfId="0"/>
    <cellStyle name="60% - 강조색6 9 4" xfId="0"/>
    <cellStyle name="60% - 강조색6 9 4 2" xfId="0"/>
    <cellStyle name="60% - 강조색6 9 5" xfId="0"/>
    <cellStyle name="60% - 강조색6 9 5 2" xfId="0"/>
    <cellStyle name="60% - 강조색6 9 6" xfId="0"/>
    <cellStyle name="60% - 강조색6 9 6 2" xfId="0"/>
    <cellStyle name="60% - 강조색6 9 7" xfId="0"/>
    <cellStyle name="60% - 강조색6 9 8" xfId="0"/>
    <cellStyle name="60% - 강조색6 9 9" xfId="0"/>
    <cellStyle name="7" xfId="0"/>
    <cellStyle name="7_(주)LG 정산표 2005반기" xfId="0"/>
    <cellStyle name="7_03네오디스정산표" xfId="0"/>
    <cellStyle name="7_05년1분기실적보고자료" xfId="0"/>
    <cellStyle name="7_05년1분기실적보고자료_2005년1분기_BSPL_v2" xfId="0"/>
    <cellStyle name="7_05년1분기실적보고자료_2005년1분기_BSPL_추정_050505" xfId="0"/>
    <cellStyle name="7_08Q3_CFS_081021_담당자용_v3.4" xfId="0"/>
    <cellStyle name="7_1월 계정명세" xfId="0"/>
    <cellStyle name="7_1월 계정명세_2004 미지급비용 총괄_법인세신고" xfId="0"/>
    <cellStyle name="7_1월 계정명세_고정자산 명세" xfId="0"/>
    <cellStyle name="7_1월 계정명세_고정자산 명세_2004 미지급비용 총괄_법인세신고" xfId="0"/>
    <cellStyle name="7_1월 고정성 보증금 명세" xfId="0"/>
    <cellStyle name="7_1월 고정성 보증금 명세_2004 미지급비용 총괄_법인세신고" xfId="0"/>
    <cellStyle name="7_1월 고정성 보증금 명세_고정자산 명세" xfId="0"/>
    <cellStyle name="7_1월 고정성 보증금 명세_고정자산 명세_2004 미지급비용 총괄_법인세신고" xfId="0"/>
    <cellStyle name="7_1월 보증금 계정명세서" xfId="0"/>
    <cellStyle name="7_1월 보증금 계정명세서_2004 미지급비용 총괄_법인세신고" xfId="0"/>
    <cellStyle name="7_1월 보증금 계정명세서_고정자산 명세" xfId="0"/>
    <cellStyle name="7_1월 보증금 계정명세서_고정자산 명세_2004 미지급비용 총괄_법인세신고" xfId="0"/>
    <cellStyle name="7_1월 전신전화 계정명세서" xfId="0"/>
    <cellStyle name="7_1월 전신전화 계정명세서_2004 미지급비용 총괄_법인세신고" xfId="0"/>
    <cellStyle name="7_1월 전신전화 계정명세서_고정자산 명세" xfId="0"/>
    <cellStyle name="7_1월 전신전화 계정명세서_고정자산 명세_2004 미지급비용 총괄_법인세신고" xfId="0"/>
    <cellStyle name="7_1월_계정명세" xfId="0"/>
    <cellStyle name="7_1월_계정명세_2004 미지급비용 총괄_법인세신고" xfId="0"/>
    <cellStyle name="7_1월_계정명세_고정자산 명세" xfId="0"/>
    <cellStyle name="7_1월_계정명세_고정자산 명세_2004 미지급비용 총괄_법인세신고" xfId="0"/>
    <cellStyle name="7_1월_장기채권_및_대지급채권현황" xfId="0"/>
    <cellStyle name="7_1월_장기채권_및_대지급채권현황_2004 미지급비용 총괄_법인세신고" xfId="0"/>
    <cellStyle name="7_1월_장기채권_및_대지급채권현황_고정자산 명세" xfId="0"/>
    <cellStyle name="7_1월_장기채권_및_대지급채권현황_고정자산 명세_2004 미지급비용 총괄_법인세신고" xfId="0"/>
    <cellStyle name="7_200201월(수출채권명세)" xfId="0"/>
    <cellStyle name="7_200201월(수출채권명세)_2004 미지급비용 총괄_법인세신고" xfId="0"/>
    <cellStyle name="7_200201월(수출채권명세)_고정자산 명세" xfId="0"/>
    <cellStyle name="7_200201월(수출채권명세)_고정자산 명세_2004 미지급비용 총괄_법인세신고" xfId="0"/>
    <cellStyle name="7_2002FS-영문" xfId="0"/>
    <cellStyle name="7_2002FS-영문_08Q3_CFS_081021_담당자용_v3.4" xfId="0"/>
    <cellStyle name="7_2002FS-영문_2008_3Q정산표(LGE)_V8(1023)" xfId="0"/>
    <cellStyle name="7_2002FS-영문_LGE 2006 4Q-FS_070302" xfId="0"/>
    <cellStyle name="7_2002FS-영문_LGE 2006 4Q-FS_070302_08Q3_CFS_081021_담당자용_v3.4" xfId="0"/>
    <cellStyle name="7_2002FS-영문_LGE 2006 4Q-FS_070302_2008_3Q정산표(LGE)_V8(1023)" xfId="0"/>
    <cellStyle name="7_2002FS-영문_LGE 2006 4Q-FS_070302_LGE071Q_Non-con-FS(Eng)-우원식" xfId="0"/>
    <cellStyle name="7_2002FS-영문_LGE 2006 4Q-FS_070302_LGE071Q_Non-con-FS(Eng)-우원식_08Q3_CFS_081021_담당자용_v3.4" xfId="0"/>
    <cellStyle name="7_2002FS-영문_LGE 2006 4Q-FS_070302_LGE071Q_Non-con-FS(Eng)-우원식_2008_3Q정산표(LGE)_V8(1023)" xfId="0"/>
    <cellStyle name="7_2002FS-영문_LGE 2006 4Q-FS_070302_LGE071Q_Non-con-FS(Eng)-우원식_LGE2008-1Q정산표_v25(0421)" xfId="0"/>
    <cellStyle name="7_2002FS-영문_LGE 2006 4Q-FS_070302_LGE071Q_Non-con-FS(Eng)-우원식_LGE2008-1Q정산표_v27(0428)" xfId="0"/>
    <cellStyle name="7_2002FS-영문_LGE 2006 4Q-FS_070302_LGE071Q_Non-con-FS(Eng)-우원식_LGE2008-1Q정산표_v28(0430)" xfId="0"/>
    <cellStyle name="7_2002FS-영문_LGE 2006 4Q-FS_070302_LGE071Q_Non-con-FS(Eng)-우원식_정산표072Q_최종" xfId="0"/>
    <cellStyle name="7_2002FS-영문_LGE 2006 4Q-FS_070302_LGE071Q_Non-con-FS(Eng)-우원식_정산표FY2008-2Q_0704" xfId="0"/>
    <cellStyle name="7_2002FS-영문_LGE 2006 4Q-FS_070302_LGE2008-1Q정산표_v25(0421)" xfId="0"/>
    <cellStyle name="7_2002FS-영문_LGE 2006 4Q-FS_070302_LGE2008-1Q정산표_v27(0428)" xfId="0"/>
    <cellStyle name="7_2002FS-영문_LGE 2006 4Q-FS_070302_LGE2008-1Q정산표_v28(0430)" xfId="0"/>
    <cellStyle name="7_2002FS-영문_LGE 2006 4Q-FS_070302_정산표072Q_최종" xfId="0"/>
    <cellStyle name="7_2002FS-영문_LGE 2006 4Q-FS_070302_정산표FY2008-2Q_0704" xfId="0"/>
    <cellStyle name="7_2002FS-영문_LGE05 200512-Non-con FS(Eng)_060323" xfId="0"/>
    <cellStyle name="7_2002FS-영문_LGE05 200512-Non-con FS(Eng)_060323_08Q3_CFS_081021_담당자용_v3.4" xfId="0"/>
    <cellStyle name="7_2002FS-영문_LGE05 200512-Non-con FS(Eng)_060323_2008_3Q정산표(LGE)_V8(1023)" xfId="0"/>
    <cellStyle name="7_2002FS-영문_LGE05 200512-Non-con FS(Eng)_060323_LGE071Q_Non-con-FS(Eng)-우원식" xfId="0"/>
    <cellStyle name="7_2002FS-영문_LGE05 200512-Non-con FS(Eng)_060323_LGE071Q_Non-con-FS(Eng)-우원식_08Q3_CFS_081021_담당자용_v3.4" xfId="0"/>
    <cellStyle name="7_2002FS-영문_LGE05 200512-Non-con FS(Eng)_060323_LGE071Q_Non-con-FS(Eng)-우원식_2008_3Q정산표(LGE)_V8(1023)" xfId="0"/>
    <cellStyle name="7_2002FS-영문_LGE05 200512-Non-con FS(Eng)_060323_LGE071Q_Non-con-FS(Eng)-우원식_LGE2008-1Q정산표_v25(0421)" xfId="0"/>
    <cellStyle name="7_2002FS-영문_LGE05 200512-Non-con FS(Eng)_060323_LGE071Q_Non-con-FS(Eng)-우원식_LGE2008-1Q정산표_v27(0428)" xfId="0"/>
    <cellStyle name="7_2002FS-영문_LGE05 200512-Non-con FS(Eng)_060323_LGE071Q_Non-con-FS(Eng)-우원식_LGE2008-1Q정산표_v28(0430)" xfId="0"/>
    <cellStyle name="7_2002FS-영문_LGE05 200512-Non-con FS(Eng)_060323_LGE071Q_Non-con-FS(Eng)-우원식_정산표072Q_최종" xfId="0"/>
    <cellStyle name="7_2002FS-영문_LGE05 200512-Non-con FS(Eng)_060323_LGE071Q_Non-con-FS(Eng)-우원식_정산표FY2008-2Q_0704" xfId="0"/>
    <cellStyle name="7_2002FS-영문_LGE05 200512-Non-con FS(Eng)_060323_LGE2008-1Q정산표_v25(0421)" xfId="0"/>
    <cellStyle name="7_2002FS-영문_LGE05 200512-Non-con FS(Eng)_060323_LGE2008-1Q정산표_v27(0428)" xfId="0"/>
    <cellStyle name="7_2002FS-영문_LGE05 200512-Non-con FS(Eng)_060323_LGE2008-1Q정산표_v28(0430)" xfId="0"/>
    <cellStyle name="7_2002FS-영문_LGE05 200512-Non-con FS(Eng)_060323_정산표072Q_최종" xfId="0"/>
    <cellStyle name="7_2002FS-영문_LGE05 200512-Non-con FS(Eng)_060323_정산표FY2008-2Q_0704" xfId="0"/>
    <cellStyle name="7_2002FS-영문_LGE071Q_Non-con-FS(Eng)-우원식" xfId="0"/>
    <cellStyle name="7_2002FS-영문_LGE071Q_Non-con-FS(Eng)-우원식_08Q3_CFS_081021_담당자용_v3.4" xfId="0"/>
    <cellStyle name="7_2002FS-영문_LGE071Q_Non-con-FS(Eng)-우원식_2008_3Q정산표(LGE)_V8(1023)" xfId="0"/>
    <cellStyle name="7_2002FS-영문_LGE071Q_Non-con-FS(Eng)-우원식_LGE2008-1Q정산표_v25(0421)" xfId="0"/>
    <cellStyle name="7_2002FS-영문_LGE071Q_Non-con-FS(Eng)-우원식_LGE2008-1Q정산표_v27(0428)" xfId="0"/>
    <cellStyle name="7_2002FS-영문_LGE071Q_Non-con-FS(Eng)-우원식_LGE2008-1Q정산표_v28(0430)" xfId="0"/>
    <cellStyle name="7_2002FS-영문_LGE071Q_Non-con-FS(Eng)-우원식_정산표072Q_최종" xfId="0"/>
    <cellStyle name="7_2002FS-영문_LGE071Q_Non-con-FS(Eng)-우원식_정산표FY2008-2Q_0704" xfId="0"/>
    <cellStyle name="7_2002FS-영문_LGE2008-1Q정산표_v25(0421)" xfId="0"/>
    <cellStyle name="7_2002FS-영문_LGE2008-1Q정산표_v27(0428)" xfId="0"/>
    <cellStyle name="7_2002FS-영문_LGE2008-1Q정산표_v28(0430)" xfId="0"/>
    <cellStyle name="7_2002FS-영문_LGE_200612_Con_FS(draft)" xfId="0"/>
    <cellStyle name="7_2002FS-영문_LGE_200612_Con_FS(draft)_08Q3_CFS_081021_담당자용_v3.4" xfId="0"/>
    <cellStyle name="7_2002FS-영문_LGE_200612_Con_FS(draft)_2008_3Q정산표(LGE)_V8(1023)" xfId="0"/>
    <cellStyle name="7_2002FS-영문_LGE_200612_Con_FS(draft)_LGE2008-1Q정산표_v25(0421)" xfId="0"/>
    <cellStyle name="7_2002FS-영문_LGE_200612_Con_FS(draft)_LGE2008-1Q정산표_v27(0428)" xfId="0"/>
    <cellStyle name="7_2002FS-영문_LGE_200612_Con_FS(draft)_LGE2008-1Q정산표_v28(0430)" xfId="0"/>
    <cellStyle name="7_2002FS-영문_LGE_200612_Con_FS(draft)_정산표072Q_최종" xfId="0"/>
    <cellStyle name="7_2002FS-영문_LGE_200612_Con_FS(draft)_정산표FY2008-2Q_0704" xfId="0"/>
    <cellStyle name="7_2002FS-영문_LG전자2005연결영문보고서_재무제표" xfId="0"/>
    <cellStyle name="7_2002FS-영문_LG전자2005연결영문보고서_재무제표_08Q3_CFS_081021_담당자용_v3.4" xfId="0"/>
    <cellStyle name="7_2002FS-영문_LG전자2005연결영문보고서_재무제표_2008_3Q정산표(LGE)_V8(1023)" xfId="0"/>
    <cellStyle name="7_2002FS-영문_LG전자2005연결영문보고서_재무제표_LGE2008-1Q정산표_v25(0421)" xfId="0"/>
    <cellStyle name="7_2002FS-영문_LG전자2005연결영문보고서_재무제표_LGE2008-1Q정산표_v27(0428)" xfId="0"/>
    <cellStyle name="7_2002FS-영문_LG전자2005연결영문보고서_재무제표_LGE2008-1Q정산표_v28(0430)" xfId="0"/>
    <cellStyle name="7_2002FS-영문_LG전자2005연결영문보고서_재무제표_정산표072Q_최종" xfId="0"/>
    <cellStyle name="7_2002FS-영문_LG전자2005연결영문보고서_재무제표_정산표FY2008-2Q_0704" xfId="0"/>
    <cellStyle name="7_2002FS-영문_~5283006" xfId="0"/>
    <cellStyle name="7_2002FS-영문_~5283006_08Q3_CFS_081021_담당자용_v3.4" xfId="0"/>
    <cellStyle name="7_2002FS-영문_~5283006_2008_3Q정산표(LGE)_V8(1023)" xfId="0"/>
    <cellStyle name="7_2002FS-영문_~5283006_LGE2008-1Q정산표_v25(0421)" xfId="0"/>
    <cellStyle name="7_2002FS-영문_~5283006_LGE2008-1Q정산표_v27(0428)" xfId="0"/>
    <cellStyle name="7_2002FS-영문_~5283006_LGE2008-1Q정산표_v28(0430)" xfId="0"/>
    <cellStyle name="7_2002FS-영문_~5283006_정산표072Q_최종" xfId="0"/>
    <cellStyle name="7_2002FS-영문_~5283006_정산표FY2008-2Q_0704" xfId="0"/>
    <cellStyle name="7_2002FS-영문_정산표072Q_최종" xfId="0"/>
    <cellStyle name="7_2002FS-영문_정산표FY2008-2Q_0704" xfId="0"/>
    <cellStyle name="7_2002년하반기공정업적보고(채권부문)" xfId="0"/>
    <cellStyle name="7_2002년하반기공정업적보고(채권부문)_부실보고양식(03.06)" xfId="0"/>
    <cellStyle name="7_2002년하반기공정업적보고(채권부문)_부실보고양식(03.06)_지급이자_2005법인세 신고_v2_최종" xfId="0"/>
    <cellStyle name="7_2002년하반기공정업적보고(채권부문)_지급이자_2005법인세 신고_v2_최종" xfId="0"/>
    <cellStyle name="7_2004 미지급비용 총괄_법인세신고" xfId="0"/>
    <cellStyle name="7_2005년1분기_BSPL" xfId="0"/>
    <cellStyle name="7_2005년1분기_BSPL_2005년1분기_BSPL_v2" xfId="0"/>
    <cellStyle name="7_2005년1분기_BSPL_2005년1분기_BSPL_추정_050505" xfId="0"/>
    <cellStyle name="7_2005년2분기_BSPL_회사제시_v1" xfId="0"/>
    <cellStyle name="7_2008_3Q정산표(LGE)_V8(1023)" xfId="0"/>
    <cellStyle name="7_DraftFS-LGEI2002(patrick-version)-1" xfId="0"/>
    <cellStyle name="7_DraftFS-LGEI2002(patrick-version)-1_(주)LG 정산표 2005반기" xfId="0"/>
    <cellStyle name="7_DraftFS-LGEI2002(patrick-version)-1_05년1분기실적보고자료" xfId="0"/>
    <cellStyle name="7_DraftFS-LGEI2002(patrick-version)-1_05년1분기실적보고자료_2005년1분기_BSPL_v2" xfId="0"/>
    <cellStyle name="7_DraftFS-LGEI2002(patrick-version)-1_05년1분기실적보고자료_2005년1분기_BSPL_추정_050505" xfId="0"/>
    <cellStyle name="7_DraftFS-LGEI2002(patrick-version)-1_2005년1분기_BSPL" xfId="0"/>
    <cellStyle name="7_DraftFS-LGEI2002(patrick-version)-1_2005년1분기_BSPL_2005년1분기_BSPL_v2" xfId="0"/>
    <cellStyle name="7_DraftFS-LGEI2002(patrick-version)-1_2005년1분기_BSPL_2005년1분기_BSPL_추정_050505" xfId="0"/>
    <cellStyle name="7_DraftFS-LGEI2002(patrick-version)-1_2005년2분기_BSPL_회사제시_v1" xfId="0"/>
    <cellStyle name="7_DraftFS-LGEI2002(patrick-version)-1_DraftFS-LGEI2002(pku)0207" xfId="0"/>
    <cellStyle name="7_DraftFS-LGEI2002(patrick-version)-1_DraftFS-LGEI2002(pku)0207_(주)LG 정산표 2005반기" xfId="0"/>
    <cellStyle name="7_DraftFS-LGEI2002(patrick-version)-1_전기재무제표 restate(최종)" xfId="0"/>
    <cellStyle name="7_DraftFS-LGEI2002(patrick-version)-1_지분법평가원장" xfId="0"/>
    <cellStyle name="7_DraftFS-LGEI2002(patrick-version)-1_지분법평가원장_05년1분기_지분법보고자료" xfId="0"/>
    <cellStyle name="7_DraftFS-LGEI2002(patrick-version)-1_지분법평가원장_05년1분기지분법실적보고자료" xfId="0"/>
    <cellStyle name="7_DraftFS-LGEI2002(patrick-version)-1_지분법평가원장_2005년1분기_BSPL_v2" xfId="0"/>
    <cellStyle name="7_DraftFS-LGEI2002(patrick-version)-1_지분법평가원장_2005년1분기_BSPL_추정_050505" xfId="0"/>
    <cellStyle name="7_LGE 2006 4Q-FS_070302" xfId="0"/>
    <cellStyle name="7_LGE 2006 4Q-FS_070302_08Q3_CFS_081021_담당자용_v3.4" xfId="0"/>
    <cellStyle name="7_LGE 2006 4Q-FS_070302_2008_3Q정산표(LGE)_V8(1023)" xfId="0"/>
    <cellStyle name="7_LGE 2006 4Q-FS_070302_LGE071Q_Non-con-FS(Eng)-우원식" xfId="0"/>
    <cellStyle name="7_LGE 2006 4Q-FS_070302_LGE071Q_Non-con-FS(Eng)-우원식_08Q3_CFS_081021_담당자용_v3.4" xfId="0"/>
    <cellStyle name="7_LGE 2006 4Q-FS_070302_LGE071Q_Non-con-FS(Eng)-우원식_2008_3Q정산표(LGE)_V8(1023)" xfId="0"/>
    <cellStyle name="7_LGE 2006 4Q-FS_070302_LGE071Q_Non-con-FS(Eng)-우원식_LGE2008-1Q정산표_v25(0421)" xfId="0"/>
    <cellStyle name="7_LGE 2006 4Q-FS_070302_LGE071Q_Non-con-FS(Eng)-우원식_LGE2008-1Q정산표_v27(0428)" xfId="0"/>
    <cellStyle name="7_LGE 2006 4Q-FS_070302_LGE071Q_Non-con-FS(Eng)-우원식_LGE2008-1Q정산표_v28(0430)" xfId="0"/>
    <cellStyle name="7_LGE 2006 4Q-FS_070302_LGE071Q_Non-con-FS(Eng)-우원식_정산표072Q_최종" xfId="0"/>
    <cellStyle name="7_LGE 2006 4Q-FS_070302_LGE071Q_Non-con-FS(Eng)-우원식_정산표FY2008-2Q_0704" xfId="0"/>
    <cellStyle name="7_LGE 2006 4Q-FS_070302_LGE2008-1Q정산표_v25(0421)" xfId="0"/>
    <cellStyle name="7_LGE 2006 4Q-FS_070302_LGE2008-1Q정산표_v27(0428)" xfId="0"/>
    <cellStyle name="7_LGE 2006 4Q-FS_070302_LGE2008-1Q정산표_v28(0430)" xfId="0"/>
    <cellStyle name="7_LGE 2006 4Q-FS_070302_정산표072Q_최종" xfId="0"/>
    <cellStyle name="7_LGE 2006 4Q-FS_070302_정산표FY2008-2Q_0704" xfId="0"/>
    <cellStyle name="7_LGE05 200512-Non-con FS(Eng)_060323" xfId="0"/>
    <cellStyle name="7_LGE05 200512-Non-con FS(Eng)_060323_08Q3_CFS_081021_담당자용_v3.4" xfId="0"/>
    <cellStyle name="7_LGE05 200512-Non-con FS(Eng)_060323_2008_3Q정산표(LGE)_V8(1023)" xfId="0"/>
    <cellStyle name="7_LGE05 200512-Non-con FS(Eng)_060323_LGE071Q_Non-con-FS(Eng)-우원식" xfId="0"/>
    <cellStyle name="7_LGE05 200512-Non-con FS(Eng)_060323_LGE071Q_Non-con-FS(Eng)-우원식_08Q3_CFS_081021_담당자용_v3.4" xfId="0"/>
    <cellStyle name="7_LGE05 200512-Non-con FS(Eng)_060323_LGE071Q_Non-con-FS(Eng)-우원식_2008_3Q정산표(LGE)_V8(1023)" xfId="0"/>
    <cellStyle name="7_LGE05 200512-Non-con FS(Eng)_060323_LGE071Q_Non-con-FS(Eng)-우원식_LGE2008-1Q정산표_v25(0421)" xfId="0"/>
    <cellStyle name="7_LGE05 200512-Non-con FS(Eng)_060323_LGE071Q_Non-con-FS(Eng)-우원식_LGE2008-1Q정산표_v27(0428)" xfId="0"/>
    <cellStyle name="7_LGE05 200512-Non-con FS(Eng)_060323_LGE071Q_Non-con-FS(Eng)-우원식_LGE2008-1Q정산표_v28(0430)" xfId="0"/>
    <cellStyle name="7_LGE05 200512-Non-con FS(Eng)_060323_LGE071Q_Non-con-FS(Eng)-우원식_정산표072Q_최종" xfId="0"/>
    <cellStyle name="7_LGE05 200512-Non-con FS(Eng)_060323_LGE071Q_Non-con-FS(Eng)-우원식_정산표FY2008-2Q_0704" xfId="0"/>
    <cellStyle name="7_LGE05 200512-Non-con FS(Eng)_060323_LGE2008-1Q정산표_v25(0421)" xfId="0"/>
    <cellStyle name="7_LGE05 200512-Non-con FS(Eng)_060323_LGE2008-1Q정산표_v27(0428)" xfId="0"/>
    <cellStyle name="7_LGE05 200512-Non-con FS(Eng)_060323_LGE2008-1Q정산표_v28(0430)" xfId="0"/>
    <cellStyle name="7_LGE05 200512-Non-con FS(Eng)_060323_정산표072Q_최종" xfId="0"/>
    <cellStyle name="7_LGE05 200512-Non-con FS(Eng)_060323_정산표FY2008-2Q_0704" xfId="0"/>
    <cellStyle name="7_LGE071Q_Non-con-FS(Eng)-우원식" xfId="0"/>
    <cellStyle name="7_LGE071Q_Non-con-FS(Eng)-우원식_08Q3_CFS_081021_담당자용_v3.4" xfId="0"/>
    <cellStyle name="7_LGE071Q_Non-con-FS(Eng)-우원식_2008_3Q정산표(LGE)_V8(1023)" xfId="0"/>
    <cellStyle name="7_LGE071Q_Non-con-FS(Eng)-우원식_LGE2008-1Q정산표_v25(0421)" xfId="0"/>
    <cellStyle name="7_LGE071Q_Non-con-FS(Eng)-우원식_LGE2008-1Q정산표_v27(0428)" xfId="0"/>
    <cellStyle name="7_LGE071Q_Non-con-FS(Eng)-우원식_LGE2008-1Q정산표_v28(0430)" xfId="0"/>
    <cellStyle name="7_LGE071Q_Non-con-FS(Eng)-우원식_정산표072Q_최종" xfId="0"/>
    <cellStyle name="7_LGE071Q_Non-con-FS(Eng)-우원식_정산표FY2008-2Q_0704" xfId="0"/>
    <cellStyle name="7_LGE2008-1Q정산표_v25(0421)" xfId="0"/>
    <cellStyle name="7_LGE2008-1Q정산표_v27(0428)" xfId="0"/>
    <cellStyle name="7_LGE2008-1Q정산표_v28(0430)" xfId="0"/>
    <cellStyle name="7_LGE연결영문200312-FS" xfId="0"/>
    <cellStyle name="7_LGE연결영문200312-FS_08Q3_CFS_081021_담당자용_v3.4" xfId="0"/>
    <cellStyle name="7_LGE연결영문200312-FS_2008_3Q정산표(LGE)_V8(1023)" xfId="0"/>
    <cellStyle name="7_LGE연결영문200312-FS_LGE2008-1Q정산표_v25(0421)" xfId="0"/>
    <cellStyle name="7_LGE연결영문200312-FS_LGE2008-1Q정산표_v27(0428)" xfId="0"/>
    <cellStyle name="7_LGE연결영문200312-FS_LGE2008-1Q정산표_v28(0430)" xfId="0"/>
    <cellStyle name="7_LGE연결영문200312-FS_LGE_200612_Con_FS(draft)" xfId="0"/>
    <cellStyle name="7_LGE연결영문200312-FS_LGE_200612_Con_FS(draft)_08Q3_CFS_081021_담당자용_v3.4" xfId="0"/>
    <cellStyle name="7_LGE연결영문200312-FS_LGE_200612_Con_FS(draft)_2008_3Q정산표(LGE)_V8(1023)" xfId="0"/>
    <cellStyle name="7_LGE연결영문200312-FS_LGE_200612_Con_FS(draft)_LGE2008-1Q정산표_v25(0421)" xfId="0"/>
    <cellStyle name="7_LGE연결영문200312-FS_LGE_200612_Con_FS(draft)_LGE2008-1Q정산표_v27(0428)" xfId="0"/>
    <cellStyle name="7_LGE연결영문200312-FS_LGE_200612_Con_FS(draft)_LGE2008-1Q정산표_v28(0430)" xfId="0"/>
    <cellStyle name="7_LGE연결영문200312-FS_LGE_200612_Con_FS(draft)_정산표072Q_최종" xfId="0"/>
    <cellStyle name="7_LGE연결영문200312-FS_LGE_200612_Con_FS(draft)_정산표FY2008-2Q_0704" xfId="0"/>
    <cellStyle name="7_LGE연결영문200312-FS_LG전자2005연결영문보고서_재무제표" xfId="0"/>
    <cellStyle name="7_LGE연결영문200312-FS_LG전자2005연결영문보고서_재무제표_08Q3_CFS_081021_담당자용_v3.4" xfId="0"/>
    <cellStyle name="7_LGE연결영문200312-FS_LG전자2005연결영문보고서_재무제표_2008_3Q정산표(LGE)_V8(1023)" xfId="0"/>
    <cellStyle name="7_LGE연결영문200312-FS_LG전자2005연결영문보고서_재무제표_LGE2008-1Q정산표_v25(0421)" xfId="0"/>
    <cellStyle name="7_LGE연결영문200312-FS_LG전자2005연결영문보고서_재무제표_LGE2008-1Q정산표_v27(0428)" xfId="0"/>
    <cellStyle name="7_LGE연결영문200312-FS_LG전자2005연결영문보고서_재무제표_LGE2008-1Q정산표_v28(0430)" xfId="0"/>
    <cellStyle name="7_LGE연결영문200312-FS_LG전자2005연결영문보고서_재무제표_정산표072Q_최종" xfId="0"/>
    <cellStyle name="7_LGE연결영문200312-FS_LG전자2005연결영문보고서_재무제표_정산표FY2008-2Q_0704" xfId="0"/>
    <cellStyle name="7_LGE연결영문200312-FS_~5283006" xfId="0"/>
    <cellStyle name="7_LGE연결영문200312-FS_~5283006_08Q3_CFS_081021_담당자용_v3.4" xfId="0"/>
    <cellStyle name="7_LGE연결영문200312-FS_~5283006_2008_3Q정산표(LGE)_V8(1023)" xfId="0"/>
    <cellStyle name="7_LGE연결영문200312-FS_~5283006_LGE2008-1Q정산표_v25(0421)" xfId="0"/>
    <cellStyle name="7_LGE연결영문200312-FS_~5283006_LGE2008-1Q정산표_v27(0428)" xfId="0"/>
    <cellStyle name="7_LGE연결영문200312-FS_~5283006_LGE2008-1Q정산표_v28(0430)" xfId="0"/>
    <cellStyle name="7_LGE연결영문200312-FS_~5283006_정산표072Q_최종" xfId="0"/>
    <cellStyle name="7_LGE연결영문200312-FS_~5283006_정산표FY2008-2Q_0704" xfId="0"/>
    <cellStyle name="7_LGE연결영문200312-FS_정산표072Q_최종" xfId="0"/>
    <cellStyle name="7_LGE연결영문200312-FS_정산표FY2008-2Q_0704" xfId="0"/>
    <cellStyle name="7_Sheet1" xfId="0"/>
    <cellStyle name="7_Sheet1_2002년하반기공정업적보고(채권부문)" xfId="0"/>
    <cellStyle name="7_Sheet1_2002년하반기공정업적보고(채권부문)_부실보고양식(03.06)" xfId="0"/>
    <cellStyle name="7_Sheet1_2002년하반기공정업적보고(채권부문)_부실보고양식(03.06)_지급이자_2005법인세 신고_v2_최종" xfId="0"/>
    <cellStyle name="7_Sheet1_2002년하반기공정업적보고(채권부문)_지급이자_2005법인세 신고_v2_최종" xfId="0"/>
    <cellStyle name="7_Sheet1_부실보고양식(03.06)" xfId="0"/>
    <cellStyle name="7_Sheet1_부실보고양식(03.06)_지급이자_2005법인세 신고_v2_최종" xfId="0"/>
    <cellStyle name="7_Sheet1_부실보고정리(0209_2차)" xfId="0"/>
    <cellStyle name="7_Sheet1_부실보고정리(0209_2차)_부실보고양식(03.06)" xfId="0"/>
    <cellStyle name="7_Sheet1_부실보고정리(0209_2차)_부실보고양식(03.06)_지급이자_2005법인세 신고_v2_최종" xfId="0"/>
    <cellStyle name="7_Sheet1_부실보고정리(0209_2차)_지급이자_2005법인세 신고_v2_최종" xfId="0"/>
    <cellStyle name="7_Sheet1_부실보고정리(0212_3차)" xfId="0"/>
    <cellStyle name="7_Sheet1_부실보고정리(0212_3차)_부실보고양식(03.06)" xfId="0"/>
    <cellStyle name="7_Sheet1_부실보고정리(0212_3차)_부실보고양식(03.06)_지급이자_2005법인세 신고_v2_최종" xfId="0"/>
    <cellStyle name="7_Sheet1_부실보고정리(0212_3차)_지급이자_2005법인세 신고_v2_최종" xfId="0"/>
    <cellStyle name="7_Sheet1_사고채권내역" xfId="0"/>
    <cellStyle name="7_Sheet1_사고채권내역_부실보고양식(03.06)" xfId="0"/>
    <cellStyle name="7_Sheet1_사고채권내역_부실보고양식(03.06)_지급이자_2005법인세 신고_v2_최종" xfId="0"/>
    <cellStyle name="7_Sheet1_사고채권내역_지급이자_2005법인세 신고_v2_최종" xfId="0"/>
    <cellStyle name="7_Sheet1_지급이자_2005법인세 신고_v2_최종" xfId="0"/>
    <cellStyle name="7_가지급명세요약" xfId="0"/>
    <cellStyle name="7_가지급명세요약_2004 미지급비용 총괄_법인세신고" xfId="0"/>
    <cellStyle name="7_가지급명세요약_고정자산 명세" xfId="0"/>
    <cellStyle name="7_가지급명세요약_고정자산 명세_2004 미지급비용 총괄_법인세신고" xfId="0"/>
    <cellStyle name="7_개발비명세" xfId="0"/>
    <cellStyle name="7_개발비명세_2004 미지급비용 총괄_법인세신고" xfId="0"/>
    <cellStyle name="7_결산진실성EVA" xfId="0"/>
    <cellStyle name="7_결산진실성EVA_2002년하반기공정업적보고(채권부문)" xfId="0"/>
    <cellStyle name="7_결산진실성EVA_2002년하반기공정업적보고(채권부문)_부실보고양식(03.06)" xfId="0"/>
    <cellStyle name="7_결산진실성EVA_2002년하반기공정업적보고(채권부문)_부실보고양식(03.06)_지급이자_2005법인세 신고_v2_최종" xfId="0"/>
    <cellStyle name="7_결산진실성EVA_2002년하반기공정업적보고(채권부문)_지급이자_2005법인세 신고_v2_최종" xfId="0"/>
    <cellStyle name="7_결산진실성EVA_Sheet1" xfId="0"/>
    <cellStyle name="7_결산진실성EVA_Sheet1_2002년하반기공정업적보고(채권부문)" xfId="0"/>
    <cellStyle name="7_결산진실성EVA_Sheet1_2002년하반기공정업적보고(채권부문)_부실보고양식(03.06)" xfId="0"/>
    <cellStyle name="7_결산진실성EVA_Sheet1_2002년하반기공정업적보고(채권부문)_부실보고양식(03.06)_지급이자_2005법인세 신고_v2_최종" xfId="0"/>
    <cellStyle name="7_결산진실성EVA_Sheet1_2002년하반기공정업적보고(채권부문)_지급이자_2005법인세 신고_v2_최종" xfId="0"/>
    <cellStyle name="7_결산진실성EVA_Sheet1_부실보고양식(03.06)" xfId="0"/>
    <cellStyle name="7_결산진실성EVA_Sheet1_부실보고양식(03.06)_지급이자_2005법인세 신고_v2_최종" xfId="0"/>
    <cellStyle name="7_결산진실성EVA_Sheet1_부실보고정리(0209_2차)" xfId="0"/>
    <cellStyle name="7_결산진실성EVA_Sheet1_부실보고정리(0209_2차)_부실보고양식(03.06)" xfId="0"/>
    <cellStyle name="7_결산진실성EVA_Sheet1_부실보고정리(0209_2차)_부실보고양식(03.06)_지급이자_2005법인세 신고_v2_최종" xfId="0"/>
    <cellStyle name="7_결산진실성EVA_Sheet1_부실보고정리(0209_2차)_지급이자_2005법인세 신고_v2_최종" xfId="0"/>
    <cellStyle name="7_결산진실성EVA_Sheet1_부실보고정리(0212_3차)" xfId="0"/>
    <cellStyle name="7_결산진실성EVA_Sheet1_부실보고정리(0212_3차)_부실보고양식(03.06)" xfId="0"/>
    <cellStyle name="7_결산진실성EVA_Sheet1_부실보고정리(0212_3차)_부실보고양식(03.06)_지급이자_2005법인세 신고_v2_최종" xfId="0"/>
    <cellStyle name="7_결산진실성EVA_Sheet1_부실보고정리(0212_3차)_지급이자_2005법인세 신고_v2_최종" xfId="0"/>
    <cellStyle name="7_결산진실성EVA_Sheet1_사고채권내역" xfId="0"/>
    <cellStyle name="7_결산진실성EVA_Sheet1_사고채권내역_부실보고양식(03.06)" xfId="0"/>
    <cellStyle name="7_결산진실성EVA_Sheet1_사고채권내역_부실보고양식(03.06)_지급이자_2005법인세 신고_v2_최종" xfId="0"/>
    <cellStyle name="7_결산진실성EVA_Sheet1_사고채권내역_지급이자_2005법인세 신고_v2_최종" xfId="0"/>
    <cellStyle name="7_결산진실성EVA_Sheet1_지급이자_2005법인세 신고_v2_최종" xfId="0"/>
    <cellStyle name="7_결산진실성EVA_부실보고양식(03.06)" xfId="0"/>
    <cellStyle name="7_결산진실성EVA_부실보고양식(03.06)_지급이자_2005법인세 신고_v2_최종" xfId="0"/>
    <cellStyle name="7_결산진실성EVA_부실보고정리(0209_2차)" xfId="0"/>
    <cellStyle name="7_결산진실성EVA_부실보고정리(0209_2차)_부실보고양식(03.06)" xfId="0"/>
    <cellStyle name="7_결산진실성EVA_부실보고정리(0209_2차)_부실보고양식(03.06)_지급이자_2005법인세 신고_v2_최종" xfId="0"/>
    <cellStyle name="7_결산진실성EVA_부실보고정리(0209_2차)_지급이자_2005법인세 신고_v2_최종" xfId="0"/>
    <cellStyle name="7_결산진실성EVA_지급이자_2005법인세 신고_v2_최종" xfId="0"/>
    <cellStyle name="7_계정명세서(2002년1말)" xfId="0"/>
    <cellStyle name="7_계정명세서(2002년1말)_2004 미지급비용 총괄_법인세신고" xfId="0"/>
    <cellStyle name="7_계정명세서(2002년1말)_고정자산 명세" xfId="0"/>
    <cellStyle name="7_계정명세서(2002년1말)_고정자산 명세_2004 미지급비용 총괄_법인세신고" xfId="0"/>
    <cellStyle name="7_고정자산 명세" xfId="0"/>
    <cellStyle name="7_고정자산 명세_2004 미지급비용 총괄_법인세신고" xfId="0"/>
    <cellStyle name="7_대손(2004)신고_확정" xfId="0"/>
    <cellStyle name="7_매출" xfId="0"/>
    <cellStyle name="7_부실보고양식(03.06)" xfId="0"/>
    <cellStyle name="7_부실보고양식(03.06)_지급이자_2005법인세 신고_v2_최종" xfId="0"/>
    <cellStyle name="7_부실보고정리(0209_2차)" xfId="0"/>
    <cellStyle name="7_부실보고정리(0209_2차)_부실보고양식(03.06)" xfId="0"/>
    <cellStyle name="7_부실보고정리(0209_2차)_부실보고양식(03.06)_지급이자_2005법인세 신고_v2_최종" xfId="0"/>
    <cellStyle name="7_부실보고정리(0209_2차)_지급이자_2005법인세 신고_v2_최종" xfId="0"/>
    <cellStyle name="7_선급금.out" xfId="0"/>
    <cellStyle name="7_선급금.out_2004 미지급비용 총괄_법인세신고" xfId="0"/>
    <cellStyle name="7_선급금.out_고정자산 명세" xfId="0"/>
    <cellStyle name="7_선급금.out_고정자산 명세_2004 미지급비용 총괄_법인세신고" xfId="0"/>
    <cellStyle name="7_선급금명세_0201" xfId="0"/>
    <cellStyle name="7_선급금명세_0201_2004 미지급비용 총괄_법인세신고" xfId="0"/>
    <cellStyle name="7_선급금명세_0201_고정자산 명세" xfId="0"/>
    <cellStyle name="7_선급금명세_0201_고정자산 명세_2004 미지급비용 총괄_법인세신고" xfId="0"/>
    <cellStyle name="7_예수금1월2명세서" xfId="0"/>
    <cellStyle name="7_예수금1월2명세서_2004 미지급비용 총괄_법인세신고" xfId="0"/>
    <cellStyle name="7_예수금1월2명세서_고정자산 명세" xfId="0"/>
    <cellStyle name="7_예수금1월2명세서_고정자산 명세_2004 미지급비용 총괄_법인세신고" xfId="0"/>
    <cellStyle name="7_예수금1월명세서(최종)" xfId="0"/>
    <cellStyle name="7_예수금1월명세서(최종)_2004 미지급비용 총괄_법인세신고" xfId="0"/>
    <cellStyle name="7_예수금1월명세서(최종)_고정자산 명세" xfId="0"/>
    <cellStyle name="7_예수금1월명세서(최종)_고정자산 명세_2004 미지급비용 총괄_법인세신고" xfId="0"/>
    <cellStyle name="7_자적을_8월" xfId="0"/>
    <cellStyle name="7_장기대여금" xfId="0"/>
    <cellStyle name="7_장기대여금_2004 미지급비용 총괄_법인세신고" xfId="0"/>
    <cellStyle name="7_장기대여금_고정자산 명세" xfId="0"/>
    <cellStyle name="7_장기대여금_고정자산 명세_2004 미지급비용 총괄_법인세신고" xfId="0"/>
    <cellStyle name="7_재무제표" xfId="0"/>
    <cellStyle name="7_재무제표(이준호)" xfId="0"/>
    <cellStyle name="7_재무제표(이준호)_08Q3_CFS_081021_담당자용_v3.4" xfId="0"/>
    <cellStyle name="7_재무제표(이준호)_2008_3Q정산표(LGE)_V8(1023)" xfId="0"/>
    <cellStyle name="7_재무제표(이준호)_LGE 2006 4Q-FS_070302" xfId="0"/>
    <cellStyle name="7_재무제표(이준호)_LGE 2006 4Q-FS_070302_08Q3_CFS_081021_담당자용_v3.4" xfId="0"/>
    <cellStyle name="7_재무제표(이준호)_LGE 2006 4Q-FS_070302_2008_3Q정산표(LGE)_V8(1023)" xfId="0"/>
    <cellStyle name="7_재무제표(이준호)_LGE 2006 4Q-FS_070302_LGE071Q_Non-con-FS(Eng)-우원식" xfId="0"/>
    <cellStyle name="7_재무제표(이준호)_LGE 2006 4Q-FS_070302_LGE071Q_Non-con-FS(Eng)-우원식_08Q3_CFS_081021_담당자용_v3.4" xfId="0"/>
    <cellStyle name="7_재무제표(이준호)_LGE 2006 4Q-FS_070302_LGE071Q_Non-con-FS(Eng)-우원식_2008_3Q정산표(LGE)_V8(1023)" xfId="0"/>
    <cellStyle name="7_재무제표(이준호)_LGE 2006 4Q-FS_070302_LGE071Q_Non-con-FS(Eng)-우원식_LGE2008-1Q정산표_v25(0421)" xfId="0"/>
    <cellStyle name="7_재무제표(이준호)_LGE 2006 4Q-FS_070302_LGE071Q_Non-con-FS(Eng)-우원식_LGE2008-1Q정산표_v27(0428)" xfId="0"/>
    <cellStyle name="7_재무제표(이준호)_LGE 2006 4Q-FS_070302_LGE071Q_Non-con-FS(Eng)-우원식_LGE2008-1Q정산표_v28(0430)" xfId="0"/>
    <cellStyle name="7_재무제표(이준호)_LGE 2006 4Q-FS_070302_LGE071Q_Non-con-FS(Eng)-우원식_정산표072Q_최종" xfId="0"/>
    <cellStyle name="7_재무제표(이준호)_LGE 2006 4Q-FS_070302_LGE071Q_Non-con-FS(Eng)-우원식_정산표FY2008-2Q_0704" xfId="0"/>
    <cellStyle name="7_재무제표(이준호)_LGE 2006 4Q-FS_070302_LGE2008-1Q정산표_v25(0421)" xfId="0"/>
    <cellStyle name="7_재무제표(이준호)_LGE 2006 4Q-FS_070302_LGE2008-1Q정산표_v27(0428)" xfId="0"/>
    <cellStyle name="7_재무제표(이준호)_LGE 2006 4Q-FS_070302_LGE2008-1Q정산표_v28(0430)" xfId="0"/>
    <cellStyle name="7_재무제표(이준호)_LGE 2006 4Q-FS_070302_정산표072Q_최종" xfId="0"/>
    <cellStyle name="7_재무제표(이준호)_LGE 2006 4Q-FS_070302_정산표FY2008-2Q_0704" xfId="0"/>
    <cellStyle name="7_재무제표(이준호)_LGE05 200512-Non-con FS(Eng)_060323" xfId="0"/>
    <cellStyle name="7_재무제표(이준호)_LGE05 200512-Non-con FS(Eng)_060323_08Q3_CFS_081021_담당자용_v3.4" xfId="0"/>
    <cellStyle name="7_재무제표(이준호)_LGE05 200512-Non-con FS(Eng)_060323_2008_3Q정산표(LGE)_V8(1023)" xfId="0"/>
    <cellStyle name="7_재무제표(이준호)_LGE05 200512-Non-con FS(Eng)_060323_LGE071Q_Non-con-FS(Eng)-우원식" xfId="0"/>
    <cellStyle name="7_재무제표(이준호)_LGE05 200512-Non-con FS(Eng)_060323_LGE071Q_Non-con-FS(Eng)-우원식_08Q3_CFS_081021_담당자용_v3.4" xfId="0"/>
    <cellStyle name="7_재무제표(이준호)_LGE05 200512-Non-con FS(Eng)_060323_LGE071Q_Non-con-FS(Eng)-우원식_2008_3Q정산표(LGE)_V8(1023)" xfId="0"/>
    <cellStyle name="7_재무제표(이준호)_LGE05 200512-Non-con FS(Eng)_060323_LGE071Q_Non-con-FS(Eng)-우원식_LGE2008-1Q정산표_v25(0421)" xfId="0"/>
    <cellStyle name="7_재무제표(이준호)_LGE05 200512-Non-con FS(Eng)_060323_LGE071Q_Non-con-FS(Eng)-우원식_LGE2008-1Q정산표_v27(0428)" xfId="0"/>
    <cellStyle name="7_재무제표(이준호)_LGE05 200512-Non-con FS(Eng)_060323_LGE071Q_Non-con-FS(Eng)-우원식_LGE2008-1Q정산표_v28(0430)" xfId="0"/>
    <cellStyle name="7_재무제표(이준호)_LGE05 200512-Non-con FS(Eng)_060323_LGE071Q_Non-con-FS(Eng)-우원식_정산표072Q_최종" xfId="0"/>
    <cellStyle name="7_재무제표(이준호)_LGE05 200512-Non-con FS(Eng)_060323_LGE071Q_Non-con-FS(Eng)-우원식_정산표FY2008-2Q_0704" xfId="0"/>
    <cellStyle name="7_재무제표(이준호)_LGE05 200512-Non-con FS(Eng)_060323_LGE2008-1Q정산표_v25(0421)" xfId="0"/>
    <cellStyle name="7_재무제표(이준호)_LGE05 200512-Non-con FS(Eng)_060323_LGE2008-1Q정산표_v27(0428)" xfId="0"/>
    <cellStyle name="7_재무제표(이준호)_LGE05 200512-Non-con FS(Eng)_060323_LGE2008-1Q정산표_v28(0430)" xfId="0"/>
    <cellStyle name="7_재무제표(이준호)_LGE05 200512-Non-con FS(Eng)_060323_정산표072Q_최종" xfId="0"/>
    <cellStyle name="7_재무제표(이준호)_LGE05 200512-Non-con FS(Eng)_060323_정산표FY2008-2Q_0704" xfId="0"/>
    <cellStyle name="7_재무제표(이준호)_LGE071Q_Non-con-FS(Eng)-우원식" xfId="0"/>
    <cellStyle name="7_재무제표(이준호)_LGE071Q_Non-con-FS(Eng)-우원식_08Q3_CFS_081021_담당자용_v3.4" xfId="0"/>
    <cellStyle name="7_재무제표(이준호)_LGE071Q_Non-con-FS(Eng)-우원식_2008_3Q정산표(LGE)_V8(1023)" xfId="0"/>
    <cellStyle name="7_재무제표(이준호)_LGE071Q_Non-con-FS(Eng)-우원식_LGE2008-1Q정산표_v25(0421)" xfId="0"/>
    <cellStyle name="7_재무제표(이준호)_LGE071Q_Non-con-FS(Eng)-우원식_LGE2008-1Q정산표_v27(0428)" xfId="0"/>
    <cellStyle name="7_재무제표(이준호)_LGE071Q_Non-con-FS(Eng)-우원식_LGE2008-1Q정산표_v28(0430)" xfId="0"/>
    <cellStyle name="7_재무제표(이준호)_LGE071Q_Non-con-FS(Eng)-우원식_정산표072Q_최종" xfId="0"/>
    <cellStyle name="7_재무제표(이준호)_LGE071Q_Non-con-FS(Eng)-우원식_정산표FY2008-2Q_0704" xfId="0"/>
    <cellStyle name="7_재무제표(이준호)_LGE2008-1Q정산표_v25(0421)" xfId="0"/>
    <cellStyle name="7_재무제표(이준호)_LGE2008-1Q정산표_v27(0428)" xfId="0"/>
    <cellStyle name="7_재무제표(이준호)_LGE2008-1Q정산표_v28(0430)" xfId="0"/>
    <cellStyle name="7_재무제표(이준호)_LGE_200612_Con_FS(draft)" xfId="0"/>
    <cellStyle name="7_재무제표(이준호)_LGE_200612_Con_FS(draft)_08Q3_CFS_081021_담당자용_v3.4" xfId="0"/>
    <cellStyle name="7_재무제표(이준호)_LGE_200612_Con_FS(draft)_2008_3Q정산표(LGE)_V8(1023)" xfId="0"/>
    <cellStyle name="7_재무제표(이준호)_LGE_200612_Con_FS(draft)_LGE2008-1Q정산표_v25(0421)" xfId="0"/>
    <cellStyle name="7_재무제표(이준호)_LGE_200612_Con_FS(draft)_LGE2008-1Q정산표_v27(0428)" xfId="0"/>
    <cellStyle name="7_재무제표(이준호)_LGE_200612_Con_FS(draft)_LGE2008-1Q정산표_v28(0430)" xfId="0"/>
    <cellStyle name="7_재무제표(이준호)_LGE_200612_Con_FS(draft)_정산표072Q_최종" xfId="0"/>
    <cellStyle name="7_재무제표(이준호)_LGE_200612_Con_FS(draft)_정산표FY2008-2Q_0704" xfId="0"/>
    <cellStyle name="7_재무제표(이준호)_LG전자2005연결영문보고서_재무제표" xfId="0"/>
    <cellStyle name="7_재무제표(이준호)_LG전자2005연결영문보고서_재무제표_08Q3_CFS_081021_담당자용_v3.4" xfId="0"/>
    <cellStyle name="7_재무제표(이준호)_LG전자2005연결영문보고서_재무제표_2008_3Q정산표(LGE)_V8(1023)" xfId="0"/>
    <cellStyle name="7_재무제표(이준호)_LG전자2005연결영문보고서_재무제표_LGE2008-1Q정산표_v25(0421)" xfId="0"/>
    <cellStyle name="7_재무제표(이준호)_LG전자2005연결영문보고서_재무제표_LGE2008-1Q정산표_v27(0428)" xfId="0"/>
    <cellStyle name="7_재무제표(이준호)_LG전자2005연결영문보고서_재무제표_LGE2008-1Q정산표_v28(0430)" xfId="0"/>
    <cellStyle name="7_재무제표(이준호)_LG전자2005연결영문보고서_재무제표_정산표072Q_최종" xfId="0"/>
    <cellStyle name="7_재무제표(이준호)_LG전자2005연결영문보고서_재무제표_정산표FY2008-2Q_0704" xfId="0"/>
    <cellStyle name="7_재무제표(이준호)_~5283006" xfId="0"/>
    <cellStyle name="7_재무제표(이준호)_~5283006_08Q3_CFS_081021_담당자용_v3.4" xfId="0"/>
    <cellStyle name="7_재무제표(이준호)_~5283006_2008_3Q정산표(LGE)_V8(1023)" xfId="0"/>
    <cellStyle name="7_재무제표(이준호)_~5283006_LGE2008-1Q정산표_v25(0421)" xfId="0"/>
    <cellStyle name="7_재무제표(이준호)_~5283006_LGE2008-1Q정산표_v27(0428)" xfId="0"/>
    <cellStyle name="7_재무제표(이준호)_~5283006_LGE2008-1Q정산표_v28(0430)" xfId="0"/>
    <cellStyle name="7_재무제표(이준호)_~5283006_정산표072Q_최종" xfId="0"/>
    <cellStyle name="7_재무제표(이준호)_~5283006_정산표FY2008-2Q_0704" xfId="0"/>
    <cellStyle name="7_재무제표(이준호)_정산표072Q_최종" xfId="0"/>
    <cellStyle name="7_재무제표(이준호)_정산표FY2008-2Q_0704" xfId="0"/>
    <cellStyle name="7_재무제표_08Q3_CFS_081021_담당자용_v3.4" xfId="0"/>
    <cellStyle name="7_재무제표_2008_3Q정산표(LGE)_V8(1023)" xfId="0"/>
    <cellStyle name="7_재무제표_LGE 2006 4Q-FS_070302" xfId="0"/>
    <cellStyle name="7_재무제표_LGE 2006 4Q-FS_070302_08Q3_CFS_081021_담당자용_v3.4" xfId="0"/>
    <cellStyle name="7_재무제표_LGE 2006 4Q-FS_070302_2008_3Q정산표(LGE)_V8(1023)" xfId="0"/>
    <cellStyle name="7_재무제표_LGE 2006 4Q-FS_070302_LGE071Q_Non-con-FS(Eng)-우원식" xfId="0"/>
    <cellStyle name="7_재무제표_LGE 2006 4Q-FS_070302_LGE071Q_Non-con-FS(Eng)-우원식_08Q3_CFS_081021_담당자용_v3.4" xfId="0"/>
    <cellStyle name="7_재무제표_LGE 2006 4Q-FS_070302_LGE071Q_Non-con-FS(Eng)-우원식_2008_3Q정산표(LGE)_V8(1023)" xfId="0"/>
    <cellStyle name="7_재무제표_LGE 2006 4Q-FS_070302_LGE071Q_Non-con-FS(Eng)-우원식_LGE2008-1Q정산표_v25(0421)" xfId="0"/>
    <cellStyle name="7_재무제표_LGE 2006 4Q-FS_070302_LGE071Q_Non-con-FS(Eng)-우원식_LGE2008-1Q정산표_v27(0428)" xfId="0"/>
    <cellStyle name="7_재무제표_LGE 2006 4Q-FS_070302_LGE071Q_Non-con-FS(Eng)-우원식_LGE2008-1Q정산표_v28(0430)" xfId="0"/>
    <cellStyle name="7_재무제표_LGE 2006 4Q-FS_070302_LGE071Q_Non-con-FS(Eng)-우원식_정산표072Q_최종" xfId="0"/>
    <cellStyle name="7_재무제표_LGE 2006 4Q-FS_070302_LGE071Q_Non-con-FS(Eng)-우원식_정산표FY2008-2Q_0704" xfId="0"/>
    <cellStyle name="7_재무제표_LGE 2006 4Q-FS_070302_LGE2008-1Q정산표_v25(0421)" xfId="0"/>
    <cellStyle name="7_재무제표_LGE 2006 4Q-FS_070302_LGE2008-1Q정산표_v27(0428)" xfId="0"/>
    <cellStyle name="7_재무제표_LGE 2006 4Q-FS_070302_LGE2008-1Q정산표_v28(0430)" xfId="0"/>
    <cellStyle name="7_재무제표_LGE 2006 4Q-FS_070302_정산표072Q_최종" xfId="0"/>
    <cellStyle name="7_재무제표_LGE 2006 4Q-FS_070302_정산표FY2008-2Q_0704" xfId="0"/>
    <cellStyle name="7_재무제표_LGE05 200512-Non-con FS(Eng)_060323" xfId="0"/>
    <cellStyle name="7_재무제표_LGE05 200512-Non-con FS(Eng)_060323_08Q3_CFS_081021_담당자용_v3.4" xfId="0"/>
    <cellStyle name="7_재무제표_LGE05 200512-Non-con FS(Eng)_060323_2008_3Q정산표(LGE)_V8(1023)" xfId="0"/>
    <cellStyle name="7_재무제표_LGE05 200512-Non-con FS(Eng)_060323_LGE071Q_Non-con-FS(Eng)-우원식" xfId="0"/>
    <cellStyle name="7_재무제표_LGE05 200512-Non-con FS(Eng)_060323_LGE071Q_Non-con-FS(Eng)-우원식_08Q3_CFS_081021_담당자용_v3.4" xfId="0"/>
    <cellStyle name="7_재무제표_LGE05 200512-Non-con FS(Eng)_060323_LGE071Q_Non-con-FS(Eng)-우원식_2008_3Q정산표(LGE)_V8(1023)" xfId="0"/>
    <cellStyle name="7_재무제표_LGE05 200512-Non-con FS(Eng)_060323_LGE071Q_Non-con-FS(Eng)-우원식_LGE2008-1Q정산표_v25(0421)" xfId="0"/>
    <cellStyle name="7_재무제표_LGE05 200512-Non-con FS(Eng)_060323_LGE071Q_Non-con-FS(Eng)-우원식_LGE2008-1Q정산표_v27(0428)" xfId="0"/>
    <cellStyle name="7_재무제표_LGE05 200512-Non-con FS(Eng)_060323_LGE071Q_Non-con-FS(Eng)-우원식_LGE2008-1Q정산표_v28(0430)" xfId="0"/>
    <cellStyle name="7_재무제표_LGE05 200512-Non-con FS(Eng)_060323_LGE071Q_Non-con-FS(Eng)-우원식_정산표072Q_최종" xfId="0"/>
    <cellStyle name="7_재무제표_LGE05 200512-Non-con FS(Eng)_060323_LGE071Q_Non-con-FS(Eng)-우원식_정산표FY2008-2Q_0704" xfId="0"/>
    <cellStyle name="7_재무제표_LGE05 200512-Non-con FS(Eng)_060323_LGE2008-1Q정산표_v25(0421)" xfId="0"/>
    <cellStyle name="7_재무제표_LGE05 200512-Non-con FS(Eng)_060323_LGE2008-1Q정산표_v27(0428)" xfId="0"/>
    <cellStyle name="7_재무제표_LGE05 200512-Non-con FS(Eng)_060323_LGE2008-1Q정산표_v28(0430)" xfId="0"/>
    <cellStyle name="7_재무제표_LGE05 200512-Non-con FS(Eng)_060323_정산표072Q_최종" xfId="0"/>
    <cellStyle name="7_재무제표_LGE05 200512-Non-con FS(Eng)_060323_정산표FY2008-2Q_0704" xfId="0"/>
    <cellStyle name="7_재무제표_LGE071Q_Non-con-FS(Eng)-우원식" xfId="0"/>
    <cellStyle name="7_재무제표_LGE071Q_Non-con-FS(Eng)-우원식_08Q3_CFS_081021_담당자용_v3.4" xfId="0"/>
    <cellStyle name="7_재무제표_LGE071Q_Non-con-FS(Eng)-우원식_2008_3Q정산표(LGE)_V8(1023)" xfId="0"/>
    <cellStyle name="7_재무제표_LGE071Q_Non-con-FS(Eng)-우원식_LGE2008-1Q정산표_v25(0421)" xfId="0"/>
    <cellStyle name="7_재무제표_LGE071Q_Non-con-FS(Eng)-우원식_LGE2008-1Q정산표_v27(0428)" xfId="0"/>
    <cellStyle name="7_재무제표_LGE071Q_Non-con-FS(Eng)-우원식_LGE2008-1Q정산표_v28(0430)" xfId="0"/>
    <cellStyle name="7_재무제표_LGE071Q_Non-con-FS(Eng)-우원식_정산표072Q_최종" xfId="0"/>
    <cellStyle name="7_재무제표_LGE071Q_Non-con-FS(Eng)-우원식_정산표FY2008-2Q_0704" xfId="0"/>
    <cellStyle name="7_재무제표_LGE2008-1Q정산표_v25(0421)" xfId="0"/>
    <cellStyle name="7_재무제표_LGE2008-1Q정산표_v27(0428)" xfId="0"/>
    <cellStyle name="7_재무제표_LGE2008-1Q정산표_v28(0430)" xfId="0"/>
    <cellStyle name="7_재무제표_LGE_200612_Con_FS(draft)" xfId="0"/>
    <cellStyle name="7_재무제표_LGE_200612_Con_FS(draft)_08Q3_CFS_081021_담당자용_v3.4" xfId="0"/>
    <cellStyle name="7_재무제표_LGE_200612_Con_FS(draft)_2008_3Q정산표(LGE)_V8(1023)" xfId="0"/>
    <cellStyle name="7_재무제표_LGE_200612_Con_FS(draft)_LGE2008-1Q정산표_v25(0421)" xfId="0"/>
    <cellStyle name="7_재무제표_LGE_200612_Con_FS(draft)_LGE2008-1Q정산표_v27(0428)" xfId="0"/>
    <cellStyle name="7_재무제표_LGE_200612_Con_FS(draft)_LGE2008-1Q정산표_v28(0430)" xfId="0"/>
    <cellStyle name="7_재무제표_LGE_200612_Con_FS(draft)_정산표072Q_최종" xfId="0"/>
    <cellStyle name="7_재무제표_LGE_200612_Con_FS(draft)_정산표FY2008-2Q_0704" xfId="0"/>
    <cellStyle name="7_재무제표_LG전자2005연결영문보고서_재무제표" xfId="0"/>
    <cellStyle name="7_재무제표_LG전자2005연결영문보고서_재무제표_08Q3_CFS_081021_담당자용_v3.4" xfId="0"/>
    <cellStyle name="7_재무제표_LG전자2005연결영문보고서_재무제표_2008_3Q정산표(LGE)_V8(1023)" xfId="0"/>
    <cellStyle name="7_재무제표_LG전자2005연결영문보고서_재무제표_LGE2008-1Q정산표_v25(0421)" xfId="0"/>
    <cellStyle name="7_재무제표_LG전자2005연결영문보고서_재무제표_LGE2008-1Q정산표_v27(0428)" xfId="0"/>
    <cellStyle name="7_재무제표_LG전자2005연결영문보고서_재무제표_LGE2008-1Q정산표_v28(0430)" xfId="0"/>
    <cellStyle name="7_재무제표_LG전자2005연결영문보고서_재무제표_정산표072Q_최종" xfId="0"/>
    <cellStyle name="7_재무제표_LG전자2005연결영문보고서_재무제표_정산표FY2008-2Q_0704" xfId="0"/>
    <cellStyle name="7_재무제표_~5283006" xfId="0"/>
    <cellStyle name="7_재무제표_~5283006_08Q3_CFS_081021_담당자용_v3.4" xfId="0"/>
    <cellStyle name="7_재무제표_~5283006_2008_3Q정산표(LGE)_V8(1023)" xfId="0"/>
    <cellStyle name="7_재무제표_~5283006_LGE2008-1Q정산표_v25(0421)" xfId="0"/>
    <cellStyle name="7_재무제표_~5283006_LGE2008-1Q정산표_v27(0428)" xfId="0"/>
    <cellStyle name="7_재무제표_~5283006_LGE2008-1Q정산표_v28(0430)" xfId="0"/>
    <cellStyle name="7_재무제표_~5283006_정산표072Q_최종" xfId="0"/>
    <cellStyle name="7_재무제표_~5283006_정산표FY2008-2Q_0704" xfId="0"/>
    <cellStyle name="7_재무제표_정산표072Q_최종" xfId="0"/>
    <cellStyle name="7_재무제표_정산표FY2008-2Q_0704" xfId="0"/>
    <cellStyle name="7_전기재무제표 restate(최종)" xfId="0"/>
    <cellStyle name="7_전자00상결산진실1" xfId="0"/>
    <cellStyle name="7_전자00상결산진실1_2002년하반기공정업적보고(채권부문)" xfId="0"/>
    <cellStyle name="7_전자00상결산진실1_2002년하반기공정업적보고(채권부문)_부실보고양식(03.06)" xfId="0"/>
    <cellStyle name="7_전자00상결산진실1_2002년하반기공정업적보고(채권부문)_부실보고양식(03.06)_지급이자_2005법인세 신고_v2_최종" xfId="0"/>
    <cellStyle name="7_전자00상결산진실1_2002년하반기공정업적보고(채권부문)_지급이자_2005법인세 신고_v2_최종" xfId="0"/>
    <cellStyle name="7_전자00상결산진실1_Sheet1" xfId="0"/>
    <cellStyle name="7_전자00상결산진실1_Sheet1_2002년하반기공정업적보고(채권부문)" xfId="0"/>
    <cellStyle name="7_전자00상결산진실1_Sheet1_2002년하반기공정업적보고(채권부문)_부실보고양식(03.06)" xfId="0"/>
    <cellStyle name="7_전자00상결산진실1_Sheet1_2002년하반기공정업적보고(채권부문)_부실보고양식(03.06)_지급이자_2005법인세 신고_v2_최종" xfId="0"/>
    <cellStyle name="7_전자00상결산진실1_Sheet1_2002년하반기공정업적보고(채권부문)_지급이자_2005법인세 신고_v2_최종" xfId="0"/>
    <cellStyle name="7_전자00상결산진실1_Sheet1_부실보고양식(03.06)" xfId="0"/>
    <cellStyle name="7_전자00상결산진실1_Sheet1_부실보고양식(03.06)_지급이자_2005법인세 신고_v2_최종" xfId="0"/>
    <cellStyle name="7_전자00상결산진실1_Sheet1_부실보고정리(0209_2차)" xfId="0"/>
    <cellStyle name="7_전자00상결산진실1_Sheet1_부실보고정리(0209_2차)_부실보고양식(03.06)" xfId="0"/>
    <cellStyle name="7_전자00상결산진실1_Sheet1_부실보고정리(0209_2차)_부실보고양식(03.06)_지급이자_2005법인세 신고_v2_최종" xfId="0"/>
    <cellStyle name="7_전자00상결산진실1_Sheet1_부실보고정리(0209_2차)_지급이자_2005법인세 신고_v2_최종" xfId="0"/>
    <cellStyle name="7_전자00상결산진실1_Sheet1_부실보고정리(0212_3차)" xfId="0"/>
    <cellStyle name="7_전자00상결산진실1_Sheet1_부실보고정리(0212_3차)_부실보고양식(03.06)" xfId="0"/>
    <cellStyle name="7_전자00상결산진실1_Sheet1_부실보고정리(0212_3차)_부실보고양식(03.06)_지급이자_2005법인세 신고_v2_최종" xfId="0"/>
    <cellStyle name="7_전자00상결산진실1_Sheet1_부실보고정리(0212_3차)_지급이자_2005법인세 신고_v2_최종" xfId="0"/>
    <cellStyle name="7_전자00상결산진실1_Sheet1_사고채권내역" xfId="0"/>
    <cellStyle name="7_전자00상결산진실1_Sheet1_사고채권내역_부실보고양식(03.06)" xfId="0"/>
    <cellStyle name="7_전자00상결산진실1_Sheet1_사고채권내역_부실보고양식(03.06)_지급이자_2005법인세 신고_v2_최종" xfId="0"/>
    <cellStyle name="7_전자00상결산진실1_Sheet1_사고채권내역_지급이자_2005법인세 신고_v2_최종" xfId="0"/>
    <cellStyle name="7_전자00상결산진실1_Sheet1_지급이자_2005법인세 신고_v2_최종" xfId="0"/>
    <cellStyle name="7_전자00상결산진실1_부실보고양식(03.06)" xfId="0"/>
    <cellStyle name="7_전자00상결산진실1_부실보고양식(03.06)_지급이자_2005법인세 신고_v2_최종" xfId="0"/>
    <cellStyle name="7_전자00상결산진실1_부실보고정리(0209_2차)" xfId="0"/>
    <cellStyle name="7_전자00상결산진실1_부실보고정리(0209_2차)_부실보고양식(03.06)" xfId="0"/>
    <cellStyle name="7_전자00상결산진실1_부실보고정리(0209_2차)_부실보고양식(03.06)_지급이자_2005법인세 신고_v2_최종" xfId="0"/>
    <cellStyle name="7_전자00상결산진실1_부실보고정리(0209_2차)_지급이자_2005법인세 신고_v2_최종" xfId="0"/>
    <cellStyle name="7_전자00상결산진실1_지급이자_2005법인세 신고_v2_최종" xfId="0"/>
    <cellStyle name="7_전자00상결산진실1_최종" xfId="0"/>
    <cellStyle name="7_전자00상결산진실1_최종_2002년하반기공정업적보고(채권부문)" xfId="0"/>
    <cellStyle name="7_전자00상결산진실1_최종_2002년하반기공정업적보고(채권부문)_부실보고양식(03.06)" xfId="0"/>
    <cellStyle name="7_전자00상결산진실1_최종_2002년하반기공정업적보고(채권부문)_부실보고양식(03.06)_지급이자_2005법인세 신고_v2_최종" xfId="0"/>
    <cellStyle name="7_전자00상결산진실1_최종_2002년하반기공정업적보고(채권부문)_지급이자_2005법인세 신고_v2_최종" xfId="0"/>
    <cellStyle name="7_전자00상결산진실1_최종_Sheet1" xfId="0"/>
    <cellStyle name="7_전자00상결산진실1_최종_Sheet1_2002년하반기공정업적보고(채권부문)" xfId="0"/>
    <cellStyle name="7_전자00상결산진실1_최종_Sheet1_2002년하반기공정업적보고(채권부문)_부실보고양식(03.06)" xfId="0"/>
    <cellStyle name="7_전자00상결산진실1_최종_Sheet1_2002년하반기공정업적보고(채권부문)_부실보고양식(03.06)_지급이자_2005법인세 신고_v2_최종" xfId="0"/>
    <cellStyle name="7_전자00상결산진실1_최종_Sheet1_2002년하반기공정업적보고(채권부문)_지급이자_2005법인세 신고_v2_최종" xfId="0"/>
    <cellStyle name="7_전자00상결산진실1_최종_Sheet1_부실보고양식(03.06)" xfId="0"/>
    <cellStyle name="7_전자00상결산진실1_최종_Sheet1_부실보고양식(03.06)_지급이자_2005법인세 신고_v2_최종" xfId="0"/>
    <cellStyle name="7_전자00상결산진실1_최종_Sheet1_부실보고정리(0209_2차)" xfId="0"/>
    <cellStyle name="7_전자00상결산진실1_최종_Sheet1_부실보고정리(0209_2차)_부실보고양식(03.06)" xfId="0"/>
    <cellStyle name="7_전자00상결산진실1_최종_Sheet1_부실보고정리(0209_2차)_부실보고양식(03.06)_지급이자_2005법인세 신고_v2_최종" xfId="0"/>
    <cellStyle name="7_전자00상결산진실1_최종_Sheet1_부실보고정리(0209_2차)_지급이자_2005법인세 신고_v2_최종" xfId="0"/>
    <cellStyle name="7_전자00상결산진실1_최종_Sheet1_부실보고정리(0212_3차)" xfId="0"/>
    <cellStyle name="7_전자00상결산진실1_최종_Sheet1_부실보고정리(0212_3차)_부실보고양식(03.06)" xfId="0"/>
    <cellStyle name="7_전자00상결산진실1_최종_Sheet1_부실보고정리(0212_3차)_부실보고양식(03.06)_지급이자_2005법인세 신고_v2_최종" xfId="0"/>
    <cellStyle name="7_전자00상결산진실1_최종_Sheet1_부실보고정리(0212_3차)_지급이자_2005법인세 신고_v2_최종" xfId="0"/>
    <cellStyle name="7_전자00상결산진실1_최종_Sheet1_사고채권내역" xfId="0"/>
    <cellStyle name="7_전자00상결산진실1_최종_Sheet1_사고채권내역_부실보고양식(03.06)" xfId="0"/>
    <cellStyle name="7_전자00상결산진실1_최종_Sheet1_사고채권내역_부실보고양식(03.06)_지급이자_2005법인세 신고_v2_최종" xfId="0"/>
    <cellStyle name="7_전자00상결산진실1_최종_Sheet1_사고채권내역_지급이자_2005법인세 신고_v2_최종" xfId="0"/>
    <cellStyle name="7_전자00상결산진실1_최종_Sheet1_지급이자_2005법인세 신고_v2_최종" xfId="0"/>
    <cellStyle name="7_전자00상결산진실1_최종_부실보고양식(03.06)" xfId="0"/>
    <cellStyle name="7_전자00상결산진실1_최종_부실보고양식(03.06)_지급이자_2005법인세 신고_v2_최종" xfId="0"/>
    <cellStyle name="7_전자00상결산진실1_최종_부실보고정리(0209_2차)" xfId="0"/>
    <cellStyle name="7_전자00상결산진실1_최종_부실보고정리(0209_2차)_부실보고양식(03.06)" xfId="0"/>
    <cellStyle name="7_전자00상결산진실1_최종_부실보고정리(0209_2차)_부실보고양식(03.06)_지급이자_2005법인세 신고_v2_최종" xfId="0"/>
    <cellStyle name="7_전자00상결산진실1_최종_부실보고정리(0209_2차)_지급이자_2005법인세 신고_v2_최종" xfId="0"/>
    <cellStyle name="7_전자00상결산진실1_최종_지급이자_2005법인세 신고_v2_최종" xfId="0"/>
    <cellStyle name="7_전자00연간결산진실" xfId="0"/>
    <cellStyle name="7_전자00연간결산진실_0205_송부" xfId="0"/>
    <cellStyle name="7_전자00연간결산진실_0205_송부_2002년하반기공정업적보고(채권부문)" xfId="0"/>
    <cellStyle name="7_전자00연간결산진실_0205_송부_2002년하반기공정업적보고(채권부문)_부실보고양식(03.06)" xfId="0"/>
    <cellStyle name="7_전자00연간결산진실_0205_송부_2002년하반기공정업적보고(채권부문)_부실보고양식(03.06)_지급이자_2005법인세 신고_v2_최종" xfId="0"/>
    <cellStyle name="7_전자00연간결산진실_0205_송부_2002년하반기공정업적보고(채권부문)_지급이자_2005법인세 신고_v2_최종" xfId="0"/>
    <cellStyle name="7_전자00연간결산진실_0205_송부_Sheet1" xfId="0"/>
    <cellStyle name="7_전자00연간결산진실_0205_송부_Sheet1_2002년하반기공정업적보고(채권부문)" xfId="0"/>
    <cellStyle name="7_전자00연간결산진실_0205_송부_Sheet1_2002년하반기공정업적보고(채권부문)_부실보고양식(03.06)" xfId="0"/>
    <cellStyle name="7_전자00연간결산진실_0205_송부_Sheet1_2002년하반기공정업적보고(채권부문)_부실보고양식(03.06)_지급이자_2005법인세 신고_v2_최종" xfId="0"/>
    <cellStyle name="7_전자00연간결산진실_0205_송부_Sheet1_2002년하반기공정업적보고(채권부문)_지급이자_2005법인세 신고_v2_최종" xfId="0"/>
    <cellStyle name="7_전자00연간결산진실_0205_송부_Sheet1_부실보고양식(03.06)" xfId="0"/>
    <cellStyle name="7_전자00연간결산진실_0205_송부_Sheet1_부실보고양식(03.06)_지급이자_2005법인세 신고_v2_최종" xfId="0"/>
    <cellStyle name="7_전자00연간결산진실_0205_송부_Sheet1_부실보고정리(0209_2차)" xfId="0"/>
    <cellStyle name="7_전자00연간결산진실_0205_송부_Sheet1_부실보고정리(0209_2차)_부실보고양식(03.06)" xfId="0"/>
    <cellStyle name="7_전자00연간결산진실_0205_송부_Sheet1_부실보고정리(0209_2차)_부실보고양식(03.06)_지급이자_2005법인세 신고_v2_최종" xfId="0"/>
    <cellStyle name="7_전자00연간결산진실_0205_송부_Sheet1_부실보고정리(0209_2차)_지급이자_2005법인세 신고_v2_최종" xfId="0"/>
    <cellStyle name="7_전자00연간결산진실_0205_송부_Sheet1_부실보고정리(0212_3차)" xfId="0"/>
    <cellStyle name="7_전자00연간결산진실_0205_송부_Sheet1_부실보고정리(0212_3차)_부실보고양식(03.06)" xfId="0"/>
    <cellStyle name="7_전자00연간결산진실_0205_송부_Sheet1_부실보고정리(0212_3차)_부실보고양식(03.06)_지급이자_2005법인세 신고_v2_최종" xfId="0"/>
    <cellStyle name="7_전자00연간결산진실_0205_송부_Sheet1_부실보고정리(0212_3차)_지급이자_2005법인세 신고_v2_최종" xfId="0"/>
    <cellStyle name="7_전자00연간결산진실_0205_송부_Sheet1_사고채권내역" xfId="0"/>
    <cellStyle name="7_전자00연간결산진실_0205_송부_Sheet1_사고채권내역_부실보고양식(03.06)" xfId="0"/>
    <cellStyle name="7_전자00연간결산진실_0205_송부_Sheet1_사고채권내역_부실보고양식(03.06)_지급이자_2005법인세 신고_v2_최종" xfId="0"/>
    <cellStyle name="7_전자00연간결산진실_0205_송부_Sheet1_사고채권내역_지급이자_2005법인세 신고_v2_최종" xfId="0"/>
    <cellStyle name="7_전자00연간결산진실_0205_송부_Sheet1_지급이자_2005법인세 신고_v2_최종" xfId="0"/>
    <cellStyle name="7_전자00연간결산진실_0205_송부_부실보고양식(03.06)" xfId="0"/>
    <cellStyle name="7_전자00연간결산진실_0205_송부_부실보고양식(03.06)_지급이자_2005법인세 신고_v2_최종" xfId="0"/>
    <cellStyle name="7_전자00연간결산진실_0205_송부_부실보고정리(0209_2차)" xfId="0"/>
    <cellStyle name="7_전자00연간결산진실_0205_송부_부실보고정리(0209_2차)_부실보고양식(03.06)" xfId="0"/>
    <cellStyle name="7_전자00연간결산진실_0205_송부_부실보고정리(0209_2차)_부실보고양식(03.06)_지급이자_2005법인세 신고_v2_최종" xfId="0"/>
    <cellStyle name="7_전자00연간결산진실_0205_송부_부실보고정리(0209_2차)_지급이자_2005법인세 신고_v2_최종" xfId="0"/>
    <cellStyle name="7_전자00연간결산진실_0205_송부_지급이자_2005법인세 신고_v2_최종" xfId="0"/>
    <cellStyle name="7_전자00연간결산진실_2002년하반기공정업적보고(채권부문)" xfId="0"/>
    <cellStyle name="7_전자00연간결산진실_2002년하반기공정업적보고(채권부문)_부실보고양식(03.06)" xfId="0"/>
    <cellStyle name="7_전자00연간결산진실_2002년하반기공정업적보고(채권부문)_부실보고양식(03.06)_지급이자_2005법인세 신고_v2_최종" xfId="0"/>
    <cellStyle name="7_전자00연간결산진실_2002년하반기공정업적보고(채권부문)_지급이자_2005법인세 신고_v2_최종" xfId="0"/>
    <cellStyle name="7_전자00연간결산진실_Sheet1" xfId="0"/>
    <cellStyle name="7_전자00연간결산진실_Sheet1_2002년하반기공정업적보고(채권부문)" xfId="0"/>
    <cellStyle name="7_전자00연간결산진실_Sheet1_2002년하반기공정업적보고(채권부문)_부실보고양식(03.06)" xfId="0"/>
    <cellStyle name="7_전자00연간결산진실_Sheet1_2002년하반기공정업적보고(채권부문)_부실보고양식(03.06)_지급이자_2005법인세 신고_v2_최종" xfId="0"/>
    <cellStyle name="7_전자00연간결산진실_Sheet1_2002년하반기공정업적보고(채권부문)_지급이자_2005법인세 신고_v2_최종" xfId="0"/>
    <cellStyle name="7_전자00연간결산진실_Sheet1_부실보고양식(03.06)" xfId="0"/>
    <cellStyle name="7_전자00연간결산진실_Sheet1_부실보고양식(03.06)_지급이자_2005법인세 신고_v2_최종" xfId="0"/>
    <cellStyle name="7_전자00연간결산진실_Sheet1_부실보고정리(0209_2차)" xfId="0"/>
    <cellStyle name="7_전자00연간결산진실_Sheet1_부실보고정리(0209_2차)_부실보고양식(03.06)" xfId="0"/>
    <cellStyle name="7_전자00연간결산진실_Sheet1_부실보고정리(0209_2차)_부실보고양식(03.06)_지급이자_2005법인세 신고_v2_최종" xfId="0"/>
    <cellStyle name="7_전자00연간결산진실_Sheet1_부실보고정리(0209_2차)_지급이자_2005법인세 신고_v2_최종" xfId="0"/>
    <cellStyle name="7_전자00연간결산진실_Sheet1_부실보고정리(0212_3차)" xfId="0"/>
    <cellStyle name="7_전자00연간결산진실_Sheet1_부실보고정리(0212_3차)_부실보고양식(03.06)" xfId="0"/>
    <cellStyle name="7_전자00연간결산진실_Sheet1_부실보고정리(0212_3차)_부실보고양식(03.06)_지급이자_2005법인세 신고_v2_최종" xfId="0"/>
    <cellStyle name="7_전자00연간결산진실_Sheet1_부실보고정리(0212_3차)_지급이자_2005법인세 신고_v2_최종" xfId="0"/>
    <cellStyle name="7_전자00연간결산진실_Sheet1_사고채권내역" xfId="0"/>
    <cellStyle name="7_전자00연간결산진실_Sheet1_사고채권내역_부실보고양식(03.06)" xfId="0"/>
    <cellStyle name="7_전자00연간결산진실_Sheet1_사고채권내역_부실보고양식(03.06)_지급이자_2005법인세 신고_v2_최종" xfId="0"/>
    <cellStyle name="7_전자00연간결산진실_Sheet1_사고채권내역_지급이자_2005법인세 신고_v2_최종" xfId="0"/>
    <cellStyle name="7_전자00연간결산진실_Sheet1_지급이자_2005법인세 신고_v2_최종" xfId="0"/>
    <cellStyle name="7_전자00연간결산진실_부실보고양식(03.06)" xfId="0"/>
    <cellStyle name="7_전자00연간결산진실_부실보고양식(03.06)_지급이자_2005법인세 신고_v2_최종" xfId="0"/>
    <cellStyle name="7_전자00연간결산진실_부실보고정리(0209_2차)" xfId="0"/>
    <cellStyle name="7_전자00연간결산진실_부실보고정리(0209_2차)_부실보고양식(03.06)" xfId="0"/>
    <cellStyle name="7_전자00연간결산진실_부실보고정리(0209_2차)_부실보고양식(03.06)_지급이자_2005법인세 신고_v2_최종" xfId="0"/>
    <cellStyle name="7_전자00연간결산진실_부실보고정리(0209_2차)_지급이자_2005법인세 신고_v2_최종" xfId="0"/>
    <cellStyle name="7_전자00연간결산진실_지급이자_2005법인세 신고_v2_최종" xfId="0"/>
    <cellStyle name="7_전자98결산진실" xfId="0"/>
    <cellStyle name="7_전자98결산진실_2002년하반기공정업적보고(채권부문)" xfId="0"/>
    <cellStyle name="7_전자98결산진실_2002년하반기공정업적보고(채권부문)_부실보고양식(03.06)" xfId="0"/>
    <cellStyle name="7_전자98결산진실_2002년하반기공정업적보고(채권부문)_부실보고양식(03.06)_지급이자_2005법인세 신고_v2_최종" xfId="0"/>
    <cellStyle name="7_전자98결산진실_2002년하반기공정업적보고(채권부문)_지급이자_2005법인세 신고_v2_최종" xfId="0"/>
    <cellStyle name="7_전자98결산진실_Sheet1" xfId="0"/>
    <cellStyle name="7_전자98결산진실_Sheet1_2002년하반기공정업적보고(채권부문)" xfId="0"/>
    <cellStyle name="7_전자98결산진실_Sheet1_2002년하반기공정업적보고(채권부문)_부실보고양식(03.06)" xfId="0"/>
    <cellStyle name="7_전자98결산진실_Sheet1_2002년하반기공정업적보고(채권부문)_부실보고양식(03.06)_지급이자_2005법인세 신고_v2_최종" xfId="0"/>
    <cellStyle name="7_전자98결산진실_Sheet1_2002년하반기공정업적보고(채권부문)_지급이자_2005법인세 신고_v2_최종" xfId="0"/>
    <cellStyle name="7_전자98결산진실_Sheet1_부실보고양식(03.06)" xfId="0"/>
    <cellStyle name="7_전자98결산진실_Sheet1_부실보고양식(03.06)_지급이자_2005법인세 신고_v2_최종" xfId="0"/>
    <cellStyle name="7_전자98결산진실_Sheet1_부실보고정리(0209_2차)" xfId="0"/>
    <cellStyle name="7_전자98결산진실_Sheet1_부실보고정리(0209_2차)_부실보고양식(03.06)" xfId="0"/>
    <cellStyle name="7_전자98결산진실_Sheet1_부실보고정리(0209_2차)_부실보고양식(03.06)_지급이자_2005법인세 신고_v2_최종" xfId="0"/>
    <cellStyle name="7_전자98결산진실_Sheet1_부실보고정리(0209_2차)_지급이자_2005법인세 신고_v2_최종" xfId="0"/>
    <cellStyle name="7_전자98결산진실_Sheet1_부실보고정리(0212_3차)" xfId="0"/>
    <cellStyle name="7_전자98결산진실_Sheet1_부실보고정리(0212_3차)_부실보고양식(03.06)" xfId="0"/>
    <cellStyle name="7_전자98결산진실_Sheet1_부실보고정리(0212_3차)_부실보고양식(03.06)_지급이자_2005법인세 신고_v2_최종" xfId="0"/>
    <cellStyle name="7_전자98결산진실_Sheet1_부실보고정리(0212_3차)_지급이자_2005법인세 신고_v2_최종" xfId="0"/>
    <cellStyle name="7_전자98결산진실_Sheet1_사고채권내역" xfId="0"/>
    <cellStyle name="7_전자98결산진실_Sheet1_사고채권내역_부실보고양식(03.06)" xfId="0"/>
    <cellStyle name="7_전자98결산진실_Sheet1_사고채권내역_부실보고양식(03.06)_지급이자_2005법인세 신고_v2_최종" xfId="0"/>
    <cellStyle name="7_전자98결산진실_Sheet1_사고채권내역_지급이자_2005법인세 신고_v2_최종" xfId="0"/>
    <cellStyle name="7_전자98결산진실_Sheet1_지급이자_2005법인세 신고_v2_최종" xfId="0"/>
    <cellStyle name="7_전자98결산진실_부실보고양식(03.06)" xfId="0"/>
    <cellStyle name="7_전자98결산진실_부실보고양식(03.06)_지급이자_2005법인세 신고_v2_최종" xfId="0"/>
    <cellStyle name="7_전자98결산진실_부실보고정리(0209_2차)" xfId="0"/>
    <cellStyle name="7_전자98결산진실_부실보고정리(0209_2차)_부실보고양식(03.06)" xfId="0"/>
    <cellStyle name="7_전자98결산진실_부실보고정리(0209_2차)_부실보고양식(03.06)_지급이자_2005법인세 신고_v2_최종" xfId="0"/>
    <cellStyle name="7_전자98결산진실_부실보고정리(0209_2차)_지급이자_2005법인세 신고_v2_최종" xfId="0"/>
    <cellStyle name="7_전자98결산진실_지급이자_2005법인세 신고_v2_최종" xfId="0"/>
    <cellStyle name="7_전자99상결산진실" xfId="0"/>
    <cellStyle name="7_전자99상결산진실_2002년하반기공정업적보고(채권부문)" xfId="0"/>
    <cellStyle name="7_전자99상결산진실_2002년하반기공정업적보고(채권부문)_부실보고양식(03.06)" xfId="0"/>
    <cellStyle name="7_전자99상결산진실_2002년하반기공정업적보고(채권부문)_부실보고양식(03.06)_지급이자_2005법인세 신고_v2_최종" xfId="0"/>
    <cellStyle name="7_전자99상결산진실_2002년하반기공정업적보고(채권부문)_지급이자_2005법인세 신고_v2_최종" xfId="0"/>
    <cellStyle name="7_전자99상결산진실_Sheet1" xfId="0"/>
    <cellStyle name="7_전자99상결산진실_Sheet1_2002년하반기공정업적보고(채권부문)" xfId="0"/>
    <cellStyle name="7_전자99상결산진실_Sheet1_2002년하반기공정업적보고(채권부문)_부실보고양식(03.06)" xfId="0"/>
    <cellStyle name="7_전자99상결산진실_Sheet1_2002년하반기공정업적보고(채권부문)_부실보고양식(03.06)_지급이자_2005법인세 신고_v2_최종" xfId="0"/>
    <cellStyle name="7_전자99상결산진실_Sheet1_2002년하반기공정업적보고(채권부문)_지급이자_2005법인세 신고_v2_최종" xfId="0"/>
    <cellStyle name="7_전자99상결산진실_Sheet1_부실보고양식(03.06)" xfId="0"/>
    <cellStyle name="7_전자99상결산진실_Sheet1_부실보고양식(03.06)_지급이자_2005법인세 신고_v2_최종" xfId="0"/>
    <cellStyle name="7_전자99상결산진실_Sheet1_부실보고정리(0209_2차)" xfId="0"/>
    <cellStyle name="7_전자99상결산진실_Sheet1_부실보고정리(0209_2차)_부실보고양식(03.06)" xfId="0"/>
    <cellStyle name="7_전자99상결산진실_Sheet1_부실보고정리(0209_2차)_부실보고양식(03.06)_지급이자_2005법인세 신고_v2_최종" xfId="0"/>
    <cellStyle name="7_전자99상결산진실_Sheet1_부실보고정리(0209_2차)_지급이자_2005법인세 신고_v2_최종" xfId="0"/>
    <cellStyle name="7_전자99상결산진실_Sheet1_부실보고정리(0212_3차)" xfId="0"/>
    <cellStyle name="7_전자99상결산진실_Sheet1_부실보고정리(0212_3차)_부실보고양식(03.06)" xfId="0"/>
    <cellStyle name="7_전자99상결산진실_Sheet1_부실보고정리(0212_3차)_부실보고양식(03.06)_지급이자_2005법인세 신고_v2_최종" xfId="0"/>
    <cellStyle name="7_전자99상결산진실_Sheet1_부실보고정리(0212_3차)_지급이자_2005법인세 신고_v2_최종" xfId="0"/>
    <cellStyle name="7_전자99상결산진실_Sheet1_사고채권내역" xfId="0"/>
    <cellStyle name="7_전자99상결산진실_Sheet1_사고채권내역_부실보고양식(03.06)" xfId="0"/>
    <cellStyle name="7_전자99상결산진실_Sheet1_사고채권내역_부실보고양식(03.06)_지급이자_2005법인세 신고_v2_최종" xfId="0"/>
    <cellStyle name="7_전자99상결산진실_Sheet1_사고채권내역_지급이자_2005법인세 신고_v2_최종" xfId="0"/>
    <cellStyle name="7_전자99상결산진실_Sheet1_지급이자_2005법인세 신고_v2_최종" xfId="0"/>
    <cellStyle name="7_전자99상결산진실_부실보고양식(03.06)" xfId="0"/>
    <cellStyle name="7_전자99상결산진실_부실보고양식(03.06)_지급이자_2005법인세 신고_v2_최종" xfId="0"/>
    <cellStyle name="7_전자99상결산진실_부실보고정리(0209_2차)" xfId="0"/>
    <cellStyle name="7_전자99상결산진실_부실보고정리(0209_2차)_부실보고양식(03.06)" xfId="0"/>
    <cellStyle name="7_전자99상결산진실_부실보고정리(0209_2차)_부실보고양식(03.06)_지급이자_2005법인세 신고_v2_최종" xfId="0"/>
    <cellStyle name="7_전자99상결산진실_부실보고정리(0209_2차)_지급이자_2005법인세 신고_v2_최종" xfId="0"/>
    <cellStyle name="7_전자99상결산진실_지급이자_2005법인세 신고_v2_최종" xfId="0"/>
    <cellStyle name="7_전자99연간결산진실" xfId="0"/>
    <cellStyle name="7_전자99연간결산진실_2002년하반기공정업적보고(채권부문)" xfId="0"/>
    <cellStyle name="7_전자99연간결산진실_2002년하반기공정업적보고(채권부문)_부실보고양식(03.06)" xfId="0"/>
    <cellStyle name="7_전자99연간결산진실_2002년하반기공정업적보고(채권부문)_부실보고양식(03.06)_지급이자_2005법인세 신고_v2_최종" xfId="0"/>
    <cellStyle name="7_전자99연간결산진실_2002년하반기공정업적보고(채권부문)_지급이자_2005법인세 신고_v2_최종" xfId="0"/>
    <cellStyle name="7_전자99연간결산진실_Sheet1" xfId="0"/>
    <cellStyle name="7_전자99연간결산진실_Sheet1_2002년하반기공정업적보고(채권부문)" xfId="0"/>
    <cellStyle name="7_전자99연간결산진실_Sheet1_2002년하반기공정업적보고(채권부문)_부실보고양식(03.06)" xfId="0"/>
    <cellStyle name="7_전자99연간결산진실_Sheet1_2002년하반기공정업적보고(채권부문)_부실보고양식(03.06)_지급이자_2005법인세 신고_v2_최종" xfId="0"/>
    <cellStyle name="7_전자99연간결산진실_Sheet1_2002년하반기공정업적보고(채권부문)_지급이자_2005법인세 신고_v2_최종" xfId="0"/>
    <cellStyle name="7_전자99연간결산진실_Sheet1_부실보고양식(03.06)" xfId="0"/>
    <cellStyle name="7_전자99연간결산진실_Sheet1_부실보고양식(03.06)_지급이자_2005법인세 신고_v2_최종" xfId="0"/>
    <cellStyle name="7_전자99연간결산진실_Sheet1_부실보고정리(0209_2차)" xfId="0"/>
    <cellStyle name="7_전자99연간결산진실_Sheet1_부실보고정리(0209_2차)_부실보고양식(03.06)" xfId="0"/>
    <cellStyle name="7_전자99연간결산진실_Sheet1_부실보고정리(0209_2차)_부실보고양식(03.06)_지급이자_2005법인세 신고_v2_최종" xfId="0"/>
    <cellStyle name="7_전자99연간결산진실_Sheet1_부실보고정리(0209_2차)_지급이자_2005법인세 신고_v2_최종" xfId="0"/>
    <cellStyle name="7_전자99연간결산진실_Sheet1_부실보고정리(0212_3차)" xfId="0"/>
    <cellStyle name="7_전자99연간결산진실_Sheet1_부실보고정리(0212_3차)_부실보고양식(03.06)" xfId="0"/>
    <cellStyle name="7_전자99연간결산진실_Sheet1_부실보고정리(0212_3차)_부실보고양식(03.06)_지급이자_2005법인세 신고_v2_최종" xfId="0"/>
    <cellStyle name="7_전자99연간결산진실_Sheet1_부실보고정리(0212_3차)_지급이자_2005법인세 신고_v2_최종" xfId="0"/>
    <cellStyle name="7_전자99연간결산진실_Sheet1_사고채권내역" xfId="0"/>
    <cellStyle name="7_전자99연간결산진실_Sheet1_사고채권내역_부실보고양식(03.06)" xfId="0"/>
    <cellStyle name="7_전자99연간결산진실_Sheet1_사고채권내역_부실보고양식(03.06)_지급이자_2005법인세 신고_v2_최종" xfId="0"/>
    <cellStyle name="7_전자99연간결산진실_Sheet1_사고채권내역_지급이자_2005법인세 신고_v2_최종" xfId="0"/>
    <cellStyle name="7_전자99연간결산진실_Sheet1_지급이자_2005법인세 신고_v2_최종" xfId="0"/>
    <cellStyle name="7_전자99연간결산진실_부실보고양식(03.06)" xfId="0"/>
    <cellStyle name="7_전자99연간결산진실_부실보고양식(03.06)_지급이자_2005법인세 신고_v2_최종" xfId="0"/>
    <cellStyle name="7_전자99연간결산진실_부실보고정리(0209_2차)" xfId="0"/>
    <cellStyle name="7_전자99연간결산진실_부실보고정리(0209_2차)_부실보고양식(03.06)" xfId="0"/>
    <cellStyle name="7_전자99연간결산진실_부실보고정리(0209_2차)_부실보고양식(03.06)_지급이자_2005법인세 신고_v2_최종" xfId="0"/>
    <cellStyle name="7_전자99연간결산진실_부실보고정리(0209_2차)_지급이자_2005법인세 신고_v2_최종" xfId="0"/>
    <cellStyle name="7_전자99연간결산진실_지급이자_2005법인세 신고_v2_최종" xfId="0"/>
    <cellStyle name="7_전자_국내법인EVA_김익환0808" xfId="0"/>
    <cellStyle name="7_전자_국내법인EVA_김익환0808_2002년하반기공정업적보고(채권부문)" xfId="0"/>
    <cellStyle name="7_전자_국내법인EVA_김익환0808_2002년하반기공정업적보고(채권부문)_부실보고양식(03.06)" xfId="0"/>
    <cellStyle name="7_전자_국내법인EVA_김익환0808_2002년하반기공정업적보고(채권부문)_부실보고양식(03.06)_지급이자_2005법인세 신고_v2_최종" xfId="0"/>
    <cellStyle name="7_전자_국내법인EVA_김익환0808_2002년하반기공정업적보고(채권부문)_지급이자_2005법인세 신고_v2_최종" xfId="0"/>
    <cellStyle name="7_전자_국내법인EVA_김익환0808_Sheet1" xfId="0"/>
    <cellStyle name="7_전자_국내법인EVA_김익환0808_Sheet1_2002년하반기공정업적보고(채권부문)" xfId="0"/>
    <cellStyle name="7_전자_국내법인EVA_김익환0808_Sheet1_2002년하반기공정업적보고(채권부문)_부실보고양식(03.06)" xfId="0"/>
    <cellStyle name="7_전자_국내법인EVA_김익환0808_Sheet1_2002년하반기공정업적보고(채권부문)_부실보고양식(03.06)_지급이자_2005법인세 신고_v2_최종" xfId="0"/>
    <cellStyle name="7_전자_국내법인EVA_김익환0808_Sheet1_2002년하반기공정업적보고(채권부문)_지급이자_2005법인세 신고_v2_최종" xfId="0"/>
    <cellStyle name="7_전자_국내법인EVA_김익환0808_Sheet1_부실보고양식(03.06)" xfId="0"/>
    <cellStyle name="7_전자_국내법인EVA_김익환0808_Sheet1_부실보고양식(03.06)_지급이자_2005법인세 신고_v2_최종" xfId="0"/>
    <cellStyle name="7_전자_국내법인EVA_김익환0808_Sheet1_부실보고정리(0209_2차)" xfId="0"/>
    <cellStyle name="7_전자_국내법인EVA_김익환0808_Sheet1_부실보고정리(0209_2차)_부실보고양식(03.06)" xfId="0"/>
    <cellStyle name="7_전자_국내법인EVA_김익환0808_Sheet1_부실보고정리(0209_2차)_부실보고양식(03.06)_지급이자_2005법인세 신고_v2_최종" xfId="0"/>
    <cellStyle name="7_전자_국내법인EVA_김익환0808_Sheet1_부실보고정리(0209_2차)_지급이자_2005법인세 신고_v2_최종" xfId="0"/>
    <cellStyle name="7_전자_국내법인EVA_김익환0808_Sheet1_부실보고정리(0212_3차)" xfId="0"/>
    <cellStyle name="7_전자_국내법인EVA_김익환0808_Sheet1_부실보고정리(0212_3차)_부실보고양식(03.06)" xfId="0"/>
    <cellStyle name="7_전자_국내법인EVA_김익환0808_Sheet1_부실보고정리(0212_3차)_부실보고양식(03.06)_지급이자_2005법인세 신고_v2_최종" xfId="0"/>
    <cellStyle name="7_전자_국내법인EVA_김익환0808_Sheet1_부실보고정리(0212_3차)_지급이자_2005법인세 신고_v2_최종" xfId="0"/>
    <cellStyle name="7_전자_국내법인EVA_김익환0808_Sheet1_사고채권내역" xfId="0"/>
    <cellStyle name="7_전자_국내법인EVA_김익환0808_Sheet1_사고채권내역_부실보고양식(03.06)" xfId="0"/>
    <cellStyle name="7_전자_국내법인EVA_김익환0808_Sheet1_사고채권내역_부실보고양식(03.06)_지급이자_2005법인세 신고_v2_최종" xfId="0"/>
    <cellStyle name="7_전자_국내법인EVA_김익환0808_Sheet1_사고채권내역_지급이자_2005법인세 신고_v2_최종" xfId="0"/>
    <cellStyle name="7_전자_국내법인EVA_김익환0808_Sheet1_지급이자_2005법인세 신고_v2_최종" xfId="0"/>
    <cellStyle name="7_전자_국내법인EVA_김익환0808_부실보고양식(03.06)" xfId="0"/>
    <cellStyle name="7_전자_국내법인EVA_김익환0808_부실보고양식(03.06)_지급이자_2005법인세 신고_v2_최종" xfId="0"/>
    <cellStyle name="7_전자_국내법인EVA_김익환0808_부실보고정리(0209_2차)" xfId="0"/>
    <cellStyle name="7_전자_국내법인EVA_김익환0808_부실보고정리(0209_2차)_부실보고양식(03.06)" xfId="0"/>
    <cellStyle name="7_전자_국내법인EVA_김익환0808_부실보고정리(0209_2차)_부실보고양식(03.06)_지급이자_2005법인세 신고_v2_최종" xfId="0"/>
    <cellStyle name="7_전자_국내법인EVA_김익환0808_부실보고정리(0209_2차)_지급이자_2005법인세 신고_v2_최종" xfId="0"/>
    <cellStyle name="7_전자_국내법인EVA_김익환0808_지급이자_2005법인세 신고_v2_최종" xfId="0"/>
    <cellStyle name="7_정산표072Q_최종" xfId="0"/>
    <cellStyle name="7_정산표FY2008-2Q_0704" xfId="0"/>
    <cellStyle name="7_정산표및 현금흐름표" xfId="0"/>
    <cellStyle name="7_정산표및 현금흐름표_08Q3_CFS_081021_담당자용_v3.4" xfId="0"/>
    <cellStyle name="7_정산표및 현금흐름표_2008_3Q정산표(LGE)_V8(1023)" xfId="0"/>
    <cellStyle name="7_정산표및 현금흐름표_LGE 2006 4Q-FS_070302" xfId="0"/>
    <cellStyle name="7_정산표및 현금흐름표_LGE 2006 4Q-FS_070302_08Q3_CFS_081021_담당자용_v3.4" xfId="0"/>
    <cellStyle name="7_정산표및 현금흐름표_LGE 2006 4Q-FS_070302_2008_3Q정산표(LGE)_V8(1023)" xfId="0"/>
    <cellStyle name="7_정산표및 현금흐름표_LGE 2006 4Q-FS_070302_LGE071Q_Non-con-FS(Eng)-우원식" xfId="0"/>
    <cellStyle name="7_정산표및 현금흐름표_LGE 2006 4Q-FS_070302_LGE071Q_Non-con-FS(Eng)-우원식_08Q3_CFS_081021_담당자용_v3.4" xfId="0"/>
    <cellStyle name="7_정산표및 현금흐름표_LGE 2006 4Q-FS_070302_LGE071Q_Non-con-FS(Eng)-우원식_2008_3Q정산표(LGE)_V8(1023)" xfId="0"/>
    <cellStyle name="7_정산표및 현금흐름표_LGE 2006 4Q-FS_070302_LGE071Q_Non-con-FS(Eng)-우원식_LGE2008-1Q정산표_v25(0421)" xfId="0"/>
    <cellStyle name="7_정산표및 현금흐름표_LGE 2006 4Q-FS_070302_LGE071Q_Non-con-FS(Eng)-우원식_LGE2008-1Q정산표_v27(0428)" xfId="0"/>
    <cellStyle name="7_정산표및 현금흐름표_LGE 2006 4Q-FS_070302_LGE071Q_Non-con-FS(Eng)-우원식_LGE2008-1Q정산표_v28(0430)" xfId="0"/>
    <cellStyle name="7_정산표및 현금흐름표_LGE 2006 4Q-FS_070302_LGE071Q_Non-con-FS(Eng)-우원식_정산표072Q_최종" xfId="0"/>
    <cellStyle name="7_정산표및 현금흐름표_LGE 2006 4Q-FS_070302_LGE071Q_Non-con-FS(Eng)-우원식_정산표FY2008-2Q_0704" xfId="0"/>
    <cellStyle name="7_정산표및 현금흐름표_LGE 2006 4Q-FS_070302_LGE2008-1Q정산표_v25(0421)" xfId="0"/>
    <cellStyle name="7_정산표및 현금흐름표_LGE 2006 4Q-FS_070302_LGE2008-1Q정산표_v27(0428)" xfId="0"/>
    <cellStyle name="7_정산표및 현금흐름표_LGE 2006 4Q-FS_070302_LGE2008-1Q정산표_v28(0430)" xfId="0"/>
    <cellStyle name="7_정산표및 현금흐름표_LGE 2006 4Q-FS_070302_정산표072Q_최종" xfId="0"/>
    <cellStyle name="7_정산표및 현금흐름표_LGE 2006 4Q-FS_070302_정산표FY2008-2Q_0704" xfId="0"/>
    <cellStyle name="7_정산표및 현금흐름표_LGE05 200512-Non-con FS(Eng)_060323" xfId="0"/>
    <cellStyle name="7_정산표및 현금흐름표_LGE05 200512-Non-con FS(Eng)_060323_08Q3_CFS_081021_담당자용_v3.4" xfId="0"/>
    <cellStyle name="7_정산표및 현금흐름표_LGE05 200512-Non-con FS(Eng)_060323_2008_3Q정산표(LGE)_V8(1023)" xfId="0"/>
    <cellStyle name="7_정산표및 현금흐름표_LGE05 200512-Non-con FS(Eng)_060323_LGE071Q_Non-con-FS(Eng)-우원식" xfId="0"/>
    <cellStyle name="7_정산표및 현금흐름표_LGE05 200512-Non-con FS(Eng)_060323_LGE071Q_Non-con-FS(Eng)-우원식_08Q3_CFS_081021_담당자용_v3.4" xfId="0"/>
    <cellStyle name="7_정산표및 현금흐름표_LGE05 200512-Non-con FS(Eng)_060323_LGE071Q_Non-con-FS(Eng)-우원식_2008_3Q정산표(LGE)_V8(1023)" xfId="0"/>
    <cellStyle name="7_정산표및 현금흐름표_LGE05 200512-Non-con FS(Eng)_060323_LGE071Q_Non-con-FS(Eng)-우원식_LGE2008-1Q정산표_v25(0421)" xfId="0"/>
    <cellStyle name="7_정산표및 현금흐름표_LGE05 200512-Non-con FS(Eng)_060323_LGE071Q_Non-con-FS(Eng)-우원식_LGE2008-1Q정산표_v27(0428)" xfId="0"/>
    <cellStyle name="7_정산표및 현금흐름표_LGE05 200512-Non-con FS(Eng)_060323_LGE071Q_Non-con-FS(Eng)-우원식_LGE2008-1Q정산표_v28(0430)" xfId="0"/>
    <cellStyle name="7_정산표및 현금흐름표_LGE05 200512-Non-con FS(Eng)_060323_LGE071Q_Non-con-FS(Eng)-우원식_정산표072Q_최종" xfId="0"/>
    <cellStyle name="7_정산표및 현금흐름표_LGE05 200512-Non-con FS(Eng)_060323_LGE071Q_Non-con-FS(Eng)-우원식_정산표FY2008-2Q_0704" xfId="0"/>
    <cellStyle name="7_정산표및 현금흐름표_LGE05 200512-Non-con FS(Eng)_060323_LGE2008-1Q정산표_v25(0421)" xfId="0"/>
    <cellStyle name="7_정산표및 현금흐름표_LGE05 200512-Non-con FS(Eng)_060323_LGE2008-1Q정산표_v27(0428)" xfId="0"/>
    <cellStyle name="7_정산표및 현금흐름표_LGE05 200512-Non-con FS(Eng)_060323_LGE2008-1Q정산표_v28(0430)" xfId="0"/>
    <cellStyle name="7_정산표및 현금흐름표_LGE05 200512-Non-con FS(Eng)_060323_정산표072Q_최종" xfId="0"/>
    <cellStyle name="7_정산표및 현금흐름표_LGE05 200512-Non-con FS(Eng)_060323_정산표FY2008-2Q_0704" xfId="0"/>
    <cellStyle name="7_정산표및 현금흐름표_LGE071Q_Non-con-FS(Eng)-우원식" xfId="0"/>
    <cellStyle name="7_정산표및 현금흐름표_LGE071Q_Non-con-FS(Eng)-우원식_08Q3_CFS_081021_담당자용_v3.4" xfId="0"/>
    <cellStyle name="7_정산표및 현금흐름표_LGE071Q_Non-con-FS(Eng)-우원식_2008_3Q정산표(LGE)_V8(1023)" xfId="0"/>
    <cellStyle name="7_정산표및 현금흐름표_LGE071Q_Non-con-FS(Eng)-우원식_LGE2008-1Q정산표_v25(0421)" xfId="0"/>
    <cellStyle name="7_정산표및 현금흐름표_LGE071Q_Non-con-FS(Eng)-우원식_LGE2008-1Q정산표_v27(0428)" xfId="0"/>
    <cellStyle name="7_정산표및 현금흐름표_LGE071Q_Non-con-FS(Eng)-우원식_LGE2008-1Q정산표_v28(0430)" xfId="0"/>
    <cellStyle name="7_정산표및 현금흐름표_LGE071Q_Non-con-FS(Eng)-우원식_정산표072Q_최종" xfId="0"/>
    <cellStyle name="7_정산표및 현금흐름표_LGE071Q_Non-con-FS(Eng)-우원식_정산표FY2008-2Q_0704" xfId="0"/>
    <cellStyle name="7_정산표및 현금흐름표_LGE2008-1Q정산표_v25(0421)" xfId="0"/>
    <cellStyle name="7_정산표및 현금흐름표_LGE2008-1Q정산표_v27(0428)" xfId="0"/>
    <cellStyle name="7_정산표및 현금흐름표_LGE2008-1Q정산표_v28(0430)" xfId="0"/>
    <cellStyle name="7_정산표및 현금흐름표_LGE_200612_Con_FS(draft)" xfId="0"/>
    <cellStyle name="7_정산표및 현금흐름표_LGE_200612_Con_FS(draft)_08Q3_CFS_081021_담당자용_v3.4" xfId="0"/>
    <cellStyle name="7_정산표및 현금흐름표_LGE_200612_Con_FS(draft)_2008_3Q정산표(LGE)_V8(1023)" xfId="0"/>
    <cellStyle name="7_정산표및 현금흐름표_LGE_200612_Con_FS(draft)_LGE2008-1Q정산표_v25(0421)" xfId="0"/>
    <cellStyle name="7_정산표및 현금흐름표_LGE_200612_Con_FS(draft)_LGE2008-1Q정산표_v27(0428)" xfId="0"/>
    <cellStyle name="7_정산표및 현금흐름표_LGE_200612_Con_FS(draft)_LGE2008-1Q정산표_v28(0430)" xfId="0"/>
    <cellStyle name="7_정산표및 현금흐름표_LGE_200612_Con_FS(draft)_정산표072Q_최종" xfId="0"/>
    <cellStyle name="7_정산표및 현금흐름표_LGE_200612_Con_FS(draft)_정산표FY2008-2Q_0704" xfId="0"/>
    <cellStyle name="7_정산표및 현금흐름표_LG전자2005연결영문보고서_재무제표" xfId="0"/>
    <cellStyle name="7_정산표및 현금흐름표_LG전자2005연결영문보고서_재무제표_08Q3_CFS_081021_담당자용_v3.4" xfId="0"/>
    <cellStyle name="7_정산표및 현금흐름표_LG전자2005연결영문보고서_재무제표_2008_3Q정산표(LGE)_V8(1023)" xfId="0"/>
    <cellStyle name="7_정산표및 현금흐름표_LG전자2005연결영문보고서_재무제표_LGE2008-1Q정산표_v25(0421)" xfId="0"/>
    <cellStyle name="7_정산표및 현금흐름표_LG전자2005연결영문보고서_재무제표_LGE2008-1Q정산표_v27(0428)" xfId="0"/>
    <cellStyle name="7_정산표및 현금흐름표_LG전자2005연결영문보고서_재무제표_LGE2008-1Q정산표_v28(0430)" xfId="0"/>
    <cellStyle name="7_정산표및 현금흐름표_LG전자2005연결영문보고서_재무제표_정산표072Q_최종" xfId="0"/>
    <cellStyle name="7_정산표및 현금흐름표_LG전자2005연결영문보고서_재무제표_정산표FY2008-2Q_0704" xfId="0"/>
    <cellStyle name="7_정산표및 현금흐름표_~5283006" xfId="0"/>
    <cellStyle name="7_정산표및 현금흐름표_~5283006_08Q3_CFS_081021_담당자용_v3.4" xfId="0"/>
    <cellStyle name="7_정산표및 현금흐름표_~5283006_2008_3Q정산표(LGE)_V8(1023)" xfId="0"/>
    <cellStyle name="7_정산표및 현금흐름표_~5283006_LGE2008-1Q정산표_v25(0421)" xfId="0"/>
    <cellStyle name="7_정산표및 현금흐름표_~5283006_LGE2008-1Q정산표_v27(0428)" xfId="0"/>
    <cellStyle name="7_정산표및 현금흐름표_~5283006_LGE2008-1Q정산표_v28(0430)" xfId="0"/>
    <cellStyle name="7_정산표및 현금흐름표_~5283006_정산표072Q_최종" xfId="0"/>
    <cellStyle name="7_정산표및 현금흐름표_~5283006_정산표FY2008-2Q_0704" xfId="0"/>
    <cellStyle name="7_정산표및 현금흐름표_정산표072Q_최종" xfId="0"/>
    <cellStyle name="7_정산표및 현금흐름표_정산표FY2008-2Q_0704" xfId="0"/>
    <cellStyle name="7_지급이자_2005법인세 신고_v2_최종" xfId="0"/>
    <cellStyle name="7_지분법평가원장" xfId="0"/>
    <cellStyle name="7_지분법평가원장_05년1분기_지분법보고자료" xfId="0"/>
    <cellStyle name="7_지분법평가원장_05년1분기지분법실적보고자료" xfId="0"/>
    <cellStyle name="7_지분법평가원장_2005년1분기_BSPL_v2" xfId="0"/>
    <cellStyle name="7_지분법평가원장_2005년1분기_BSPL_추정_050505" xfId="0"/>
    <cellStyle name="7_퇴충+예치금(2004)_신고" xfId="0"/>
    <cellStyle name="7_퇴충세무조정_0803" xfId="0"/>
    <cellStyle name="7_퇴충조정명세" xfId="0"/>
    <cellStyle name="9" xfId="0"/>
    <cellStyle name="9_2005정보통신 공제조합검토조서cha" xfId="0"/>
    <cellStyle name="9_WTB_KBDS" xfId="0"/>
    <cellStyle name="9_WTB정보통신공제조합" xfId="0"/>
    <cellStyle name="9_정보통신기말조서JK" xfId="0"/>
    <cellStyle name="9_정산표05(CGV시네마)" xfId="0"/>
    <cellStyle name="9_정산표05(CGV시네마)V3" xfId="0"/>
    <cellStyle name="=C:\WINNT35\SYSTEM32\COMMAND.COM" xfId="0"/>
    <cellStyle name="=C:\WINNT\SYSTEM32\COMMAND.COM" xfId="0"/>
    <cellStyle name="?" xfId="0"/>
    <cellStyle name="?_x0001_" xfId="0"/>
    <cellStyle name="?_x0001_&#10;" xfId="0"/>
    <cellStyle name="?_x000f__x0001_?잡_x0002_" xfId="0"/>
    <cellStyle name="?503_99매출" xfId="0"/>
    <cellStyle name="??" xfId="0"/>
    <cellStyle name="??_x000c_@?&#13;3?_x0001__x000b_" xfId="0"/>
    <cellStyle name="??_x000c_卄'&#13;署U_x0001__x0004__x0005_M_x0006__x0007__x0001__x0001_" xfId="0"/>
    <cellStyle name="??_x000c_蕓&quot;&#13;婦U_x0001_&quot;_x0004_?_x0007__x0001__x0001_" xfId="0"/>
    <cellStyle name="??_x000c_溜_x0012_&#13;肥U_x0001_?_x0006_?_x0007__x0001__x0001_" xfId="0"/>
    <cellStyle name="?? [0]_ ???? " xfId="0"/>
    <cellStyle name="??&amp;O?&amp;H?_x0008__x000f__x0007_?_x0007__x0001__x0001_" xfId="0"/>
    <cellStyle name="??&amp;O?&amp;H?_x0008__x000f__x0007_?_x0007__x0001__x0001_?_x0002_yyyyyyyyyyyyyyy_x0001_(_x0002_c&#9;????yyyy????_x0007_??????????????????????????           ?????           ?????????&#13;C:\WINDOWS\COUNTRY.SYS&#13;??????????????????????????????????????????????????????????????????????????????????????????????" xfId="0"/>
    <cellStyle name="??&amp;O?&amp;H?_x0008__x000f__x0007_?_x0007__x0001__x0001_?_x0002__x0001_(_x0002_c&#9;????????_x0007_??????????????????????????           ?????           ?????????&#13;C:\WINDOWS\COUNTRY.SYS&#13;??????????????????????????????????????????????????????????????????????????????????????????????" xfId="0"/>
    <cellStyle name="??&amp;O?&amp;H?_x0008__x0013__x0008_?_x0007__x0001__x0001_" xfId="0"/>
    <cellStyle name="??&amp;O?&amp;H?_x0008_??_x0007__x0001__x0001_" xfId="0"/>
    <cellStyle name="??&amp;O?&amp;H?_x0008_??_x0007__x0001__x0001_?_x0002_yyyyyyyyyyyyyyy_x0001_(_x0002_&gt;_x000f_???v!yyyy????_x0007_??????????????????????????           ?????           ?????????&#13;?????????????????????????????????????????????????????????????????????????????????????????????????????????????????????" xfId="0"/>
    <cellStyle name="??&amp;O?&amp;H?_x0008_??_x0007__x0001__x0001_?_x0002__x0001_(_x0002_&gt;_x000f_???v!????_x0007_??????????????????????????           ?????           ?????????&#13;?????????????????????????????????????????????????????????????????????????????????????????????????????????????????????" xfId="0"/>
    <cellStyle name="??&amp;O?&amp;H?_x0008_??_x000f__x0001__x0001_" xfId="0"/>
    <cellStyle name="??&amp;O?&amp;H?_x0008_x_x000b_P_x000c__x0007__x0001__x0001_" xfId="0"/>
    <cellStyle name="??&amp;쏗?뷐9_x0008__x0011__x0007_?_x0007__x0001__x0001_" xfId="0"/>
    <cellStyle name="???? [0]_???? " xfId="0"/>
    <cellStyle name="?????" xfId="0"/>
    <cellStyle name="???????o? (2)" xfId="0"/>
    <cellStyle name="?????_VERA" xfId="0"/>
    <cellStyle name="????_???? " xfId="0"/>
    <cellStyle name="???­ [0]_0420" xfId="0"/>
    <cellStyle name="???­_ °ß??±??Ø FLOW " xfId="0"/>
    <cellStyle name="???Ø_ °ß??±??Ø FLOW " xfId="0"/>
    <cellStyle name="??_ ???? " xfId="0"/>
    <cellStyle name="?W?_BOOKSHIP_½??????² " xfId="0"/>
    <cellStyle name="?Þ¸¶ [0]_ °ß??±??Ø FLOW " xfId="0"/>
    <cellStyle name="?Þ¸¶_ °ß??±??Ø FLOW " xfId="0"/>
    <cellStyle name="?曹%U?&amp;H?_x0008_?s&#10;_x0007__x0001__x0001_" xfId="0"/>
    <cellStyle name="?餡_x000c_k?&#13;^黇_x0001_??_x0007__x0001__x0001_" xfId="0"/>
    <cellStyle name="?렑띙귒궻긪귽긬?깏깛긏" xfId="0"/>
    <cellStyle name="?칮E0899intecosch" xfId="0"/>
    <cellStyle name="?칮E0899M1RP" xfId="0"/>
    <cellStyle name="?칮E1999Year End Provision" xfId="0"/>
    <cellStyle name="?핺_CASH FLOW " xfId="0"/>
    <cellStyle name="]_x0004_" xfId="0"/>
    <cellStyle name="]_^[꺞_x0008_?" xfId="0"/>
    <cellStyle name="_  수정사항집계의 워크시트" xfId="0"/>
    <cellStyle name="_  재무제표(루미-최종)의 워크시트" xfId="0"/>
    <cellStyle name="_'01년중포국소설치현황-SK건설" xfId="0"/>
    <cellStyle name="_'07_1qr_남경지분법회계처리_수정" xfId="0"/>
    <cellStyle name="_'07_2qr_남경지분법회계처리_수정" xfId="0"/>
    <cellStyle name="_'99상반기경영개선활동결과(게시용)" xfId="0"/>
    <cellStyle name="_(WTB-05_반기조서_SIB)_중간" xfId="0"/>
    <cellStyle name="_(이성욱)포스데이타 조정서식" xfId="0"/>
    <cellStyle name="_0.종합" xfId="0"/>
    <cellStyle name="_0000 Valuation" xfId="0"/>
    <cellStyle name="_00년중포국소조사현황(SK건설-대일)" xfId="0"/>
    <cellStyle name="_01 고정자산(FY2007 1분기)" xfId="0"/>
    <cellStyle name="_01 자산(FY2007 1분기)" xfId="0"/>
    <cellStyle name="_01 자산(FY2007 2분기)" xfId="0"/>
    <cellStyle name="_01 자산(FY2007 3분기)" xfId="0"/>
    <cellStyle name="_01,RF중계기(사급자재-총괄)만인10월20일" xfId="0"/>
    <cellStyle name="_01,RF중계기(사급자재-총괄)만인9월30일" xfId="0"/>
    <cellStyle name="_01-4속보" xfId="0"/>
    <cellStyle name="_0107RF중계기작업일보-SK건설" xfId="0"/>
    <cellStyle name="_01경영종합보고" xfId="0"/>
    <cellStyle name="_01년 중계기 시설현황-강남(05-21)" xfId="0"/>
    <cellStyle name="_01년 중계기 시설현황-강남(06-04)" xfId="0"/>
    <cellStyle name="_01년 중계기 시설현황-강남(06-11)" xfId="0"/>
    <cellStyle name="_01년 중계기 시설현황-강남(06-14)" xfId="0"/>
    <cellStyle name="_01년 중계기 시설현황-강남(06-26)" xfId="0"/>
    <cellStyle name="_01년 중계기 시설현황-강남(07-23)" xfId="0"/>
    <cellStyle name="_01년 중계기 시설현황-강남(10-16)" xfId="0"/>
    <cellStyle name="_01년 중계기 시설현황-강남(11-12)" xfId="0"/>
    <cellStyle name="_01년 중계기 시설현황-강남(11-20)" xfId="0"/>
    <cellStyle name="_02,RF중계기(사급자재-총괄)" xfId="0"/>
    <cellStyle name="_02경영종합보고" xfId="0"/>
    <cellStyle name="_02경영종합보고(진짜내부)" xfId="0"/>
    <cellStyle name="_02경영종합보고_1" xfId="0"/>
    <cellStyle name="_02내부03" xfId="0"/>
    <cellStyle name="_02년RF중계기 사급자재" xfId="0"/>
    <cellStyle name="_03 비용(FY2006 4분기)부동산" xfId="0"/>
    <cellStyle name="_03 비용(FY2007 1분기)" xfId="0"/>
    <cellStyle name="_03 비용(FY2007 2분기)" xfId="0"/>
    <cellStyle name="_03 비용(FY2007 3분기)" xfId="0"/>
    <cellStyle name="_030820 Final 확정업무보고서(2003.2분기)" xfId="0"/>
    <cellStyle name="_031011통합" xfId="0"/>
    <cellStyle name="_031018통합" xfId="0"/>
    <cellStyle name="_031024통합" xfId="0"/>
    <cellStyle name="_03_1Q(감사제출)" xfId="0"/>
    <cellStyle name="_03Ltech감사xls" xfId="0"/>
    <cellStyle name="_03다산JSH-최종" xfId="0"/>
    <cellStyle name="_03로커스JSH" xfId="0"/>
    <cellStyle name="_04기말_RJH(우석)" xfId="0"/>
    <cellStyle name="_04년 03월재무제표" xfId="0"/>
    <cellStyle name="_04년 06월재무제표" xfId="0"/>
    <cellStyle name="_04년 06월재무제표-감사확정V" xfId="0"/>
    <cellStyle name="_04년 11월재무제표-Y(최종)V" xfId="0"/>
    <cellStyle name="_04로커스1Q-JSH" xfId="0"/>
    <cellStyle name="_04로커스반기검토(손동식)" xfId="0"/>
    <cellStyle name="_04반기검토(로커스) WTB" xfId="0"/>
    <cellStyle name="_05 RFT fs" xfId="0"/>
    <cellStyle name="_05 rft fs-2nd" xfId="0"/>
    <cellStyle name="_05 인포뱅크 반기WTB" xfId="0"/>
    <cellStyle name="_05-서주관광개발WTB" xfId="0"/>
    <cellStyle name="_05반기-유니테스트WTB2" xfId="0"/>
    <cellStyle name="_05인포뱅크-반기검토(손동식)" xfId="0"/>
    <cellStyle name="_060511 12인치 170K 투자비-MES" xfId="0"/>
    <cellStyle name="_063분기원가산출표" xfId="0"/>
    <cellStyle name="_0704CDMA중계기작업일보-SK건설" xfId="0"/>
    <cellStyle name="_0712CDMA중계기작업일보-SK건설" xfId="0"/>
    <cellStyle name="_0801CDMA중계기작업일보-SK건설" xfId="0"/>
    <cellStyle name="_0808CDMA중계기작업일보-SK건설" xfId="0"/>
    <cellStyle name="_0813CDMA중계기작업일보-SK건설" xfId="0"/>
    <cellStyle name="_0817RF중계기작업일보-SK건설" xfId="0"/>
    <cellStyle name="_0821RF중계기작업일보-SK건설" xfId="0"/>
    <cellStyle name="_0831RF중계기작업일보-SK건설" xfId="0"/>
    <cellStyle name="_08년6월금융거래실적및실물관리현황보고_서준(080710)" xfId="0"/>
    <cellStyle name="_08년6월금융거래실적및실물관리현황보고_진아씨(080709)" xfId="0"/>
    <cellStyle name="_0905RF중계기작업일보-SK건설" xfId="0"/>
    <cellStyle name="_0911RF중계기작업일보-SK건설" xfId="0"/>
    <cellStyle name="_0915RF중계기작업일보(0915)" xfId="0"/>
    <cellStyle name="_0926RF중계기작업일보-SK건설" xfId="0"/>
    <cellStyle name="_1. '99년 대비 '00년 부문별 비교-XXX" xfId="0"/>
    <cellStyle name="_1.월간(10월)-마감" xfId="0"/>
    <cellStyle name="_1.총계 (2)" xfId="0"/>
    <cellStyle name="_1008RF중계기작업일보-SK건설" xfId="0"/>
    <cellStyle name="_1013RF중계기작업일보-SK건설" xfId="0"/>
    <cellStyle name="_1023RF중계기작업일보-SK건설" xfId="0"/>
    <cellStyle name="_10월(총괄)" xfId="0"/>
    <cellStyle name="_10월24일최종" xfId="0"/>
    <cellStyle name="_10월2주금요일" xfId="0"/>
    <cellStyle name="_10월실적-ENG-가마감2" xfId="0"/>
    <cellStyle name="_10월주간" xfId="0"/>
    <cellStyle name="_1106RF중계기작업일보-SK건설" xfId="0"/>
    <cellStyle name="_111" xfId="0"/>
    <cellStyle name="_1124RF중계기작업일보-SK건설" xfId="0"/>
    <cellStyle name="_11월 주간보고 및 마감" xfId="0"/>
    <cellStyle name="_11월14일최종" xfId="0"/>
    <cellStyle name="_11월20일" xfId="0"/>
    <cellStyle name="_11월2주" xfId="0"/>
    <cellStyle name="_11월실적-가마감1-ENG" xfId="0"/>
    <cellStyle name="_12.30순기보고-금산" xfId="0"/>
    <cellStyle name="_1201RF중계기작업일보-SK건설" xfId="0"/>
    <cellStyle name="_1210RF중계기작업일보-SK건설" xfId="0"/>
    <cellStyle name="_1220RF중계기작업일보-SK건설" xfId="0"/>
    <cellStyle name="_1228RF중계기작업일보-SK건설" xfId="0"/>
    <cellStyle name="_1230RF중계기작업일보-SK건설" xfId="0"/>
    <cellStyle name="_12월실적-가마감1-ENG" xfId="0"/>
    <cellStyle name="_12월실적-가마감2-ENG" xfId="0"/>
    <cellStyle name="_12월실적-가마감3-ENG" xfId="0"/>
    <cellStyle name="_12월실적-가마감4-ENG" xfId="0"/>
    <cellStyle name="_12월퇴충" xfId="0"/>
    <cellStyle name="_18최종" xfId="0"/>
    <cellStyle name="_1순기보고서-태현" xfId="0"/>
    <cellStyle name="_1월1주" xfId="0"/>
    <cellStyle name="_1월실적-2-가마감-ENG" xfId="0"/>
    <cellStyle name="_1월실적-가마감-ENG" xfId="0"/>
    <cellStyle name="_1차순기보고서-세하" xfId="0"/>
    <cellStyle name="_1회순기보고서-금산" xfId="0"/>
    <cellStyle name="_1회순기보고서-대일(0228)" xfId="0"/>
    <cellStyle name="_1회순기보고서-대일(0228)_1" xfId="0"/>
    <cellStyle name="_1회순기보고서-파이오넷" xfId="0"/>
    <cellStyle name="_2" xfId="0"/>
    <cellStyle name="_2. pa_bond" xfId="0"/>
    <cellStyle name="_2001년12월분 재고(상품)" xfId="0"/>
    <cellStyle name="_20021231final" xfId="0"/>
    <cellStyle name="_20021231final_030216" xfId="0"/>
    <cellStyle name="_20021231final_030216_2002FS_FINAL" xfId="0"/>
    <cellStyle name="_20021231final_030216_2322 WBS_WPL-07.1.29" xfId="0"/>
    <cellStyle name="_20021231final_030216_승구리- 코바이오SCF2003" xfId="0"/>
    <cellStyle name="_2002FS_FINAL" xfId="0"/>
    <cellStyle name="_2002년=매출실적현황...." xfId="0"/>
    <cellStyle name="_2002전기포스데이타" xfId="0"/>
    <cellStyle name="_2003.3_4분기_경영관리팀_82~83_제출_현호씨" xfId="0"/>
    <cellStyle name="_2003.3_4분기_경영관리팀_할부금융,비용" xfId="0"/>
    <cellStyle name="_20030915_APO_비용_시뮬레이션2" xfId="0"/>
    <cellStyle name="_2003_FS_hyundam" xfId="0"/>
    <cellStyle name="_2004.12 현금흐름표작성sheet" xfId="0"/>
    <cellStyle name="_2004년 1분기 재무제표(감사전)" xfId="0"/>
    <cellStyle name="_2004년 3분기 재무제표(감사전)" xfId="0"/>
    <cellStyle name="_2005 FS1" xfId="0"/>
    <cellStyle name="_2005FS" xfId="0"/>
    <cellStyle name="_2005WTB_인포뱅크V2" xfId="0"/>
    <cellStyle name="_2005年재무제표-부속명세서-2Q" xfId="0"/>
    <cellStyle name="_2005보고서_CJCGV" xfId="0"/>
    <cellStyle name="_2005정보통신 공제조합검토조서cha" xfId="0"/>
    <cellStyle name="_2006년 3분기 검토요청자료목록_20061010_작업" xfId="0"/>
    <cellStyle name="_2006년 반기재무제표" xfId="0"/>
    <cellStyle name="_2007.6월계약보전지원팀미결현황" xfId="0"/>
    <cellStyle name="_2007.9월계약보전지원팀미결현황" xfId="0"/>
    <cellStyle name="_200805_재무제표" xfId="0"/>
    <cellStyle name="_200807_재무제표 (2)" xfId="0"/>
    <cellStyle name="_200808_재무제표" xfId="0"/>
    <cellStyle name="_2008_10_계정명세서(중간감사용)" xfId="0"/>
    <cellStyle name="_2211  한주금속-2005FS의 워크시트" xfId="0"/>
    <cellStyle name="_2251 현금흐름정산표(05)의 워크시트" xfId="0"/>
    <cellStyle name="_2262 WTB2003-sck의 워크시트" xfId="0"/>
    <cellStyle name="_2262 WTB2003_이채널의 워크시트" xfId="0"/>
    <cellStyle name="_2262 수정사항 정산표" xfId="0"/>
    <cellStyle name="_2262 정산표 및 수정사항집계" xfId="0"/>
    <cellStyle name="_2321 재무제표(현금흐름표)의 워크시트" xfId="0"/>
    <cellStyle name="_2322 WBS_WPL-07.1.29" xfId="0"/>
    <cellStyle name="_2기lead" xfId="0"/>
    <cellStyle name="_2기lead_04FS_KID산업" xfId="0"/>
    <cellStyle name="_2기lead_2002FS_FINAL" xfId="0"/>
    <cellStyle name="_2기lead_2322 WBS_WPL-07.1.29" xfId="0"/>
    <cellStyle name="_2기lead_8720 18기이연법인세의 워크시트" xfId="0"/>
    <cellStyle name="_2기lead_미니스톱_2006FS_20070211" xfId="0"/>
    <cellStyle name="_2기lead_승구리- 코바이오SCF2003" xfId="0"/>
    <cellStyle name="_2기lead_크리스탈지노믹스CF" xfId="0"/>
    <cellStyle name="_2기lead_현금흐름표-삼애정밀 20051231" xfId="0"/>
    <cellStyle name="_2기리드" xfId="0"/>
    <cellStyle name="_2반기 결산 부속명세" xfId="0"/>
    <cellStyle name="_2월3주" xfId="0"/>
    <cellStyle name="_2천종합" xfId="0"/>
    <cellStyle name="_2최종WTB리폼" xfId="0"/>
    <cellStyle name="_3. Summ" xfId="0"/>
    <cellStyle name="_34A월별재료비" xfId="0"/>
    <cellStyle name="_3Group" xfId="0"/>
    <cellStyle name="_3월월간" xfId="0"/>
    <cellStyle name="_4100 현금및현금등가물, 장단기금융상품" xfId="0"/>
    <cellStyle name="_4200 매출채권" xfId="0"/>
    <cellStyle name="_4300 기타당좌자산" xfId="0"/>
    <cellStyle name="_4400 재고자산" xfId="0"/>
    <cellStyle name="_4500 유가증권" xfId="0"/>
    <cellStyle name="_4600 투자자산" xfId="0"/>
    <cellStyle name="_4700 유형자산" xfId="0"/>
    <cellStyle name="_4800 무형자산" xfId="0"/>
    <cellStyle name="_4_계획단계에서의분석적검토" xfId="0"/>
    <cellStyle name="_4기 감사" xfId="0"/>
    <cellStyle name="_4기 감사_04FS_KID산업" xfId="0"/>
    <cellStyle name="_4기 감사_18최종" xfId="0"/>
    <cellStyle name="_4기 감사_2322 WBS_WPL-07.1.29" xfId="0"/>
    <cellStyle name="_4기 감사_미니스톱_2006FS_20070211" xfId="0"/>
    <cellStyle name="_4기 감사_크리스탈지노믹스CF" xfId="0"/>
    <cellStyle name="_4기 감사_현금흐름표-삼애정밀 20051231" xfId="0"/>
    <cellStyle name="_4기 세무조정" xfId="0"/>
    <cellStyle name="_4기 세무조정_04FS_KID산업" xfId="0"/>
    <cellStyle name="_4기 세무조정_18최종" xfId="0"/>
    <cellStyle name="_4기 세무조정_미니스톱_2006FS_20070211" xfId="0"/>
    <cellStyle name="_4기 세무조정_크리스탈지노믹스CF" xfId="0"/>
    <cellStyle name="_4기리드" xfId="0"/>
    <cellStyle name="_4월월간" xfId="0"/>
    <cellStyle name="_5100 매입채무" xfId="0"/>
    <cellStyle name="_5200 부외부채" xfId="0"/>
    <cellStyle name="_5300 기타유동부채" xfId="0"/>
    <cellStyle name="_5400 장단기차입금" xfId="0"/>
    <cellStyle name="_5500 퇴직급여충당금과 급여" xfId="0"/>
    <cellStyle name="_5600 기타고정부채" xfId="0"/>
    <cellStyle name="_5631 유형자산 substantive work의 워크시트" xfId="0"/>
    <cellStyle name="_56기재무제표" xfId="0"/>
    <cellStyle name="_5기세무" xfId="0"/>
    <cellStyle name="_5기세무_미니스톱_2006FS_20070211" xfId="0"/>
    <cellStyle name="_5기세무_크리스탈지노믹스CF" xfId="0"/>
    <cellStyle name="_5기세무최종" xfId="0"/>
    <cellStyle name="_5기세무최종_미니스톱_2006FS_20070211" xfId="0"/>
    <cellStyle name="_5기세무최종_크리스탈지노믹스CF" xfId="0"/>
    <cellStyle name="_5반기Rorze(참고용)" xfId="0"/>
    <cellStyle name="_5월 월간실적 6월 계획 (ENG)" xfId="0"/>
    <cellStyle name="_5월 월간실적 6월 계획(ENG)........" xfId="0"/>
    <cellStyle name="_5월월간" xfId="0"/>
    <cellStyle name="_6100 자본계정" xfId="0"/>
    <cellStyle name="_6431 법인세비용 lead의 워크시트" xfId="0"/>
    <cellStyle name="_6432 이연법인세 검토의 워크시트" xfId="0"/>
    <cellStyle name="_6기 lead" xfId="0"/>
    <cellStyle name="_6기법인세" xfId="0"/>
    <cellStyle name="_6기일반조서" xfId="0"/>
    <cellStyle name="_6기일반조서_18최종" xfId="0"/>
    <cellStyle name="_6기일반조서_미니스톱_2006FS_20070211" xfId="0"/>
    <cellStyle name="_6월자산건전성분류(최종)8월26일s" xfId="0"/>
    <cellStyle name="_6월자산건전성분류_최종" xfId="0"/>
    <cellStyle name="_7" xfId="0"/>
    <cellStyle name="_7100 매출액" xfId="0"/>
    <cellStyle name="_7110 자본의 워크시트" xfId="0"/>
    <cellStyle name="_7200 매출원가" xfId="0"/>
    <cellStyle name="_7300 판매비와 관리비" xfId="0"/>
    <cellStyle name="_7400 영업외손익" xfId="0"/>
    <cellStyle name="_7600 법인세와 이연법인세" xfId="0"/>
    <cellStyle name="_7기 lead" xfId="0"/>
    <cellStyle name="_7기 기말분석" xfId="0"/>
    <cellStyle name="_7기 에자이 현금흐름표" xfId="0"/>
    <cellStyle name="_7기일반조서" xfId="0"/>
    <cellStyle name="_7월실적-가마감" xfId="0"/>
    <cellStyle name="_7월주간" xfId="0"/>
    <cellStyle name="_8340 인건비 Overall test" xfId="0"/>
    <cellStyle name="_8612 법인세-2005년4Q" xfId="0"/>
    <cellStyle name="_8720 7기이연법인세의 워크시트" xfId="0"/>
    <cellStyle name="_8720 7반기이연법인세의 워크시트" xfId="0"/>
    <cellStyle name="_8720 이연법인세최종의 워크시트" xfId="0"/>
    <cellStyle name="_8월07일" xfId="0"/>
    <cellStyle name="_8월22일" xfId="0"/>
    <cellStyle name="_8월가마감" xfId="0"/>
    <cellStyle name="_8월실적-가마감3" xfId="0"/>
    <cellStyle name="_99 Lead" xfId="0"/>
    <cellStyle name="_9903현지" xfId="0"/>
    <cellStyle name="_9904VPM" xfId="0"/>
    <cellStyle name="_9905본사" xfId="0"/>
    <cellStyle name="_9905표준양식" xfId="0"/>
    <cellStyle name="_99GROUP-A2.2 SAD(04LHY)" xfId="0"/>
    <cellStyle name="_9월 월간실적 10월 계획(ENG'G)" xfId="0"/>
    <cellStyle name="_9월가마감eng" xfId="0"/>
    <cellStyle name="_9월실적-ENG-가마감2" xfId="0"/>
    <cellStyle name="_9월실적-가마감eng" xfId="0"/>
    <cellStyle name="_`01예상집계" xfId="0"/>
    <cellStyle name="_`02투자비비교" xfId="0"/>
    <cellStyle name="_A" xfId="0"/>
    <cellStyle name="_A.Save" xfId="0"/>
    <cellStyle name="_A.Save_2. pa_bond" xfId="0"/>
    <cellStyle name="_A.Save_3. Summ" xfId="0"/>
    <cellStyle name="_A.Save_pa_bond" xfId="0"/>
    <cellStyle name="_A.Save_pc_swap" xfId="0"/>
    <cellStyle name="_A.Save_pd_swap payment" xfId="0"/>
    <cellStyle name="_A.Save_pf_fx" xfId="0"/>
    <cellStyle name="_A_2. pa_bond" xfId="0"/>
    <cellStyle name="_A_3. Summ" xfId="0"/>
    <cellStyle name="_A_pa_bond" xfId="0"/>
    <cellStyle name="_A_pc_swap" xfId="0"/>
    <cellStyle name="_A_pd_swap payment" xfId="0"/>
    <cellStyle name="_A_pf_fx" xfId="0"/>
    <cellStyle name="_Ab" xfId="0"/>
    <cellStyle name="_AJE LIST" xfId="0"/>
    <cellStyle name="_AJE List (총괄) #5" xfId="0"/>
    <cellStyle name="_AJE-SUD-WS-FS-CF#5" xfId="0"/>
    <cellStyle name="_Amway leadsheet(최이현)" xfId="0"/>
    <cellStyle name="_Amway leadsheet(최이현)_Book1" xfId="0"/>
    <cellStyle name="_Amway leadsheet(최이현)_MTV leadsheet" xfId="0"/>
    <cellStyle name="_Amway leadsheet(최이현)_대림외화환산손익재계산" xfId="0"/>
    <cellStyle name="_Amway leadsheet(최이현)_대림통상 leadsheet(J,K,L,M)" xfId="0"/>
    <cellStyle name="_Amway leadsheet(최이현)_대신메탈라이징leadsheet(J,L,M)" xfId="0"/>
    <cellStyle name="_Amway leadsheet(최이현)_디지온 leadsheet" xfId="0"/>
    <cellStyle name="_Amway leadsheet(최이현)_온게임네트워크 leadsheet" xfId="0"/>
    <cellStyle name="_Amway leadsheet(최이현)_퇴직충당금 - 2004" xfId="0"/>
    <cellStyle name="_AS04월" xfId="0"/>
    <cellStyle name="_a생산기술1026" xfId="0"/>
    <cellStyle name="_Bd" xfId="0"/>
    <cellStyle name="_Bd_2. pa_bond" xfId="0"/>
    <cellStyle name="_Bd_3. Summ" xfId="0"/>
    <cellStyle name="_Bd_pa_bond" xfId="0"/>
    <cellStyle name="_Bd_pc_swap" xfId="0"/>
    <cellStyle name="_Bd_pd_swap payment" xfId="0"/>
    <cellStyle name="_Bd_pf_fx" xfId="0"/>
    <cellStyle name="_Bloomberg Data" xfId="0"/>
    <cellStyle name="_Bloomberg Data_2. pa_bond" xfId="0"/>
    <cellStyle name="_Bloomberg Data_3. Summ" xfId="0"/>
    <cellStyle name="_Bloomberg Data_pa_bond" xfId="0"/>
    <cellStyle name="_Bloomberg Data_pc_swap" xfId="0"/>
    <cellStyle name="_Bloomberg Data_pd_swap payment" xfId="0"/>
    <cellStyle name="_Bloomberg Data_pf_fx" xfId="0"/>
    <cellStyle name="_Book1" xfId="0"/>
    <cellStyle name="_Book5" xfId="0"/>
    <cellStyle name="_BRD200412-Asset" xfId="0"/>
    <cellStyle name="_BRD200412-조정후1" xfId="0"/>
    <cellStyle name="_BRD200412-조정후2" xfId="0"/>
    <cellStyle name="_C.Loader" xfId="0"/>
    <cellStyle name="_C.Loader_2. pa_bond" xfId="0"/>
    <cellStyle name="_C.Loader_3. Summ" xfId="0"/>
    <cellStyle name="_C.Loader_pa_bond" xfId="0"/>
    <cellStyle name="_C.Loader_pc_swap" xfId="0"/>
    <cellStyle name="_C.Loader_pd_swap payment" xfId="0"/>
    <cellStyle name="_C.Loader_pf_fx" xfId="0"/>
    <cellStyle name="_Cell설치(호남)2차,3차" xfId="0"/>
    <cellStyle name="_CF-0312" xfId="0"/>
    <cellStyle name="_cjk1" xfId="0"/>
    <cellStyle name="_CreditBonds" xfId="0"/>
    <cellStyle name="_CreditBonds_2. pa_bond" xfId="0"/>
    <cellStyle name="_CreditBonds_3. Summ" xfId="0"/>
    <cellStyle name="_CreditBonds_pa_bond" xfId="0"/>
    <cellStyle name="_CreditBonds_pc_swap" xfId="0"/>
    <cellStyle name="_CreditBonds_pd_swap payment" xfId="0"/>
    <cellStyle name="_CreditBonds_pf_fx" xfId="0"/>
    <cellStyle name="_dimon" xfId="0"/>
    <cellStyle name="_DMPSGC34A" xfId="0"/>
    <cellStyle name="_DUE00802_FS" xfId="0"/>
    <cellStyle name="_DW08S_재료비_040902" xfId="0"/>
    <cellStyle name="_E88B0-가수금명세" xfId="0"/>
    <cellStyle name="_E88B0-가수금명세_1" xfId="0"/>
    <cellStyle name="_Ea" xfId="0"/>
    <cellStyle name="_EIU(20060509)" xfId="0"/>
    <cellStyle name="_ems10223_my" xfId="0"/>
    <cellStyle name="_ems10223_my_2. pa_bond" xfId="0"/>
    <cellStyle name="_ems10223_my_3. Summ" xfId="0"/>
    <cellStyle name="_ems10223_my_pa_bond" xfId="0"/>
    <cellStyle name="_ems10223_my_pc_swap" xfId="0"/>
    <cellStyle name="_ems10223_my_pd_swap payment" xfId="0"/>
    <cellStyle name="_ems10223_my_pf_fx" xfId="0"/>
    <cellStyle name="_ENG" xfId="0"/>
    <cellStyle name="_ENG 매출" xfId="0"/>
    <cellStyle name="_ENG매출" xfId="0"/>
    <cellStyle name="_Extracted_Stuff" xfId="0"/>
    <cellStyle name="_Extracted_Stuff_2. pa_bond" xfId="0"/>
    <cellStyle name="_Extracted_Stuff_3. Summ" xfId="0"/>
    <cellStyle name="_Extracted_Stuff_pa_bond" xfId="0"/>
    <cellStyle name="_Extracted_Stuff_pc_swap" xfId="0"/>
    <cellStyle name="_Extracted_Stuff_pd_swap payment" xfId="0"/>
    <cellStyle name="_Extracted_Stuff_pf_fx" xfId="0"/>
    <cellStyle name="_F(케미라04)" xfId="0"/>
    <cellStyle name="_foxz" xfId="0"/>
    <cellStyle name="_FS021231" xfId="0"/>
    <cellStyle name="_FS_Agilent2004_20050130-FINAL" xfId="0"/>
    <cellStyle name="_FS_Eng_HGI_0712" xfId="0"/>
    <cellStyle name="_FY2006 결산-일반계정(완성)" xfId="0"/>
    <cellStyle name="_G-110 (2)" xfId="0"/>
    <cellStyle name="_GD08월16" xfId="0"/>
    <cellStyle name="_Hardclosing" xfId="0"/>
    <cellStyle name="_IT + DVD REC 재료비 041110" xfId="0"/>
    <cellStyle name="_JL(2004)" xfId="0"/>
    <cellStyle name="_job" xfId="0"/>
    <cellStyle name="_JOB(KB데이타시스템)" xfId="0"/>
    <cellStyle name="_JOB(정보통신_05)" xfId="0"/>
    <cellStyle name="_JOB(챔프비전)" xfId="0"/>
    <cellStyle name="_JobAssign(에임시스템_05반기)" xfId="0"/>
    <cellStyle name="_junk" xfId="0"/>
    <cellStyle name="_junk_2. pa_bond" xfId="0"/>
    <cellStyle name="_junk_3. Summ" xfId="0"/>
    <cellStyle name="_junk_pa_bond" xfId="0"/>
    <cellStyle name="_junk_pc_swap" xfId="0"/>
    <cellStyle name="_junk_pd_swap payment" xfId="0"/>
    <cellStyle name="_junk_pf_fx" xfId="0"/>
    <cellStyle name="_KIG기말hdh유형" xfId="0"/>
    <cellStyle name="_k조서" xfId="0"/>
    <cellStyle name="_laroux" xfId="0"/>
    <cellStyle name="_laroux_PERSONAL" xfId="0"/>
    <cellStyle name="_laroux_구매2" xfId="0"/>
    <cellStyle name="_laroux_기안품의" xfId="0"/>
    <cellStyle name="_laroux_내건작물" xfId="0"/>
    <cellStyle name="_laroux_사택" xfId="0"/>
    <cellStyle name="_laroux_양식" xfId="0"/>
    <cellStyle name="_laroux_업무2" xfId="0"/>
    <cellStyle name="_laroux_인원사항" xfId="0"/>
    <cellStyle name="_laroux_자료집" xfId="0"/>
    <cellStyle name="_laroux_조골세포" xfId="0"/>
    <cellStyle name="_laroux_천연고무" xfId="0"/>
    <cellStyle name="_LatAm" xfId="0"/>
    <cellStyle name="_LatAm_2. pa_bond" xfId="0"/>
    <cellStyle name="_LatAm_3. Summ" xfId="0"/>
    <cellStyle name="_LatAm_pa_bond" xfId="0"/>
    <cellStyle name="_LatAm_pc_swap" xfId="0"/>
    <cellStyle name="_LatAm_pd_swap payment" xfId="0"/>
    <cellStyle name="_LatAm_pf_fx" xfId="0"/>
    <cellStyle name="_lead schedule" xfId="0"/>
    <cellStyle name="_lead schedule(2001년기말)" xfId="0"/>
    <cellStyle name="_lead schedule2" xfId="0"/>
    <cellStyle name="_lead sheet" xfId="0"/>
    <cellStyle name="_Lead Sheet(SSamzie,2003)(1)" xfId="0"/>
    <cellStyle name="_Leadschedule" xfId="0"/>
    <cellStyle name="_leadschedule _sample" xfId="0"/>
    <cellStyle name="_Leadschedule(마로)" xfId="0"/>
    <cellStyle name="_Leadschedule(마로)_Book1" xfId="0"/>
    <cellStyle name="_Leadschedule(마로)_Book1_leadsheet-나래" xfId="0"/>
    <cellStyle name="_Leadschedule(마로)_Book1_페타 Leadschedule2001-final" xfId="0"/>
    <cellStyle name="_Leadschedule(마로)_imm창투기말" xfId="0"/>
    <cellStyle name="_Leadschedule(마로)_leadsheet-나래" xfId="0"/>
    <cellStyle name="_Leadschedule(마로)_워커힐_2001_반기검토" xfId="0"/>
    <cellStyle name="_Leadschedule(마로)_테코스(2001_반기검토)" xfId="0"/>
    <cellStyle name="_Leadschedule(마로)_테코스(2001_반기검토)_leadsheet-나래" xfId="0"/>
    <cellStyle name="_Leadschedule(마로)_테코스(2001_반기검토)_페타 Leadschedule2001-final" xfId="0"/>
    <cellStyle name="_Leadschedule(마로)_페타 Leadschedule2001-final" xfId="0"/>
    <cellStyle name="_Leadschedule_페타 Leadschedule2001(1)" xfId="0"/>
    <cellStyle name="_Leadschedule_페타 Leadschedule2001(1)_페타 Leadschedule2001-final" xfId="0"/>
    <cellStyle name="_Leadschedule_페타 Leadschedule2001(영중)" xfId="0"/>
    <cellStyle name="_Leadschedule_페타 Leadschedule2001(영중)_페타 Leadschedule2001-final" xfId="0"/>
    <cellStyle name="_Leadschedule_페타 Leadschedule2001-최종" xfId="0"/>
    <cellStyle name="_Leadschedule_페타 Leadschedule2001-최종_페타 Leadschedule2001-final" xfId="0"/>
    <cellStyle name="_leadsheet(스파클)" xfId="0"/>
    <cellStyle name="_leadsheet-cjk" xfId="0"/>
    <cellStyle name="_leadsheet-버텍" xfId="0"/>
    <cellStyle name="_leadsheet-앤캐쉬" xfId="0"/>
    <cellStyle name="_leadsheet-앤캐쉬1" xfId="0"/>
    <cellStyle name="_leadsheet-앤캐쉬LJW" xfId="0"/>
    <cellStyle name="_LGS3MES_비용_HWSW_031119(제출)" xfId="0"/>
    <cellStyle name="_LGS3MES_비용_HWSW_031121(제출)" xfId="0"/>
    <cellStyle name="_LGS3MES_비용_HWSW_031125(제출)" xfId="0"/>
    <cellStyle name="_LGS3MES_비용SIM_031205_수정제출_v5" xfId="0"/>
    <cellStyle name="_LGS3MES_비용산정_HWSW_031106_제출" xfId="0"/>
    <cellStyle name="_LS-링크테크21(2001)-이덕근" xfId="0"/>
    <cellStyle name="_LS-링크테크21(매출_매입_재고자산)" xfId="0"/>
    <cellStyle name="_LS-중부-KHO" xfId="0"/>
    <cellStyle name="_LS-중부-LDK" xfId="0"/>
    <cellStyle name="_man swaps" xfId="0"/>
    <cellStyle name="_man swaps_2. pa_bond" xfId="0"/>
    <cellStyle name="_man swaps_3. Summ" xfId="0"/>
    <cellStyle name="_man swaps_pa_bond" xfId="0"/>
    <cellStyle name="_man swaps_pc_swap" xfId="0"/>
    <cellStyle name="_man swaps_pd_swap payment" xfId="0"/>
    <cellStyle name="_man swaps_pf_fx" xfId="0"/>
    <cellStyle name="_mir-2000-Nov-03_eod " xfId="0"/>
    <cellStyle name="_mir-2000-Nov-03_eod _2. pa_bond" xfId="0"/>
    <cellStyle name="_mir-2000-Nov-03_eod _3. Summ" xfId="0"/>
    <cellStyle name="_mir-2000-Nov-03_eod _pa_bond" xfId="0"/>
    <cellStyle name="_mir-2000-Nov-03_eod _pc_swap" xfId="0"/>
    <cellStyle name="_mir-2000-Nov-03_eod _pd_swap payment" xfId="0"/>
    <cellStyle name="_mir-2000-Nov-03_eod _pf_fx" xfId="0"/>
    <cellStyle name="_MK 4월간" xfId="0"/>
    <cellStyle name="_New Business Plan_final(1)" xfId="0"/>
    <cellStyle name="_P2002결산" xfId="0"/>
    <cellStyle name="_P2002결산서-2(자산)" xfId="0"/>
    <cellStyle name="_pa_bond" xfId="0"/>
    <cellStyle name="_pageO" xfId="0"/>
    <cellStyle name="_pageO_2. pa_bond" xfId="0"/>
    <cellStyle name="_pageO_3. Summ" xfId="0"/>
    <cellStyle name="_pageO_pa_bond" xfId="0"/>
    <cellStyle name="_pageO_pc_swap" xfId="0"/>
    <cellStyle name="_pageO_pd_swap payment" xfId="0"/>
    <cellStyle name="_pageO_pf_fx" xfId="0"/>
    <cellStyle name="_pc_swap" xfId="0"/>
    <cellStyle name="_pd_swap payment" xfId="0"/>
    <cellStyle name="_pf_fx" xfId="0"/>
    <cellStyle name="_Poly 수급 Simulation_0318" xfId="0"/>
    <cellStyle name="_PQT" xfId="0"/>
    <cellStyle name="_PQT_04FS_KID산업" xfId="0"/>
    <cellStyle name="_PQT_1" xfId="0"/>
    <cellStyle name="_PQT_1_04FS_KID산업" xfId="0"/>
    <cellStyle name="_PQT_1_2002FS_FINAL" xfId="0"/>
    <cellStyle name="_PQT_1_2211  한주금속-2005FS의 워크시트" xfId="0"/>
    <cellStyle name="_PQT_1_2322 WBS_WPL-07.1.29" xfId="0"/>
    <cellStyle name="_PQT_1_7기 에자이 현금흐름표" xfId="0"/>
    <cellStyle name="_PQT_1_8720 18기이연법인세의 워크시트" xfId="0"/>
    <cellStyle name="_PQT_1_Worksheet in (C) 8730 7기이연법인세검토" xfId="0"/>
    <cellStyle name="_PQT_1_마이콤-2004fs(05.2.25)" xfId="0"/>
    <cellStyle name="_PQT_1_미니스톱_2006FS_20070211" xfId="0"/>
    <cellStyle name="_PQT_1_부원05FS-최종" xfId="0"/>
    <cellStyle name="_PQT_1_승구리- 코바이오SCF2003" xfId="0"/>
    <cellStyle name="_PQT_1_크리스탈지노믹스CF" xfId="0"/>
    <cellStyle name="_PQT_1_현금흐름표-삼애정밀 20051231" xfId="0"/>
    <cellStyle name="_PQT_2002FS_FINAL" xfId="0"/>
    <cellStyle name="_PQT_2211  한주금속-2005FS의 워크시트" xfId="0"/>
    <cellStyle name="_PQT_2322 WBS_WPL-07.1.29" xfId="0"/>
    <cellStyle name="_PQT_7기 에자이 현금흐름표" xfId="0"/>
    <cellStyle name="_PQT_8720 18기이연법인세의 워크시트" xfId="0"/>
    <cellStyle name="_PQT_Worksheet in (C) 8730 7기이연법인세검토" xfId="0"/>
    <cellStyle name="_PQT_마이콤-2004fs(05.2.25)" xfId="0"/>
    <cellStyle name="_PQT_미니스톱_2006FS_20070211" xfId="0"/>
    <cellStyle name="_PQT_부원05FS-최종" xfId="0"/>
    <cellStyle name="_PQT_승구리- 코바이오SCF2003" xfId="0"/>
    <cellStyle name="_PQT_크리스탈지노믹스CF" xfId="0"/>
    <cellStyle name="_PQT_현금흐름표-삼애정밀 20051231" xfId="0"/>
    <cellStyle name="_Proxy Company" xfId="0"/>
    <cellStyle name="_Raw Data" xfId="0"/>
    <cellStyle name="_Raw Data_2. pa_bond" xfId="0"/>
    <cellStyle name="_Raw Data_3. Summ" xfId="0"/>
    <cellStyle name="_Raw Data_pa_bond" xfId="0"/>
    <cellStyle name="_Raw Data_pc_swap" xfId="0"/>
    <cellStyle name="_Raw Data_pd_swap payment" xfId="0"/>
    <cellStyle name="_Raw Data_pf_fx" xfId="0"/>
    <cellStyle name="_Research_Report용(2001년말).xls Chart 1" xfId="0"/>
    <cellStyle name="_Research_Report용(2001년말).xls Chart 10" xfId="0"/>
    <cellStyle name="_Research_Report용(2001년말).xls Chart 11" xfId="0"/>
    <cellStyle name="_Research_Report용(2001년말).xls Chart 12" xfId="0"/>
    <cellStyle name="_Research_Report용(2001년말).xls Chart 13" xfId="0"/>
    <cellStyle name="_Research_Report용(2001년말).xls Chart 14" xfId="0"/>
    <cellStyle name="_Research_Report용(2001년말).xls Chart 15" xfId="0"/>
    <cellStyle name="_Research_Report용(2001년말).xls Chart 16" xfId="0"/>
    <cellStyle name="_Research_Report용(2001년말).xls Chart 17" xfId="0"/>
    <cellStyle name="_Research_Report용(2001년말).xls Chart 18" xfId="0"/>
    <cellStyle name="_Research_Report용(2001년말).xls Chart 19" xfId="0"/>
    <cellStyle name="_Research_Report용(2001년말).xls Chart 2" xfId="0"/>
    <cellStyle name="_Research_Report용(2001년말).xls Chart 20" xfId="0"/>
    <cellStyle name="_Research_Report용(2001년말).xls Chart 21" xfId="0"/>
    <cellStyle name="_Research_Report용(2001년말).xls Chart 3" xfId="0"/>
    <cellStyle name="_Research_Report용(2001년말).xls Chart 4" xfId="0"/>
    <cellStyle name="_Research_Report용(2001년말).xls Chart 5" xfId="0"/>
    <cellStyle name="_Research_Report용(2001년말).xls Chart 6" xfId="0"/>
    <cellStyle name="_Research_Report용(2001년말).xls Chart 7" xfId="0"/>
    <cellStyle name="_Research_Report용(2001년말).xls Chart 8" xfId="0"/>
    <cellStyle name="_Research_Report용(2001년말).xls Chart 9" xfId="0"/>
    <cellStyle name="_RESULTS" xfId="0"/>
    <cellStyle name="_RESULTS_(속보2002)MAIN" xfId="0"/>
    <cellStyle name="_RESULTS_(속보2002)MAIN 2" xfId="0"/>
    <cellStyle name="_RESULTS_(속보2002)MAIN 3" xfId="0"/>
    <cellStyle name="_RESULTS_(속보2002)MAIN 4" xfId="0"/>
    <cellStyle name="_RESULTS_1" xfId="0"/>
    <cellStyle name="_RESULTS_2" xfId="0"/>
    <cellStyle name="_RESULTS_30212030" xfId="0"/>
    <cellStyle name="_RESULTS_30212030 2" xfId="0"/>
    <cellStyle name="_RESULTS_30212030 3" xfId="0"/>
    <cellStyle name="_RESULTS_30212030 4" xfId="0"/>
    <cellStyle name="_RESULTS_31124856" xfId="0"/>
    <cellStyle name="_RESULTS_31124856 2" xfId="0"/>
    <cellStyle name="_RESULTS_31124856 3" xfId="0"/>
    <cellStyle name="_RESULTS_31124856 4" xfId="0"/>
    <cellStyle name="_Reuters Strip Curve" xfId="0"/>
    <cellStyle name="_Reuters Strip Curve_2. pa_bond" xfId="0"/>
    <cellStyle name="_Reuters Strip Curve_3. Summ" xfId="0"/>
    <cellStyle name="_Reuters Strip Curve_pa_bond" xfId="0"/>
    <cellStyle name="_Reuters Strip Curve_pc_swap" xfId="0"/>
    <cellStyle name="_Reuters Strip Curve_pd_swap payment" xfId="0"/>
    <cellStyle name="_Reuters Strip Curve_pf_fx" xfId="0"/>
    <cellStyle name="_RF매출+영업실적" xfId="0"/>
    <cellStyle name="_RHD (2)" xfId="0"/>
    <cellStyle name="_RHD (2)_04FS_KID산업" xfId="0"/>
    <cellStyle name="_RHD (2)_1" xfId="0"/>
    <cellStyle name="_RHD (2)_1_04FS_KID산업" xfId="0"/>
    <cellStyle name="_RHD (2)_1_2002FS_FINAL" xfId="0"/>
    <cellStyle name="_RHD (2)_1_2211  한주금속-2005FS의 워크시트" xfId="0"/>
    <cellStyle name="_RHD (2)_1_2322 WBS_WPL-07.1.29" xfId="0"/>
    <cellStyle name="_RHD (2)_1_7기 에자이 현금흐름표" xfId="0"/>
    <cellStyle name="_RHD (2)_1_8720 18기이연법인세의 워크시트" xfId="0"/>
    <cellStyle name="_RHD (2)_1_Worksheet in (C) 8730 7기이연법인세검토" xfId="0"/>
    <cellStyle name="_RHD (2)_1_마이콤-2004fs(05.2.25)" xfId="0"/>
    <cellStyle name="_RHD (2)_1_미니스톱_2006FS_20070211" xfId="0"/>
    <cellStyle name="_RHD (2)_1_부원05FS-최종" xfId="0"/>
    <cellStyle name="_RHD (2)_1_승구리- 코바이오SCF2003" xfId="0"/>
    <cellStyle name="_RHD (2)_1_크리스탈지노믹스CF" xfId="0"/>
    <cellStyle name="_RHD (2)_1_현금흐름표-삼애정밀 20051231" xfId="0"/>
    <cellStyle name="_RHD (2)_2002FS_FINAL" xfId="0"/>
    <cellStyle name="_RHD (2)_2211  한주금속-2005FS의 워크시트" xfId="0"/>
    <cellStyle name="_RHD (2)_2322 WBS_WPL-07.1.29" xfId="0"/>
    <cellStyle name="_RHD (2)_7기 에자이 현금흐름표" xfId="0"/>
    <cellStyle name="_RHD (2)_8720 18기이연법인세의 워크시트" xfId="0"/>
    <cellStyle name="_RHD (2)_Worksheet in (C) 8730 7기이연법인세검토" xfId="0"/>
    <cellStyle name="_RHD (2)_마이콤-2004fs(05.2.25)" xfId="0"/>
    <cellStyle name="_RHD (2)_미니스톱_2006FS_20070211" xfId="0"/>
    <cellStyle name="_RHD (2)_부원05FS-최종" xfId="0"/>
    <cellStyle name="_RHD (2)_승구리- 코바이오SCF2003" xfId="0"/>
    <cellStyle name="_RHD (2)_크리스탈지노믹스CF" xfId="0"/>
    <cellStyle name="_RHD (2)_현금흐름표-삼애정밀 20051231" xfId="0"/>
    <cellStyle name="_S&amp;T Sheet" xfId="0"/>
    <cellStyle name="_S&amp;T Sheet_2. pa_bond" xfId="0"/>
    <cellStyle name="_S&amp;T Sheet_3. Summ" xfId="0"/>
    <cellStyle name="_S&amp;T Sheet_pa_bond" xfId="0"/>
    <cellStyle name="_S&amp;T Sheet_pc_swap" xfId="0"/>
    <cellStyle name="_S&amp;T Sheet_pd_swap payment" xfId="0"/>
    <cellStyle name="_S&amp;T Sheet_pf_fx" xfId="0"/>
    <cellStyle name="_sales" xfId="0"/>
    <cellStyle name="_samduk_leadsheet(통합)_공식" xfId="0"/>
    <cellStyle name="_Sheet1" xfId="0"/>
    <cellStyle name="_Sheet1_2. pa_bond" xfId="0"/>
    <cellStyle name="_Sheet1_3. Summ" xfId="0"/>
    <cellStyle name="_Sheet1_pa_bond" xfId="0"/>
    <cellStyle name="_Sheet1_pc_swap" xfId="0"/>
    <cellStyle name="_Sheet1_pd_swap payment" xfId="0"/>
    <cellStyle name="_Sheet1_pf_fx" xfId="0"/>
    <cellStyle name="_Sheet1_WTB_2005(CJCGV)최종v5" xfId="0"/>
    <cellStyle name="_Sheet1_보고서" xfId="0"/>
    <cellStyle name="_Sheet1_정산표05(CGV시네마)V3" xfId="0"/>
    <cellStyle name="_Sheet4" xfId="0"/>
    <cellStyle name="_ShowLetter" xfId="0"/>
    <cellStyle name="_SK Corp_01 3 반기_투자자산(투유제외)" xfId="0"/>
    <cellStyle name="_SK Corp_01 3 분기 투자유가증권" xfId="0"/>
    <cellStyle name="_SK Corp_01반기_장단기차입금" xfId="0"/>
    <cellStyle name="_sk 조정구파트" xfId="0"/>
    <cellStyle name="_SLIM COMBO OASIS " xfId="0"/>
    <cellStyle name="_SSA03202_FS_기말" xfId="0"/>
    <cellStyle name="_SSA03203_FS_1분기" xfId="0"/>
    <cellStyle name="_Stock revaluation 200709" xfId="0"/>
    <cellStyle name="_Swatch_FS_2006_20070331" xfId="0"/>
    <cellStyle name="_Swatch_FS_20071231_080215" xfId="0"/>
    <cellStyle name="_SYN FX" xfId="0"/>
    <cellStyle name="_SYN FX_2. pa_bond" xfId="0"/>
    <cellStyle name="_SYN FX_3. Summ" xfId="0"/>
    <cellStyle name="_SYN FX_pa_bond" xfId="0"/>
    <cellStyle name="_SYN FX_pc_swap" xfId="0"/>
    <cellStyle name="_SYN FX_pd_swap payment" xfId="0"/>
    <cellStyle name="_SYN FX_pf_fx" xfId="0"/>
    <cellStyle name="_TabExport" xfId="0"/>
    <cellStyle name="_TabExport_2. pa_bond" xfId="0"/>
    <cellStyle name="_TabExport_3. Summ" xfId="0"/>
    <cellStyle name="_TabExport_pa_bond" xfId="0"/>
    <cellStyle name="_TabExport_pc_swap" xfId="0"/>
    <cellStyle name="_TabExport_pd_swap payment" xfId="0"/>
    <cellStyle name="_TabExport_pf_fx" xfId="0"/>
    <cellStyle name="_TCXO_Valuation_Ver1.0" xfId="0"/>
    <cellStyle name="_Template Stats" xfId="0"/>
    <cellStyle name="_TURKEYBALANCESHEET" xfId="0"/>
    <cellStyle name="_TURKEYBALANCESHEET_2. pa_bond" xfId="0"/>
    <cellStyle name="_TURKEYBALANCESHEET_3. Summ" xfId="0"/>
    <cellStyle name="_TURKEYBALANCESHEET_pa_bond" xfId="0"/>
    <cellStyle name="_TURKEYBALANCESHEET_pc_swap" xfId="0"/>
    <cellStyle name="_TURKEYBALANCESHEET_pd_swap payment" xfId="0"/>
    <cellStyle name="_TURKEYBALANCESHEET_pf_fx" xfId="0"/>
    <cellStyle name="_TY01" xfId="0"/>
    <cellStyle name="_V2002회계감사" xfId="0"/>
    <cellStyle name="_valuation(SD)-1_수정" xfId="0"/>
    <cellStyle name="_Valuation_(주)젠츄어_20061206_최종" xfId="0"/>
    <cellStyle name="_Valuation_기초소재_1117" xfId="0"/>
    <cellStyle name="_Valuation_기초소재_1117 (version 1)" xfId="0"/>
    <cellStyle name="_Valuation_천안레미콘" xfId="0"/>
    <cellStyle name="_Valuation_프로토타입_0920_추정안" xfId="0"/>
    <cellStyle name="_valuation작업" xfId="0"/>
    <cellStyle name="_Worksheet in (C) 8730 7기이연법인세검토" xfId="0"/>
    <cellStyle name="_WP(CJ CGV-2008 3Q)_RKM" xfId="0"/>
    <cellStyle name="_WP_Posdata_2003" xfId="0"/>
    <cellStyle name="_WP_전기오류_200706_Final_0808" xfId="0"/>
    <cellStyle name="_WP_지분법_HGI 07Q2_Final_0808" xfId="0"/>
    <cellStyle name="_WTB_Ltec_2003_기말" xfId="0"/>
    <cellStyle name="_Xx" xfId="0"/>
    <cellStyle name="_Xx_2. pa_bond" xfId="0"/>
    <cellStyle name="_Xx_3. Summ" xfId="0"/>
    <cellStyle name="_Xx_pa_bond" xfId="0"/>
    <cellStyle name="_Xx_pc_swap" xfId="0"/>
    <cellStyle name="_Xx_pd_swap payment" xfId="0"/>
    <cellStyle name="_Xx_pf_fx" xfId="0"/>
    <cellStyle name="_Ya" xfId="0"/>
    <cellStyle name="_Ya_2. pa_bond" xfId="0"/>
    <cellStyle name="_Ya_3. Summ" xfId="0"/>
    <cellStyle name="_Ya_pa_bond" xfId="0"/>
    <cellStyle name="_Ya_pc_swap" xfId="0"/>
    <cellStyle name="_Ya_pd_swap payment" xfId="0"/>
    <cellStyle name="_Ya_pf_fx" xfId="0"/>
    <cellStyle name="_Z_FRONT" xfId="0"/>
    <cellStyle name="_Z_FRONT_2. pa_bond" xfId="0"/>
    <cellStyle name="_Z_FRONT_3. Summ" xfId="0"/>
    <cellStyle name="_Z_FRONT_pa_bond" xfId="0"/>
    <cellStyle name="_Z_FRONT_pc_swap" xfId="0"/>
    <cellStyle name="_Z_FRONT_pd_swap payment" xfId="0"/>
    <cellStyle name="_Z_FRONT_pf_fx" xfId="0"/>
    <cellStyle name="_~0010017" xfId="0"/>
    <cellStyle name="_~0065317" xfId="0"/>
    <cellStyle name="_★ 스마트카드연구소CF_반기_JHJ" xfId="0"/>
    <cellStyle name="_★ 한국지엠디_CF_ver.2" xfId="0"/>
    <cellStyle name="_가수명세(1월말)" xfId="0"/>
    <cellStyle name="_가수명세(1월말)_1" xfId="0"/>
    <cellStyle name="_감가상각시부인 200812_v7" xfId="0"/>
    <cellStyle name="_감사보고서(챔프)" xfId="0"/>
    <cellStyle name="_감사보고서(챔프)2차" xfId="0"/>
    <cellStyle name="_감사요청자료_KBDS" xfId="0"/>
    <cellStyle name="_감사조서(링스텍2000)" xfId="0"/>
    <cellStyle name="_감사조서(링스텍2000)_Book1" xfId="0"/>
    <cellStyle name="_감사조서(링스텍2000)_Book1_leadsheet-나래" xfId="0"/>
    <cellStyle name="_감사조서(링스텍2000)_Book1_페타 Leadschedule2001-final" xfId="0"/>
    <cellStyle name="_감사조서(링스텍2000)_imm창투기말" xfId="0"/>
    <cellStyle name="_감사조서(링스텍2000)_leadsheet-나래" xfId="0"/>
    <cellStyle name="_감사조서(링스텍2000)_워커힐_2001_반기검토" xfId="0"/>
    <cellStyle name="_감사조서(링스텍2000)_테코스(2001_반기검토)" xfId="0"/>
    <cellStyle name="_감사조서(링스텍2000)_테코스(2001_반기검토)_leadsheet-나래" xfId="0"/>
    <cellStyle name="_감사조서(링스텍2000)_테코스(2001_반기검토)_페타 Leadschedule2001-final" xfId="0"/>
    <cellStyle name="_감사조서(링스텍2000)_페타 Leadschedule2001-final" xfId="0"/>
    <cellStyle name="_감사조서(표준)" xfId="0"/>
    <cellStyle name="_감사조서(표준)_Book1" xfId="0"/>
    <cellStyle name="_감사조서(표준)_Book1_leadsheet-나래" xfId="0"/>
    <cellStyle name="_감사조서(표준)_Book1_페타 Leadschedule2001-final" xfId="0"/>
    <cellStyle name="_감사조서(표준)_imm창투기말" xfId="0"/>
    <cellStyle name="_감사조서(표준)_leadsheet-나래" xfId="0"/>
    <cellStyle name="_감사조서(표준)_워커힐_2001_반기검토" xfId="0"/>
    <cellStyle name="_감사조서(표준)_테코스(2001_반기검토)" xfId="0"/>
    <cellStyle name="_감사조서(표준)_테코스(2001_반기검토)_leadsheet-나래" xfId="0"/>
    <cellStyle name="_감사조서(표준)_테코스(2001_반기검토)_페타 Leadschedule2001-final" xfId="0"/>
    <cellStyle name="_감사조서(표준)_페타 Leadschedule2001-final" xfId="0"/>
    <cellStyle name="_감사조서00" xfId="0"/>
    <cellStyle name="_감사조서00_2002FS_FINAL" xfId="0"/>
    <cellStyle name="_감사조서00_2322 WBS_WPL-07.1.29" xfId="0"/>
    <cellStyle name="_감사조서00_승구리- 코바이오SCF2003" xfId="0"/>
    <cellStyle name="_감사조서1" xfId="0"/>
    <cellStyle name="_감사조서99-1" xfId="0"/>
    <cellStyle name="_감사조서99-1_2002FS_FINAL" xfId="0"/>
    <cellStyle name="_감사조서99-1_2322 WBS_WPL-07.1.29" xfId="0"/>
    <cellStyle name="_감사조서99-1_승구리- 코바이오SCF2003" xfId="0"/>
    <cellStyle name="_개발비 LEADSHEET-다산-2002_2ND" xfId="0"/>
    <cellStyle name="_견본" xfId="0"/>
    <cellStyle name="_견본 (2)" xfId="0"/>
    <cellStyle name="_견본 (2)_1" xfId="0"/>
    <cellStyle name="_견본_1" xfId="0"/>
    <cellStyle name="_경영관리3분기_박정호대리비용" xfId="0"/>
    <cellStyle name="_경영관리팀(2002.4_4분기)" xfId="0"/>
    <cellStyle name="_경영지표" xfId="0"/>
    <cellStyle name="_경주" xfId="0"/>
    <cellStyle name="_계정별조서(2004)" xfId="0"/>
    <cellStyle name="_과거3개년손익계산서" xfId="0"/>
    <cellStyle name="_광픽업_전체기종모델재료비_041006(정리)" xfId="0"/>
    <cellStyle name="_교보증권 57기 - 조정구파트" xfId="0"/>
    <cellStyle name="_구매(매입)-한화국토-WP" xfId="0"/>
    <cellStyle name="_극동전선 수정사항-04" xfId="0"/>
    <cellStyle name="_근저당권현황(12월보고)_final(2)" xfId="0"/>
    <cellStyle name="_금융상품_서브원v1" xfId="0"/>
    <cellStyle name="_금형" xfId="0"/>
    <cellStyle name="_금형_04FS_KID산업" xfId="0"/>
    <cellStyle name="_금형_2002FS_FINAL" xfId="0"/>
    <cellStyle name="_금형_2211  한주금속-2005FS의 워크시트" xfId="0"/>
    <cellStyle name="_금형_2322 WBS_WPL-07.1.29" xfId="0"/>
    <cellStyle name="_금형_7기 에자이 현금흐름표" xfId="0"/>
    <cellStyle name="_금형_8720 18기이연법인세의 워크시트" xfId="0"/>
    <cellStyle name="_금형_Worksheet in (C) 8730 7기이연법인세검토" xfId="0"/>
    <cellStyle name="_금형_마이콤-2004fs(05.2.25)" xfId="0"/>
    <cellStyle name="_금형_미니스톱_2006FS_20070211" xfId="0"/>
    <cellStyle name="_금형_부원05FS-최종" xfId="0"/>
    <cellStyle name="_금형_승구리- 코바이오SCF2003" xfId="0"/>
    <cellStyle name="_금형_크리스탈지노믹스CF" xfId="0"/>
    <cellStyle name="_금형_현금흐름표-삼애정밀 20051231" xfId="0"/>
    <cellStyle name="_급여및 퇴직급여" xfId="0"/>
    <cellStyle name="_급여테스트" xfId="0"/>
    <cellStyle name="_기말감사" xfId="0"/>
    <cellStyle name="_기말감사(대신) J.L,M" xfId="0"/>
    <cellStyle name="_기말감사조서(리드온)" xfId="0"/>
    <cellStyle name="_기말조서..ㅠㅠ" xfId="0"/>
    <cellStyle name="_기말조서리폼" xfId="0"/>
    <cellStyle name="_기종별구매인하2001" xfId="0"/>
    <cellStyle name="_기타부채 충당금(신용선샘)" xfId="0"/>
    <cellStyle name="_김영삼 월간" xfId="0"/>
    <cellStyle name="_년도별본부capa" xfId="0"/>
    <cellStyle name="_다산-2004년-기말감사-서무성조서-최종" xfId="0"/>
    <cellStyle name="_다함이텍030630-F123459FS0811" xfId="0"/>
    <cellStyle name="_다함이텍F1234569-FS20021231" xfId="0"/>
    <cellStyle name="_대출금조서" xfId="0"/>
    <cellStyle name="_드라마 valuation_CJM_112405" xfId="0"/>
    <cellStyle name="_로체 반기 검토" xfId="0"/>
    <cellStyle name="_로체시스템즈 정산표" xfId="0"/>
    <cellStyle name="_로커스반기_KMS" xfId="0"/>
    <cellStyle name="_리스자산전기수정자료" xfId="0"/>
    <cellStyle name="_마이콤-2004fs(05.2.25)" xfId="0"/>
    <cellStyle name="_마케팅9월말" xfId="0"/>
    <cellStyle name="_매각완료결과(080417)" xfId="0"/>
    <cellStyle name="_매출" xfId="0"/>
    <cellStyle name="_매출-수금현황" xfId="0"/>
    <cellStyle name="_매출03(쌍용)" xfId="0"/>
    <cellStyle name="_매출분석" xfId="0"/>
    <cellStyle name="_멀7월" xfId="0"/>
    <cellStyle name="_멀티8월" xfId="0"/>
    <cellStyle name="_멀티9월" xfId="0"/>
    <cellStyle name="_멀티_주간" xfId="0"/>
    <cellStyle name="_멀티매출8월" xfId="0"/>
    <cellStyle name="_명세서" xfId="0"/>
    <cellStyle name="_명세서 위주" xfId="0"/>
    <cellStyle name="_목표량변경(RF중계기)" xfId="0"/>
    <cellStyle name="_무선망현황중계기-99 4사분기" xfId="0"/>
    <cellStyle name="_무선망현황중계기-99 4사분기_1" xfId="0"/>
    <cellStyle name="_무선망현황중계기-99 4사분기_2" xfId="0"/>
    <cellStyle name="_무선망현황중계기-99 4사분기_3" xfId="0"/>
    <cellStyle name="_무선망현황중계기-99 4사분기_4" xfId="0"/>
    <cellStyle name="_무선망현황중계기-99 4사분기_5" xfId="0"/>
    <cellStyle name="_무형자산_VCEK_20051231" xfId="0"/>
    <cellStyle name="_무형자산원가별명세서(삼정문의자료)" xfId="0"/>
    <cellStyle name="_미니스톱_2006FS_20070211" xfId="0"/>
    <cellStyle name="_미쓰미-기말감사(2nd)" xfId="0"/>
    <cellStyle name="_미확정비용명세" xfId="0"/>
    <cellStyle name="_반기-인디" xfId="0"/>
    <cellStyle name="_반기-인디_imm창투기말" xfId="0"/>
    <cellStyle name="_반기-인디_leadsheet-나래" xfId="0"/>
    <cellStyle name="_반기-인디_페타 Leadschedule2001-final" xfId="0"/>
    <cellStyle name="_반기-인츠" xfId="0"/>
    <cellStyle name="_반기-인츠1" xfId="0"/>
    <cellStyle name="_반기-인츠1_imm창투기말" xfId="0"/>
    <cellStyle name="_반기-인츠1_leadsheet-나래" xfId="0"/>
    <cellStyle name="_반기-인츠1_페타 Leadschedule2001-final" xfId="0"/>
    <cellStyle name="_반기-인츠_imm창투기말" xfId="0"/>
    <cellStyle name="_반기-인츠_leadsheet-나래" xfId="0"/>
    <cellStyle name="_반기-인츠_페타 Leadschedule2001-final" xfId="0"/>
    <cellStyle name="_반기-진영" xfId="0"/>
    <cellStyle name="_반기-진영2" xfId="0"/>
    <cellStyle name="_반기-크림" xfId="0"/>
    <cellStyle name="_반기검토" xfId="0"/>
    <cellStyle name="_반기검토_04FS_KID산업" xfId="0"/>
    <cellStyle name="_반기검토_2002FS_FINAL" xfId="0"/>
    <cellStyle name="_반기검토_2322 WBS_WPL-07.1.29" xfId="0"/>
    <cellStyle name="_반기검토_8720 18기이연법인세의 워크시트" xfId="0"/>
    <cellStyle name="_반기검토_미니스톱_2006FS_20070211" xfId="0"/>
    <cellStyle name="_반기검토_승구리- 코바이오SCF2003" xfId="0"/>
    <cellStyle name="_반기검토_크리스탈지노믹스CF" xfId="0"/>
    <cellStyle name="_반기검토_현금흐름표-삼애정밀 20051231" xfId="0"/>
    <cellStyle name="_반기검토결과 보고_작업" xfId="0"/>
    <cellStyle name="_반기원가시트 (version 1)수정3차" xfId="0"/>
    <cellStyle name="_법인세비용2" xfId="0"/>
    <cellStyle name="_법인세비용2_Book1" xfId="0"/>
    <cellStyle name="_법인세비용2_Book1_leadsheet-나래" xfId="0"/>
    <cellStyle name="_법인세비용2_Book1_페타 Leadschedule2001-final" xfId="0"/>
    <cellStyle name="_법인세비용2_imm창투기말" xfId="0"/>
    <cellStyle name="_법인세비용2_leadsheet-나래" xfId="0"/>
    <cellStyle name="_법인세비용2_워커힐_2001_반기검토" xfId="0"/>
    <cellStyle name="_법인세비용2_테코스(2001_반기검토)" xfId="0"/>
    <cellStyle name="_법인세비용2_테코스(2001_반기검토)_leadsheet-나래" xfId="0"/>
    <cellStyle name="_법인세비용2_테코스(2001_반기검토)_페타 Leadschedule2001-final" xfId="0"/>
    <cellStyle name="_법인세비용2_페타 Leadschedule2001-final" xfId="0"/>
    <cellStyle name="_별첨(계획서및실적서양식)" xfId="0"/>
    <cellStyle name="_별첨(계획서및실적서양식)_1" xfId="0"/>
    <cellStyle name="_별첨(계획서및실적서양식)_1_Book1" xfId="0"/>
    <cellStyle name="_별첨(계획서및실적서양식)_1_MTV leadsheet" xfId="0"/>
    <cellStyle name="_별첨(계획서및실적서양식)_1_계정별조서(2004)" xfId="0"/>
    <cellStyle name="_별첨(계획서및실적서양식)_1_대림외화환산손익재계산" xfId="0"/>
    <cellStyle name="_별첨(계획서및실적서양식)_1_대림통상 leadsheet(J,K,L,M)" xfId="0"/>
    <cellStyle name="_별첨(계획서및실적서양식)_1_대신메탈라이징leadsheet(J,L,M)" xfId="0"/>
    <cellStyle name="_별첨(계획서및실적서양식)_1_디지온 leadsheet" xfId="0"/>
    <cellStyle name="_별첨(계획서및실적서양식)_1_온게임네트워크 leadsheet" xfId="0"/>
    <cellStyle name="_별첨(계획서및실적서양식)_1_퇴직충당금 - 2004" xfId="0"/>
    <cellStyle name="_보험료정산특약미지급금(200706)" xfId="0"/>
    <cellStyle name="_보험료정산특약미지급금(200709)" xfId="0"/>
    <cellStyle name="_보험료정산특약미지급금(200712)_허희" xfId="0"/>
    <cellStyle name="_복사본 감가상각overall" xfId="0"/>
    <cellStyle name="_부원05FS-최종" xfId="0"/>
    <cellStyle name="_분석적검토 자료" xfId="0"/>
    <cellStyle name="_분석조서 손익-tklee" xfId="0"/>
    <cellStyle name="_비젼2015 wafer(유강원K)_070405" xfId="0"/>
    <cellStyle name="_사급자재관리-SK건설(0228)" xfId="0"/>
    <cellStyle name="_사급자재사용현황-금산" xfId="0"/>
    <cellStyle name="_사급자재이월현황-SK건설" xfId="0"/>
    <cellStyle name="_사급자재입출고량(SK건설)" xfId="0"/>
    <cellStyle name="_사급자재현황(0304)-업체명" xfId="0"/>
    <cellStyle name="_사급자재현황-SK건설(0302)" xfId="0"/>
    <cellStyle name="_사업계획(02년)일본어(변경3-2)프린트용의 워크시트" xfId="0"/>
    <cellStyle name="_사업위험반영베타_0520_21시" xfId="0"/>
    <cellStyle name="_사진첩" xfId="0"/>
    <cellStyle name="_산림복구충당금계정명세" xfId="0"/>
    <cellStyle name="_삼성-기술지원그룹" xfId="0"/>
    <cellStyle name="_삼영중간" xfId="0"/>
    <cellStyle name="_삼정회계법인감사요청자료_챔프비전" xfId="0"/>
    <cellStyle name="_상대가치산정" xfId="0"/>
    <cellStyle name="_샤시 (2)" xfId="0"/>
    <cellStyle name="_샤시 (2)_04FS_KID산업" xfId="0"/>
    <cellStyle name="_샤시 (2)_1" xfId="0"/>
    <cellStyle name="_샤시 (2)_1_04FS_KID산업" xfId="0"/>
    <cellStyle name="_샤시 (2)_1_2002FS_FINAL" xfId="0"/>
    <cellStyle name="_샤시 (2)_1_2211  한주금속-2005FS의 워크시트" xfId="0"/>
    <cellStyle name="_샤시 (2)_1_2322 WBS_WPL-07.1.29" xfId="0"/>
    <cellStyle name="_샤시 (2)_1_7기 에자이 현금흐름표" xfId="0"/>
    <cellStyle name="_샤시 (2)_1_8720 18기이연법인세의 워크시트" xfId="0"/>
    <cellStyle name="_샤시 (2)_1_Worksheet in (C) 8730 7기이연법인세검토" xfId="0"/>
    <cellStyle name="_샤시 (2)_1_마이콤-2004fs(05.2.25)" xfId="0"/>
    <cellStyle name="_샤시 (2)_1_미니스톱_2006FS_20070211" xfId="0"/>
    <cellStyle name="_샤시 (2)_1_부원05FS-최종" xfId="0"/>
    <cellStyle name="_샤시 (2)_1_승구리- 코바이오SCF2003" xfId="0"/>
    <cellStyle name="_샤시 (2)_1_크리스탈지노믹스CF" xfId="0"/>
    <cellStyle name="_샤시 (2)_1_현금흐름표-삼애정밀 20051231" xfId="0"/>
    <cellStyle name="_샤시 (2)_2" xfId="0"/>
    <cellStyle name="_샤시 (2)_2002FS_FINAL" xfId="0"/>
    <cellStyle name="_샤시 (2)_2211  한주금속-2005FS의 워크시트" xfId="0"/>
    <cellStyle name="_샤시 (2)_2322 WBS_WPL-07.1.29" xfId="0"/>
    <cellStyle name="_샤시 (2)_2_04FS_KID산업" xfId="0"/>
    <cellStyle name="_샤시 (2)_2_2002FS_FINAL" xfId="0"/>
    <cellStyle name="_샤시 (2)_2_2211  한주금속-2005FS의 워크시트" xfId="0"/>
    <cellStyle name="_샤시 (2)_2_2322 WBS_WPL-07.1.29" xfId="0"/>
    <cellStyle name="_샤시 (2)_2_7기 에자이 현금흐름표" xfId="0"/>
    <cellStyle name="_샤시 (2)_2_8720 18기이연법인세의 워크시트" xfId="0"/>
    <cellStyle name="_샤시 (2)_2_Worksheet in (C) 8730 7기이연법인세검토" xfId="0"/>
    <cellStyle name="_샤시 (2)_2_마이콤-2004fs(05.2.25)" xfId="0"/>
    <cellStyle name="_샤시 (2)_2_미니스톱_2006FS_20070211" xfId="0"/>
    <cellStyle name="_샤시 (2)_2_부원05FS-최종" xfId="0"/>
    <cellStyle name="_샤시 (2)_2_승구리- 코바이오SCF2003" xfId="0"/>
    <cellStyle name="_샤시 (2)_2_크리스탈지노믹스CF" xfId="0"/>
    <cellStyle name="_샤시 (2)_2_현금흐름표-삼애정밀 20051231" xfId="0"/>
    <cellStyle name="_샤시 (2)_7기 에자이 현금흐름표" xfId="0"/>
    <cellStyle name="_샤시 (2)_8720 18기이연법인세의 워크시트" xfId="0"/>
    <cellStyle name="_샤시 (2)_Worksheet in (C) 8730 7기이연법인세검토" xfId="0"/>
    <cellStyle name="_샤시 (2)_마이콤-2004fs(05.2.25)" xfId="0"/>
    <cellStyle name="_샤시 (2)_미니스톱_2006FS_20070211" xfId="0"/>
    <cellStyle name="_샤시 (2)_부원05FS-최종" xfId="0"/>
    <cellStyle name="_샤시 (2)_승구리- 코바이오SCF2003" xfId="0"/>
    <cellStyle name="_샤시 (2)_크리스탈지노믹스CF" xfId="0"/>
    <cellStyle name="_샤시 (2)_현금흐름표-삼애정밀 20051231" xfId="0"/>
    <cellStyle name="_서울미라마02FS" xfId="0"/>
    <cellStyle name="_세무조정6기" xfId="0"/>
    <cellStyle name="_세무조정6기_18최종" xfId="0"/>
    <cellStyle name="_세무조정6기_미니스톱_2006FS_20070211" xfId="0"/>
    <cellStyle name="_소코드1" xfId="0"/>
    <cellStyle name="_솔7월말_최종" xfId="0"/>
    <cellStyle name="_솔8월말" xfId="0"/>
    <cellStyle name="_솔수금" xfId="0"/>
    <cellStyle name="_수금현황" xfId="0"/>
    <cellStyle name="_수원_05년 재료비 이정표_041105" xfId="0"/>
    <cellStyle name="_수정-3월 월간실적 4월 계획(ENG)" xfId="0"/>
    <cellStyle name="_수정사항" xfId="0"/>
    <cellStyle name="_수정사항 및 정산표" xfId="0"/>
    <cellStyle name="_수정사항(0218)" xfId="0"/>
    <cellStyle name="_수정사항(8월26일)" xfId="0"/>
    <cellStyle name="_순기보고(1순기)-GT&amp;T" xfId="0"/>
    <cellStyle name="_순기보고서(1순기)-시스텍" xfId="0"/>
    <cellStyle name="_순기보고서(2순기)-GT&amp;T" xfId="0"/>
    <cellStyle name="_순기보고서-광문(1회)" xfId="0"/>
    <cellStyle name="_승구리- 코바이오SCF2003" xfId="0"/>
    <cellStyle name="_신일제약 조정구 분석조서(1)" xfId="0"/>
    <cellStyle name="_실트론 연결 정산표_03_24_현금흐름표수정_ver2 0" xfId="0"/>
    <cellStyle name="_실트론_지분법_이용_0114" xfId="0"/>
    <cellStyle name="_쌍용03기말-전현수" xfId="0"/>
    <cellStyle name="_쌍용자동차_02_반기" xfId="0"/>
    <cellStyle name="_쌍용자동차_현금흐름표_02" xfId="0"/>
    <cellStyle name="_쌍용차02 현금흐름표_kth " xfId="0"/>
    <cellStyle name="_썬테크윈 할인율 자료" xfId="0"/>
    <cellStyle name="_씨오텍2006-WP" xfId="0"/>
    <cellStyle name="_아산제약 조정구 파트" xfId="0"/>
    <cellStyle name="_아이원스 06 3분기 결산서" xfId="0"/>
    <cellStyle name="_아크-기말감사" xfId="0"/>
    <cellStyle name="_아크-기말감사_미니스톱_2006FS_20070211" xfId="0"/>
    <cellStyle name="_아크-기말감사_크리스탈지노믹스CF" xfId="0"/>
    <cellStyle name="_양식" xfId="0"/>
    <cellStyle name="_양식_1" xfId="0"/>
    <cellStyle name="_양식_2" xfId="0"/>
    <cellStyle name="_양식_Book1" xfId="0"/>
    <cellStyle name="_양식_MTV leadsheet" xfId="0"/>
    <cellStyle name="_양식_계정별조서(2004)" xfId="0"/>
    <cellStyle name="_양식_대림외화환산손익재계산" xfId="0"/>
    <cellStyle name="_양식_대림통상 leadsheet(J,K,L,M)" xfId="0"/>
    <cellStyle name="_양식_대신메탈라이징leadsheet(J,L,M)" xfId="0"/>
    <cellStyle name="_양식_디지온 leadsheet" xfId="0"/>
    <cellStyle name="_양식_온게임네트워크 leadsheet" xfId="0"/>
    <cellStyle name="_양식_퇴직충당금 - 2004" xfId="0"/>
    <cellStyle name="_양양레미콘" xfId="0"/>
    <cellStyle name="_어음수표및 부외부채-거제" xfId="0"/>
    <cellStyle name="_업무보고서(2003.6월)미수금예수금조정" xfId="0"/>
    <cellStyle name="_업체별사급자재사용현황-광문(2-26)" xfId="0"/>
    <cellStyle name="_에임시스템(WTB-05_반기조서_SIB)_중간" xfId="0"/>
    <cellStyle name="_엘텍1분기검토(손동식)" xfId="0"/>
    <cellStyle name="_연구개발비" xfId="0"/>
    <cellStyle name="_영업권평가 기초자료 (사본1)" xfId="0"/>
    <cellStyle name="_영업실적" xfId="0"/>
    <cellStyle name="_영업외손익 LS" xfId="0"/>
    <cellStyle name="_영업월말보고 및 마감" xfId="0"/>
    <cellStyle name="_예적금명세" xfId="0"/>
    <cellStyle name="_오아시스 Target재료비" xfId="0"/>
    <cellStyle name="_외상매출금 및 기타요청자료" xfId="0"/>
    <cellStyle name="_외화환산" xfId="0"/>
    <cellStyle name="_우석 어음검토" xfId="0"/>
    <cellStyle name="_우석기말_강민석" xfId="0"/>
    <cellStyle name="_우석반기_KMS" xfId="0"/>
    <cellStyle name="_우석에스텍_기말_2003_상수" xfId="0"/>
    <cellStyle name="_원가0002(작업용)" xfId="0"/>
    <cellStyle name="_원가0002(작업용)_1" xfId="0"/>
    <cellStyle name="_원가0002(작업용)_2" xfId="0"/>
    <cellStyle name="_원가0002(작업용)_2 2" xfId="0"/>
    <cellStyle name="_원가0002(작업용)_2 3" xfId="0"/>
    <cellStyle name="_원가0002(작업용)_2 4" xfId="0"/>
    <cellStyle name="_원가0105" xfId="0"/>
    <cellStyle name="_원가0105_1" xfId="0"/>
    <cellStyle name="_원가0105_2" xfId="0"/>
    <cellStyle name="_원가0105_2 2" xfId="0"/>
    <cellStyle name="_원가0105_2 3" xfId="0"/>
    <cellStyle name="_원가0105_2 4" xfId="0"/>
    <cellStyle name="_월간보고" xfId="0"/>
    <cellStyle name="_월례매출_1_상반기_11월당월 (2)_1월" xfId="0"/>
    <cellStyle name="_월말(겉표지)" xfId="0"/>
    <cellStyle name="_월말보고서 5월" xfId="0"/>
    <cellStyle name="_월말보고서(11월)" xfId="0"/>
    <cellStyle name="_월말보고서(1월)" xfId="0"/>
    <cellStyle name="_월말보고서(3월)" xfId="0"/>
    <cellStyle name="_월말보고서(4월)" xfId="0"/>
    <cellStyle name="_위드 전성호" xfId="0"/>
    <cellStyle name="_위드 전성호_Book1" xfId="0"/>
    <cellStyle name="_위드 전성호_F(케미라04)" xfId="0"/>
    <cellStyle name="_위드 전성호_JL(2004)" xfId="0"/>
    <cellStyle name="_위드 전성호_MTV leadsheet" xfId="0"/>
    <cellStyle name="_위드 전성호_기말감사(대신) J.L,M" xfId="0"/>
    <cellStyle name="_위드 전성호_대림외화환산손익재계산" xfId="0"/>
    <cellStyle name="_위드 전성호_대림통상 leadsheet(J,K,L,M)" xfId="0"/>
    <cellStyle name="_위드 전성호_대신메탈라이징leadsheet(J,L,M)" xfId="0"/>
    <cellStyle name="_위드 전성호_디지온 leadsheet" xfId="0"/>
    <cellStyle name="_위드 전성호_온게임네트워크 leadsheet" xfId="0"/>
    <cellStyle name="_위드 전성호_조서표준-KLMX" xfId="0"/>
    <cellStyle name="_위드 전성호_퇴직충당금 - 2004" xfId="0"/>
    <cellStyle name="_위즈맥스지분법평가" xfId="0"/>
    <cellStyle name="_유니퀘스트(이월)" xfId="0"/>
    <cellStyle name="_유니텍반기검토" xfId="0"/>
    <cellStyle name="_유웨이+중앙 합산FS_0526" xfId="0"/>
    <cellStyle name="_유첨3(서식)" xfId="0"/>
    <cellStyle name="_유첨3(서식)_1" xfId="0"/>
    <cellStyle name="_유첨3(서식)_Book1" xfId="0"/>
    <cellStyle name="_유첨3(서식)_MTV leadsheet" xfId="0"/>
    <cellStyle name="_유첨3(서식)_계정별조서(2004)" xfId="0"/>
    <cellStyle name="_유첨3(서식)_대림외화환산손익재계산" xfId="0"/>
    <cellStyle name="_유첨3(서식)_대림통상 leadsheet(J,K,L,M)" xfId="0"/>
    <cellStyle name="_유첨3(서식)_대신메탈라이징leadsheet(J,L,M)" xfId="0"/>
    <cellStyle name="_유첨3(서식)_디지온 leadsheet" xfId="0"/>
    <cellStyle name="_유첨3(서식)_온게임네트워크 leadsheet" xfId="0"/>
    <cellStyle name="_유첨3(서식)_퇴직충당금 - 2004" xfId="0"/>
    <cellStyle name="_유형자산처분이익(IT전략팀)" xfId="0"/>
    <cellStyle name="_유형자산처분이익(IT전략팀최종)" xfId="0"/>
    <cellStyle name="_유형자산처분이익(손익0 포함)" xfId="0"/>
    <cellStyle name="_인건비" xfId="0"/>
    <cellStyle name="_인네트_2001_기말" xfId="0"/>
    <cellStyle name="_인네트_2001_기말감사" xfId="0"/>
    <cellStyle name="_인네트_2001_중간감사(1205)" xfId="0"/>
    <cellStyle name="_인네트_2001_중간감사(1205)_페타 Leadschedule2001-final" xfId="0"/>
    <cellStyle name="_인력자원" xfId="0"/>
    <cellStyle name="_인츠2001-1" xfId="0"/>
    <cellStyle name="_자본 UNIT1" xfId="0"/>
    <cellStyle name="_자산손상_(주)LG_v3" xfId="0"/>
    <cellStyle name="_장기채권등현가" xfId="0"/>
    <cellStyle name="_재무재표-부속명세서-050211" xfId="0"/>
    <cellStyle name="_재무제표(현금흐름표)" xfId="0"/>
    <cellStyle name="_재무제표(현금흐름표)_2002FS_FINAL" xfId="0"/>
    <cellStyle name="_재무제표(현금흐름표)_2322 WBS_WPL-07.1.29" xfId="0"/>
    <cellStyle name="_재무제표(현금흐름표)_승구리- 코바이오SCF2003" xfId="0"/>
    <cellStyle name="_재무제표-3Q" xfId="0"/>
    <cellStyle name="_재무제표-4Q-050204" xfId="0"/>
    <cellStyle name="_재무제표-4Q-감사확정(최종)V" xfId="0"/>
    <cellStyle name="_재무제표-4Q-감사확정(최종분)" xfId="0"/>
    <cellStyle name="_재무제표V-06" xfId="0"/>
    <cellStyle name="_재무제표V-공서식" xfId="0"/>
    <cellStyle name="_재무제표최종(전기대사)" xfId="0"/>
    <cellStyle name="_전기개발비조서" xfId="0"/>
    <cellStyle name="_전기수정효과_HGI_0930" xfId="0"/>
    <cellStyle name="_정보" xfId="0"/>
    <cellStyle name="_정보통신기말조서JK" xfId="0"/>
    <cellStyle name="_정산-2" xfId="0"/>
    <cellStyle name="_정산표 및 수정분개" xfId="0"/>
    <cellStyle name="_정산표 및 수정분개_04FS_KID산업" xfId="0"/>
    <cellStyle name="_정산표 및 수정분개_2002FS_FINAL" xfId="0"/>
    <cellStyle name="_정산표 및 수정분개_2322 WBS_WPL-07.1.29" xfId="0"/>
    <cellStyle name="_정산표 및 수정분개_8720 18기이연법인세의 워크시트" xfId="0"/>
    <cellStyle name="_정산표 및 수정분개_미니스톱_2006FS_20070211" xfId="0"/>
    <cellStyle name="_정산표 및 수정분개_부원05FS-최종" xfId="0"/>
    <cellStyle name="_정산표 및 수정분개_승구리- 코바이오SCF2003" xfId="0"/>
    <cellStyle name="_정산표 및 수정분개_크리스탈지노믹스CF" xfId="0"/>
    <cellStyle name="_정산표 및 수정분개_현금흐름표-삼애정밀 20051231" xfId="0"/>
    <cellStyle name="_제무제표V-07" xfId="0"/>
    <cellStyle name="_제무제표V-서식" xfId="0"/>
    <cellStyle name="_제조기술팀 " xfId="0"/>
    <cellStyle name="_제조원가 " xfId="0"/>
    <cellStyle name="_제품관련부속자료" xfId="0"/>
    <cellStyle name="_조서(퇴충급여)" xfId="0"/>
    <cellStyle name="_조서표준-HIJ " xfId="0"/>
    <cellStyle name="_조서표준-KLMX" xfId="0"/>
    <cellStyle name="_조서표준-KLMX_1" xfId="0"/>
    <cellStyle name="_조서표준-KLMX_Book1" xfId="0"/>
    <cellStyle name="_조서표준-KLMX_MTV leadsheet" xfId="0"/>
    <cellStyle name="_조서표준-KLMX_대림외화환산손익재계산" xfId="0"/>
    <cellStyle name="_조서표준-KLMX_대림통상 leadsheet(J,K,L,M)" xfId="0"/>
    <cellStyle name="_조서표준-KLMX_대신메탈라이징leadsheet(J,L,M)" xfId="0"/>
    <cellStyle name="_조서표준-KLMX_디지온 leadsheet" xfId="0"/>
    <cellStyle name="_조서표준-KLMX_온게임네트워크 leadsheet" xfId="0"/>
    <cellStyle name="_조서표준-KLMX_퇴직충당금 - 2004" xfId="0"/>
    <cellStyle name="_조직유지_총괄표" xfId="0"/>
    <cellStyle name="_조회리스트" xfId="0"/>
    <cellStyle name="_종합보고" xfId="0"/>
    <cellStyle name="_주간보고표지" xfId="0"/>
    <cellStyle name="_주간업무-2월3주(ENG'G)최종" xfId="0"/>
    <cellStyle name="_주간업무-3월3주(ENG'G)" xfId="0"/>
    <cellStyle name="_주간업무-4월1주(ENG)" xfId="0"/>
    <cellStyle name="_주간업무-4월4주(ENG'G)" xfId="0"/>
    <cellStyle name="_주간업무-5월-가마감" xfId="0"/>
    <cellStyle name="_주간업무-5월2주" xfId="0"/>
    <cellStyle name="_주간업무-5월2주(ENG'G)" xfId="0"/>
    <cellStyle name="_주간업무보고(RF)" xfId="0"/>
    <cellStyle name="_주당순이익" xfId="0"/>
    <cellStyle name="_주당순이익_2002FS_FINAL" xfId="0"/>
    <cellStyle name="_주당순이익_2322 WBS_WPL-07.1.29" xfId="0"/>
    <cellStyle name="_주당순이익_승구리- 코바이오SCF2003" xfId="0"/>
    <cellStyle name="_중간WTB(시스원-05)_수정" xfId="0"/>
    <cellStyle name="_중앙연구소 월간보고(02월)" xfId="0"/>
    <cellStyle name="_중앙연구소 월간보고(05월)" xfId="0"/>
    <cellStyle name="_중요성금액결정" xfId="0"/>
    <cellStyle name="_지니텍 2003년 재무제표(최종)" xfId="0"/>
    <cellStyle name="_지니텍 2003년 재무제표(최종)_미니스톱_2006FS_20070211" xfId="0"/>
    <cellStyle name="_지분법, 매도가능증권" xfId="0"/>
    <cellStyle name="_지정과제2차심의list" xfId="0"/>
    <cellStyle name="_지정과제2차심의list_1" xfId="0"/>
    <cellStyle name="_지정과제2차심의list_2" xfId="0"/>
    <cellStyle name="_지정과제2차심의list_2_Book1" xfId="0"/>
    <cellStyle name="_지정과제2차심의list_2_MTV leadsheet" xfId="0"/>
    <cellStyle name="_지정과제2차심의list_2_계정별조서(2004)" xfId="0"/>
    <cellStyle name="_지정과제2차심의list_2_대림외화환산손익재계산" xfId="0"/>
    <cellStyle name="_지정과제2차심의list_2_대림통상 leadsheet(J,K,L,M)" xfId="0"/>
    <cellStyle name="_지정과제2차심의list_2_대신메탈라이징leadsheet(J,L,M)" xfId="0"/>
    <cellStyle name="_지정과제2차심의list_2_디지온 leadsheet" xfId="0"/>
    <cellStyle name="_지정과제2차심의list_2_온게임네트워크 leadsheet" xfId="0"/>
    <cellStyle name="_지정과제2차심의list_2_퇴직충당금 - 2004" xfId="0"/>
    <cellStyle name="_지정과제2차심의결과" xfId="0"/>
    <cellStyle name="_지정과제2차심의결과(금액조정후최종)" xfId="0"/>
    <cellStyle name="_지정과제2차심의결과(금액조정후최종)_1" xfId="0"/>
    <cellStyle name="_지정과제2차심의결과(금액조정후최종)_Book1" xfId="0"/>
    <cellStyle name="_지정과제2차심의결과(금액조정후최종)_MTV leadsheet" xfId="0"/>
    <cellStyle name="_지정과제2차심의결과(금액조정후최종)_계정별조서(2004)" xfId="0"/>
    <cellStyle name="_지정과제2차심의결과(금액조정후최종)_대림외화환산손익재계산" xfId="0"/>
    <cellStyle name="_지정과제2차심의결과(금액조정후최종)_대림통상 leadsheet(J,K,L,M)" xfId="0"/>
    <cellStyle name="_지정과제2차심의결과(금액조정후최종)_대신메탈라이징leadsheet(J,L,M)" xfId="0"/>
    <cellStyle name="_지정과제2차심의결과(금액조정후최종)_디지온 leadsheet" xfId="0"/>
    <cellStyle name="_지정과제2차심의결과(금액조정후최종)_온게임네트워크 leadsheet" xfId="0"/>
    <cellStyle name="_지정과제2차심의결과(금액조정후최종)_퇴직충당금 - 2004" xfId="0"/>
    <cellStyle name="_지정과제2차심의결과_1" xfId="0"/>
    <cellStyle name="_지정과제2차심의결과_Book1" xfId="0"/>
    <cellStyle name="_지정과제2차심의결과_MTV leadsheet" xfId="0"/>
    <cellStyle name="_지정과제2차심의결과_계정별조서(2004)" xfId="0"/>
    <cellStyle name="_지정과제2차심의결과_대림외화환산손익재계산" xfId="0"/>
    <cellStyle name="_지정과제2차심의결과_대림통상 leadsheet(J,K,L,M)" xfId="0"/>
    <cellStyle name="_지정과제2차심의결과_대신메탈라이징leadsheet(J,L,M)" xfId="0"/>
    <cellStyle name="_지정과제2차심의결과_디지온 leadsheet" xfId="0"/>
    <cellStyle name="_지정과제2차심의결과_온게임네트워크 leadsheet" xfId="0"/>
    <cellStyle name="_지정과제2차심의결과_퇴직충당금 - 2004" xfId="0"/>
    <cellStyle name="_진영.xls(신우회계법인)" xfId="0"/>
    <cellStyle name="_집중관리(981231)" xfId="0"/>
    <cellStyle name="_집중관리(981231)_1" xfId="0"/>
    <cellStyle name="_집중관리(981231)_1_Book1" xfId="0"/>
    <cellStyle name="_집중관리(981231)_1_MTV leadsheet" xfId="0"/>
    <cellStyle name="_집중관리(981231)_1_계정별조서(2004)" xfId="0"/>
    <cellStyle name="_집중관리(981231)_1_대림외화환산손익재계산" xfId="0"/>
    <cellStyle name="_집중관리(981231)_1_대림통상 leadsheet(J,K,L,M)" xfId="0"/>
    <cellStyle name="_집중관리(981231)_1_대신메탈라이징leadsheet(J,L,M)" xfId="0"/>
    <cellStyle name="_집중관리(981231)_1_디지온 leadsheet" xfId="0"/>
    <cellStyle name="_집중관리(981231)_1_온게임네트워크 leadsheet" xfId="0"/>
    <cellStyle name="_집중관리(981231)_1_퇴직충당금 - 2004" xfId="0"/>
    <cellStyle name="_집중관리(지정과제및 양식)" xfId="0"/>
    <cellStyle name="_집중관리(지정과제및 양식)_1" xfId="0"/>
    <cellStyle name="_집중관리(지정과제및 양식)_Book1" xfId="0"/>
    <cellStyle name="_집중관리(지정과제및 양식)_MTV leadsheet" xfId="0"/>
    <cellStyle name="_집중관리(지정과제및 양식)_계정별조서(2004)" xfId="0"/>
    <cellStyle name="_집중관리(지정과제및 양식)_대림외화환산손익재계산" xfId="0"/>
    <cellStyle name="_집중관리(지정과제및 양식)_대림통상 leadsheet(J,K,L,M)" xfId="0"/>
    <cellStyle name="_집중관리(지정과제및 양식)_대신메탈라이징leadsheet(J,L,M)" xfId="0"/>
    <cellStyle name="_집중관리(지정과제및 양식)_디지온 leadsheet" xfId="0"/>
    <cellStyle name="_집중관리(지정과제및 양식)_온게임네트워크 leadsheet" xfId="0"/>
    <cellStyle name="_집중관리(지정과제및 양식)_퇴직충당금 - 2004" xfId="0"/>
    <cellStyle name="_차체 (2)" xfId="0"/>
    <cellStyle name="_차체 (2)_04FS_KID산업" xfId="0"/>
    <cellStyle name="_차체 (2)_1" xfId="0"/>
    <cellStyle name="_차체 (2)_1_04FS_KID산업" xfId="0"/>
    <cellStyle name="_차체 (2)_1_2002FS_FINAL" xfId="0"/>
    <cellStyle name="_차체 (2)_1_2211  한주금속-2005FS의 워크시트" xfId="0"/>
    <cellStyle name="_차체 (2)_1_2322 WBS_WPL-07.1.29" xfId="0"/>
    <cellStyle name="_차체 (2)_1_7기 에자이 현금흐름표" xfId="0"/>
    <cellStyle name="_차체 (2)_1_8720 18기이연법인세의 워크시트" xfId="0"/>
    <cellStyle name="_차체 (2)_1_Worksheet in (C) 8730 7기이연법인세검토" xfId="0"/>
    <cellStyle name="_차체 (2)_1_마이콤-2004fs(05.2.25)" xfId="0"/>
    <cellStyle name="_차체 (2)_1_미니스톱_2006FS_20070211" xfId="0"/>
    <cellStyle name="_차체 (2)_1_부원05FS-최종" xfId="0"/>
    <cellStyle name="_차체 (2)_1_승구리- 코바이오SCF2003" xfId="0"/>
    <cellStyle name="_차체 (2)_1_크리스탈지노믹스CF" xfId="0"/>
    <cellStyle name="_차체 (2)_1_현금흐름표-삼애정밀 20051231" xfId="0"/>
    <cellStyle name="_차체 (2)_2002FS_FINAL" xfId="0"/>
    <cellStyle name="_차체 (2)_2211  한주금속-2005FS의 워크시트" xfId="0"/>
    <cellStyle name="_차체 (2)_2322 WBS_WPL-07.1.29" xfId="0"/>
    <cellStyle name="_차체 (2)_7기 에자이 현금흐름표" xfId="0"/>
    <cellStyle name="_차체 (2)_8720 18기이연법인세의 워크시트" xfId="0"/>
    <cellStyle name="_차체 (2)_Worksheet in (C) 8730 7기이연법인세검토" xfId="0"/>
    <cellStyle name="_차체 (2)_마이콤-2004fs(05.2.25)" xfId="0"/>
    <cellStyle name="_차체 (2)_미니스톱_2006FS_20070211" xfId="0"/>
    <cellStyle name="_차체 (2)_부원05FS-최종" xfId="0"/>
    <cellStyle name="_차체 (2)_승구리- 코바이오SCF2003" xfId="0"/>
    <cellStyle name="_차체 (2)_크리스탈지노믹스CF" xfId="0"/>
    <cellStyle name="_차체 (2)_현금흐름표-삼애정밀 20051231" xfId="0"/>
    <cellStyle name="_천진영상" xfId="0"/>
    <cellStyle name="_철거-AS-재배치" xfId="0"/>
    <cellStyle name="_총 9월간" xfId="0"/>
    <cellStyle name="_총 향후 2개월" xfId="0"/>
    <cellStyle name="_총 향후 2개월 최종본 (11.1)" xfId="0"/>
    <cellStyle name="_최종 분석조서 2001 3 분기" xfId="0"/>
    <cellStyle name="_최종3월10일03fs-한도" xfId="0"/>
    <cellStyle name="_카나레_2기정산" xfId="0"/>
    <cellStyle name="_카나레_2기정산_18최종" xfId="0"/>
    <cellStyle name="_카나레_2기정산_미니스톱_2006FS_20070211" xfId="0"/>
    <cellStyle name="_케이블넷_컨버터매출제로" xfId="0"/>
    <cellStyle name="_크리스탈지노믹스CF" xfId="0"/>
    <cellStyle name="_테코스" xfId="0"/>
    <cellStyle name="_테코스2001반기조서" xfId="0"/>
    <cellStyle name="_테코스2001반기조서_Book1" xfId="0"/>
    <cellStyle name="_테코스2001반기조서_Book1_leadsheet-나래" xfId="0"/>
    <cellStyle name="_테코스2001반기조서_Book1_페타 Leadschedule2001-final" xfId="0"/>
    <cellStyle name="_테코스2001반기조서_imm창투기말" xfId="0"/>
    <cellStyle name="_테코스2001반기조서_leadsheet-나래" xfId="0"/>
    <cellStyle name="_테코스2001반기조서_워커힐_2001_반기검토" xfId="0"/>
    <cellStyle name="_테코스2001반기조서_테코스(2001_반기검토)" xfId="0"/>
    <cellStyle name="_테코스2001반기조서_테코스(2001_반기검토)_leadsheet-나래" xfId="0"/>
    <cellStyle name="_테코스2001반기조서_테코스(2001_반기검토)_페타 Leadschedule2001-final" xfId="0"/>
    <cellStyle name="_테코스2001반기조서_페타 Leadschedule2001-final" xfId="0"/>
    <cellStyle name="_테코스_imm창투기말" xfId="0"/>
    <cellStyle name="_테코스_leadsheet-나래" xfId="0"/>
    <cellStyle name="_테코스_테코스(2001_반기검토)" xfId="0"/>
    <cellStyle name="_테코스_테코스(2001_반기검토)_leadsheet-나래" xfId="0"/>
    <cellStyle name="_테코스_테코스(2001_반기검토)_페타 Leadschedule2001-final" xfId="0"/>
    <cellStyle name="_테코스_페타 Leadschedule2001-final" xfId="0"/>
    <cellStyle name="_통합형고장접수-강북" xfId="0"/>
    <cellStyle name="_퇴직급여충당금" xfId="0"/>
    <cellStyle name="_퇴직급여충당금_미니스톱_2006FS_20070211" xfId="0"/>
    <cellStyle name="_퇴직급여충당금_크리스탈지노믹스CF" xfId="0"/>
    <cellStyle name="_퇴충" xfId="0"/>
    <cellStyle name="_퇴충 2004-12(결산)" xfId="0"/>
    <cellStyle name="_퇴충세무조정_0803" xfId="0"/>
    <cellStyle name="_투자자산03" xfId="0"/>
    <cellStyle name="_팀별 매출변경(03.03.06)" xfId="0"/>
    <cellStyle name="_판관,제조경비" xfId="0"/>
    <cellStyle name="_판관비 LS" xfId="0"/>
    <cellStyle name="_페타 Leadschedule2001(1)" xfId="0"/>
    <cellStyle name="_페타 Leadschedule2001(1)_페타 Leadschedule2001-final" xfId="0"/>
    <cellStyle name="_페타 Leadschedule2001(영중)" xfId="0"/>
    <cellStyle name="_페타 Leadschedule2001(영중)_페타 Leadschedule2001-final" xfId="0"/>
    <cellStyle name="_페타 Leadschedule2001-final" xfId="0"/>
    <cellStyle name="_페타 Leadschedule2001-최종" xfId="0"/>
    <cellStyle name="_페타 Leadschedule2001-최종_페타 Leadschedule2001-final" xfId="0"/>
    <cellStyle name="_페타_Leadschedule2001" xfId="0"/>
    <cellStyle name="_한솔제지2004(반기)" xfId="0"/>
    <cellStyle name="_한일도요-2001FS(최종)" xfId="0"/>
    <cellStyle name="_해외 출장 비용 산정" xfId="0"/>
    <cellStyle name="_향후2개월계획(마케팅)" xfId="0"/>
    <cellStyle name="_혁신_TROY 재료비_040903_1" xfId="0"/>
    <cellStyle name="_현금등가물" xfId="0"/>
    <cellStyle name="_현금흐름표" xfId="0"/>
    <cellStyle name="_현금흐름표 ver.1" xfId="0"/>
    <cellStyle name="_현금흐름표(03년반기)" xfId="0"/>
    <cellStyle name="_현금흐름표(최종)" xfId="0"/>
    <cellStyle name="_현담2003_현금흐름표" xfId="0"/>
    <cellStyle name="_현담정산표2003" xfId="0"/>
    <cellStyle name="_회사제시주석" xfId="0"/>
    <cellStyle name="_후반기-경영계획(본부)0300725" xfId="0"/>
    <cellStyle name="A" xfId="0"/>
    <cellStyle name="Accent1" xfId="0"/>
    <cellStyle name="Accent1 2" xfId="0"/>
    <cellStyle name="Accent1 3" xfId="0"/>
    <cellStyle name="Accent1 4" xfId="0"/>
    <cellStyle name="Accent1 5" xfId="0"/>
    <cellStyle name="Accent1 6" xfId="0"/>
    <cellStyle name="Accent1 7" xfId="0"/>
    <cellStyle name="Accent1 8" xfId="0"/>
    <cellStyle name="Accent1 9" xfId="0"/>
    <cellStyle name="Accent2" xfId="0"/>
    <cellStyle name="Accent2 2" xfId="0"/>
    <cellStyle name="Accent2 3" xfId="0"/>
    <cellStyle name="Accent2 4" xfId="0"/>
    <cellStyle name="Accent2 5" xfId="0"/>
    <cellStyle name="Accent2 6" xfId="0"/>
    <cellStyle name="Accent2 7" xfId="0"/>
    <cellStyle name="Accent2 8" xfId="0"/>
    <cellStyle name="Accent2 9" xfId="0"/>
    <cellStyle name="Accent3" xfId="0"/>
    <cellStyle name="Accent3 2" xfId="0"/>
    <cellStyle name="Accent3 3" xfId="0"/>
    <cellStyle name="Accent3 4" xfId="0"/>
    <cellStyle name="Accent3 5" xfId="0"/>
    <cellStyle name="Accent3 6" xfId="0"/>
    <cellStyle name="Accent3 7" xfId="0"/>
    <cellStyle name="Accent3 8" xfId="0"/>
    <cellStyle name="Accent3 9" xfId="0"/>
    <cellStyle name="Accent4" xfId="0"/>
    <cellStyle name="Accent4 2" xfId="0"/>
    <cellStyle name="Accent4 3" xfId="0"/>
    <cellStyle name="Accent4 4" xfId="0"/>
    <cellStyle name="Accent4 5" xfId="0"/>
    <cellStyle name="Accent4 6" xfId="0"/>
    <cellStyle name="Accent4 7" xfId="0"/>
    <cellStyle name="Accent4 8" xfId="0"/>
    <cellStyle name="Accent4 9" xfId="0"/>
    <cellStyle name="Accent5" xfId="0"/>
    <cellStyle name="Accent5 2" xfId="0"/>
    <cellStyle name="Accent5 3" xfId="0"/>
    <cellStyle name="Accent5 4" xfId="0"/>
    <cellStyle name="Accent5 5" xfId="0"/>
    <cellStyle name="Accent5 6" xfId="0"/>
    <cellStyle name="Accent5 7" xfId="0"/>
    <cellStyle name="Accent5 8" xfId="0"/>
    <cellStyle name="Accent5 9" xfId="0"/>
    <cellStyle name="Accent6" xfId="0"/>
    <cellStyle name="Accent6 2" xfId="0"/>
    <cellStyle name="Accent6 3" xfId="0"/>
    <cellStyle name="Accent6 4" xfId="0"/>
    <cellStyle name="Accent6 5" xfId="0"/>
    <cellStyle name="Accent6 6" xfId="0"/>
    <cellStyle name="Accent6 7" xfId="0"/>
    <cellStyle name="Accent6 8" xfId="0"/>
    <cellStyle name="Accent6 9" xfId="0"/>
    <cellStyle name="Accounting [0]" xfId="0"/>
    <cellStyle name="active" xfId="0"/>
    <cellStyle name="Adjustable" xfId="0"/>
    <cellStyle name="AeE?®¨? [0]_INQUIRY ¡??¡?i¡§u?®AA¨?¡þA¨?¨? " xfId="0"/>
    <cellStyle name="AeE?®¨?_INQUIRY ¡??¡?i¡§u?®AA¨?¡þA¨?¨? " xfId="0"/>
    <cellStyle name="AeE¡? [0]_2000¨?OER " xfId="0"/>
    <cellStyle name="AeE¡?_2000¨?OER " xfId="0"/>
    <cellStyle name="AeE¡ERERER¡ERER￠RER¡ER¡E?I [0]_¡ERER￠RER¡ER¡E?I￠RER¡ER￠R￠?I￠RER¡ER￠R￠?￠RERIa¡ERERER¡ERER￠RER¡ER¡E?￠RERER¡ERERERI￠RERER¡ERER￠RER￠RE?uc￠RERER¡ERER￠RER￠RE?oA" xfId="0"/>
    <cellStyle name="AeE¡ERERER¡ERER￠RER¡ER¡E?I_¡ERER￠RER¡ER¡E?I￠RER¡ER￠R￠?I￠RER¡ER￠R￠?￠RERIa¡ERERER¡ERER￠RER¡ER¡E?￠RERER¡ERERERI￠RERER¡ERER￠RER￠RE?uc￠RERER¡ERER￠RER￠RE?oA" xfId="0"/>
    <cellStyle name="AeE¡ER¡§I [0]_¡ER¡§￠R¡§I¡ER￠RE?￠RIiCoE¡§I￠RA" xfId="0"/>
    <cellStyle name="AeE¡ER¡§I_¡ER¡§￠R¡§I¡ER￠RE?￠RIiCoE¡§I￠RA" xfId="0"/>
    <cellStyle name="AeE¡© [0]_¨öCAuA¡ÀAI " xfId="0"/>
    <cellStyle name="AeE¡©_¨öCAuA¡ÀAI " xfId="0"/>
    <cellStyle name="AeE¡ⓒ [0]_¡ÆA¡¤￠R￠￢i¨u¨uC¡I" xfId="0"/>
    <cellStyle name="AeE¡ⓒ_¡ÆA¡¤￠R￠￢i¨u¨uC¡I" xfId="0"/>
    <cellStyle name="AeE¢®¨Ï [0]_¨Ï©ª¢®i¡§¡þI¢®¨¡eE¨Ïo¡Ë¡Íe A¨Ï¡þA¡Ë¢¥A¢®AAI " xfId="0"/>
    <cellStyle name="AeE¢®¨Ï_¨Ï©ª¢®i¡§¡þI¢®¨¡eE¨Ïo¡Ë¡Íe A¨Ï¡þA¡Ë¢¥A¢®AAI " xfId="0"/>
    <cellStyle name="Aee­ " xfId="0"/>
    <cellStyle name="AeE­ [0]_  A¾  CO  " xfId="0"/>
    <cellStyle name="AeE­ [0]_ ¸n A÷_V100 ºI¹I,³≫¼o 2.2 PILOT " xfId="0"/>
    <cellStyle name="AeE­ [0]_ Æ?ÆCAþº° " xfId="0"/>
    <cellStyle name="AeE­ [0]_2.E¿A²ºÐ¼R " xfId="0"/>
    <cellStyle name="AeE­ [0]_3ÆA °³AI " xfId="0"/>
    <cellStyle name="AeE­ [0]_7¿u160AI " xfId="0"/>
    <cellStyle name="AeE­ [0]_96³a½A´cº°¼OAI " xfId="0"/>
    <cellStyle name="AeE­ [0]_Ac°i°u¸® " xfId="0"/>
    <cellStyle name="AeE­ [0]_AMT " xfId="0"/>
    <cellStyle name="AeE­ [0]_AMT _2.E¿A²ºÐ¼R " xfId="0"/>
    <cellStyle name="AeE­ [0]_AMT _AμE￡3¿u " xfId="0"/>
    <cellStyle name="AeE­ [0]_AMT _¹≪¿ª10¿u " xfId="0"/>
    <cellStyle name="AeE­ [0]_Au≫eTB " xfId="0"/>
    <cellStyle name="AeE­ [0]_A|A¶1ºI1°u CoE² " xfId="0"/>
    <cellStyle name="AeE­ [0]_Co´e¾÷¹≪AßAø " xfId="0"/>
    <cellStyle name="AeE­ [0]_INQUIRY ¿μ¾÷AßAø " xfId="0"/>
    <cellStyle name="AeE­ [0]_SP ¹°μ¿¹× ¿UAO " xfId="0"/>
    <cellStyle name="AeE­ [0]_°u¸RC×¸n_¾÷A¾º° " xfId="0"/>
    <cellStyle name="AeE­ [0]_°u¸®C×¸n_¾÷A¾º° " xfId="0"/>
    <cellStyle name="AeE­ [0]_±aA¸" xfId="0"/>
    <cellStyle name="AeE­ [0]_³≫ºI°eE¹´e AßA¤A÷AI " xfId="0"/>
    <cellStyle name="AeE­ [0]_´e±¸" xfId="0"/>
    <cellStyle name="AeE­ [0]_´eºnC￥" xfId="0"/>
    <cellStyle name="AeE­ [0]_´eºnC￥_5,6월 추정" xfId="0"/>
    <cellStyle name="AeE­ [0]_¹≪¿ªA¡Ca≫c°eE¹¼­ " xfId="0"/>
    <cellStyle name="AeE­ [0]_¼oAa½CAu _2.E¿A²ºÐ¼R " xfId="0"/>
    <cellStyle name="AeE­ [0]_¼oAa½CAu _AμE￡3¿u " xfId="0"/>
    <cellStyle name="AeE­ [0]_¼oAa½CAu _Co´e¾÷¹≪AßAø " xfId="0"/>
    <cellStyle name="AeE­ [0]_¼oAa½CAu _¹≪¿ª10¿u " xfId="0"/>
    <cellStyle name="AeE­ [0]_½AA½·a¿ø°¡ " xfId="0"/>
    <cellStyle name="AeE­ [0]_¾÷A¾º° " xfId="0"/>
    <cellStyle name="AeE­ [0]_ÆAC￥Ao_°eE¹3 " xfId="0"/>
    <cellStyle name="AeE­_  A¾  CO  " xfId="0"/>
    <cellStyle name="AeE­_ 2ÆAAþº° " xfId="0"/>
    <cellStyle name="AeE­_ ¸n A÷_V100 ºI¹I,³≫¼o 2.2 PILOT " xfId="0"/>
    <cellStyle name="AeE­_ Æ?ÆCAþº° " xfId="0"/>
    <cellStyle name="AeE­_(AO)AA¿μ 9703" xfId="0"/>
    <cellStyle name="AeE­_2.E¿A²ºÐ¼R " xfId="0"/>
    <cellStyle name="AeE­_3ÆA °³AI " xfId="0"/>
    <cellStyle name="AeE­_7¿u160AI " xfId="0"/>
    <cellStyle name="AeE­_96³a½A´cº°¼OAI " xfId="0"/>
    <cellStyle name="AeE­_Ac°i°u¸® " xfId="0"/>
    <cellStyle name="AeE­_AMT " xfId="0"/>
    <cellStyle name="AeE­_AMT _2.E¿A²ºÐ¼R " xfId="0"/>
    <cellStyle name="AeE­_AMT _¹≪¿ª10¿u " xfId="0"/>
    <cellStyle name="AeE­_Au≫eTB " xfId="0"/>
    <cellStyle name="AeE­_A|A¶1ºI1°u CoE² " xfId="0"/>
    <cellStyle name="AeE­_Co´e¾÷¹≪AßAø " xfId="0"/>
    <cellStyle name="AeE­_INQUIRY ¿μ¾÷AßAø " xfId="0"/>
    <cellStyle name="AeE­_SP ¹°μ¿¹× ¿UAO " xfId="0"/>
    <cellStyle name="AeE­_°u¸RC×¸n_¾÷A¾º° " xfId="0"/>
    <cellStyle name="AeE­_°u¸®C×¸n_¾÷A¾º° " xfId="0"/>
    <cellStyle name="AeE­_±aA¸" xfId="0"/>
    <cellStyle name="AeE­_³≫ºI°eE¹´e AßA¤A÷AI " xfId="0"/>
    <cellStyle name="AeE­_´eºnC￥" xfId="0"/>
    <cellStyle name="AeE­_´eºnC￥_유형자산증감명세서(for refer)" xfId="0"/>
    <cellStyle name="AeE­_¸AAa¿¹≫e " xfId="0"/>
    <cellStyle name="AeE­_¹≪¿ªA¡Ca≫c°eE¹¼­ " xfId="0"/>
    <cellStyle name="AeE­_¼oAa½CAu _2.E¿A²ºÐ¼R " xfId="0"/>
    <cellStyle name="AeE­_¼oAa½CAu _Co´e¾÷¹≪AßAø " xfId="0"/>
    <cellStyle name="AeE­_¼oAa½CAu _¹≪¿ª10¿u " xfId="0"/>
    <cellStyle name="AeE­_½AA½·a¿ø°¡ " xfId="0"/>
    <cellStyle name="AeE­_½CAuCoE² " xfId="0"/>
    <cellStyle name="AeE­_ÆAC￥Ao_°eE¹3 " xfId="0"/>
    <cellStyle name="AeE￠R¨I [0]_¡§￠Ri¡§u¡§¡þ¡§¡þI¡§u￠R¨I" xfId="0"/>
    <cellStyle name="AeE￠R¨I_¡§￠Ri¡§u¡§¡þ¡§¡þI¡§u￠R¨I" xfId="0"/>
    <cellStyle name="ALIGNMENT" xfId="0"/>
    <cellStyle name="AminPageHeading" xfId="0"/>
    <cellStyle name="amount" xfId="0"/>
    <cellStyle name="AoA¤μCAo ¾EA½" xfId="0"/>
    <cellStyle name="args.style" xfId="0"/>
    <cellStyle name="Arial 10" xfId="0"/>
    <cellStyle name="Arial 12" xfId="0"/>
    <cellStyle name="AskSide" xfId="0"/>
    <cellStyle name="AutoFormat Options" xfId="0"/>
    <cellStyle name="A¡§¡?¡?¡þ¡?O [0]_INQUIRY ¡??¡?i¡§u?®AA¨?¡þA¨?¨? " xfId="0"/>
    <cellStyle name="A¡§¡?¡?¡þ¡?O_INQUIRY ¡??¡?i¡§u?®AA¨?¡þA¨?¨? " xfId="0"/>
    <cellStyle name="A¡§¡©¡Ë¡þ¡ËO [0]_¨Ï©ª¢®i¡§¡þI¢®¨¡eE¨Ïo¡Ë¡Íe A¨Ï¡þA¡Ë¢¥A¢®AAI " xfId="0"/>
    <cellStyle name="A¡§¡©¡Ë¡þ¡ËO_¨Ï©ª¢®i¡§¡þI¢®¨¡eE¨Ïo¡Ë¡Íe A¨Ï¡þA¡Ë¢¥A¢®AAI " xfId="0"/>
    <cellStyle name="A¡§¡ⓒ¡E¡þ¡EO [0]_¡§￠Ri¡§u¡§¡þ¡§¡þI¡§u￠R¨I" xfId="0"/>
    <cellStyle name="A¡§¡ⓒ¡E¡þ¡EO_¡§￠Ri¡§u¡§¡þ¡§¡þI¡§u￠R¨I" xfId="0"/>
    <cellStyle name="A¨­???? [0]_2000¨?OER " xfId="0"/>
    <cellStyle name="A¨­????_2000¨?OER " xfId="0"/>
    <cellStyle name="A¨­¢¬¢Ò [0]_2000¨ùOER " xfId="0"/>
    <cellStyle name="A¨­¢¬¢Ò [0]_2000¨ùOER  2" xfId="0"/>
    <cellStyle name="A¨­¢¬¢Ò [0]_2000¨ùOER  3" xfId="0"/>
    <cellStyle name="A¨­¢¬¢Ò [0]_2000¨ùOER  4" xfId="0"/>
    <cellStyle name="A¨­¢¬¢Ò [0]_INQUIRY ¢¯¥ì¨ú¡ÀA©¬A©ª " xfId="0"/>
    <cellStyle name="A¨­¢¬¢Ò [0]_¨öCAuA¡ÀAI " xfId="0"/>
    <cellStyle name="A¨­¢¬¢Ò [0]_©ø¡í¨¬I¡ÆeE©ö¢¥e A©¬A¢´A¡ÀAI " xfId="0"/>
    <cellStyle name="A¨­¢¬¢Ò_2000¨ùOER " xfId="0"/>
    <cellStyle name="A¨­¢¬¢Ò_2000¨ùOER  2" xfId="0"/>
    <cellStyle name="A¨­¢¬¢Ò_2000¨ùOER  3" xfId="0"/>
    <cellStyle name="A¨­¢¬¢Ò_2000¨ùOER  4" xfId="0"/>
    <cellStyle name="A¨­¢¬¢Ò_INQUIRY ¢¯¥ì¨ú¡ÀA©¬A©ª " xfId="0"/>
    <cellStyle name="A¨­¢¬¢Ò_¨öCAuA¡ÀAI " xfId="0"/>
    <cellStyle name="A¨­¢¬¢Ò_©ø¡í¨¬I¡ÆeE©ö¢¥e A©¬A¢´A¡ÀAI " xfId="0"/>
    <cellStyle name="A¨­￠￢￠O [0]_2-4" xfId="0"/>
    <cellStyle name="A¨­￠￢￠O [0]_2000¨uOER " xfId="0"/>
    <cellStyle name="A¨­￠￢￠O [0]_2000¨uOER  2" xfId="0"/>
    <cellStyle name="A¨­￠￢￠O [0]_2000¨uOER  3" xfId="0"/>
    <cellStyle name="A¨­￠￢￠O [0]_2000¨uOER  4" xfId="0"/>
    <cellStyle name="A¨­￠￢￠O [0]_REVIEWPO jul" xfId="0"/>
    <cellStyle name="A¨­￠￢￠O [0]_¡ÆA¡¤￠R￠￢i¨u¨uC¡I" xfId="0"/>
    <cellStyle name="A¨­￠￢￠O [0]_¨uoAa¨oCAu " xfId="0"/>
    <cellStyle name="A¨­￠￢￠O_2000¨uOER " xfId="0"/>
    <cellStyle name="A¨­￠￢￠O_2000¨uOER  2" xfId="0"/>
    <cellStyle name="A¨­￠￢￠O_2000¨uOER  3" xfId="0"/>
    <cellStyle name="A¨­￠￢￠O_2000¨uOER  4" xfId="0"/>
    <cellStyle name="A¨­￠￢￠O_AO¨uRCN¡¾U " xfId="0"/>
    <cellStyle name="A¨­￠￢￠O_REVIEWPO jul" xfId="0"/>
    <cellStyle name="A¨­￠￢￠O_¡ÆA¡¤￠R￠￢i¨u¨uC¡I" xfId="0"/>
    <cellStyle name="A¨­￠￢￠O_¨uoAa¨oCAu " xfId="0"/>
    <cellStyle name="AÞ¸¶ [0]_  A¾  CO  " xfId="0"/>
    <cellStyle name="AÞ¸¶ [0]_ ¸n A÷_V100 ºI¹I,³≫¼o 2.2 PILOT " xfId="0"/>
    <cellStyle name="AÞ¸¶ [0]_ Æ?ÆCAþº° " xfId="0"/>
    <cellStyle name="AÞ¸¶ [0]_2¿u¸AAa " xfId="0"/>
    <cellStyle name="AÞ¸¶ [0]_3ÆA °³AI " xfId="0"/>
    <cellStyle name="AÞ¸¶ [0]_7¿u160AI " xfId="0"/>
    <cellStyle name="AÞ¸¶ [0]_Ac°i°u¸R " xfId="0"/>
    <cellStyle name="AÞ¸¶ [0]_Au≫eTB " xfId="0"/>
    <cellStyle name="AÞ¸¶ [0]_A|A¶1ºI1°u CoE² " xfId="0"/>
    <cellStyle name="AÞ¸¶ [0]_Co´e¾÷¹≪AßAø " xfId="0"/>
    <cellStyle name="AÞ¸¶ [0]_INQUIRY ¿μ¾÷AßAø " xfId="0"/>
    <cellStyle name="AÞ¸¶ [0]_laroux_Ac°i°u¸R " xfId="0"/>
    <cellStyle name="AÞ¸¶ [0]_°u¸RC×¸n_¾÷A¾º° " xfId="0"/>
    <cellStyle name="AÞ¸¶ [0]_°u¸®C×¸n_¾÷A¾º° " xfId="0"/>
    <cellStyle name="AÞ¸¶ [0]_±aA¸" xfId="0"/>
    <cellStyle name="AÞ¸¶ [0]_´aº¸AE°u" xfId="0"/>
    <cellStyle name="AÞ¸¶ [0]_´eºnC￥" xfId="0"/>
    <cellStyle name="AÞ¸¶ [0]_¸AAa¿¹≫e " xfId="0"/>
    <cellStyle name="AÞ¸¶ [0]_¼oAa½CAu _2.E¿A²ºÐ¼R " xfId="0"/>
    <cellStyle name="AÞ¸¶ [0]_¼oAa½CAu _AμE￡3¿u " xfId="0"/>
    <cellStyle name="AÞ¸¶ [0]_¼oAa½CAu _Co´e¾÷¹≪AßAø " xfId="0"/>
    <cellStyle name="AÞ¸¶ [0]_¼oAa½CAu _¹≪¿ª10¿u " xfId="0"/>
    <cellStyle name="AÞ¸¶ [0]_½AA½·a¿ø°¡ " xfId="0"/>
    <cellStyle name="AÞ¸¶ [0]_½CAuCoE² " xfId="0"/>
    <cellStyle name="AÞ¸¶_  A¾  CO  " xfId="0"/>
    <cellStyle name="AÞ¸¶_ 2ÆAAþº° " xfId="0"/>
    <cellStyle name="AÞ¸¶_ Æ?ÆCAþº° " xfId="0"/>
    <cellStyle name="AÞ¸¶_(AO)AA¿μ 9703" xfId="0"/>
    <cellStyle name="AÞ¸¶_2¿u¸AAa " xfId="0"/>
    <cellStyle name="AÞ¸¶_3ÆA °³AI " xfId="0"/>
    <cellStyle name="AÞ¸¶_7°eE¹ " xfId="0"/>
    <cellStyle name="AÞ¸¶_Ac°i°u¸R " xfId="0"/>
    <cellStyle name="AÞ¸¶_Au≫eTB " xfId="0"/>
    <cellStyle name="AÞ¸¶_A|A¶1ºI1°u CoE² " xfId="0"/>
    <cellStyle name="AÞ¸¶_Co´e¾÷¹≪AßAø " xfId="0"/>
    <cellStyle name="AÞ¸¶_INQUIRY ¿μ¾÷AßAø " xfId="0"/>
    <cellStyle name="AÞ¸¶_laroux_Ac°i°u¸R " xfId="0"/>
    <cellStyle name="AÞ¸¶_°u¸RC×¸n_¾÷A¾º° " xfId="0"/>
    <cellStyle name="AÞ¸¶_°u¸®C×¸n_¾÷A¾º° " xfId="0"/>
    <cellStyle name="AÞ¸¶_±aA¸" xfId="0"/>
    <cellStyle name="AÞ¸¶_´eºnC￥" xfId="0"/>
    <cellStyle name="AÞ¸¶_¸AAa¿¹≫e " xfId="0"/>
    <cellStyle name="AÞ¸¶_¼oAa½CAu _2.E¿A²ºÐ¼R " xfId="0"/>
    <cellStyle name="AÞ¸¶_¼oAa½CAu _Co´e¾÷¹≪AßAø " xfId="0"/>
    <cellStyle name="AÞ¸¶_¼oAa½CAu _¹≪¿ª10¿u " xfId="0"/>
    <cellStyle name="AÞ¸¶_½AA½·a¿ø°¡ " xfId="0"/>
    <cellStyle name="AÞ¸¶_½CAuCoE² " xfId="0"/>
    <cellStyle name="AëE­ [0]_1ÇAu " xfId="0"/>
    <cellStyle name="AëE­ [0]_Aç°í°ü¸® " xfId="0"/>
    <cellStyle name="AëE­ [0]_Aç°í°ü¸®  2" xfId="0"/>
    <cellStyle name="AëE­ [0]_Aç°í°ü¸®  3" xfId="0"/>
    <cellStyle name="AëE­ [0]_Aç°í°ü¸®  4" xfId="0"/>
    <cellStyle name="AëE­ [0]_SP 1°µ?1× ?ÜÁÖ " xfId="0"/>
    <cellStyle name="AëE­ [0]_°ü¸®Ç×¸n_3÷Á3o° " xfId="0"/>
    <cellStyle name="AëE­ [0]_´ëÇü±¸ " xfId="0"/>
    <cellStyle name="AëE­_1ÇAu " xfId="0"/>
    <cellStyle name="AëE­_Aç°í°ü¸® " xfId="0"/>
    <cellStyle name="AëE­_Aç°í°ü¸®  2" xfId="0"/>
    <cellStyle name="AëE­_Aç°í°ü¸®  3" xfId="0"/>
    <cellStyle name="AëE­_Aç°í°ü¸®  4" xfId="0"/>
    <cellStyle name="AëE­_SP 1°µ?1× ?ÜÁÖ " xfId="0"/>
    <cellStyle name="AëE­_°ü¸®Ç×¸n_3÷Á3o° " xfId="0"/>
    <cellStyle name="AëE­_´ëÇü±¸ " xfId="0"/>
    <cellStyle name="A￠RERER¡ERER￠RER￠RE?￠RERER￠RER¡ER￠R￠?I￠RERERE￠RERER¡ER￠R¡¿I￠RER￠R¡×I￠REREREO [0]_¡ERER￠RER¡ER¡E?I￠RER¡ER￠R￠?I￠RER¡ER￠R￠?￠RERIa¡ERERER¡ERER￠RER¡ER¡E?￠RERER¡ERERERI￠RERER¡ERER￠RER￠RE?uc￠RERER¡ERER￠RER￠RE?oA" xfId="0"/>
    <cellStyle name="A￠RERER¡ERER￠RER￠RE?￠RERER￠RER¡ER￠R￠?I￠RERERE￠RERER¡ER￠R¡¿I￠RER￠R¡×I￠REREREO_¡ERER￠RER¡ER¡E?I￠RER¡ER￠R￠?I￠RER¡ER￠R￠?￠RERIa¡ERERER¡ERER￠RER¡ER¡E?￠RERER¡ERERERI￠RERER¡ERER￠RER￠RE?uc￠RERER¡ERER￠RER￠RE?oA" xfId="0"/>
    <cellStyle name="A￠R¡×￠R¨I￠RE￠Rⓒ­￠REO [0]_¡ER¡§￠R¡§I¡ER￠RE?￠RIiCoE¡§I￠RA" xfId="0"/>
    <cellStyle name="A￠R¡×￠R¨I￠RE￠Rⓒ­￠REO_¡ER¡§￠R¡§I¡ER￠RE?￠RIiCoE¡§I￠RA" xfId="0"/>
    <cellStyle name="B" xfId="0"/>
    <cellStyle name="b0let" xfId="0"/>
    <cellStyle name="Bad 1" xfId="0"/>
    <cellStyle name="Bad 2" xfId="0"/>
    <cellStyle name="Bad 3" xfId="0"/>
    <cellStyle name="Bad 4" xfId="0"/>
    <cellStyle name="Bad 5" xfId="0"/>
    <cellStyle name="Bad 6" xfId="0"/>
    <cellStyle name="Bad 7" xfId="0"/>
    <cellStyle name="Bad 8" xfId="0"/>
    <cellStyle name="Bad 9" xfId="0"/>
    <cellStyle name="BidSide" xfId="0"/>
    <cellStyle name="black" xfId="0"/>
    <cellStyle name="blue$00" xfId="0"/>
    <cellStyle name="BM" xfId="0"/>
    <cellStyle name="BM 2" xfId="0"/>
    <cellStyle name="BM 3" xfId="0"/>
    <cellStyle name="BM 4" xfId="0"/>
    <cellStyle name="Body" xfId="0"/>
    <cellStyle name="Body text" xfId="0"/>
    <cellStyle name="Bol-Data" xfId="0"/>
    <cellStyle name="Bold" xfId="0"/>
    <cellStyle name="Bold/Border" xfId="0"/>
    <cellStyle name="bolet" xfId="0"/>
    <cellStyle name="Boletim" xfId="0"/>
    <cellStyle name="BOYLGOTHIC" xfId="0"/>
    <cellStyle name="BOYSTYLE" xfId="0"/>
    <cellStyle name="British Pound" xfId="0"/>
    <cellStyle name="Bullet" xfId="0"/>
    <cellStyle name="b⠴ƨ஖b⡜ƨ஦b⢈ƨஶb⹀ƨெb⹬ƨ௖b⺨ƨ௦b⻄ƨ௶b⻤ƨఆb⢴ƨఖb⣠ƨధb⣸ƨశb⤈ƨెb⤰ƨౖb⼄ƨ౦b⼸ƨ౶b⽼ƨಆb⾠ƨಖb⿈ƨದb　ƨಶb〸ƨೆbぴƨೖbエƨ೦bレƨ೶b㝀ƨആb㝸ƨഖb㞼ƨദb㠄ƨശb㡌ƨെbㄔƨൖbㅌƨ൦bㆈƨ൶bㆰƨආb㇨ƨඖb㢘ƨඦb㣀ƨබb㣴ƨෆb㤬ƨූb㥤ƨ෦b㦬ƨ෶b㧨ƨฆb㨐ƨถb㨸ƨฦb㩬ƨึb䅰ƨๆb䆴ƨ๖b䇼ƨ๦b䉀ƨ๶b䊈ƨຆb㪤ƨຖb㬀ƨ຦b㭈ƨຶb㮜ƨໆb㰄ƨ໖b䋔ƨ໦b䌌ƨ໶b䌸ƨ༆b䍠ƨ༖b䎘ƨ༦b䏠ƨ༶b䐜ƨཆb䑔ƨབb䒘ƨསb䓠ƨྲྀb䲔ƨ" xfId="0"/>
    <cellStyle name="b⣠ƨధb⣸ƨశb⤈ƨెb⤰ƨౖb⼄ƨ౦b⼸ƨ౶b⽼ƨಆb⾠ƨಖb⿈ƨದb　ƨಶb〸ƨೆbぴƨೖbエƨ೦bレƨ೶b㝀ƨആb㝸ƨഖb㞼ƨദb㠄ƨശb㡌ƨെbㄔƨൖbㅌƨ൦bㆈƨ൶bㆰƨආb㇨ƨඖb㢘ƨඦb㣀ƨබb㣴ƨෆb㤬ƨූb㥤ƨ෦b㦬ƨ෶b㧨ƨฆb㨐ƨถb㨸ƨฦb㩬ƨึb䅰ƨๆb䆴ƨ๖b䇼ƨ๦b䉀ƨ๶b䊈ƨຆb㪤ƨຖb㬀ƨ຦b㭈ƨຶb㮜ƨໆb㰄ƨ໖b䋔ƨ໦b䌌ƨ໶b䌸ƨ༆b䍠ƨ༖b䎘ƨ༦b䏠ƨ༶b䐜ƨཆb䑔ƨབb䒘ƨསb䓠ƨྲྀb䲔ƨ྆b䳠ƨྖb䴰ƨྦb䶌ƨྶb䶬ƨ࿆b䔨ƨ࿖b䕜ƨ࿦b䖄ƨ࿶b䖸ƨဆb䗠ƨ" xfId="0"/>
    <cellStyle name="b⼸ƨ౶b⽼ƨಆb⾠ƨಖb⿈ƨದb　ƨಶb〸ƨೆbぴƨೖbエƨ೦bレƨ೶b㝀ƨആb㝸ƨഖb㞼ƨദb㠄ƨശb㡌ƨെbㄔƨൖbㅌƨ൦bㆈƨ൶bㆰƨආb㇨ƨඖb㢘ƨඦb㣀ƨබb㣴ƨෆb㤬ƨූb㥤ƨ෦b㦬ƨ෶b㧨ƨฆb㨐ƨถb㨸ƨฦb㩬ƨึb䅰ƨๆb䆴ƨ๖b䇼ƨ๦b䉀ƨ๶b䊈ƨຆb㪤ƨຖb㬀ƨ຦b㭈ƨຶb㮜ƨໆb㰄ƨ໖b䋔ƨ໦b䌌ƨ໶b䌸ƨ༆b䍠ƨ༖b䎘ƨ༦b䏠ƨ༶b䐜ƨཆb䑔ƨབb䒘ƨསb䓠ƨྲྀb䲔ƨ྆b䳠ƨྖb䴰ƨྦb䶌ƨྶb䶬ƨ࿆b䔨ƨ࿖b䕜ƨ࿦b䖄ƨ࿶b䖸ƨဆb䗠ƨဖb䷔ƨဦb䷼ƨံb丰ƨ၆b乘ƨၖb亐ƨ" xfId="0"/>
    <cellStyle name="b悰Š_x0017_ìéÚõ_Sub-letting Status" xfId="0"/>
    <cellStyle name="C" xfId="0"/>
    <cellStyle name="C01_Page_head" xfId="0"/>
    <cellStyle name="C02_Date line" xfId="0"/>
    <cellStyle name="C03_Col head general" xfId="0"/>
    <cellStyle name="C04_Note col head" xfId="0"/>
    <cellStyle name="C05_Current yr col head" xfId="0"/>
    <cellStyle name="C05a_Parent Current col head" xfId="0"/>
    <cellStyle name="C06_Previous yr col head" xfId="0"/>
    <cellStyle name="C06a_Parent Previous col head" xfId="0"/>
    <cellStyle name="C07a_Parent col heads" xfId="0"/>
    <cellStyle name="C08_Table text" xfId="0"/>
    <cellStyle name="C09_Text" xfId="0"/>
    <cellStyle name="C10_Text subhead" xfId="0"/>
    <cellStyle name="C11_Note head" xfId="0"/>
    <cellStyle name="C12_Annotation" xfId="0"/>
    <cellStyle name="C13_Annotation Superiors" xfId="0"/>
    <cellStyle name="C14_Current year figs" xfId="0"/>
    <cellStyle name="C14a_Current Year Figs 2 dec" xfId="0"/>
    <cellStyle name="C14b_Current Year Figs 3 dec" xfId="0"/>
    <cellStyle name="C14d_Current Year Figs 1 dec" xfId="0"/>
    <cellStyle name="C15_Previous year figs" xfId="0"/>
    <cellStyle name="C15a_Previous year figs 2 dec" xfId="0"/>
    <cellStyle name="C15b_Prevoius Year Figs 3 dec" xfId="0"/>
    <cellStyle name="C15c_Previous year %" xfId="0"/>
    <cellStyle name="C15d_Previous Year Figs 1 dec" xfId="0"/>
    <cellStyle name="C16_Note_figs" xfId="0"/>
    <cellStyle name="C17_Parent Current yr figs" xfId="0"/>
    <cellStyle name="C18_Parent Previous yr figs" xfId="0"/>
    <cellStyle name="C19_Regular figs" xfId="0"/>
    <cellStyle name="C23_Folios" xfId="0"/>
    <cellStyle name="C?AØ_¿µ¾÷CoE² " xfId="0"/>
    <cellStyle name="C?®IA¡§¨?_¡??¡?i¡§u?®ACoE¨?¡? " xfId="0"/>
    <cellStyle name="c_Fin Covenants check" xfId="0"/>
    <cellStyle name="c_Fin Covenants check_New Business Plan_final(1)" xfId="0"/>
    <cellStyle name="c_Fin Covenants check_sales" xfId="0"/>
    <cellStyle name="C_자산손상_(주)LG_v3" xfId="0"/>
    <cellStyle name="Calc Currency (0)" xfId="0"/>
    <cellStyle name="Calc Currency (0) 2" xfId="0"/>
    <cellStyle name="Calc Currency (0) 3" xfId="0"/>
    <cellStyle name="Calc Currency (0) 4" xfId="0"/>
    <cellStyle name="Calc Currency (2)" xfId="0"/>
    <cellStyle name="Calc Currency (2) 2" xfId="0"/>
    <cellStyle name="Calc opsec" xfId="0"/>
    <cellStyle name="Calc Percent (0)" xfId="0"/>
    <cellStyle name="Calc Percent (0) 2" xfId="0"/>
    <cellStyle name="Calc Percent (1)" xfId="0"/>
    <cellStyle name="Calc Percent (1) 2" xfId="0"/>
    <cellStyle name="Calc Percent (2)" xfId="0"/>
    <cellStyle name="Calc Percent (2) 2" xfId="0"/>
    <cellStyle name="Calc Units (0)" xfId="0"/>
    <cellStyle name="Calc Units (0) 2" xfId="0"/>
    <cellStyle name="Calc Units (1)" xfId="0"/>
    <cellStyle name="Calc Units (1) 2" xfId="0"/>
    <cellStyle name="Calc Units (2)" xfId="0"/>
    <cellStyle name="Calc Units (2) 2" xfId="0"/>
    <cellStyle name="Calculation" xfId="0"/>
    <cellStyle name="Calculation 2" xfId="0"/>
    <cellStyle name="Calculation 3" xfId="0"/>
    <cellStyle name="Calculation 4" xfId="0"/>
    <cellStyle name="Calculation 5" xfId="0"/>
    <cellStyle name="Calculation 6" xfId="0"/>
    <cellStyle name="Calculation 7" xfId="0"/>
    <cellStyle name="Calculation 8" xfId="0"/>
    <cellStyle name="Calculation 9" xfId="0"/>
    <cellStyle name="carky [0]_laroux" xfId="0"/>
    <cellStyle name="carky_laroux" xfId="0"/>
    <cellStyle name="Case" xfId="0"/>
    <cellStyle name="category" xfId="0"/>
    <cellStyle name="category 2" xfId="0"/>
    <cellStyle name="ccs" xfId="0"/>
    <cellStyle name="Cena" xfId="0"/>
    <cellStyle name="Centered" xfId="0"/>
    <cellStyle name="Centered Heading" xfId="0"/>
    <cellStyle name="CenterHead" xfId="0"/>
    <cellStyle name="CHANGE" xfId="0"/>
    <cellStyle name="Check Cell" xfId="0"/>
    <cellStyle name="Check Cell 2" xfId="0"/>
    <cellStyle name="Check Cell 3" xfId="0"/>
    <cellStyle name="Check Cell 4" xfId="0"/>
    <cellStyle name="Check Cell 5" xfId="0"/>
    <cellStyle name="Check Cell 6" xfId="0"/>
    <cellStyle name="Check Cell 7" xfId="0"/>
    <cellStyle name="Check Cell 8" xfId="0"/>
    <cellStyle name="Check Cell 9" xfId="0"/>
    <cellStyle name="Chiffres conso" xfId="0"/>
    <cellStyle name="CIAIÆU¸μAⓒ" xfId="0"/>
    <cellStyle name="Col Heads" xfId="0"/>
    <cellStyle name="Column Headings" xfId="0"/>
    <cellStyle name="Column Numbers" xfId="0"/>
    <cellStyle name="Column_Title" xfId="0"/>
    <cellStyle name="columns_array" xfId="0"/>
    <cellStyle name="Comma" xfId="0"/>
    <cellStyle name="Comma  - Style1" xfId="0"/>
    <cellStyle name="Comma  - Style2" xfId="0"/>
    <cellStyle name="Comma  - Style3" xfId="0"/>
    <cellStyle name="Comma  - Style4" xfId="0"/>
    <cellStyle name="Comma  - Style5" xfId="0"/>
    <cellStyle name="Comma  - Style6" xfId="0"/>
    <cellStyle name="Comma  - Style7" xfId="0"/>
    <cellStyle name="Comma  - Style8" xfId="0"/>
    <cellStyle name="Comma  - 유형6" xfId="0"/>
    <cellStyle name="Comma 0.0" xfId="0"/>
    <cellStyle name="Comma 0.00" xfId="0"/>
    <cellStyle name="Comma 0.000" xfId="0"/>
    <cellStyle name="Comma 2" xfId="0"/>
    <cellStyle name="Comma 3" xfId="0"/>
    <cellStyle name="Comma 3 2" xfId="0"/>
    <cellStyle name="Comma 4" xfId="0"/>
    <cellStyle name="Comma 5" xfId="0"/>
    <cellStyle name="Comma 5 2" xfId="0"/>
    <cellStyle name="Comma [0.00]" xfId="0"/>
    <cellStyle name="Comma [0.0]" xfId="0"/>
    <cellStyle name="Comma [00]" xfId="0"/>
    <cellStyle name="Comma [00] 2" xfId="0"/>
    <cellStyle name="Comma [0]" xfId="0"/>
    <cellStyle name="Comma [0] 10" xfId="0"/>
    <cellStyle name="Comma [0] 11" xfId="0"/>
    <cellStyle name="Comma [0] 12" xfId="0"/>
    <cellStyle name="Comma [0] 13" xfId="0"/>
    <cellStyle name="Comma [0] 14" xfId="0"/>
    <cellStyle name="Comma [0] 15" xfId="0"/>
    <cellStyle name="Comma [0] 16" xfId="0"/>
    <cellStyle name="Comma [0] 17" xfId="0"/>
    <cellStyle name="Comma [0] 18" xfId="0"/>
    <cellStyle name="Comma [0] 19" xfId="0"/>
    <cellStyle name="Comma [0] 2" xfId="0"/>
    <cellStyle name="Comma [0] 2 10" xfId="0"/>
    <cellStyle name="Comma [0] 2 11" xfId="0"/>
    <cellStyle name="Comma [0] 2 11 2" xfId="0"/>
    <cellStyle name="Comma [0] 2 11 3" xfId="0"/>
    <cellStyle name="Comma [0] 2 11 4" xfId="0"/>
    <cellStyle name="Comma [0] 2 12" xfId="0"/>
    <cellStyle name="Comma [0] 2 12 2" xfId="0"/>
    <cellStyle name="Comma [0] 2 12 3" xfId="0"/>
    <cellStyle name="Comma [0] 2 12 4" xfId="0"/>
    <cellStyle name="Comma [0] 2 13" xfId="0"/>
    <cellStyle name="Comma [0] 2 13 2" xfId="0"/>
    <cellStyle name="Comma [0] 2 13 3" xfId="0"/>
    <cellStyle name="Comma [0] 2 13 4" xfId="0"/>
    <cellStyle name="Comma [0] 2 14" xfId="0"/>
    <cellStyle name="Comma [0] 2 14 2" xfId="0"/>
    <cellStyle name="Comma [0] 2 14 3" xfId="0"/>
    <cellStyle name="Comma [0] 2 14 4" xfId="0"/>
    <cellStyle name="Comma [0] 2 15" xfId="0"/>
    <cellStyle name="Comma [0] 2 2" xfId="0"/>
    <cellStyle name="Comma [0] 2 2 2" xfId="0"/>
    <cellStyle name="Comma [0] 2 2 2 2" xfId="0"/>
    <cellStyle name="Comma [0] 2 2 2 3" xfId="0"/>
    <cellStyle name="Comma [0] 2 2 2 4" xfId="0"/>
    <cellStyle name="Comma [0] 2 2 3" xfId="0"/>
    <cellStyle name="Comma [0] 2 2 3 2" xfId="0"/>
    <cellStyle name="Comma [0] 2 2 3 3" xfId="0"/>
    <cellStyle name="Comma [0] 2 2 3 4" xfId="0"/>
    <cellStyle name="Comma [0] 2 2 4" xfId="0"/>
    <cellStyle name="Comma [0] 2 2 4 2" xfId="0"/>
    <cellStyle name="Comma [0] 2 2 4 3" xfId="0"/>
    <cellStyle name="Comma [0] 2 2 4 4" xfId="0"/>
    <cellStyle name="Comma [0] 2 2 5" xfId="0"/>
    <cellStyle name="Comma [0] 2 2 5 2" xfId="0"/>
    <cellStyle name="Comma [0] 2 2 5 3" xfId="0"/>
    <cellStyle name="Comma [0] 2 2 5 4" xfId="0"/>
    <cellStyle name="Comma [0] 2 2 6" xfId="0"/>
    <cellStyle name="Comma [0] 2 2 7" xfId="0"/>
    <cellStyle name="Comma [0] 2 2 8" xfId="0"/>
    <cellStyle name="Comma [0] 2 3" xfId="0"/>
    <cellStyle name="Comma [0] 2 3 2" xfId="0"/>
    <cellStyle name="Comma [0] 2 3 3" xfId="0"/>
    <cellStyle name="Comma [0] 2 3 4" xfId="0"/>
    <cellStyle name="Comma [0] 2 3 5" xfId="0"/>
    <cellStyle name="Comma [0] 2 4" xfId="0"/>
    <cellStyle name="Comma [0] 2 5" xfId="0"/>
    <cellStyle name="Comma [0] 2 6" xfId="0"/>
    <cellStyle name="Comma [0] 2 7" xfId="0"/>
    <cellStyle name="Comma [0] 2 8" xfId="0"/>
    <cellStyle name="Comma [0] 2 9" xfId="0"/>
    <cellStyle name="Comma [0] 20" xfId="0"/>
    <cellStyle name="Comma [0] 21" xfId="0"/>
    <cellStyle name="Comma [0] 22" xfId="0"/>
    <cellStyle name="Comma [0] 3" xfId="0"/>
    <cellStyle name="Comma [0] 3 10" xfId="0"/>
    <cellStyle name="Comma [0] 3 11" xfId="0"/>
    <cellStyle name="Comma [0] 3 12" xfId="0"/>
    <cellStyle name="Comma [0] 3 12 2" xfId="0"/>
    <cellStyle name="Comma [0] 3 12 3" xfId="0"/>
    <cellStyle name="Comma [0] 3 12 4" xfId="0"/>
    <cellStyle name="Comma [0] 3 13" xfId="0"/>
    <cellStyle name="Comma [0] 3 13 2" xfId="0"/>
    <cellStyle name="Comma [0] 3 13 3" xfId="0"/>
    <cellStyle name="Comma [0] 3 13 4" xfId="0"/>
    <cellStyle name="Comma [0] 3 14" xfId="0"/>
    <cellStyle name="Comma [0] 3 14 2" xfId="0"/>
    <cellStyle name="Comma [0] 3 14 3" xfId="0"/>
    <cellStyle name="Comma [0] 3 14 4" xfId="0"/>
    <cellStyle name="Comma [0] 3 15" xfId="0"/>
    <cellStyle name="Comma [0] 3 15 2" xfId="0"/>
    <cellStyle name="Comma [0] 3 15 3" xfId="0"/>
    <cellStyle name="Comma [0] 3 15 4" xfId="0"/>
    <cellStyle name="Comma [0] 3 16" xfId="0"/>
    <cellStyle name="Comma [0] 3 2" xfId="0"/>
    <cellStyle name="Comma [0] 3 2 2" xfId="0"/>
    <cellStyle name="Comma [0] 3 2 3" xfId="0"/>
    <cellStyle name="Comma [0] 3 2 4" xfId="0"/>
    <cellStyle name="Comma [0] 3 3" xfId="0"/>
    <cellStyle name="Comma [0] 3 3 2" xfId="0"/>
    <cellStyle name="Comma [0] 3 3 3" xfId="0"/>
    <cellStyle name="Comma [0] 3 3 4" xfId="0"/>
    <cellStyle name="Comma [0] 3 3 5" xfId="0"/>
    <cellStyle name="Comma [0] 3 4" xfId="0"/>
    <cellStyle name="Comma [0] 3 5" xfId="0"/>
    <cellStyle name="Comma [0] 3 6" xfId="0"/>
    <cellStyle name="Comma [0] 3 7" xfId="0"/>
    <cellStyle name="Comma [0] 3 8" xfId="0"/>
    <cellStyle name="Comma [0] 3 9" xfId="0"/>
    <cellStyle name="Comma [0] 4" xfId="0"/>
    <cellStyle name="Comma [0] 4 10" xfId="0"/>
    <cellStyle name="Comma [0] 4 2" xfId="0"/>
    <cellStyle name="Comma [0] 4 3" xfId="0"/>
    <cellStyle name="Comma [0] 4 4" xfId="0"/>
    <cellStyle name="Comma [0] 4 5" xfId="0"/>
    <cellStyle name="Comma [0] 4 6" xfId="0"/>
    <cellStyle name="Comma [0] 4 7" xfId="0"/>
    <cellStyle name="Comma [0] 4 8" xfId="0"/>
    <cellStyle name="Comma [0] 4 9" xfId="0"/>
    <cellStyle name="Comma [0] 5" xfId="0"/>
    <cellStyle name="Comma [0] 5 2" xfId="0"/>
    <cellStyle name="Comma [0] 6" xfId="0"/>
    <cellStyle name="Comma [0] 7" xfId="0"/>
    <cellStyle name="Comma [0] 8" xfId="0"/>
    <cellStyle name="Comma [0] 9" xfId="0"/>
    <cellStyle name="Comma [0]_ SG&amp;A Bridge " xfId="0"/>
    <cellStyle name="comma zerodec" xfId="0"/>
    <cellStyle name="comma zerodec 2" xfId="0"/>
    <cellStyle name="Comma,0" xfId="0"/>
    <cellStyle name="Comma,1" xfId="0"/>
    <cellStyle name="Comma,2" xfId="0"/>
    <cellStyle name="Comma0" xfId="0"/>
    <cellStyle name="Comma0 - 유형3" xfId="0"/>
    <cellStyle name="Comma0 - 유형4" xfId="0"/>
    <cellStyle name="Comma0 - 유형5" xfId="0"/>
    <cellStyle name="Comma0 2" xfId="0"/>
    <cellStyle name="Comma0_2005정보통신 공제조합검토조서cha" xfId="0"/>
    <cellStyle name="Comma1 - 유형1" xfId="0"/>
    <cellStyle name="Comma_ SG&amp;A Bridge " xfId="0"/>
    <cellStyle name="comment" xfId="0"/>
    <cellStyle name="comment2" xfId="0"/>
    <cellStyle name="Commg [0]_FOP1&amp;L_PLN0309_NewBrazil3007.xls Chart 2" xfId="0"/>
    <cellStyle name="Commg [0]_FOP1&amp;L_PLN0309_NewBrazil3007.xls Chart 2_LAPROP PC ED 22-aug-01srb" xfId="0"/>
    <cellStyle name="Commg [0]_FOP1&amp;L_PLN0309_NewBrazil3007.xls Chart 2_NACHO PC ED 31-AUG-01" xfId="0"/>
    <cellStyle name="Commɡ [0]_FOP1&amp;L_PLN0309_NewBrazil3007.xls Chart 2" xfId="0"/>
    <cellStyle name="Commɡ [0]_FOP1&amp;L_PLN0309_NewBrazil3007.xls Chart 2_LAPROP PC ED 22-aug-01srb" xfId="0"/>
    <cellStyle name="Commɡ [0]_FOP1&amp;L_PLN0309_NewBrazil3007.xls Chart 2_NACHO PC ED 31-AUG-01" xfId="0"/>
    <cellStyle name="Company Name" xfId="0"/>
    <cellStyle name="Contract" xfId="0"/>
    <cellStyle name="Copied" xfId="0"/>
    <cellStyle name="COST1" xfId="0"/>
    <cellStyle name="Co⑭????" xfId="0"/>
    <cellStyle name="Co㋜ma [0]_PGNW1" xfId="0"/>
    <cellStyle name="Curren - 유형2" xfId="0"/>
    <cellStyle name="Curren - 유형5" xfId="0"/>
    <cellStyle name="Curren?_x0012_퐀_x0017_?" xfId="0"/>
    <cellStyle name="Currency" xfId="0"/>
    <cellStyle name="Currency  " xfId="0"/>
    <cellStyle name="Currency $" xfId="0"/>
    <cellStyle name="Currency (0.00)" xfId="0"/>
    <cellStyle name="Currency (0.00) 2" xfId="0"/>
    <cellStyle name="Currency 0.0" xfId="0"/>
    <cellStyle name="Currency 0.00" xfId="0"/>
    <cellStyle name="Currency 0.000" xfId="0"/>
    <cellStyle name="Currency 10" xfId="0"/>
    <cellStyle name="Currency 2" xfId="0"/>
    <cellStyle name="Currency 2 2" xfId="0"/>
    <cellStyle name="Currency 3" xfId="0"/>
    <cellStyle name="Currency 4" xfId="0"/>
    <cellStyle name="Currency 5" xfId="0"/>
    <cellStyle name="Currency 6" xfId="0"/>
    <cellStyle name="Currency 7" xfId="0"/>
    <cellStyle name="Currency 8" xfId="0"/>
    <cellStyle name="Currency 9" xfId="0"/>
    <cellStyle name="Currency [0.00] (Yen)" xfId="0"/>
    <cellStyle name="Currency [00]" xfId="0"/>
    <cellStyle name="Currency [00] 2" xfId="0"/>
    <cellStyle name="Currency [0]" xfId="0"/>
    <cellStyle name="Currency [0] 10" xfId="0"/>
    <cellStyle name="Currency [0] 11" xfId="0"/>
    <cellStyle name="Currency [0] 12" xfId="0"/>
    <cellStyle name="Currency [0] 13" xfId="0"/>
    <cellStyle name="Currency [0] 14" xfId="0"/>
    <cellStyle name="Currency [0] 15" xfId="0"/>
    <cellStyle name="Currency [0] 16" xfId="0"/>
    <cellStyle name="Currency [0] 17" xfId="0"/>
    <cellStyle name="Currency [0] 18" xfId="0"/>
    <cellStyle name="Currency [0] 19" xfId="0"/>
    <cellStyle name="Currency [0] 2" xfId="0"/>
    <cellStyle name="Currency [0] 2 10" xfId="0"/>
    <cellStyle name="Currency [0] 2 11" xfId="0"/>
    <cellStyle name="Currency [0] 2 2" xfId="0"/>
    <cellStyle name="Currency [0] 2 3" xfId="0"/>
    <cellStyle name="Currency [0] 2 4" xfId="0"/>
    <cellStyle name="Currency [0] 2 5" xfId="0"/>
    <cellStyle name="Currency [0] 2 6" xfId="0"/>
    <cellStyle name="Currency [0] 2 7" xfId="0"/>
    <cellStyle name="Currency [0] 2 8" xfId="0"/>
    <cellStyle name="Currency [0] 2 9" xfId="0"/>
    <cellStyle name="Currency [0] 20" xfId="0"/>
    <cellStyle name="Currency [0] 21" xfId="0"/>
    <cellStyle name="Currency [0] 3" xfId="0"/>
    <cellStyle name="Currency [0] 4" xfId="0"/>
    <cellStyle name="Currency [0] 5" xfId="0"/>
    <cellStyle name="Currency [0] 6" xfId="0"/>
    <cellStyle name="Currency [0] 7" xfId="0"/>
    <cellStyle name="Currency [0] 8" xfId="0"/>
    <cellStyle name="Currency [0] 9" xfId="0"/>
    <cellStyle name="Currency [0]_ SG&amp;A Bridge " xfId="0"/>
    <cellStyle name="Currency Bt" xfId="0"/>
    <cellStyle name="Currency Rp" xfId="0"/>
    <cellStyle name="Currency,0" xfId="0"/>
    <cellStyle name="Currency,2" xfId="0"/>
    <cellStyle name="currency-$" xfId="0"/>
    <cellStyle name="Currency0" xfId="0"/>
    <cellStyle name="Currency0 2" xfId="0"/>
    <cellStyle name="Currency0 3" xfId="0"/>
    <cellStyle name="Currency1" xfId="0"/>
    <cellStyle name="Currency1 2" xfId="0"/>
    <cellStyle name="Currency_ SG&amp;A Bridge" xfId="0"/>
    <cellStyle name="Currency㺘OTD thru NOR " xfId="0"/>
    <cellStyle name="Cu䁲rency [0]_QTR94_95_97회비" xfId="0"/>
    <cellStyle name="C¡?A¨ª_????¨?¡?CoE?÷ " xfId="0"/>
    <cellStyle name="C¡ERERERERIA￠RERERER¡ERERER￠RERER￠RERE?¡ERERER￠RERER¡ERER¡ERE?¡ERERERI_nanjing" xfId="0"/>
    <cellStyle name="C¡ERERERIA￠RERER¡ERER￠RER￠RE?¡ERER￠RER¡ER¡E?¡ERERI_(A￠RERERE¡ERERE¡ERERI￠RERER¡ERER￠RER￠RE?￠RERER¡ER￠R¡¿I￠RER￠R¡×I￠RERERE￠RERER¡ER￠R¡¿I￠RER￠R¡×I￠RERER¡ERER￠RER￠RE?￠RERER¡ER￠R¡¿I￠RER￠R¡×II¡ERER￠RER¡ER¡E?" xfId="0"/>
    <cellStyle name="C¡ERIA￠R¡×¡§¡I_¡§Ioe￠R¡×￠Rⓒ­IA¡ERAAI (2)" xfId="0"/>
    <cellStyle name="C¡IA¨ª_ CF¡ÆeAⓒª¡¾a " xfId="0"/>
    <cellStyle name="C¡IA¨ª_0N-HANDLING " xfId="0"/>
    <cellStyle name="C¡IA¨ª_2000¨uOER " xfId="0"/>
    <cellStyle name="C¡IA¨ª_2000¨uOER _1월채권" xfId="0"/>
    <cellStyle name="C¡IA¨ª_AO¨uRCN¡¾U " xfId="0"/>
    <cellStyle name="C¡IA¨ª_Curve_YIELD" xfId="0"/>
    <cellStyle name="C¡IA¨ª_¨oC￠?ⓒoPL " xfId="0"/>
    <cellStyle name="C¡ÍA¨ª_0N-HANDLING " xfId="0"/>
    <cellStyle name="C¡ÍA¨ª_2000¨ùOER " xfId="0"/>
    <cellStyle name="C¡ÍA¨ª_5-1¡¾¢´¡Æi " xfId="0"/>
    <cellStyle name="C¡ÍA¨ª_Ay¡ÆeC¡Í(2¢¯u) " xfId="0"/>
    <cellStyle name="C¡ÍA¨ª_Sheet1_0N-HANDLING " xfId="0"/>
    <cellStyle name="C¡ÍA¨ª_¡íc¨ú¡À¨¬I¨¬¡Æ AN¡Æe " xfId="0"/>
    <cellStyle name="C¡ÍA¨ª_¢¯¥ì¨ú¡ÀCoE©÷ " xfId="0"/>
    <cellStyle name="C¢®IA¡§¨£_¡§u¢®¨úAoAc¢®¨¡i_¨Ï©ª¢®i¡§¡þI¢®¨¡eE¨Ïo¡Ë¡Íe A¨Ï¡þA¡Ë¢¥A¢®AAI " xfId="0"/>
    <cellStyle name="C￠RERERIA¡ERER￠RER¡ER¡E?￠RER¡ER￠R￠?￠RERI_FINAL MAR TB_TO BE DEC TB" xfId="0"/>
    <cellStyle name="C￠RIA¡§¨￡_#1,2" xfId="0"/>
    <cellStyle name="C￥10" xfId="0"/>
    <cellStyle name="C￥13" xfId="0"/>
    <cellStyle name="C￥AØ_  A¾  CO  " xfId="0"/>
    <cellStyle name="C￥AØ_ 2ÆAAþº° " xfId="0"/>
    <cellStyle name="C￥AØ_ AOAA" xfId="0"/>
    <cellStyle name="C￥AØ_ Æ?ÆCAþº° " xfId="0"/>
    <cellStyle name="C￥AØ_(A¤º¸ºI¹R)¿uº°AI¿ø°eE¹" xfId="0"/>
    <cellStyle name="C￥AØ_11¿u10AI º≫¹R " xfId="0"/>
    <cellStyle name="C￥AØ_2.E¿A²ºÐ¼R " xfId="0"/>
    <cellStyle name="C￥AØ_2¿u¸AAa _2.E¿A²ºÐ¼R " xfId="0"/>
    <cellStyle name="C￥AØ_5-1±¤°i " xfId="0"/>
    <cellStyle name="C￥AØ_5-1±¤°i _Co´e¾÷¹≪AßAø " xfId="0"/>
    <cellStyle name="C￥AØ_5-1±¤°i _¹≪¿ª10¿u " xfId="0"/>
    <cellStyle name="C￥AØ_5-1±¤°i _어음수표총괄_퇴직충당금 - 2004" xfId="0"/>
    <cellStyle name="C￥AØ_5-1±¤°i _외화환산" xfId="0"/>
    <cellStyle name="C￥AØ_5-1±¤°i _외화환산_퇴직충당금 - 2004" xfId="0"/>
    <cellStyle name="C￥AØ_5-1±¤°i _인력자원" xfId="0"/>
    <cellStyle name="C￥AØ_5-1±¤°i _최종정산표(0910 0120)" xfId="0"/>
    <cellStyle name="C￥AØ_98³a AoAU°eE¹ " xfId="0"/>
    <cellStyle name="C￥AØ_Ac°i°u¸® " xfId="0"/>
    <cellStyle name="C￥AØ_AI¿øCoE² " xfId="0"/>
    <cellStyle name="C￥AØ_Ao¹e±¸A¶" xfId="0"/>
    <cellStyle name="C￥AØ_AU±Y_1_AßA¤´eA÷ _2.E¿A²ºÐ¼R " xfId="0"/>
    <cellStyle name="C￥AØ_Au≫eTB " xfId="0"/>
    <cellStyle name="C￥AØ_Ay°eC￥(2¿u) _2001재무제표" xfId="0"/>
    <cellStyle name="C￥AØ_Ay°eC￥(2¿u) _어음수표총괄" xfId="0"/>
    <cellStyle name="C￥AØ_Ay°eC￥(2¿u) _어음수표총괄_퇴직충당금 - 2004" xfId="0"/>
    <cellStyle name="C￥AØ_Ay°eC￥(2¿u) _외화환산" xfId="0"/>
    <cellStyle name="C￥AØ_Ay°eC￥(2¿u) _외화환산_퇴직충당금 - 2004" xfId="0"/>
    <cellStyle name="C￥AØ_Ay°eC￥(2¿u) _최종정산표(0910 0120)" xfId="0"/>
    <cellStyle name="C￥AØ_A¸≫cºÐ_³≫ºI°eE¹´e AßA¤A÷AI " xfId="0"/>
    <cellStyle name="C￥AØ_AßA¤´eA÷ _2.E¿A²ºÐ¼R " xfId="0"/>
    <cellStyle name="C￥AØ_CoAo¹yAI °A¾×¿ⓒ½A " xfId="0"/>
    <cellStyle name="C￥AØ_Co´e¾÷¹≪AßAø " xfId="0"/>
    <cellStyle name="C￥AØ_C￥Ao " xfId="0"/>
    <cellStyle name="C￥AØ_E¸¼±½AA≫¼­" xfId="0"/>
    <cellStyle name="C￥AØ_laroux_Ac°i°u¸R " xfId="0"/>
    <cellStyle name="C￥AØ_p.mix _2.E¿A²ºÐ¼R " xfId="0"/>
    <cellStyle name="C￥AØ_PL¿μ¾÷ " xfId="0"/>
    <cellStyle name="C￥AØ_Sheet1_Ay°eC￥(2¿u) " xfId="0"/>
    <cellStyle name="C￥AØ_Sheet1_Ay°eC￥(2¿u) _07Q2_CFS_070720_v8" xfId="0"/>
    <cellStyle name="C￥AØ_Sheet1_Ay°eC￥(2¿u) _어음수표총괄" xfId="0"/>
    <cellStyle name="C￥AØ_Sheet1_Ay°eC￥(2¿u) _어음수표총괄_퇴직충당금 - 2004" xfId="0"/>
    <cellStyle name="C￥AØ_Sheet1_Ay°eC￥(2¿u) _외화환산" xfId="0"/>
    <cellStyle name="C￥AØ_Sheet1_Ay°eC￥(2¿u) _외화환산_퇴직충당금 - 2004" xfId="0"/>
    <cellStyle name="C￥AØ_Sheet1_¿μ¾÷CoE² " xfId="0"/>
    <cellStyle name="C￥AØ_SOON1 _¹≪¿ª10¿u " xfId="0"/>
    <cellStyle name="C￥AØ_°u¸RC×¸n_¾÷A¾º° " xfId="0"/>
    <cellStyle name="C￥AØ_°u¸®C×¸n_¾÷A¾º° " xfId="0"/>
    <cellStyle name="C￥AØ_´eºnC￥ (2)_1_ºI´eAa°ø " xfId="0"/>
    <cellStyle name="C￥AØ_´eºnC￥ (2)_ºI´eAa°ø " xfId="0"/>
    <cellStyle name="C￥AØ_¸AAa.¼OAI " xfId="0"/>
    <cellStyle name="C￥AØ_¹≪¿ª°æºnAa " xfId="0"/>
    <cellStyle name="C￥AØ_¼oAaAO ½AAI(½AA≫)¼­ " xfId="0"/>
    <cellStyle name="C￥AØ_¼OAIA÷ (2)_³≫ºI°eE¹´e AßA¤A÷AI " xfId="0"/>
    <cellStyle name="C￥AØ_¼±AoAc°i_1_³≫ºI°eE¹´e AßA¤A÷AI " xfId="0"/>
    <cellStyle name="C￥AØ_¼±AoAc°i_³≫ºI°eE¹´e AßA¤A÷AI " xfId="0"/>
    <cellStyle name="C￥AØ_½AA½·a¿ø°¡ " xfId="0"/>
    <cellStyle name="C￥AØ_¾c½A " xfId="0"/>
    <cellStyle name="C￥AØ_¾c½A _2.E¿A²ºÐ¼R " xfId="0"/>
    <cellStyle name="C￥AØ_¾c½A _¹≪¿ª10¿u " xfId="0"/>
    <cellStyle name="C￥AØ_¾÷A¾º° " xfId="0"/>
    <cellStyle name="C￥AØ_¿¹≫e¿aA≫ " xfId="0"/>
    <cellStyle name="C￥AØ_¿μ¾÷CoE² " xfId="0"/>
    <cellStyle name="C￥AØ_Æ?±a3_p.mix " xfId="0"/>
    <cellStyle name="C￥AØ_ÆAC￥Ao_°eE¹3 " xfId="0"/>
    <cellStyle name="C￥AØ_≫c¾÷ºIº° AN°e " xfId="0"/>
    <cellStyle name="dak" xfId="0"/>
    <cellStyle name="Dash" xfId="0"/>
    <cellStyle name="Dash 10" xfId="0"/>
    <cellStyle name="Dash 7" xfId="0"/>
    <cellStyle name="Dash 8" xfId="0"/>
    <cellStyle name="Dash 9" xfId="0"/>
    <cellStyle name="Data" xfId="0"/>
    <cellStyle name="Date" xfId="0"/>
    <cellStyle name="Date 2" xfId="0"/>
    <cellStyle name="Date 3" xfId="0"/>
    <cellStyle name="Date 4" xfId="0"/>
    <cellStyle name="Date Short" xfId="0"/>
    <cellStyle name="Date Short 2" xfId="0"/>
    <cellStyle name="Date_감가상각비 집계(JD)" xfId="0"/>
    <cellStyle name="Datum" xfId="0"/>
    <cellStyle name="DCOS " xfId="0"/>
    <cellStyle name="DELTA" xfId="0"/>
    <cellStyle name="Dezimal (4)" xfId="0"/>
    <cellStyle name="Dezimal (6)" xfId="0"/>
    <cellStyle name="Dezimal [0]_42_FINWE" xfId="0"/>
    <cellStyle name="Dezimal_42_FINWE" xfId="0"/>
    <cellStyle name="dgw" xfId="0"/>
    <cellStyle name="Discount" xfId="0"/>
    <cellStyle name="Dollar (zero dec)" xfId="0"/>
    <cellStyle name="Dollar (zero dec) 2" xfId="0"/>
    <cellStyle name="Dollar (zero dec) 3" xfId="0"/>
    <cellStyle name="Dollar (zero dec) 4" xfId="0"/>
    <cellStyle name="Double Accounting" xfId="0"/>
    <cellStyle name="Double Underline 10" xfId="0"/>
    <cellStyle name="Double Underline 7" xfId="0"/>
    <cellStyle name="Double Underline 8" xfId="0"/>
    <cellStyle name="Double Underline 9" xfId="0"/>
    <cellStyle name="DOWNFOOT" xfId="0"/>
    <cellStyle name="Dziesietny [0]_Plan inwestycji 2000-2002" xfId="0"/>
    <cellStyle name="Dziesietny_Plan inwestycji 2000-2002" xfId="0"/>
    <cellStyle name="e" xfId="0"/>
    <cellStyle name="E&amp;Y House" xfId="0"/>
    <cellStyle name="earky [0]_laroux" xfId="0"/>
    <cellStyle name="earky_laroux" xfId="0"/>
    <cellStyle name="Element-text" xfId="0"/>
    <cellStyle name="Empty" xfId="0"/>
    <cellStyle name="Enter Currency (0)" xfId="0"/>
    <cellStyle name="Enter Currency (0) 2" xfId="0"/>
    <cellStyle name="Enter Currency (2)" xfId="0"/>
    <cellStyle name="Enter Currency (2) 2" xfId="0"/>
    <cellStyle name="Enter Units (0)" xfId="0"/>
    <cellStyle name="Enter Units (0) 2" xfId="0"/>
    <cellStyle name="Enter Units (1)" xfId="0"/>
    <cellStyle name="Enter Units (1) 2" xfId="0"/>
    <cellStyle name="Enter Units (2)" xfId="0"/>
    <cellStyle name="Enter Units (2) 2" xfId="0"/>
    <cellStyle name="Entered" xfId="0"/>
    <cellStyle name="er" xfId="0"/>
    <cellStyle name="Error Detection" xfId="0"/>
    <cellStyle name="estimated price" xfId="0"/>
    <cellStyle name="Etiquette tot branche" xfId="0"/>
    <cellStyle name="Etiquette verticale" xfId="0"/>
    <cellStyle name="Etiquettes" xfId="0"/>
    <cellStyle name="Etiquettes verticale 2" xfId="0"/>
    <cellStyle name="Euro" xfId="0"/>
    <cellStyle name="Explanatory Text" xfId="0"/>
    <cellStyle name="Explanatory Text 2" xfId="0"/>
    <cellStyle name="Explanatory Text 3" xfId="0"/>
    <cellStyle name="Explanatory Text 4" xfId="0"/>
    <cellStyle name="Explanatory Text 5" xfId="0"/>
    <cellStyle name="Explanatory Text 6" xfId="0"/>
    <cellStyle name="Explanatory Text 7" xfId="0"/>
    <cellStyle name="Explanatory Text 8" xfId="0"/>
    <cellStyle name="Explanatory Text 9" xfId="0"/>
    <cellStyle name="F2" xfId="0"/>
    <cellStyle name="F3" xfId="0"/>
    <cellStyle name="F4" xfId="0"/>
    <cellStyle name="F5" xfId="0"/>
    <cellStyle name="F6" xfId="0"/>
    <cellStyle name="F7" xfId="0"/>
    <cellStyle name="F8" xfId="0"/>
    <cellStyle name="FacNo" xfId="0"/>
    <cellStyle name="Feed" xfId="0"/>
    <cellStyle name="Fixed" xfId="0"/>
    <cellStyle name="Fixed 2" xfId="0"/>
    <cellStyle name="Fixed 3" xfId="0"/>
    <cellStyle name="Fixed2 - 유형2" xfId="0"/>
    <cellStyle name="Followed Hyperlink" xfId="0"/>
    <cellStyle name="FullTime" xfId="0"/>
    <cellStyle name="Gallons" xfId="0"/>
    <cellStyle name="GE41ܕꄪꆡ憡ɢ䀸ɢ䀠ɢ_x0005__x0005_䀰ɢ" xfId="0"/>
    <cellStyle name="Good 10" xfId="0"/>
    <cellStyle name="Good 2" xfId="0"/>
    <cellStyle name="Good 3" xfId="0"/>
    <cellStyle name="Good 4" xfId="0"/>
    <cellStyle name="Good 5" xfId="0"/>
    <cellStyle name="Good 6" xfId="0"/>
    <cellStyle name="Good 7" xfId="0"/>
    <cellStyle name="Good 8" xfId="0"/>
    <cellStyle name="Good 9" xfId="0"/>
    <cellStyle name="Grey" xfId="0"/>
    <cellStyle name="Grey 2" xfId="0"/>
    <cellStyle name="Grey 3" xfId="0"/>
    <cellStyle name="GroupTitles" xfId="0"/>
    <cellStyle name="gunz" xfId="0"/>
    <cellStyle name="handle" xfId="0"/>
    <cellStyle name="HDR" xfId="0"/>
    <cellStyle name="HEADER" xfId="0"/>
    <cellStyle name="HEADER 2" xfId="0"/>
    <cellStyle name="Header Total" xfId="0"/>
    <cellStyle name="Header1" xfId="0"/>
    <cellStyle name="Header1 2" xfId="0"/>
    <cellStyle name="Header2" xfId="0"/>
    <cellStyle name="Header2 2" xfId="0"/>
    <cellStyle name="Header2 3" xfId="0"/>
    <cellStyle name="Header3" xfId="0"/>
    <cellStyle name="header_maquette_G101 EUROFLOAT BUDGET 2001-1" xfId="0"/>
    <cellStyle name="Heading 1 1" xfId="0"/>
    <cellStyle name="Heading 1 10" xfId="0"/>
    <cellStyle name="Heading 1 11" xfId="0"/>
    <cellStyle name="Heading 1 12" xfId="0"/>
    <cellStyle name="Heading 1 13" xfId="0"/>
    <cellStyle name="Heading 1 14" xfId="0"/>
    <cellStyle name="Heading 1 2" xfId="0"/>
    <cellStyle name="Heading 1 3" xfId="0"/>
    <cellStyle name="Heading 1 4" xfId="0"/>
    <cellStyle name="Heading 1 5" xfId="0"/>
    <cellStyle name="Heading 1 6" xfId="0"/>
    <cellStyle name="Heading 1 7" xfId="0"/>
    <cellStyle name="Heading 1 8" xfId="0"/>
    <cellStyle name="Heading 1 9" xfId="0"/>
    <cellStyle name="Heading 11" xfId="0"/>
    <cellStyle name="Heading 2 10" xfId="0"/>
    <cellStyle name="Heading 2 11" xfId="0"/>
    <cellStyle name="Heading 2 12" xfId="0"/>
    <cellStyle name="Heading 2 13" xfId="0"/>
    <cellStyle name="Heading 2 15" xfId="0"/>
    <cellStyle name="Heading 2 2" xfId="0"/>
    <cellStyle name="Heading 2 3" xfId="0"/>
    <cellStyle name="Heading 2 4" xfId="0"/>
    <cellStyle name="Heading 2 5" xfId="0"/>
    <cellStyle name="Heading 2 6" xfId="0"/>
    <cellStyle name="Heading 2 7" xfId="0"/>
    <cellStyle name="Heading 2 8" xfId="0"/>
    <cellStyle name="Heading 2 9" xfId="0"/>
    <cellStyle name="Heading 3" xfId="0"/>
    <cellStyle name="Heading 3 2" xfId="0"/>
    <cellStyle name="Heading 3 3" xfId="0"/>
    <cellStyle name="Heading 3 4" xfId="0"/>
    <cellStyle name="Heading 3 5" xfId="0"/>
    <cellStyle name="Heading 3 6" xfId="0"/>
    <cellStyle name="Heading 3 7" xfId="0"/>
    <cellStyle name="Heading 3 8" xfId="0"/>
    <cellStyle name="Heading 3 9" xfId="0"/>
    <cellStyle name="Heading 4" xfId="0"/>
    <cellStyle name="Heading 4 2" xfId="0"/>
    <cellStyle name="Heading 4 3" xfId="0"/>
    <cellStyle name="Heading 4 4" xfId="0"/>
    <cellStyle name="Heading 4 5" xfId="0"/>
    <cellStyle name="Heading 4 6" xfId="0"/>
    <cellStyle name="Heading 4 7" xfId="0"/>
    <cellStyle name="Heading 4 8" xfId="0"/>
    <cellStyle name="Heading 4 9" xfId="0"/>
    <cellStyle name="Heading No Underline" xfId="0"/>
    <cellStyle name="Heading With Underline" xfId="0"/>
    <cellStyle name="heading, 1,A MAJOR/BOLD" xfId="0"/>
    <cellStyle name="HEADING1 2" xfId="0"/>
    <cellStyle name="HEADING1 3" xfId="0"/>
    <cellStyle name="Heading2" xfId="0"/>
    <cellStyle name="HEADING2 2" xfId="0"/>
    <cellStyle name="HEADING2 3" xfId="0"/>
    <cellStyle name="Heading_2005정보통신 공제조합검토조서cha" xfId="0"/>
    <cellStyle name="HeadingS" xfId="0"/>
    <cellStyle name="Hedaings" xfId="0"/>
    <cellStyle name="HIGHLIGHT" xfId="0"/>
    <cellStyle name="hong kong" xfId="0"/>
    <cellStyle name="HPproduct" xfId="0"/>
    <cellStyle name="Hyperlink 16" xfId="0"/>
    <cellStyle name="Hyperlink 2" xfId="0"/>
    <cellStyle name="Hyperlink 3" xfId="0"/>
    <cellStyle name="Hyperlink seguido" xfId="0"/>
    <cellStyle name="Hyperlink_BINV" xfId="0"/>
    <cellStyle name="Iau÷iu?report-2 " xfId="0"/>
    <cellStyle name="iles|_x0005_h" xfId="0"/>
    <cellStyle name="Input" xfId="0"/>
    <cellStyle name="Input 10" xfId="0"/>
    <cellStyle name="Input 2" xfId="0"/>
    <cellStyle name="Input 3" xfId="0"/>
    <cellStyle name="Input 4" xfId="0"/>
    <cellStyle name="Input 5" xfId="0"/>
    <cellStyle name="Input 6" xfId="0"/>
    <cellStyle name="Input 7" xfId="0"/>
    <cellStyle name="Input 8" xfId="0"/>
    <cellStyle name="Input 9" xfId="0"/>
    <cellStyle name="Input [yellow]" xfId="0"/>
    <cellStyle name="Input [yellow] 2" xfId="0"/>
    <cellStyle name="Input [yellow] 3" xfId="0"/>
    <cellStyle name="Input [yellow] 4" xfId="0"/>
    <cellStyle name="Input_실트론 연결 정산표_03_24_현금흐름표수정_ver2 0" xfId="0"/>
    <cellStyle name="InputBlueFont" xfId="0"/>
    <cellStyle name="Instructions" xfId="0"/>
    <cellStyle name="ipnut" xfId="0"/>
    <cellStyle name="iput" xfId="0"/>
    <cellStyle name="k" xfId="0"/>
    <cellStyle name="KDOLLAR" xfId="0"/>
    <cellStyle name="KKK" xfId="0"/>
    <cellStyle name="KRW" xfId="0"/>
    <cellStyle name="kryssen" xfId="0"/>
    <cellStyle name="KWE標準" xfId="0"/>
    <cellStyle name="l_x0018_" xfId="0"/>
    <cellStyle name="les" xfId="0"/>
    <cellStyle name="Lien hypertexte" xfId="0"/>
    <cellStyle name="Link Currency (0)" xfId="0"/>
    <cellStyle name="Link Currency (0) 2" xfId="0"/>
    <cellStyle name="Link Currency (2)" xfId="0"/>
    <cellStyle name="Link Currency (2) 2" xfId="0"/>
    <cellStyle name="Link Units (0)" xfId="0"/>
    <cellStyle name="Link Units (0) 2" xfId="0"/>
    <cellStyle name="Link Units (1)" xfId="0"/>
    <cellStyle name="Link Units (1) 2" xfId="0"/>
    <cellStyle name="Link Units (2)" xfId="0"/>
    <cellStyle name="Link Units (2) 2" xfId="0"/>
    <cellStyle name="Linked Cell" xfId="0"/>
    <cellStyle name="Linked Cell 2" xfId="0"/>
    <cellStyle name="Linked Cell 3" xfId="0"/>
    <cellStyle name="Linked Cell 4" xfId="0"/>
    <cellStyle name="Linked Cell 5" xfId="0"/>
    <cellStyle name="Linked Cell 6" xfId="0"/>
    <cellStyle name="Linked Cell 7" xfId="0"/>
    <cellStyle name="Linked Cell 8" xfId="0"/>
    <cellStyle name="Linked Cell 9" xfId="0"/>
    <cellStyle name="LISAM" xfId="0"/>
    <cellStyle name="List Price" xfId="0"/>
    <cellStyle name="MainHead" xfId="0"/>
    <cellStyle name="Maly nadpis" xfId="0"/>
    <cellStyle name="meny_laroux" xfId="0"/>
    <cellStyle name="Migliaia (0)_Actu e Piano Maggio98" xfId="0"/>
    <cellStyle name="Migliaia_Actu e Piano Maggio98" xfId="0"/>
    <cellStyle name="Millares [0]_Arbefec" xfId="0"/>
    <cellStyle name="Millares_Arbefec" xfId="0"/>
    <cellStyle name="Milliers 2" xfId="0"/>
    <cellStyle name="Milliers [0]_!!!GO" xfId="0"/>
    <cellStyle name="Milliers_!!!GO" xfId="0"/>
    <cellStyle name="miny_laroux" xfId="0"/>
    <cellStyle name="mir" xfId="0"/>
    <cellStyle name="MLHeaderSection" xfId="0"/>
    <cellStyle name="MMBTU's" xfId="0"/>
    <cellStyle name="Model" xfId="0"/>
    <cellStyle name="Model 2" xfId="0"/>
    <cellStyle name="Moeda [0]_aola" xfId="0"/>
    <cellStyle name="Moeda_aola" xfId="0"/>
    <cellStyle name="Mon?aire [0]_!!!GO_1ip" xfId="0"/>
    <cellStyle name="Mon?aire_!!!GO_1te" xfId="0"/>
    <cellStyle name="Moneda [0]_Arbefec" xfId="0"/>
    <cellStyle name="Moneda_Arbefec" xfId="0"/>
    <cellStyle name="money" xfId="0"/>
    <cellStyle name="Monétaire [0]_!!!GO" xfId="0"/>
    <cellStyle name="Monétaire_!!!GO" xfId="0"/>
    <cellStyle name="MS Proofing Tools" xfId="0"/>
    <cellStyle name="MS_Arabe" xfId="0"/>
    <cellStyle name="MSG1" xfId="0"/>
    <cellStyle name="Multiple" xfId="0"/>
    <cellStyle name="Multiple0" xfId="0"/>
    <cellStyle name="My-수량" xfId="0"/>
    <cellStyle name="Neutral 17" xfId="0"/>
    <cellStyle name="Neutral 2" xfId="0"/>
    <cellStyle name="Neutral 3" xfId="0"/>
    <cellStyle name="Neutral 4" xfId="0"/>
    <cellStyle name="Neutral 5" xfId="0"/>
    <cellStyle name="Neutral 6" xfId="0"/>
    <cellStyle name="Neutral 7" xfId="0"/>
    <cellStyle name="Neutral 8" xfId="0"/>
    <cellStyle name="Neutral 9" xfId="0"/>
    <cellStyle name="new" xfId="0"/>
    <cellStyle name="New Times Roman" xfId="0"/>
    <cellStyle name="no dec" xfId="0"/>
    <cellStyle name="nohs" xfId="0"/>
    <cellStyle name="NonPrint_Hyperlink" xfId="0"/>
    <cellStyle name="Normal - Formatvorlage1" xfId="0"/>
    <cellStyle name="Normal - Formatvorlage2" xfId="0"/>
    <cellStyle name="Normal - Formatvorlage3" xfId="0"/>
    <cellStyle name="Normal - Formatvorlage4" xfId="0"/>
    <cellStyle name="Normal - Formatvorlage5" xfId="0"/>
    <cellStyle name="Normal - Formatvorlage6" xfId="0"/>
    <cellStyle name="Normal - Formatvorlage7" xfId="0"/>
    <cellStyle name="Normal - Formatvorlage8" xfId="0"/>
    <cellStyle name="Normal - Style1" xfId="0"/>
    <cellStyle name="Normal - Style1 2" xfId="0"/>
    <cellStyle name="Normal - Style1 3" xfId="0"/>
    <cellStyle name="Normal - Style1 4" xfId="0"/>
    <cellStyle name="Normal - Style2" xfId="0"/>
    <cellStyle name="Normal - Style3" xfId="0"/>
    <cellStyle name="Normal - Style4" xfId="0"/>
    <cellStyle name="Normal - Style5" xfId="0"/>
    <cellStyle name="Normal - Style6" xfId="0"/>
    <cellStyle name="Normal - Style7" xfId="0"/>
    <cellStyle name="Normal - Style8" xfId="0"/>
    <cellStyle name="Normal - 유형1" xfId="0"/>
    <cellStyle name="normal 1" xfId="0"/>
    <cellStyle name="Normal 2" xfId="0"/>
    <cellStyle name="Normal 2 2" xfId="0"/>
    <cellStyle name="Normal 2 3" xfId="0"/>
    <cellStyle name="Normal 2 4" xfId="0"/>
    <cellStyle name="Normal 2 5" xfId="0"/>
    <cellStyle name="Normal 2 6" xfId="0"/>
    <cellStyle name="Normal 3" xfId="0"/>
    <cellStyle name="Normal 3 2" xfId="0"/>
    <cellStyle name="Normal 3 2 2" xfId="0"/>
    <cellStyle name="Normal 3 3" xfId="0"/>
    <cellStyle name="Normal 3 3 2" xfId="0"/>
    <cellStyle name="Normal 3 4" xfId="0"/>
    <cellStyle name="Normal 4" xfId="0"/>
    <cellStyle name="Normal 5" xfId="0"/>
    <cellStyle name="Normal 5 2" xfId="0"/>
    <cellStyle name="Normal 5 3" xfId="0"/>
    <cellStyle name="Normal 6" xfId="0"/>
    <cellStyle name="Normal1" xfId="0"/>
    <cellStyle name="Normal1 2" xfId="0"/>
    <cellStyle name="Normal1_3300현금및예치금" xfId="0"/>
    <cellStyle name="Normal2" xfId="0"/>
    <cellStyle name="Normal2 2" xfId="0"/>
    <cellStyle name="Normal2_3300현금및예치금" xfId="0"/>
    <cellStyle name="Normal3" xfId="0"/>
    <cellStyle name="Normal3 2" xfId="0"/>
    <cellStyle name="Normal4" xfId="0"/>
    <cellStyle name="Normal4 2" xfId="0"/>
    <cellStyle name="Normale_argenture" xfId="0"/>
    <cellStyle name="normalni_laroux" xfId="0"/>
    <cellStyle name="Normalny_Plan inwestycji 2000-2002" xfId="0"/>
    <cellStyle name="Normal견적_상세 내역_laroux" xfId="0"/>
    <cellStyle name="Normal像?154KV 최종Nego 95.5.3" xfId="0"/>
    <cellStyle name="Note 18" xfId="0"/>
    <cellStyle name="Note 2" xfId="0"/>
    <cellStyle name="Note 3" xfId="0"/>
    <cellStyle name="Note 4" xfId="0"/>
    <cellStyle name="Note 5" xfId="0"/>
    <cellStyle name="Note 6" xfId="0"/>
    <cellStyle name="Note 7" xfId="0"/>
    <cellStyle name="Note 8" xfId="0"/>
    <cellStyle name="Note 9" xfId="0"/>
    <cellStyle name="Notes" xfId="0"/>
    <cellStyle name="Number" xfId="0"/>
    <cellStyle name="n° sif" xfId="0"/>
    <cellStyle name="oft Excel]&#13;&#10;Comment=The open=/f lines load custom functions into the Paste Function list.&#13;&#10;Maximized=3&#13;&#10;AutoFormat=" xfId="0"/>
    <cellStyle name="Ordering Number" xfId="0"/>
    <cellStyle name="Output" xfId="0"/>
    <cellStyle name="Output 2" xfId="0"/>
    <cellStyle name="Output 3" xfId="0"/>
    <cellStyle name="Output 4" xfId="0"/>
    <cellStyle name="Output 5" xfId="0"/>
    <cellStyle name="Output 6" xfId="0"/>
    <cellStyle name="Output 7" xfId="0"/>
    <cellStyle name="Output 8" xfId="0"/>
    <cellStyle name="Output 9" xfId="0"/>
    <cellStyle name="Output Amounts" xfId="0"/>
    <cellStyle name="Output Column Headings" xfId="0"/>
    <cellStyle name="Output Line Items" xfId="0"/>
    <cellStyle name="Output Report Heading" xfId="0"/>
    <cellStyle name="Output Report Title" xfId="0"/>
    <cellStyle name="P/N" xfId="0"/>
    <cellStyle name="Page Heading" xfId="0"/>
    <cellStyle name="Page Heading 10pt" xfId="0"/>
    <cellStyle name="Page Heading 12pt" xfId="0"/>
    <cellStyle name="Page Heading 12pt w/line" xfId="0"/>
    <cellStyle name="Page Heading_PwC Template 8-4-991" xfId="0"/>
    <cellStyle name="PageSubtitle" xfId="0"/>
    <cellStyle name="PageTitle" xfId="0"/>
    <cellStyle name="PAL" xfId="0"/>
    <cellStyle name="PARK" xfId="0"/>
    <cellStyle name="Pays" xfId="0"/>
    <cellStyle name="PE_1월" xfId="0"/>
    <cellStyle name="Percen - 유형3" xfId="0"/>
    <cellStyle name="Percent" xfId="0"/>
    <cellStyle name="Percent %" xfId="0"/>
    <cellStyle name="Percent % Long Underline" xfId="0"/>
    <cellStyle name="Percent (0)" xfId="0"/>
    <cellStyle name="Percent 0.0%" xfId="0"/>
    <cellStyle name="Percent 0.0% Long Underline" xfId="0"/>
    <cellStyle name="Percent 0.00%" xfId="0"/>
    <cellStyle name="Percent 0.00% Long Underline" xfId="0"/>
    <cellStyle name="Percent 0.000%" xfId="0"/>
    <cellStyle name="Percent 0.000% Long Underline" xfId="0"/>
    <cellStyle name="Percent 10" xfId="0"/>
    <cellStyle name="Percent 2" xfId="0"/>
    <cellStyle name="Percent 2 2" xfId="0"/>
    <cellStyle name="Percent 3" xfId="0"/>
    <cellStyle name="Percent 3 2" xfId="0"/>
    <cellStyle name="Percent 4" xfId="0"/>
    <cellStyle name="Percent 5" xfId="0"/>
    <cellStyle name="Percent 6" xfId="0"/>
    <cellStyle name="Percent 7" xfId="0"/>
    <cellStyle name="Percent 8" xfId="0"/>
    <cellStyle name="Percent 9" xfId="0"/>
    <cellStyle name="Percent [0.0%]" xfId="0"/>
    <cellStyle name="Percent [00]" xfId="0"/>
    <cellStyle name="Percent [00] 2" xfId="0"/>
    <cellStyle name="Percent [0]" xfId="0"/>
    <cellStyle name="Percent [0] 2" xfId="0"/>
    <cellStyle name="Percent [2]" xfId="0"/>
    <cellStyle name="Percent0" xfId="0"/>
    <cellStyle name="percent2" xfId="0"/>
    <cellStyle name="Percent_#6 Temps &amp; Contractors" xfId="0"/>
    <cellStyle name="PERCENTAGE" xfId="0"/>
    <cellStyle name="performance report" xfId="0"/>
    <cellStyle name="PLAN97" xfId="0"/>
    <cellStyle name="Pnumber" xfId="0"/>
    <cellStyle name="Popis" xfId="0"/>
    <cellStyle name="Pourcentage_pldt" xfId="0"/>
    <cellStyle name="Poznamka" xfId="0"/>
    <cellStyle name="PrePop Currency (0)" xfId="0"/>
    <cellStyle name="PrePop Currency (0) 2" xfId="0"/>
    <cellStyle name="PrePop Currency (2)" xfId="0"/>
    <cellStyle name="PrePop Currency (2) 2" xfId="0"/>
    <cellStyle name="PrePop Units (0)" xfId="0"/>
    <cellStyle name="PrePop Units (0) 2" xfId="0"/>
    <cellStyle name="PrePop Units (1)" xfId="0"/>
    <cellStyle name="PrePop Units (1) 2" xfId="0"/>
    <cellStyle name="PrePop Units (2)" xfId="0"/>
    <cellStyle name="PrePop Units (2) 2" xfId="0"/>
    <cellStyle name="Price" xfId="0"/>
    <cellStyle name="PRICE ADJUSTMENT" xfId="0"/>
    <cellStyle name="pricing" xfId="0"/>
    <cellStyle name="Print Titles" xfId="0"/>
    <cellStyle name="PSChar" xfId="0"/>
    <cellStyle name="PSDate" xfId="0"/>
    <cellStyle name="PSDec" xfId="0"/>
    <cellStyle name="PSHeading" xfId="0"/>
    <cellStyle name="PSInt" xfId="0"/>
    <cellStyle name="PSSpacer" xfId="0"/>
    <cellStyle name="PwC" xfId="0"/>
    <cellStyle name="qbh_x0003__x000c_bh_x0017_&quot;blTT０_x0008__x0003__x0008_?)(일)" xfId="0"/>
    <cellStyle name="qbh_x0003__x000c_bh_x0017_&quot;blTT０_x0008__x0003__x0008_磚)(일)" xfId="0"/>
    <cellStyle name="r_x000f_Crency_NAMNFI" xfId="0"/>
    <cellStyle name="R?" xfId="0"/>
    <cellStyle name="Ra" xfId="0"/>
    <cellStyle name="Ref Numbers" xfId="0"/>
    <cellStyle name="Rep opsec" xfId="0"/>
    <cellStyle name="Rep total" xfId="0"/>
    <cellStyle name="reset" xfId="0"/>
    <cellStyle name="Revenue" xfId="0"/>
    <cellStyle name="RevList" xfId="0"/>
    <cellStyle name="RevList 2" xfId="0"/>
    <cellStyle name="RM(4개월)" xfId="0"/>
    <cellStyle name="rodape" xfId="0"/>
    <cellStyle name="ROOM HEADING" xfId="0"/>
    <cellStyle name="ROOM TOTAL" xfId="0"/>
    <cellStyle name="s" xfId="0"/>
    <cellStyle name="s]&#13;&#10;load=&#13;&#10;run=C:\HNC\HNCSVR32.EXE&#13;&#10;Beep=yes&#13;&#10;NullPort=None&#13;&#10;BorderWidth=3&#13;&#10;CursorBlinkRate=530&#13;&#10;DoubleClickSpeed=452&#13;&#10;" xfId="0"/>
    <cellStyle name="s_DCFLBO Code" xfId="0"/>
    <cellStyle name="s_DCFLBO Code_1" xfId="0"/>
    <cellStyle name="s_DCFLBO Code_1_Fin Covenants check" xfId="0"/>
    <cellStyle name="s_DCFLBO Code_1_Fin Covenants check_New Business Plan_final(1)" xfId="0"/>
    <cellStyle name="s_DCFLBO Code_1_Fin Covenants check_sales" xfId="0"/>
    <cellStyle name="s_DCFLBO Code_Fin Covenants check" xfId="0"/>
    <cellStyle name="s_DCFLBO Code_Fin Covenants check_New Business Plan_final(1)" xfId="0"/>
    <cellStyle name="s_DCFLBO Code_Fin Covenants check_sales" xfId="0"/>
    <cellStyle name="s_Fin Covenants check" xfId="0"/>
    <cellStyle name="s_Fin Covenants check_New Business Plan_final(1)" xfId="0"/>
    <cellStyle name="s_Fin Covenants check_sales" xfId="0"/>
    <cellStyle name="s_자산손상_(주)LG_v3" xfId="0"/>
    <cellStyle name="SAM" xfId="0"/>
    <cellStyle name="SAPBEXaggData" xfId="0"/>
    <cellStyle name="SAPBEXaggData 2" xfId="0"/>
    <cellStyle name="SAPBEXaggData 2 2" xfId="0"/>
    <cellStyle name="SAPBEXaggData 3" xfId="0"/>
    <cellStyle name="SAPBEXaggData 3 2" xfId="0"/>
    <cellStyle name="SAPBEXaggData 4" xfId="0"/>
    <cellStyle name="SAPBEXaggDataEmph" xfId="0"/>
    <cellStyle name="SAPBEXaggDataEmph 2" xfId="0"/>
    <cellStyle name="SAPBEXaggDataEmph 2 2" xfId="0"/>
    <cellStyle name="SAPBEXaggDataEmph 3" xfId="0"/>
    <cellStyle name="SAPBEXaggDataEmph 3 2" xfId="0"/>
    <cellStyle name="SAPBEXaggDataEmph 4" xfId="0"/>
    <cellStyle name="SAPBEXaggExc1" xfId="0"/>
    <cellStyle name="SAPBEXaggExc1Emph" xfId="0"/>
    <cellStyle name="SAPBEXaggExc2" xfId="0"/>
    <cellStyle name="SAPBEXaggExc2Emph" xfId="0"/>
    <cellStyle name="SAPBEXaggItem" xfId="0"/>
    <cellStyle name="SAPBEXaggItem 2" xfId="0"/>
    <cellStyle name="SAPBEXaggItem 2 2" xfId="0"/>
    <cellStyle name="SAPBEXaggItem 3" xfId="0"/>
    <cellStyle name="SAPBEXaggItem 3 2" xfId="0"/>
    <cellStyle name="SAPBEXaggItem 4" xfId="0"/>
    <cellStyle name="SAPBEXaggItemX" xfId="0"/>
    <cellStyle name="SAPBEXaggItemX 2" xfId="0"/>
    <cellStyle name="SAPBEXaggItemX 2 2" xfId="0"/>
    <cellStyle name="SAPBEXaggItemX 3" xfId="0"/>
    <cellStyle name="SAPBEXaggItemX 3 2" xfId="0"/>
    <cellStyle name="SAPBEXaggItemX 4" xfId="0"/>
    <cellStyle name="SAPBEXbackground" xfId="0"/>
    <cellStyle name="SAPBEXchaText" xfId="0"/>
    <cellStyle name="SAPBEXexcBad" xfId="0"/>
    <cellStyle name="SAPBEXexcBad7" xfId="0"/>
    <cellStyle name="SAPBEXexcBad7 2" xfId="0"/>
    <cellStyle name="SAPBEXexcBad7 2 2" xfId="0"/>
    <cellStyle name="SAPBEXexcBad7 3" xfId="0"/>
    <cellStyle name="SAPBEXexcBad7 3 2" xfId="0"/>
    <cellStyle name="SAPBEXexcBad7 4" xfId="0"/>
    <cellStyle name="SAPBEXexcBad8" xfId="0"/>
    <cellStyle name="SAPBEXexcBad8 2" xfId="0"/>
    <cellStyle name="SAPBEXexcBad8 2 2" xfId="0"/>
    <cellStyle name="SAPBEXexcBad8 3" xfId="0"/>
    <cellStyle name="SAPBEXexcBad8 3 2" xfId="0"/>
    <cellStyle name="SAPBEXexcBad8 4" xfId="0"/>
    <cellStyle name="SAPBEXexcBad9" xfId="0"/>
    <cellStyle name="SAPBEXexcBad9 2" xfId="0"/>
    <cellStyle name="SAPBEXexcBad9 2 2" xfId="0"/>
    <cellStyle name="SAPBEXexcBad9 3" xfId="0"/>
    <cellStyle name="SAPBEXexcBad9 3 2" xfId="0"/>
    <cellStyle name="SAPBEXexcBad9 4" xfId="0"/>
    <cellStyle name="SAPBEXexcCritical" xfId="0"/>
    <cellStyle name="SAPBEXexcCritical4" xfId="0"/>
    <cellStyle name="SAPBEXexcCritical4 2" xfId="0"/>
    <cellStyle name="SAPBEXexcCritical4 2 2" xfId="0"/>
    <cellStyle name="SAPBEXexcCritical4 3" xfId="0"/>
    <cellStyle name="SAPBEXexcCritical4 3 2" xfId="0"/>
    <cellStyle name="SAPBEXexcCritical4 4" xfId="0"/>
    <cellStyle name="SAPBEXexcCritical5" xfId="0"/>
    <cellStyle name="SAPBEXexcCritical5 2" xfId="0"/>
    <cellStyle name="SAPBEXexcCritical5 2 2" xfId="0"/>
    <cellStyle name="SAPBEXexcCritical5 3" xfId="0"/>
    <cellStyle name="SAPBEXexcCritical5 3 2" xfId="0"/>
    <cellStyle name="SAPBEXexcCritical5 4" xfId="0"/>
    <cellStyle name="SAPBEXexcCritical6" xfId="0"/>
    <cellStyle name="SAPBEXexcCritical6 2" xfId="0"/>
    <cellStyle name="SAPBEXexcCritical6 2 2" xfId="0"/>
    <cellStyle name="SAPBEXexcCritical6 3" xfId="0"/>
    <cellStyle name="SAPBEXexcCritical6 3 2" xfId="0"/>
    <cellStyle name="SAPBEXexcCritical6 4" xfId="0"/>
    <cellStyle name="SAPBEXexcGood" xfId="0"/>
    <cellStyle name="SAPBEXexcGood1" xfId="0"/>
    <cellStyle name="SAPBEXexcGood1 2" xfId="0"/>
    <cellStyle name="SAPBEXexcGood1 2 2" xfId="0"/>
    <cellStyle name="SAPBEXexcGood1 3" xfId="0"/>
    <cellStyle name="SAPBEXexcGood1 3 2" xfId="0"/>
    <cellStyle name="SAPBEXexcGood1 4" xfId="0"/>
    <cellStyle name="SAPBEXexcGood2" xfId="0"/>
    <cellStyle name="SAPBEXexcGood2 2" xfId="0"/>
    <cellStyle name="SAPBEXexcGood2 2 2" xfId="0"/>
    <cellStyle name="SAPBEXexcGood2 3" xfId="0"/>
    <cellStyle name="SAPBEXexcGood2 3 2" xfId="0"/>
    <cellStyle name="SAPBEXexcGood2 4" xfId="0"/>
    <cellStyle name="SAPBEXexcGood3" xfId="0"/>
    <cellStyle name="SAPBEXexcGood3 2" xfId="0"/>
    <cellStyle name="SAPBEXexcGood3 2 2" xfId="0"/>
    <cellStyle name="SAPBEXexcGood3 3" xfId="0"/>
    <cellStyle name="SAPBEXexcGood3 3 2" xfId="0"/>
    <cellStyle name="SAPBEXexcGood3 4" xfId="0"/>
    <cellStyle name="SAPBEXexcVeryBad" xfId="0"/>
    <cellStyle name="SAPBEXfilterDrill" xfId="0"/>
    <cellStyle name="SAPBEXfilterItem" xfId="0"/>
    <cellStyle name="SAPBEXfilterText" xfId="0"/>
    <cellStyle name="SAPBEXformats" xfId="0"/>
    <cellStyle name="SAPBEXformats 2" xfId="0"/>
    <cellStyle name="SAPBEXformats 2 2" xfId="0"/>
    <cellStyle name="SAPBEXformats 3" xfId="0"/>
    <cellStyle name="SAPBEXformats 3 2" xfId="0"/>
    <cellStyle name="SAPBEXformats 4" xfId="0"/>
    <cellStyle name="SAPBEXheaderData" xfId="0"/>
    <cellStyle name="SAPBEXheaderItem" xfId="0"/>
    <cellStyle name="SAPBEXheaderRowOne" xfId="0"/>
    <cellStyle name="SAPBEXheaderRowThree" xfId="0"/>
    <cellStyle name="SAPBEXheaderRowTwo" xfId="0"/>
    <cellStyle name="SAPBEXheaderSingleRow" xfId="0"/>
    <cellStyle name="SAPBEXheaderText" xfId="0"/>
    <cellStyle name="SAPBEXHLevel0" xfId="0"/>
    <cellStyle name="SAPBEXHLevel0 2" xfId="0"/>
    <cellStyle name="SAPBEXHLevel0 2 2" xfId="0"/>
    <cellStyle name="SAPBEXHLevel0 3" xfId="0"/>
    <cellStyle name="SAPBEXHLevel0 3 2" xfId="0"/>
    <cellStyle name="SAPBEXHLevel0 4" xfId="0"/>
    <cellStyle name="SAPBEXHLevel0X" xfId="0"/>
    <cellStyle name="SAPBEXHLevel0X 2" xfId="0"/>
    <cellStyle name="SAPBEXHLevel0X 2 2" xfId="0"/>
    <cellStyle name="SAPBEXHLevel0X 3" xfId="0"/>
    <cellStyle name="SAPBEXHLevel0X 3 2" xfId="0"/>
    <cellStyle name="SAPBEXHLevel0X 4" xfId="0"/>
    <cellStyle name="SAPBEXHLevel1" xfId="0"/>
    <cellStyle name="SAPBEXHLevel1 2" xfId="0"/>
    <cellStyle name="SAPBEXHLevel1 2 2" xfId="0"/>
    <cellStyle name="SAPBEXHLevel1 3" xfId="0"/>
    <cellStyle name="SAPBEXHLevel1 3 2" xfId="0"/>
    <cellStyle name="SAPBEXHLevel1 4" xfId="0"/>
    <cellStyle name="SAPBEXHLevel1X" xfId="0"/>
    <cellStyle name="SAPBEXHLevel1X 2" xfId="0"/>
    <cellStyle name="SAPBEXHLevel1X 2 2" xfId="0"/>
    <cellStyle name="SAPBEXHLevel1X 3" xfId="0"/>
    <cellStyle name="SAPBEXHLevel1X 3 2" xfId="0"/>
    <cellStyle name="SAPBEXHLevel1X 4" xfId="0"/>
    <cellStyle name="SAPBEXHLevel2" xfId="0"/>
    <cellStyle name="SAPBEXHLevel2 2" xfId="0"/>
    <cellStyle name="SAPBEXHLevel2 2 2" xfId="0"/>
    <cellStyle name="SAPBEXHLevel2 3" xfId="0"/>
    <cellStyle name="SAPBEXHLevel2 3 2" xfId="0"/>
    <cellStyle name="SAPBEXHLevel2 4" xfId="0"/>
    <cellStyle name="SAPBEXHLevel2X" xfId="0"/>
    <cellStyle name="SAPBEXHLevel2X 2" xfId="0"/>
    <cellStyle name="SAPBEXHLevel2X 2 2" xfId="0"/>
    <cellStyle name="SAPBEXHLevel2X 3" xfId="0"/>
    <cellStyle name="SAPBEXHLevel2X 3 2" xfId="0"/>
    <cellStyle name="SAPBEXHLevel2X 4" xfId="0"/>
    <cellStyle name="SAPBEXHLevel3" xfId="0"/>
    <cellStyle name="SAPBEXHLevel3 2" xfId="0"/>
    <cellStyle name="SAPBEXHLevel3 2 2" xfId="0"/>
    <cellStyle name="SAPBEXHLevel3 3" xfId="0"/>
    <cellStyle name="SAPBEXHLevel3 3 2" xfId="0"/>
    <cellStyle name="SAPBEXHLevel3 4" xfId="0"/>
    <cellStyle name="SAPBEXHLevel3X" xfId="0"/>
    <cellStyle name="SAPBEXHLevel3X 2" xfId="0"/>
    <cellStyle name="SAPBEXHLevel3X 2 2" xfId="0"/>
    <cellStyle name="SAPBEXHLevel3X 3" xfId="0"/>
    <cellStyle name="SAPBEXHLevel3X 3 2" xfId="0"/>
    <cellStyle name="SAPBEXHLevel3X 4" xfId="0"/>
    <cellStyle name="SAPBEXresData" xfId="0"/>
    <cellStyle name="SAPBEXresData 2" xfId="0"/>
    <cellStyle name="SAPBEXresData 2 2" xfId="0"/>
    <cellStyle name="SAPBEXresData 3" xfId="0"/>
    <cellStyle name="SAPBEXresData 3 2" xfId="0"/>
    <cellStyle name="SAPBEXresData 4" xfId="0"/>
    <cellStyle name="SAPBEXresDataEmph" xfId="0"/>
    <cellStyle name="SAPBEXresDataEmph 2" xfId="0"/>
    <cellStyle name="SAPBEXresDataEmph 2 2" xfId="0"/>
    <cellStyle name="SAPBEXresDataEmph 3" xfId="0"/>
    <cellStyle name="SAPBEXresDataEmph 3 2" xfId="0"/>
    <cellStyle name="SAPBEXresDataEmph 4" xfId="0"/>
    <cellStyle name="SAPBEXresExc1" xfId="0"/>
    <cellStyle name="SAPBEXresExc1Emph" xfId="0"/>
    <cellStyle name="SAPBEXresExc2" xfId="0"/>
    <cellStyle name="SAPBEXresExc2Emph" xfId="0"/>
    <cellStyle name="SAPBEXresItem" xfId="0"/>
    <cellStyle name="SAPBEXresItem 2" xfId="0"/>
    <cellStyle name="SAPBEXresItem 2 2" xfId="0"/>
    <cellStyle name="SAPBEXresItem 3" xfId="0"/>
    <cellStyle name="SAPBEXresItem 3 2" xfId="0"/>
    <cellStyle name="SAPBEXresItem 4" xfId="0"/>
    <cellStyle name="SAPBEXresItemX" xfId="0"/>
    <cellStyle name="SAPBEXresItemX 2" xfId="0"/>
    <cellStyle name="SAPBEXresItemX 2 2" xfId="0"/>
    <cellStyle name="SAPBEXresItemX 3" xfId="0"/>
    <cellStyle name="SAPBEXresItemX 3 2" xfId="0"/>
    <cellStyle name="SAPBEXresItemX 4" xfId="0"/>
    <cellStyle name="SAPBEXstdData" xfId="0"/>
    <cellStyle name="SAPBEXstdData 2" xfId="0"/>
    <cellStyle name="SAPBEXstdData 2 2" xfId="0"/>
    <cellStyle name="SAPBEXstdData 3" xfId="0"/>
    <cellStyle name="SAPBEXstdData 3 2" xfId="0"/>
    <cellStyle name="SAPBEXstdData 4" xfId="0"/>
    <cellStyle name="SAPBEXstdDataEmph" xfId="0"/>
    <cellStyle name="SAPBEXstdDataEmph 2" xfId="0"/>
    <cellStyle name="SAPBEXstdDataEmph 2 2" xfId="0"/>
    <cellStyle name="SAPBEXstdDataEmph 3" xfId="0"/>
    <cellStyle name="SAPBEXstdDataEmph 3 2" xfId="0"/>
    <cellStyle name="SAPBEXstdDataEmph 4" xfId="0"/>
    <cellStyle name="SAPBEXstdExc1" xfId="0"/>
    <cellStyle name="SAPBEXstdExc1Emph" xfId="0"/>
    <cellStyle name="SAPBEXstdExc2" xfId="0"/>
    <cellStyle name="SAPBEXstdExc2Emph" xfId="0"/>
    <cellStyle name="SAPBEXstdItem" xfId="0"/>
    <cellStyle name="SAPBEXstdItem 2" xfId="0"/>
    <cellStyle name="SAPBEXstdItem 2 2" xfId="0"/>
    <cellStyle name="SAPBEXstdItem 3" xfId="0"/>
    <cellStyle name="SAPBEXstdItem 3 2" xfId="0"/>
    <cellStyle name="SAPBEXstdItem 4" xfId="0"/>
    <cellStyle name="SAPBEXstdItemHeader" xfId="0"/>
    <cellStyle name="SAPBEXstdItemLeft" xfId="0"/>
    <cellStyle name="SAPBEXstdItemLeftChart" xfId="0"/>
    <cellStyle name="SAPBEXstdItemX" xfId="0"/>
    <cellStyle name="SAPBEXstdItemX 2" xfId="0"/>
    <cellStyle name="SAPBEXstdItemX 2 2" xfId="0"/>
    <cellStyle name="SAPBEXstdItemX 3" xfId="0"/>
    <cellStyle name="SAPBEXstdItemX 3 2" xfId="0"/>
    <cellStyle name="SAPBEXstdItemX 4" xfId="0"/>
    <cellStyle name="SAPBEXsubData" xfId="0"/>
    <cellStyle name="SAPBEXsubDataEmph" xfId="0"/>
    <cellStyle name="SAPBEXsubExc1" xfId="0"/>
    <cellStyle name="SAPBEXsubExc1Emph" xfId="0"/>
    <cellStyle name="SAPBEXsubExc2" xfId="0"/>
    <cellStyle name="SAPBEXsubExc2Emph" xfId="0"/>
    <cellStyle name="SAPBEXsubItem" xfId="0"/>
    <cellStyle name="SAPBEXtitle" xfId="0"/>
    <cellStyle name="SAPBEXundefined" xfId="0"/>
    <cellStyle name="SAPBEXundefined 2" xfId="0"/>
    <cellStyle name="SAPBEXundefined 2 2" xfId="0"/>
    <cellStyle name="SAPBEXundefined 3" xfId="0"/>
    <cellStyle name="SAPBEXundefined 3 2" xfId="0"/>
    <cellStyle name="SAPBEXundefined 4" xfId="0"/>
    <cellStyle name="sbt2" xfId="0"/>
    <cellStyle name="sche|_x0005_" xfId="0"/>
    <cellStyle name="Segments" xfId="0"/>
    <cellStyle name="SEM-BPS-data" xfId="0"/>
    <cellStyle name="Sep. milhar [0]" xfId="0"/>
    <cellStyle name="Separador de milhares [0]_B4-9902ia" xfId="0"/>
    <cellStyle name="Separador de milhares_B4-9902ia" xfId="0"/>
    <cellStyle name="Sheet_Title" xfId="0"/>
    <cellStyle name="Single Accounting" xfId="0"/>
    <cellStyle name="Single Underline 10" xfId="0"/>
    <cellStyle name="Single Underline 7" xfId="0"/>
    <cellStyle name="Single Underline 8" xfId="0"/>
    <cellStyle name="Single Underline 9" xfId="0"/>
    <cellStyle name="SKUGGAD" xfId="0"/>
    <cellStyle name="Sociétés" xfId="0"/>
    <cellStyle name="Source Line" xfId="0"/>
    <cellStyle name="STANDARD" xfId="0"/>
    <cellStyle name="StandardDate" xfId="0"/>
    <cellStyle name="standardnumber" xfId="0"/>
    <cellStyle name="Style 1" xfId="0"/>
    <cellStyle name="Style 10" xfId="0"/>
    <cellStyle name="Style 11" xfId="0"/>
    <cellStyle name="Style 12" xfId="0"/>
    <cellStyle name="Style 13" xfId="0"/>
    <cellStyle name="Style 14" xfId="0"/>
    <cellStyle name="Style 15" xfId="0"/>
    <cellStyle name="Style 16" xfId="0"/>
    <cellStyle name="Style 17" xfId="0"/>
    <cellStyle name="Style 18" xfId="0"/>
    <cellStyle name="Style 19" xfId="0"/>
    <cellStyle name="Style 2" xfId="0"/>
    <cellStyle name="Style 20" xfId="0"/>
    <cellStyle name="Style 21" xfId="0"/>
    <cellStyle name="Style 22" xfId="0"/>
    <cellStyle name="Style 23" xfId="0"/>
    <cellStyle name="Style 24" xfId="0"/>
    <cellStyle name="Style 25" xfId="0"/>
    <cellStyle name="Style 26" xfId="0"/>
    <cellStyle name="Style 27" xfId="0"/>
    <cellStyle name="Style 28" xfId="0"/>
    <cellStyle name="Style 29" xfId="0"/>
    <cellStyle name="Style 3" xfId="0"/>
    <cellStyle name="Style 30" xfId="0"/>
    <cellStyle name="Style 31" xfId="0"/>
    <cellStyle name="Style 32" xfId="0"/>
    <cellStyle name="Style 33" xfId="0"/>
    <cellStyle name="Style 34" xfId="0"/>
    <cellStyle name="Style 35" xfId="0"/>
    <cellStyle name="Style 36" xfId="0"/>
    <cellStyle name="Style 37" xfId="0"/>
    <cellStyle name="Style 38" xfId="0"/>
    <cellStyle name="Style 39" xfId="0"/>
    <cellStyle name="Style 4" xfId="0"/>
    <cellStyle name="Style 40" xfId="0"/>
    <cellStyle name="Style 41" xfId="0"/>
    <cellStyle name="Style 42" xfId="0"/>
    <cellStyle name="Style 43" xfId="0"/>
    <cellStyle name="Style 44" xfId="0"/>
    <cellStyle name="Style 45" xfId="0"/>
    <cellStyle name="Style 46" xfId="0"/>
    <cellStyle name="Style 47" xfId="0"/>
    <cellStyle name="Style 48" xfId="0"/>
    <cellStyle name="Style 49" xfId="0"/>
    <cellStyle name="Style 5" xfId="0"/>
    <cellStyle name="Style 50" xfId="0"/>
    <cellStyle name="Style 51" xfId="0"/>
    <cellStyle name="Style 52" xfId="0"/>
    <cellStyle name="Style 53" xfId="0"/>
    <cellStyle name="Style 54" xfId="0"/>
    <cellStyle name="Style 55" xfId="0"/>
    <cellStyle name="Style 56" xfId="0"/>
    <cellStyle name="Style 57" xfId="0"/>
    <cellStyle name="Style 58" xfId="0"/>
    <cellStyle name="Style 59" xfId="0"/>
    <cellStyle name="Style 6" xfId="0"/>
    <cellStyle name="Style 60" xfId="0"/>
    <cellStyle name="Style 61" xfId="0"/>
    <cellStyle name="Style 62" xfId="0"/>
    <cellStyle name="Style 63" xfId="0"/>
    <cellStyle name="Style 64" xfId="0"/>
    <cellStyle name="Style 65" xfId="0"/>
    <cellStyle name="Style 66" xfId="0"/>
    <cellStyle name="Style 67" xfId="0"/>
    <cellStyle name="Style 68" xfId="0"/>
    <cellStyle name="Style 69" xfId="0"/>
    <cellStyle name="Style 7" xfId="0"/>
    <cellStyle name="Style 70" xfId="0"/>
    <cellStyle name="Style 71" xfId="0"/>
    <cellStyle name="Style 72" xfId="0"/>
    <cellStyle name="Style 73" xfId="0"/>
    <cellStyle name="Style 74" xfId="0"/>
    <cellStyle name="Style 75" xfId="0"/>
    <cellStyle name="Style 76" xfId="0"/>
    <cellStyle name="Style 77" xfId="0"/>
    <cellStyle name="Style 78" xfId="0"/>
    <cellStyle name="Style 79" xfId="0"/>
    <cellStyle name="Style 8" xfId="0"/>
    <cellStyle name="Style 80" xfId="0"/>
    <cellStyle name="Style 81" xfId="0"/>
    <cellStyle name="Style 82" xfId="0"/>
    <cellStyle name="Style 83" xfId="0"/>
    <cellStyle name="Style 84" xfId="0"/>
    <cellStyle name="Style 85" xfId="0"/>
    <cellStyle name="Style 86" xfId="0"/>
    <cellStyle name="Style 87" xfId="0"/>
    <cellStyle name="Style 88" xfId="0"/>
    <cellStyle name="Style 89" xfId="0"/>
    <cellStyle name="Style 9" xfId="0"/>
    <cellStyle name="Style 90" xfId="0"/>
    <cellStyle name="Style 91" xfId="0"/>
    <cellStyle name="Style 92" xfId="0"/>
    <cellStyle name="Style 93" xfId="0"/>
    <cellStyle name="STYLE1 - Style1" xfId="0"/>
    <cellStyle name="STYLE2 - Style2" xfId="0"/>
    <cellStyle name="STYLE3 - Style3" xfId="0"/>
    <cellStyle name="STYLE4 - Style4" xfId="0"/>
    <cellStyle name="subhead" xfId="0"/>
    <cellStyle name="subhead 2" xfId="0"/>
    <cellStyle name="subt1" xfId="0"/>
    <cellStyle name="Subtotal" xfId="0"/>
    <cellStyle name="Surrency_Q2 FY96_laroux" xfId="0"/>
    <cellStyle name="Table 10 (%)" xfId="0"/>
    <cellStyle name="Table 10 (2 dec Number)" xfId="0"/>
    <cellStyle name="Table 10 (Col Numbers)" xfId="0"/>
    <cellStyle name="Table 10-10" xfId="0"/>
    <cellStyle name="Table 10-12" xfId="0"/>
    <cellStyle name="Table 10-2" xfId="0"/>
    <cellStyle name="Table 10-4" xfId="0"/>
    <cellStyle name="Table 10-6" xfId="0"/>
    <cellStyle name="Table 10-8" xfId="0"/>
    <cellStyle name="Table 11-10" xfId="0"/>
    <cellStyle name="Table 11-12" xfId="0"/>
    <cellStyle name="Table 11-2" xfId="0"/>
    <cellStyle name="Table 11-4" xfId="0"/>
    <cellStyle name="Table 11-6" xfId="0"/>
    <cellStyle name="Table 11-8" xfId="0"/>
    <cellStyle name="Table 7 (2 dec Numbers)" xfId="0"/>
    <cellStyle name="Table 7 (Col Numbers)" xfId="0"/>
    <cellStyle name="Table 7-10" xfId="0"/>
    <cellStyle name="Table 7-12" xfId="0"/>
    <cellStyle name="Table 7-2" xfId="0"/>
    <cellStyle name="Table 7-4" xfId="0"/>
    <cellStyle name="Table 7-6" xfId="0"/>
    <cellStyle name="Table 7-8" xfId="0"/>
    <cellStyle name="Table 8" xfId="0"/>
    <cellStyle name="Table 8 (2 dec Numbers)" xfId="0"/>
    <cellStyle name="Table 8 (Col Numbers)" xfId="0"/>
    <cellStyle name="Table 8-10" xfId="0"/>
    <cellStyle name="Table 8-12" xfId="0"/>
    <cellStyle name="Table 8-2" xfId="0"/>
    <cellStyle name="Table 8-4" xfId="0"/>
    <cellStyle name="Table 8-6" xfId="0"/>
    <cellStyle name="Table 8-8" xfId="0"/>
    <cellStyle name="Table 9" xfId="0"/>
    <cellStyle name="Table 9 (1 decimal)" xfId="0"/>
    <cellStyle name="Table 9 (2 dec Numbers)" xfId="0"/>
    <cellStyle name="Table 9 (Col Numbers)" xfId="0"/>
    <cellStyle name="Table 9-10" xfId="0"/>
    <cellStyle name="Table 9-12" xfId="0"/>
    <cellStyle name="Table 9-2" xfId="0"/>
    <cellStyle name="Table 9-4" xfId="0"/>
    <cellStyle name="Table 9-6" xfId="0"/>
    <cellStyle name="Table 9-8" xfId="0"/>
    <cellStyle name="Table 9_g8z01_" xfId="0"/>
    <cellStyle name="Table Head 10" xfId="0"/>
    <cellStyle name="Table Head 7" xfId="0"/>
    <cellStyle name="Table Head 8" xfId="0"/>
    <cellStyle name="Table Head 9" xfId="0"/>
    <cellStyle name="Table Heading" xfId="0"/>
    <cellStyle name="Table Text 10" xfId="0"/>
    <cellStyle name="Table Text 7" xfId="0"/>
    <cellStyle name="Table Text 8" xfId="0"/>
    <cellStyle name="Table Text 9" xfId="0"/>
    <cellStyle name="Table Title" xfId="0"/>
    <cellStyle name="Table_Header" xfId="0"/>
    <cellStyle name="TEST" xfId="0"/>
    <cellStyle name="Text 11p TR" xfId="0"/>
    <cellStyle name="Text 19" xfId="0"/>
    <cellStyle name="Text Indent A" xfId="0"/>
    <cellStyle name="Text Indent A 2" xfId="0"/>
    <cellStyle name="Text Indent B" xfId="0"/>
    <cellStyle name="Text Indent B 2" xfId="0"/>
    <cellStyle name="Text Indent C" xfId="0"/>
    <cellStyle name="Text Indent C 2" xfId="0"/>
    <cellStyle name="Tickmark" xfId="0"/>
    <cellStyle name="Times 10" xfId="0"/>
    <cellStyle name="Times 12" xfId="0"/>
    <cellStyle name="Times New Roman" xfId="0"/>
    <cellStyle name="Title" xfId="0"/>
    <cellStyle name="Title 10" xfId="0"/>
    <cellStyle name="Title 2" xfId="0"/>
    <cellStyle name="Title 3" xfId="0"/>
    <cellStyle name="Title 4" xfId="0"/>
    <cellStyle name="Title 5" xfId="0"/>
    <cellStyle name="Title 6" xfId="0"/>
    <cellStyle name="Title 7" xfId="0"/>
    <cellStyle name="Title 8" xfId="0"/>
    <cellStyle name="Title 9" xfId="0"/>
    <cellStyle name="title [1]" xfId="0"/>
    <cellStyle name="title [2]" xfId="0"/>
    <cellStyle name="Title Line" xfId="0"/>
    <cellStyle name="Titulo" xfId="0"/>
    <cellStyle name="Top Row" xfId="0"/>
    <cellStyle name="Total" xfId="0"/>
    <cellStyle name="Total 10" xfId="0"/>
    <cellStyle name="Total 11" xfId="0"/>
    <cellStyle name="Total 12" xfId="0"/>
    <cellStyle name="Total 13" xfId="0"/>
    <cellStyle name="Total 14" xfId="0"/>
    <cellStyle name="Total 2" xfId="0"/>
    <cellStyle name="Total 3" xfId="0"/>
    <cellStyle name="Total 4" xfId="0"/>
    <cellStyle name="Total 5" xfId="0"/>
    <cellStyle name="Total 6" xfId="0"/>
    <cellStyle name="Total 7" xfId="0"/>
    <cellStyle name="Total 8" xfId="0"/>
    <cellStyle name="Total 9" xfId="0"/>
    <cellStyle name="Total nb" xfId="0"/>
    <cellStyle name="Total Row" xfId="0"/>
    <cellStyle name="Total_2008_10_계정명세서(중간감사용)" xfId="0"/>
    <cellStyle name="toto" xfId="0"/>
    <cellStyle name="Trade_Title" xfId="0"/>
    <cellStyle name="TradeData_Data" xfId="0"/>
    <cellStyle name="Tusental (0)_pldt" xfId="0"/>
    <cellStyle name="Tusental_pldt" xfId="0"/>
    <cellStyle name="TypeIn" xfId="0"/>
    <cellStyle name="T０_x0008__x0003__x0008_?)(일)" xfId="0"/>
    <cellStyle name="T０_x0008__x0003__x0008_磚)(일)" xfId="0"/>
    <cellStyle name="Underline_Double" xfId="0"/>
    <cellStyle name="Underrubrik" xfId="0"/>
    <cellStyle name="UNPROBLD" xfId="0"/>
    <cellStyle name="Unprot" xfId="0"/>
    <cellStyle name="Unprot$" xfId="0"/>
    <cellStyle name="Unprotect" xfId="0"/>
    <cellStyle name="unprotected" xfId="0"/>
    <cellStyle name="us" xfId="0"/>
    <cellStyle name="V?gula_VERA" xfId="0"/>
    <cellStyle name="Validation" xfId="0"/>
    <cellStyle name="Valuta (0)_Actu e Piano Maggio98" xfId="0"/>
    <cellStyle name="Valuta_Actu e Piano Maggio98" xfId="0"/>
    <cellStyle name="VAR $ 0.00" xfId="0"/>
    <cellStyle name="VAR Comma 0.00" xfId="0"/>
    <cellStyle name="Velky nadpis" xfId="0"/>
    <cellStyle name="Vírgula_VERA" xfId="0"/>
    <cellStyle name="W?rung [0]_42_FINWE" xfId="0"/>
    <cellStyle name="W?rung_42_FINWE" xfId="0"/>
    <cellStyle name="Wahrung [0]_PERSON2" xfId="0"/>
    <cellStyle name="Wahrung_PERSON2" xfId="0"/>
    <cellStyle name="Walutowy [0]_Plan inwestycji 2000-2002" xfId="0"/>
    <cellStyle name="Walutowy_Plan inwestycji 2000-2002" xfId="0"/>
    <cellStyle name="Warning Text" xfId="0"/>
    <cellStyle name="Warning Text 2" xfId="0"/>
    <cellStyle name="Warning Text 3" xfId="0"/>
    <cellStyle name="Warning Text 4" xfId="0"/>
    <cellStyle name="Warning Text 5" xfId="0"/>
    <cellStyle name="Warning Text 6" xfId="0"/>
    <cellStyle name="Warning Text 7" xfId="0"/>
    <cellStyle name="Warning Text 8" xfId="0"/>
    <cellStyle name="Warning Text 9" xfId="0"/>
    <cellStyle name="WhiteCells" xfId="0"/>
    <cellStyle name="Window" xfId="0"/>
    <cellStyle name="WingDing" xfId="0"/>
    <cellStyle name="Währung [0]_42_FINWE" xfId="0"/>
    <cellStyle name="Währung_42_FINWE" xfId="0"/>
    <cellStyle name="XBkWMyPCb5O" xfId="0"/>
    <cellStyle name="XComma" xfId="0"/>
    <cellStyle name="XComma 0.0" xfId="0"/>
    <cellStyle name="XComma 0.00" xfId="0"/>
    <cellStyle name="XComma 0.000" xfId="0"/>
    <cellStyle name="XCurrency" xfId="0"/>
    <cellStyle name="XCurrency 0.0" xfId="0"/>
    <cellStyle name="XCurrency 0.00" xfId="0"/>
    <cellStyle name="XCurrency 0.000" xfId="0"/>
    <cellStyle name="XLS'|_x0005_t" xfId="0"/>
    <cellStyle name="xls]W 공장-품경" xfId="0"/>
    <cellStyle name="xy" xfId="0"/>
    <cellStyle name="Years" xfId="0"/>
    <cellStyle name="Yen" xfId="0"/>
    <cellStyle name="Zahlavi" xfId="0"/>
    <cellStyle name="ZZ_EY_Legend_1" xfId="0"/>
    <cellStyle name="{Comma [0]}" xfId="0"/>
    <cellStyle name="æøè [0.00" xfId="0"/>
    <cellStyle name="æøè_produ" xfId="0"/>
    <cellStyle name="êý [0.00]_pr" xfId="0"/>
    <cellStyle name="êý_product d" xfId="0"/>
    <cellStyle name="W?_BOOKSHIP_½ÇÀûÇöÈ² " xfId="0"/>
    <cellStyle name="w_bookship" xfId="0"/>
    <cellStyle name="£ BP" xfId="0"/>
    <cellStyle name="¤@?e_laroux" xfId="0"/>
    <cellStyle name="¤d¤A|i[0]_laroux" xfId="0"/>
    <cellStyle name="¤d¤A|i_laroux" xfId="0"/>
    <cellStyle name="¥ JY" xfId="0"/>
    <cellStyle name="³f¹o [0]_RESULTS" xfId="0"/>
    <cellStyle name="³f¹o[0]_laroux" xfId="0"/>
    <cellStyle name="³f¹o_laroux" xfId="0"/>
    <cellStyle name="µÚ¿¡ ¿À´Â ÇÏÀÌÆÛ¸µÅ©" xfId="0"/>
    <cellStyle name="¹eºÐA²_±aA¸" xfId="0"/>
    <cellStyle name="¹éº" xfId="0"/>
    <cellStyle name="¹éºÐÀ²_±âÅ¸" xfId="0"/>
    <cellStyle name="¹éºðà²" xfId="0"/>
    <cellStyle name="¿­¾iº≫ CIAIÆU¸μAⓒ" xfId="0"/>
    <cellStyle name="Ä?¸¶ [0]_´ëÇü±¸ " xfId="0"/>
    <cellStyle name="Ä?¸¶_´ëÇü±¸ " xfId="0"/>
    <cellStyle name="ÄÞ¸¶ [0]_  Á¾  ÇÕ  " xfId="0"/>
    <cellStyle name="ÄÞ¸¶ [0]_ 2ÆÀÃþº° " xfId="0"/>
    <cellStyle name="ÄÞ¸¶ [0]_ Æ¯ÆÇÃþº° " xfId="0"/>
    <cellStyle name="ÄÞ¸¶ [0]_2¿ù¸ÅÃâ " xfId="0"/>
    <cellStyle name="ÄÞ¸¶ [0]_3ÆÀ °³ÀÎ " xfId="0"/>
    <cellStyle name="ÄÞ¸¶ [0]_96³â½Ä´çº°¼ÕÀÍ " xfId="0"/>
    <cellStyle name="ÄÞ¸¶ [0]_BD111" xfId="0"/>
    <cellStyle name="ÄÞ¸¶ [0]_INQUIRY ¿µ¾÷ÃßÁø " xfId="0"/>
    <cellStyle name="ÄÞ¸¶ [0]_laroux_2_Àç°í°ü¸® " xfId="0"/>
    <cellStyle name="ÄÞ¸¶ [0]_°èÈ¹3 " xfId="0"/>
    <cellStyle name="ÄÞ¸¶ [0]_°ü¸®Ç×¸ñ_¾÷Á¾º° " xfId="0"/>
    <cellStyle name="ÄÞ¸¶ [0]_´ëºñÇ¥" xfId="0"/>
    <cellStyle name="ÄÞ¸¶ [0]_´ëÂ÷´ëÁ¶" xfId="0"/>
    <cellStyle name="ÄÞ¸¶ [0]_µ¿ºÎ" xfId="0"/>
    <cellStyle name="ÄÞ¸¶ [0]_º¸¼öÃÑ°ý " xfId="0"/>
    <cellStyle name="ÄÞ¸¶ [0]_¼ÕÀÍ¹Î´ö " xfId="0"/>
    <cellStyle name="ÄÞ¸¶ [0]_¼öÃâ½ÇÀû _2.È¿À²ºÐ¼® " xfId="0"/>
    <cellStyle name="ÄÞ¸¶ [0]_¼öÃâ½ÇÀû _ÃµÈ£3¿ù " xfId="0"/>
    <cellStyle name="ÄÞ¸¶ [0]_¼öÃâ½ÇÀû _Çö´ë¾÷¹«ÃßÁø " xfId="0"/>
    <cellStyle name="ÄÞ¸¶ [0]_½ÄÀ½·á¿ø°¡ " xfId="0"/>
    <cellStyle name="ÄÞ¸¶ [0]_¾÷Á¾º° " xfId="0"/>
    <cellStyle name="ÄÞ¸¶ [0]_¿ùº¸¼ö·á " xfId="0"/>
    <cellStyle name="ÄÞ¸¶ [0]_Á¦Á¶1ºÎ1°ú ÇöÈ² " xfId="0"/>
    <cellStyle name="ÄÞ¸¶ [0]_ÆÀÇ¥Áö_°èÈ¹3 " xfId="0"/>
    <cellStyle name="ÄÞ¸¶_  Á¾  ÇÕ  " xfId="0"/>
    <cellStyle name="ÄÞ¸¶_ 2ÆÀÃþº° " xfId="0"/>
    <cellStyle name="ÄÞ¸¶_ Æ¯ÆÇÃþº° " xfId="0"/>
    <cellStyle name="ÄÞ¸¶_2¿ù¸ÅÃâ " xfId="0"/>
    <cellStyle name="ÄÞ¸¶_3ÆÀ °³ÀÎ " xfId="0"/>
    <cellStyle name="ÄÞ¸¶_96³â½Ä´çº°¼ÕÀÍ " xfId="0"/>
    <cellStyle name="ÄÞ¸¶_INQUIRY ¿µ¾÷ÃßÁø " xfId="0"/>
    <cellStyle name="ÄÞ¸¶_laroux_2_Àç°í°ü¸® " xfId="0"/>
    <cellStyle name="ÄÞ¸¶_°èÈ¹3 " xfId="0"/>
    <cellStyle name="ÄÞ¸¶_°ü¸®Ç×¸ñ_¾÷Á¾º° " xfId="0"/>
    <cellStyle name="ÄÞ¸¶_´ëºñÇ¥" xfId="0"/>
    <cellStyle name="ÄÞ¸¶_´ëÂ÷´ëÁ¶" xfId="0"/>
    <cellStyle name="ÄÞ¸¶_µ¿ºÎ" xfId="0"/>
    <cellStyle name="ÄÞ¸¶_º¸¼öÃÑ°ý " xfId="0"/>
    <cellStyle name="ÄÞ¸¶_¼ÕÀÍ¹Î´ö " xfId="0"/>
    <cellStyle name="ÄÞ¸¶_¼öÃâ½ÇÀû _2.È¿À²ºÐ¼® " xfId="0"/>
    <cellStyle name="ÄÞ¸¶_¼öÃâ½ÇÀû _Çö´ë¾÷¹«ÃßÁø " xfId="0"/>
    <cellStyle name="ÄÞ¸¶_½ÄÀ½·á¿ø°¡ " xfId="0"/>
    <cellStyle name="ÄÞ¸¶_¾÷Á¾º° " xfId="0"/>
    <cellStyle name="ÄÞ¸¶_¿ùº¸¼ö·á " xfId="0"/>
    <cellStyle name="ÄÞ¸¶_Á¦Á¶1ºÎ1°ú ÇöÈ² " xfId="0"/>
    <cellStyle name="ÄÞ¸¶_ÆÀÇ¥Áö_°èÈ¹3 " xfId="0"/>
    <cellStyle name="ÄÞ¸¶_Ç¥Áö " xfId="0"/>
    <cellStyle name="Äþ" xfId="0"/>
    <cellStyle name="Äþ¸¶" xfId="0"/>
    <cellStyle name="Äþ¸¶ [" xfId="0"/>
    <cellStyle name="Äþ¸¶ [0]" xfId="0"/>
    <cellStyle name="Åë" xfId="0"/>
    <cellStyle name="ÅëÈ­ [0]_  Á¾  ÇÕ  " xfId="0"/>
    <cellStyle name="ÅëÈ­ [0]_ 2ÆÀÃþº° " xfId="0"/>
    <cellStyle name="ÅëÈ­ [0]_ Æ¯ÆÇÃþº° " xfId="0"/>
    <cellStyle name="ÅëÈ­ [0]_1-1ÃßÀÌ " xfId="0"/>
    <cellStyle name="ÅëÈ­ [0]_2¿ù¸ÅÃâ " xfId="0"/>
    <cellStyle name="ÅëÈ­ [0]_3ÆÀ °³ÀÎ " xfId="0"/>
    <cellStyle name="ÅëÈ­ [0]_9634¸ÅÃâ " xfId="0"/>
    <cellStyle name="ÅëÈ­ [0]_96³â½Ä´çº°¼ÕÀÍ " xfId="0"/>
    <cellStyle name="ÅëÈ­ [0]_AMT " xfId="0"/>
    <cellStyle name="ÅëÈ­ [0]_AMT _2.È¿À²ºÐ¼® " xfId="0"/>
    <cellStyle name="ÅëÈ­ [0]_AMT _ÃµÈ£3¿ù " xfId="0"/>
    <cellStyle name="ÅëÈ­ [0]_INQUIRY ¿µ¾÷ÃßÁø " xfId="0"/>
    <cellStyle name="ÅëÈ­ [0]_laroux_Àç°í°ü¸® " xfId="0"/>
    <cellStyle name="ÅëÈ­ [0]_SP ¹°µ¿¹× ¿ÜÁÖ " xfId="0"/>
    <cellStyle name="ÅëÈ­ [0]_°èÈ¹3 " xfId="0"/>
    <cellStyle name="ÅëÈ­ [0]_°ü¸®Ç×¸ñ_¾÷Á¾º° " xfId="0"/>
    <cellStyle name="ÅëÈ­ [0]_³Ã¿¬ 4 " xfId="0"/>
    <cellStyle name="ÅëÈ­ [0]_´ëºñÇ¥" xfId="0"/>
    <cellStyle name="ÅëÈ­ [0]_´ëÂ÷´ëÁ¶" xfId="0"/>
    <cellStyle name="ÅëÈ­ [0]_´ëÇü±¸ " xfId="0"/>
    <cellStyle name="ÅëÈ­ [0]_µ¿ºÎ" xfId="0"/>
    <cellStyle name="ÅëÈ­ [0]_¼ÕÀÍ¹Î´ö " xfId="0"/>
    <cellStyle name="ÅëÈ­ [0]_¼öÃâ½ÇÀû _2.È¿À²ºÐ¼® " xfId="0"/>
    <cellStyle name="ÅëÈ­ [0]_¼öÃâ½ÇÀû _ÃµÈ£3¿ù " xfId="0"/>
    <cellStyle name="ÅëÈ­ [0]_¼öÃâ½ÇÀû _Çö´ë¾÷¹«ÃßÁø " xfId="0"/>
    <cellStyle name="ÅëÈ­ [0]_½ÄÀ½·á¿ø°¡ " xfId="0"/>
    <cellStyle name="ÅëÈ­ [0]_¾÷Á¾º° " xfId="0"/>
    <cellStyle name="ÅëÈ­ [0]_¿ùº¸¼ö·á " xfId="0"/>
    <cellStyle name="ÅëÈ­ [0]_Àç°í°ü¸® " xfId="0"/>
    <cellStyle name="ÅëÈ­ [0]_Àç°í°ü¸®  2" xfId="0"/>
    <cellStyle name="ÅëÈ­ [0]_Àç°í°ü¸®  3" xfId="0"/>
    <cellStyle name="ÅëÈ­ [0]_Àç°í°ü¸®  4" xfId="0"/>
    <cellStyle name="ÅëÈ­ [0]_Á¦Á¶1ºÎ1°ú ÇöÈ² " xfId="0"/>
    <cellStyle name="ÅëÈ­ [0]_ÃÑ°ýº¸°í-Ãß°¡Àý°¨ " xfId="0"/>
    <cellStyle name="ÅëÈ­ [0]_ÆÀÇ¥Áö_°èÈ¹3 " xfId="0"/>
    <cellStyle name="ÅëÈ­ [0]_Ç¥Áö " xfId="0"/>
    <cellStyle name="ÅëÈ­_  Á¾  ÇÕ  " xfId="0"/>
    <cellStyle name="ÅëÈ­_ 2ÆÀÃþº° " xfId="0"/>
    <cellStyle name="ÅëÈ­_ °ßÀû±âÁØ FLOW " xfId="0"/>
    <cellStyle name="ÅëÈ­_ Æ¯ÆÇÃþº° " xfId="0"/>
    <cellStyle name="ÅëÈ­_1-1ÃßÀÌ " xfId="0"/>
    <cellStyle name="ÅëÈ­_2¿ù¸ÅÃâ " xfId="0"/>
    <cellStyle name="ÅëÈ­_3ÆÀ °³ÀÎ " xfId="0"/>
    <cellStyle name="ÅëÈ­_9634¸ÅÃâ " xfId="0"/>
    <cellStyle name="ÅëÈ­_96³â½Ä´çº°¼ÕÀÍ " xfId="0"/>
    <cellStyle name="ÅëÈ­_AMT " xfId="0"/>
    <cellStyle name="ÅëÈ­_AMT _2.È¿À²ºÐ¼® " xfId="0"/>
    <cellStyle name="ÅëÈ­_INQUIRY ¿µ¾÷ÃßÁø " xfId="0"/>
    <cellStyle name="ÅëÈ­_laroux_Àç°í°ü¸® " xfId="0"/>
    <cellStyle name="ÅëÈ­_SP ¹°µ¿¹× ¿ÜÁÖ " xfId="0"/>
    <cellStyle name="ÅëÈ­_°èÈ¹3 " xfId="0"/>
    <cellStyle name="ÅëÈ­_°ü¸®Ç×¸ñ_¾÷Á¾º° " xfId="0"/>
    <cellStyle name="ÅëÈ­_³Ã¿¬ 4 " xfId="0"/>
    <cellStyle name="ÅëÈ­_´ëºñÇ¥" xfId="0"/>
    <cellStyle name="ÅëÈ­_´ëºñÇ¥_유형자산증감명세서(for refer)" xfId="0"/>
    <cellStyle name="ÅëÈ­_´ëÂ÷´ëÁ¶" xfId="0"/>
    <cellStyle name="ÅëÈ­_´ëÇü±¸ " xfId="0"/>
    <cellStyle name="ÅëÈ­_µ¿ºÎ" xfId="0"/>
    <cellStyle name="ÅëÈ­_¼ÕÀÍ¹Î´ö " xfId="0"/>
    <cellStyle name="ÅëÈ­_¼öÃâ½ÇÀû _2.È¿À²ºÐ¼® " xfId="0"/>
    <cellStyle name="ÅëÈ­_¼öÃâ½ÇÀû _Çö´ë¾÷¹«ÃßÁø " xfId="0"/>
    <cellStyle name="ÅëÈ­_½ÄÀ½·á¿ø°¡ " xfId="0"/>
    <cellStyle name="ÅëÈ­_¾÷Á¾º° " xfId="0"/>
    <cellStyle name="ÅëÈ­_¿ùº¸¼ö·á " xfId="0"/>
    <cellStyle name="ÅëÈ­_Àç°í°ü¸® " xfId="0"/>
    <cellStyle name="ÅëÈ­_Àç°í°ü¸®  2" xfId="0"/>
    <cellStyle name="ÅëÈ­_Àç°í°ü¸®  3" xfId="0"/>
    <cellStyle name="ÅëÈ­_Àç°í°ü¸®  4" xfId="0"/>
    <cellStyle name="ÅëÈ­_Á¦Á¶1ºÎ1°ú ÇöÈ² " xfId="0"/>
    <cellStyle name="ÅëÈ­_ÃÑ°ýº¸°í-Ãß°¡Àý°¨ " xfId="0"/>
    <cellStyle name="ÅëÈ­_ÆÀÇ¥Áö_°èÈ¹3 " xfId="0"/>
    <cellStyle name="ÅëÈ­_Ç¥Áö " xfId="0"/>
    <cellStyle name="Åëè­" xfId="0"/>
    <cellStyle name="Åëè­ [" xfId="0"/>
    <cellStyle name="Åëè­ [0]" xfId="0"/>
    <cellStyle name="Åëè­ [0]_Valuation_(주)LG_ver1" xfId="0"/>
    <cellStyle name="Åëè­_Valuation_(주)LG_ver1" xfId="0"/>
    <cellStyle name="ÇYÁO_?1»e?äA» " xfId="0"/>
    <cellStyle name="Ç¥" xfId="0"/>
    <cellStyle name="Ç¥ÁØ_  Á¾  ÇÕ  " xfId="0"/>
    <cellStyle name="Ç¥ÁØ_ 2ÆÀÃþº° " xfId="0"/>
    <cellStyle name="Ç¥ÁØ_ Æ¯ÆÇÃþº° " xfId="0"/>
    <cellStyle name="Ç¥ÁØ_(Á¤º¸ºÎ¹®)¿ùº°ÀÎ¿ø°èÈ¹" xfId="0"/>
    <cellStyle name="Ç¥ÁØ_0N-HANDLING " xfId="0"/>
    <cellStyle name="Ç¥ÁØ_12¿ù " xfId="0"/>
    <cellStyle name="Ç¥ÁØ_2¿ù¸ÅÃâ " xfId="0"/>
    <cellStyle name="Ç¥ÁØ_5-1±¤°í " xfId="0"/>
    <cellStyle name="Ç¥ÁØ_5-1±¤°í _2001재무제표" xfId="0"/>
    <cellStyle name="Ç¥ÁØ_5-1±¤°í _어음수표총괄" xfId="0"/>
    <cellStyle name="Ç¥ÁØ_5-1±¤°í _어음수표총괄_퇴직충당금 - 2004" xfId="0"/>
    <cellStyle name="Ç¥ÁØ_5-1±¤°í _외화환산" xfId="0"/>
    <cellStyle name="Ç¥ÁØ_5-1±¤°í _외화환산_퇴직충당금 - 2004" xfId="0"/>
    <cellStyle name="Ç¥ÁØ_5-1±¤°í _인력자원" xfId="0"/>
    <cellStyle name="Ç¥ÁØ_7°èÈ¹ " xfId="0"/>
    <cellStyle name="Ç¥ÁØ_98³â ÅõÀÚ°èÈ¹ " xfId="0"/>
    <cellStyle name="Ç¥ÁØ_B.S" xfId="0"/>
    <cellStyle name="Ç¥ÁØ_CD-ROM " xfId="0"/>
    <cellStyle name="Ç¥ÁØ_Kimcheon plan 2000" xfId="0"/>
    <cellStyle name="Ç¥ÁØ_p.mix " xfId="0"/>
    <cellStyle name="Ç¥ÁØ_PL¿µ¾÷ " xfId="0"/>
    <cellStyle name="Ç¥ÁØ_Sheet1_0N-HANDLING " xfId="0"/>
    <cellStyle name="Ç¥ÁØ_Sheet1_¿µ¾÷ÇöÈ² " xfId="0"/>
    <cellStyle name="Ç¥ÁØ_Sheet1_Áý°èÇ¥(2¿ù) " xfId="0"/>
    <cellStyle name="Ç¥ÁØ_Sheet1_Áý°èÇ¥(2¿ù) _2001재무제표" xfId="0"/>
    <cellStyle name="Ç¥ÁØ_Sheet1_Áý°èÇ¥(2¿ù) _어음수표총괄" xfId="0"/>
    <cellStyle name="Ç¥ÁØ_Sheet1_Áý°èÇ¥(2¿ù) _어음수표총괄_퇴직충당금 - 2004" xfId="0"/>
    <cellStyle name="Ç¥ÁØ_Sheet1_Áý°èÇ¥(2¿ù) _외화환산" xfId="0"/>
    <cellStyle name="Ç¥ÁØ_Sheet1_Áý°èÇ¥(2¿ù) _외화환산_퇴직충당금 - 2004" xfId="0"/>
    <cellStyle name="Ç¥ÁØ_°¡ÁßÄ¡(¸¸Á·µµºñ) " xfId="0"/>
    <cellStyle name="Ç¥ÁØ_°ü¸®Ç×¸ñ_¾÷Á¾º° " xfId="0"/>
    <cellStyle name="Ç¥ÁØ_±¹¿Übal" xfId="0"/>
    <cellStyle name="Ç¥ÁØ_³Ã¿¬ 4 " xfId="0"/>
    <cellStyle name="Ç¥ÁØ_´ëºñÇ¥ (2)_1_ºÎ´ëÅä°ø " xfId="0"/>
    <cellStyle name="Ç¥ÁØ_´ëºñÇ¥ (2)_ºÎ´ëÅä°ø " xfId="0"/>
    <cellStyle name="Ç¥ÁØ_´ëÂ÷´ëÁ¶" xfId="0"/>
    <cellStyle name="Ç¥ÁØ_¸ÅÃâ¹Ì´Þ " xfId="0"/>
    <cellStyle name="Ç¥ÁØ_¹«¿ª°æºñÀå " xfId="0"/>
    <cellStyle name="Ç¥ÁØ_¹®Á¦Á¡ " xfId="0"/>
    <cellStyle name="Ç¥ÁØ_¼±ÅõÀç°í_³»ºÎ°èÈ¹´ë ÃßÁ¤Â÷ÀÌ " xfId="0"/>
    <cellStyle name="Ç¥ÁØ_¼ÕÀÍ¹Î´ö " xfId="0"/>
    <cellStyle name="Ç¥ÁØ_¼ÕÀÍÂ÷ÀÌ ¿øÀÎ " xfId="0"/>
    <cellStyle name="Ç¥ÁØ_¼ö¾ÐÁý°è_½ÃÇà´ëºñÇ¥ " xfId="0"/>
    <cellStyle name="Ç¥ÁØ_½ÄÀ½·á¿ø°¡ " xfId="0"/>
    <cellStyle name="Ç¥ÁØ_¾ç½Ä " xfId="0"/>
    <cellStyle name="Ç¥ÁØ_¾ç½Ä _2.È¿À²ºÐ¼® " xfId="0"/>
    <cellStyle name="Ç¥ÁØ_¾÷Á¾º° " xfId="0"/>
    <cellStyle name="Ç¥ÁØ_¿ùº¸¼ö·á " xfId="0"/>
    <cellStyle name="Ç¥ÁØ_ÀÚ±Ý_1_ÃßÁ¤´ëÂ÷ " xfId="0"/>
    <cellStyle name="Ç¥ÁØ_ÀÚ±Ý_ÃßÁ¤´ëÂ÷ " xfId="0"/>
    <cellStyle name="Ç¥ÁØ_Àç°í°ü¸® " xfId="0"/>
    <cellStyle name="Ç¥ÁØ_Áý°èÇ¥(2¿ù) " xfId="0"/>
    <cellStyle name="Ç¥ÁØ_Áý°èÇ¥(2¿ù) _2001재무제표" xfId="0"/>
    <cellStyle name="Ç¥ÁØ_Áý°èÇ¥(2¿ù) _어음수표총괄" xfId="0"/>
    <cellStyle name="Ç¥ÁØ_Áý°èÇ¥(2¿ù) _어음수표총괄_퇴직충당금 - 2004" xfId="0"/>
    <cellStyle name="Ç¥ÁØ_Áý°èÇ¥(2¿ù) _외화환산" xfId="0"/>
    <cellStyle name="Ç¥ÁØ_Áý°èÇ¥(2¿ù) _외화환산_퇴직충당금 - 2004" xfId="0"/>
    <cellStyle name="Ç¥ÁØ_ÃµÈ£3¿ù " xfId="0"/>
    <cellStyle name="Ç¥ÁØ_ÃÑ°ýº¸°í-Ãß°¡Àý°¨ " xfId="0"/>
    <cellStyle name="Ç¥ÁØ_ÃßÁ¤´ëÂ÷ " xfId="0"/>
    <cellStyle name="Ç¥ÁØ_Æ¯±â3_p.mix " xfId="0"/>
    <cellStyle name="Ç¥ÁØ_ÆÀÇ¥Áö_°èÈ¹3 " xfId="0"/>
    <cellStyle name="Ç¥ÁØ_ÇöÁö¹ýÀÎ °Å¾×¿©½Å " xfId="0"/>
    <cellStyle name="Ç¥ÁØ_ÇöÈ²_¹®Á¦Á¡ " xfId="0"/>
    <cellStyle name="Ç¥áø" xfId="0"/>
    <cellStyle name="ÇÏÀÌÆÛ¸µÅ©" xfId="0"/>
    <cellStyle name="þ_x001d_ð'&amp;Oy?Hy9_x0008__x000f__x0007_æ_x0007__x0007__x0001__x0001_" xfId="0"/>
    <cellStyle name="þ_x001d_ð'&amp;Oy?Hy9_x0008__x000f__x0007_æ_x0007__x0007__x0001__x0001_ 2" xfId="0"/>
    <cellStyle name="þ_x001d_ð'&amp;Oy?Hy9_x0008__x000f__x0007_æ_x0007__x0007__x0001__x0001_ 2 2" xfId="0"/>
    <cellStyle name="þ_x001d_ð'&amp;Oy?Hy9_x0008__x000f__x0007_æ_x0007__x0007__x0001__x0001_ 3" xfId="0"/>
    <cellStyle name="þ_x001d_ð'&amp;Oy?Hy9_x0008__x000f__x0007_æ_x0007__x0007__x0001__x0001_ 4" xfId="0"/>
    <cellStyle name="þ_x001d_ð'&amp;Oy?Hy9_x0008__x000f__x0007_æ_x0007__x0007__x0001__x0001_ 5" xfId="0"/>
    <cellStyle name="þ_x001d_ð'&amp;Oy?Hy9_x0008__x000f__x0007_æ_x0007__x0007__x0001__x0001_ 6" xfId="0"/>
    <cellStyle name="Œ…?æ맖?e [0.00]_laroux" xfId="0"/>
    <cellStyle name="Œ…?æ맖?e_laroux" xfId="0"/>
    <cellStyle name="Œ…‹æØ‚è [0.00]_PRODUCT DETAIL Q1" xfId="0"/>
    <cellStyle name="Œ…‹æØ‚è_PRODUCT DETAIL Q1" xfId="0"/>
    <cellStyle name="ƨୖb⟈ƨ୦b⟨ƨ୶b⠌ƨஆb⠴ƨ஖b⡜ƨ஦b⢈ƨஶb⹀ƨெb⹬ƨ௖b⺨ƨ௦b⻄ƨ௶b⻤ƨఆb⢴ƨఖb⣠ƨధb⣸ƨశb⤈ƨెb⤰ƨౖb⼄ƨ౦b⼸ƨ౶b⽼ƨಆb⾠ƨಖb⿈ƨದb　ƨಶb〸ƨೆbぴƨೖbエƨ೦bレƨ೶b㝀ƨആb㝸ƨഖb㞼ƨദb㠄ƨശb㡌ƨെbㄔƨൖbㅌƨ൦bㆈƨ൶bㆰƨආb㇨ƨඖb㢘ƨඦb㣀ƨබb㣴ƨෆb㤬ƨූb㥤ƨ෦b㦬ƨ෶b㧨ƨฆb㨐ƨถb㨸ƨฦb㩬ƨึb䅰ƨๆb䆴ƨ๖b䇼ƨ๦b䉀ƨ๶b䊈ƨຆb㪤ƨຖb㬀ƨ຦b㭈ƨຶb㮜ƨໆb㰄ƨ໖b䋔ƨ໦b䌌ƨ໶b䌸ƨ༆b䍠ƨ༖b䎘ƨ༦b䏠ƨ༶b䐜ƨཆb" xfId="0"/>
    <cellStyle name="ƨ௖b⺨ƨ௦b⻄ƨ௶b⻤ƨఆb⢴ƨఖb⣠ƨధb⣸ƨశb⤈ƨెb⤰ƨౖb⼄ƨ౦b⼸ƨ౶b⽼ƨಆb⾠ƨಖb⿈ƨದb　ƨಶb〸ƨೆbぴƨೖbエƨ೦bレƨ೶b㝀ƨആb㝸ƨഖb㞼ƨദb㠄ƨശb㡌ƨെbㄔƨൖbㅌƨ൦bㆈƨ൶bㆰƨආb㇨ƨඖb㢘ƨඦb㣀ƨබb㣴ƨෆb㤬ƨූb㥤ƨ෦b㦬ƨ෶b㧨ƨฆb㨐ƨถb㨸ƨฦb㩬ƨึb䅰ƨๆb䆴ƨ๖b䇼ƨ๦b䉀ƨ๶b䊈ƨຆb㪤ƨຖb㬀ƨ຦b㭈ƨຶb㮜ƨໆb㰄ƨ໖b䋔ƨ໦b䌌ƨ໶b䌸ƨ༆b䍠ƨ༖b䎘ƨ༦b䏠ƨ༶b䐜ƨཆb䑔ƨབb䒘ƨསb䓠ƨྲྀb䲔ƨ྆b䳠ƨྖb䴰ƨྦb䶌ƨྶb䶬ƨ࿆b" xfId="0"/>
    <cellStyle name="ƨಶb〸ƨೆbぴƨೖbエƨ೦bレƨ೶b㝀ƨആb㝸ƨഖb㞼ƨദb㠄ƨശb㡌ƨെbㄔƨൖbㅌƨ൦bㆈƨ൶bㆰƨආb㇨ƨඖb㢘ƨඦb㣀ƨබb㣴ƨෆb㤬ƨූb㥤ƨ෦b㦬ƨ෶b㧨ƨฆb㨐ƨถb㨸ƨฦb㩬ƨึb䅰ƨๆb䆴ƨ๖b䇼ƨ๦b䉀ƨ๶b䊈ƨຆb㪤ƨຖb㬀ƨ຦b㭈ƨຶb㮜ƨໆb㰄ƨ໖b䋔ƨ໦b䌌ƨ໶b䌸ƨ༆b䍠ƨ༖b䎘ƨ༦b䏠ƨ༶b䐜ƨཆb䑔ƨབb䒘ƨསb䓠ƨྲྀb䲔ƨ྆b䳠ƨྖb䴰ƨྦb䶌ƨྶb䶬ƨ࿆b䔨ƨ࿖b䕜ƨ࿦b䖄ƨ࿶b䖸ƨဆb䗠ƨဖb䷔ƨဦb䷼ƨံb丰ƨ၆b乘ƨၖb亐ƨၦb京ƨၶb付ƨႆb伈ƨ႖b估ƨႦb" xfId="0"/>
    <cellStyle name="ƨആb㝸ƨഖb㞼ƨദb㠄ƨശb㡌ƨെbㄔƨൖbㅌƨ൦bㆈƨ൶bㆰƨආb㇨ƨඖb㢘ƨඦb㣀ƨබb㣴ƨෆb㤬ƨූb㥤ƨ෦b㦬ƨ෶b㧨ƨฆb㨐ƨถb㨸ƨฦb㩬ƨึb䅰ƨๆb䆴ƨ๖b䇼ƨ๦b䉀ƨ๶b䊈ƨຆb㪤ƨຖb㬀ƨ຦b㭈ƨຶb㮜ƨໆb㰄ƨ໖b䋔ƨ໦b䌌ƨ໶b䌸ƨ༆b䍠ƨ༖b䎘ƨ༦b䏠ƨ༶b䐜ƨཆb䑔ƨབb䒘ƨསb䓠ƨྲྀb䲔ƨ྆b䳠ƨྖb䴰ƨྦb䶌ƨྶb䶬ƨ࿆b䔨ƨ࿖b䕜ƨ࿦b䖄ƨ࿶b䖸ƨဆb䗠ƨဖb䷔ƨဦb䷼ƨံb丰ƨ၆b乘ƨၖb亐ƨၦb京ƨၶb付ƨႆb伈ƨ႖b估ƨႦb佤ƨႶb垔ƨ჆b埈ƨზb堈ƨღb堬ƨჶb" xfId="0"/>
    <cellStyle name="Ц" xfId="0"/>
    <cellStyle name="ปกติ_gopret" xfId="0"/>
    <cellStyle name="เครื่องหมายสกุลเงิน [0]_gopret" xfId="0"/>
    <cellStyle name="เครื่องหมายสกุลเงิน_gopret" xfId="0"/>
    <cellStyle name="’E‰Y [0.00]_laroux" xfId="0"/>
    <cellStyle name="’E‰Y_laroux" xfId="0"/>
    <cellStyle name="•W?_BOOKSHIP_½ÇÀûÇöÈ² " xfId="0"/>
    <cellStyle name="•W_Book3" xfId="0"/>
    <cellStyle name="Ⅰ" xfId="0"/>
    <cellStyle name="△서식" xfId="0"/>
    <cellStyle name="⥜준_제강원가최종_1" xfId="0"/>
    <cellStyle name="ハイパーリンク" xfId="0"/>
    <cellStyle name="パーセント_QTBLNEW" xfId="0"/>
    <cellStyle name="一般_AP HKD" xfId="0"/>
    <cellStyle name="千位[0]_9809 (2)" xfId="0"/>
    <cellStyle name="千位_9809 (2)" xfId="0"/>
    <cellStyle name="千位分隔[0]_2003년 상반기재고(8月)" xfId="0"/>
    <cellStyle name="千分位[0]_COMM" xfId="0"/>
    <cellStyle name="千分位_AR &amp; AP" xfId="0"/>
    <cellStyle name="咬訌裝?INCOM1" xfId="0"/>
    <cellStyle name="咬訌裝?INCOM1 2" xfId="0"/>
    <cellStyle name="咬訌裝?INCOM10" xfId="0"/>
    <cellStyle name="咬訌裝?INCOM10 2" xfId="0"/>
    <cellStyle name="咬訌裝?INCOM2" xfId="0"/>
    <cellStyle name="咬訌裝?INCOM2 2" xfId="0"/>
    <cellStyle name="咬訌裝?INCOM3" xfId="0"/>
    <cellStyle name="咬訌裝?INCOM3 2" xfId="0"/>
    <cellStyle name="咬訌裝?INCOM4" xfId="0"/>
    <cellStyle name="咬訌裝?INCOM4 2" xfId="0"/>
    <cellStyle name="咬訌裝?INCOM5" xfId="0"/>
    <cellStyle name="咬訌裝?INCOM5 2" xfId="0"/>
    <cellStyle name="咬訌裝?INCOM6" xfId="0"/>
    <cellStyle name="咬訌裝?INCOM6 2" xfId="0"/>
    <cellStyle name="咬訌裝?INCOM7" xfId="0"/>
    <cellStyle name="咬訌裝?INCOM7 2" xfId="0"/>
    <cellStyle name="咬訌裝?INCOM8" xfId="0"/>
    <cellStyle name="咬訌裝?INCOM8 2" xfId="0"/>
    <cellStyle name="咬訌裝?INCOM9" xfId="0"/>
    <cellStyle name="咬訌裝?INCOM9 2" xfId="0"/>
    <cellStyle name="咬訌裝?PRIB11" xfId="0"/>
    <cellStyle name="咬訌裝?PRIB11 2" xfId="0"/>
    <cellStyle name="咬訌裝?report-2 " xfId="0"/>
    <cellStyle name="外 貨  借 入" xfId="0"/>
    <cellStyle name="寥碟徽_95" xfId="0"/>
    <cellStyle name="巍葆 [0]_26" xfId="0"/>
    <cellStyle name="巍葆_26" xfId="0"/>
    <cellStyle name="常规_03-05" xfId="0"/>
    <cellStyle name="归盒啦_95" xfId="0"/>
    <cellStyle name="普通_CAform1" xfId="0"/>
    <cellStyle name="未定義" xfId="0"/>
    <cellStyle name="桁区切り [0.00]_005 Income Statement" xfId="0"/>
    <cellStyle name="桁区切り_~0046704" xfId="0"/>
    <cellStyle name="標準1203" xfId="0"/>
    <cellStyle name="標準_ (5)" xfId="0"/>
    <cellStyle name="烹拳 [0]_11-1" xfId="0"/>
    <cellStyle name="烹拳_11-1" xfId="0"/>
    <cellStyle name="珝?xls]W 공장-품경" xfId="0"/>
    <cellStyle name="表示済みのハイパーリンク" xfId="0"/>
    <cellStyle name="訶택?12월당월" xfId="0"/>
    <cellStyle name="訶택?부문별" xfId="0"/>
    <cellStyle name="貨幣 [0]_COMM" xfId="0"/>
    <cellStyle name="貨幣[0]_laroux" xfId="0"/>
    <cellStyle name="貨幣_COMM" xfId="0"/>
    <cellStyle name="通貨 [0.00]_005 Income Statement" xfId="0"/>
    <cellStyle name="通貨_005 Income Statement" xfId="0"/>
    <cellStyle name="钎霖_11-1" xfId="0"/>
    <cellStyle name="霓付 [0]_11-1" xfId="0"/>
    <cellStyle name="霓付_11-1" xfId="0"/>
    <cellStyle name="鱔 [0]_26" xfId="0"/>
    <cellStyle name="鱔_26" xfId="0"/>
    <cellStyle name="꠰화_laroux" xfId="0"/>
    <cellStyle name="강조색1 10" xfId="0"/>
    <cellStyle name="강조색1 10 2" xfId="0"/>
    <cellStyle name="강조색1 10 2 2" xfId="0"/>
    <cellStyle name="강조색1 10 3" xfId="0"/>
    <cellStyle name="강조색1 10 3 2" xfId="0"/>
    <cellStyle name="강조색1 10 4" xfId="0"/>
    <cellStyle name="강조색1 10 4 2" xfId="0"/>
    <cellStyle name="강조색1 10 5" xfId="0"/>
    <cellStyle name="강조색1 10 6" xfId="0"/>
    <cellStyle name="강조색1 10 7" xfId="0"/>
    <cellStyle name="강조색1 11" xfId="0"/>
    <cellStyle name="강조색1 11 2" xfId="0"/>
    <cellStyle name="강조색1 11 2 2" xfId="0"/>
    <cellStyle name="강조색1 11 3" xfId="0"/>
    <cellStyle name="강조색1 11 3 2" xfId="0"/>
    <cellStyle name="강조색1 11 4" xfId="0"/>
    <cellStyle name="강조색1 11 4 2" xfId="0"/>
    <cellStyle name="강조색1 11 5" xfId="0"/>
    <cellStyle name="강조색1 11 6" xfId="0"/>
    <cellStyle name="강조색1 11 7" xfId="0"/>
    <cellStyle name="강조색1 12" xfId="0"/>
    <cellStyle name="강조색1 12 2" xfId="0"/>
    <cellStyle name="강조색1 12 3" xfId="0"/>
    <cellStyle name="강조색1 12 4" xfId="0"/>
    <cellStyle name="강조색1 12 5" xfId="0"/>
    <cellStyle name="강조색1 13" xfId="0"/>
    <cellStyle name="강조색1 13 2" xfId="0"/>
    <cellStyle name="강조색1 13 3" xfId="0"/>
    <cellStyle name="강조색1 13 4" xfId="0"/>
    <cellStyle name="강조색1 13 5" xfId="0"/>
    <cellStyle name="강조색1 14" xfId="0"/>
    <cellStyle name="강조색1 14 2" xfId="0"/>
    <cellStyle name="강조색1 15" xfId="0"/>
    <cellStyle name="강조색1 15 2" xfId="0"/>
    <cellStyle name="강조색1 16" xfId="0"/>
    <cellStyle name="강조색1 16 2" xfId="0"/>
    <cellStyle name="강조색1 17" xfId="0"/>
    <cellStyle name="강조색1 17 2" xfId="0"/>
    <cellStyle name="강조색1 18" xfId="0"/>
    <cellStyle name="강조색1 19" xfId="0"/>
    <cellStyle name="강조색1 2" xfId="0"/>
    <cellStyle name="강조색1 2 10" xfId="0"/>
    <cellStyle name="강조색1 2 11" xfId="0"/>
    <cellStyle name="강조색1 2 12" xfId="0"/>
    <cellStyle name="강조색1 2 13" xfId="0"/>
    <cellStyle name="강조색1 2 2" xfId="0"/>
    <cellStyle name="강조색1 2 2 10" xfId="0"/>
    <cellStyle name="강조색1 2 2 2" xfId="0"/>
    <cellStyle name="강조색1 2 2 3" xfId="0"/>
    <cellStyle name="강조색1 2 2 4" xfId="0"/>
    <cellStyle name="강조색1 2 2 5" xfId="0"/>
    <cellStyle name="강조색1 2 2 6" xfId="0"/>
    <cellStyle name="강조색1 2 2 7" xfId="0"/>
    <cellStyle name="강조색1 2 2 8" xfId="0"/>
    <cellStyle name="강조색1 2 2 9" xfId="0"/>
    <cellStyle name="강조색1 2 3" xfId="0"/>
    <cellStyle name="강조색1 2 3 10" xfId="0"/>
    <cellStyle name="강조색1 2 3 2" xfId="0"/>
    <cellStyle name="강조색1 2 3 3" xfId="0"/>
    <cellStyle name="강조색1 2 3 4" xfId="0"/>
    <cellStyle name="강조색1 2 3 5" xfId="0"/>
    <cellStyle name="강조색1 2 3 6" xfId="0"/>
    <cellStyle name="강조색1 2 3 7" xfId="0"/>
    <cellStyle name="강조색1 2 3 8" xfId="0"/>
    <cellStyle name="강조색1 2 3 9" xfId="0"/>
    <cellStyle name="강조색1 2 4" xfId="0"/>
    <cellStyle name="강조색1 2 4 10" xfId="0"/>
    <cellStyle name="강조색1 2 4 2" xfId="0"/>
    <cellStyle name="강조색1 2 4 3" xfId="0"/>
    <cellStyle name="강조색1 2 4 4" xfId="0"/>
    <cellStyle name="강조색1 2 4 5" xfId="0"/>
    <cellStyle name="강조색1 2 4 6" xfId="0"/>
    <cellStyle name="강조색1 2 4 7" xfId="0"/>
    <cellStyle name="강조색1 2 4 8" xfId="0"/>
    <cellStyle name="강조색1 2 4 9" xfId="0"/>
    <cellStyle name="강조색1 2 5" xfId="0"/>
    <cellStyle name="강조색1 2 5 10" xfId="0"/>
    <cellStyle name="강조색1 2 5 2" xfId="0"/>
    <cellStyle name="강조색1 2 5 3" xfId="0"/>
    <cellStyle name="강조색1 2 5 4" xfId="0"/>
    <cellStyle name="강조색1 2 5 5" xfId="0"/>
    <cellStyle name="강조색1 2 5 6" xfId="0"/>
    <cellStyle name="강조색1 2 5 7" xfId="0"/>
    <cellStyle name="강조색1 2 5 8" xfId="0"/>
    <cellStyle name="강조색1 2 5 9" xfId="0"/>
    <cellStyle name="강조색1 2 6" xfId="0"/>
    <cellStyle name="강조색1 2 6 10" xfId="0"/>
    <cellStyle name="강조색1 2 6 2" xfId="0"/>
    <cellStyle name="강조색1 2 6 3" xfId="0"/>
    <cellStyle name="강조색1 2 6 4" xfId="0"/>
    <cellStyle name="강조색1 2 6 5" xfId="0"/>
    <cellStyle name="강조색1 2 6 6" xfId="0"/>
    <cellStyle name="강조색1 2 6 7" xfId="0"/>
    <cellStyle name="강조색1 2 6 8" xfId="0"/>
    <cellStyle name="강조색1 2 6 9" xfId="0"/>
    <cellStyle name="강조색1 2 7" xfId="0"/>
    <cellStyle name="강조색1 2 7 10" xfId="0"/>
    <cellStyle name="강조색1 2 7 2" xfId="0"/>
    <cellStyle name="강조색1 2 7 3" xfId="0"/>
    <cellStyle name="강조색1 2 7 4" xfId="0"/>
    <cellStyle name="강조색1 2 7 5" xfId="0"/>
    <cellStyle name="강조색1 2 7 6" xfId="0"/>
    <cellStyle name="강조색1 2 7 7" xfId="0"/>
    <cellStyle name="강조색1 2 7 8" xfId="0"/>
    <cellStyle name="강조색1 2 7 9" xfId="0"/>
    <cellStyle name="강조색1 2 8" xfId="0"/>
    <cellStyle name="강조색1 2 8 2" xfId="0"/>
    <cellStyle name="강조색1 2 9" xfId="0"/>
    <cellStyle name="강조색1 20" xfId="0"/>
    <cellStyle name="강조색1 21" xfId="0"/>
    <cellStyle name="강조색1 22" xfId="0"/>
    <cellStyle name="강조색1 23" xfId="0"/>
    <cellStyle name="강조색1 24" xfId="0"/>
    <cellStyle name="강조색1 25" xfId="0"/>
    <cellStyle name="강조색1 26" xfId="0"/>
    <cellStyle name="강조색1 27" xfId="0"/>
    <cellStyle name="강조색1 2_3300현금및예치금" xfId="0"/>
    <cellStyle name="강조색1 3" xfId="0"/>
    <cellStyle name="강조색1 3 10" xfId="0"/>
    <cellStyle name="강조색1 3 10 2" xfId="0"/>
    <cellStyle name="강조색1 3 11" xfId="0"/>
    <cellStyle name="강조색1 3 11 2" xfId="0"/>
    <cellStyle name="강조색1 3 12" xfId="0"/>
    <cellStyle name="강조색1 3 12 2" xfId="0"/>
    <cellStyle name="강조색1 3 13" xfId="0"/>
    <cellStyle name="강조색1 3 14" xfId="0"/>
    <cellStyle name="강조색1 3 15" xfId="0"/>
    <cellStyle name="강조색1 3 16" xfId="0"/>
    <cellStyle name="강조색1 3 17" xfId="0"/>
    <cellStyle name="강조색1 3 18" xfId="0"/>
    <cellStyle name="강조색1 3 19" xfId="0"/>
    <cellStyle name="강조색1 3 2" xfId="0"/>
    <cellStyle name="강조색1 3 2 2" xfId="0"/>
    <cellStyle name="강조색1 3 2 3" xfId="0"/>
    <cellStyle name="강조색1 3 20" xfId="0"/>
    <cellStyle name="강조색1 3 3" xfId="0"/>
    <cellStyle name="강조색1 3 3 2" xfId="0"/>
    <cellStyle name="강조색1 3 3 3" xfId="0"/>
    <cellStyle name="강조색1 3 4" xfId="0"/>
    <cellStyle name="강조색1 3 4 2" xfId="0"/>
    <cellStyle name="강조색1 3 4 3" xfId="0"/>
    <cellStyle name="강조색1 3 5" xfId="0"/>
    <cellStyle name="강조색1 3 5 2" xfId="0"/>
    <cellStyle name="강조색1 3 5 3" xfId="0"/>
    <cellStyle name="강조색1 3 6" xfId="0"/>
    <cellStyle name="강조색1 3 6 2" xfId="0"/>
    <cellStyle name="강조색1 3 6 3" xfId="0"/>
    <cellStyle name="강조색1 3 7" xfId="0"/>
    <cellStyle name="강조색1 3 7 2" xfId="0"/>
    <cellStyle name="강조색1 3 7 3" xfId="0"/>
    <cellStyle name="강조색1 3 8" xfId="0"/>
    <cellStyle name="강조색1 3 8 2" xfId="0"/>
    <cellStyle name="강조색1 3 8 3" xfId="0"/>
    <cellStyle name="강조색1 3 9" xfId="0"/>
    <cellStyle name="강조색1 3 9 2" xfId="0"/>
    <cellStyle name="강조색1 3_운용자산별 손익분석" xfId="0"/>
    <cellStyle name="강조색1 4" xfId="0"/>
    <cellStyle name="강조색1 4 10" xfId="0"/>
    <cellStyle name="강조색1 4 11" xfId="0"/>
    <cellStyle name="강조색1 4 12" xfId="0"/>
    <cellStyle name="강조색1 4 13" xfId="0"/>
    <cellStyle name="강조색1 4 2" xfId="0"/>
    <cellStyle name="강조색1 4 3" xfId="0"/>
    <cellStyle name="강조색1 4 4" xfId="0"/>
    <cellStyle name="강조색1 4 5" xfId="0"/>
    <cellStyle name="강조색1 4 6" xfId="0"/>
    <cellStyle name="강조색1 4 7" xfId="0"/>
    <cellStyle name="강조색1 4 8" xfId="0"/>
    <cellStyle name="강조색1 4 9" xfId="0"/>
    <cellStyle name="강조색1 4_운용자산별 손익분석" xfId="0"/>
    <cellStyle name="강조색1 5" xfId="0"/>
    <cellStyle name="강조색1 5 10" xfId="0"/>
    <cellStyle name="강조색1 5 11" xfId="0"/>
    <cellStyle name="강조색1 5 12" xfId="0"/>
    <cellStyle name="강조색1 5 13" xfId="0"/>
    <cellStyle name="강조색1 5 14" xfId="0"/>
    <cellStyle name="강조색1 5 15" xfId="0"/>
    <cellStyle name="강조색1 5 16" xfId="0"/>
    <cellStyle name="강조색1 5 17" xfId="0"/>
    <cellStyle name="강조색1 5 18" xfId="0"/>
    <cellStyle name="강조색1 5 19" xfId="0"/>
    <cellStyle name="강조색1 5 2" xfId="0"/>
    <cellStyle name="강조색1 5 20" xfId="0"/>
    <cellStyle name="강조색1 5 21" xfId="0"/>
    <cellStyle name="강조색1 5 22" xfId="0"/>
    <cellStyle name="강조색1 5 23" xfId="0"/>
    <cellStyle name="강조색1 5 24" xfId="0"/>
    <cellStyle name="강조색1 5 25" xfId="0"/>
    <cellStyle name="강조색1 5 26" xfId="0"/>
    <cellStyle name="강조색1 5 27" xfId="0"/>
    <cellStyle name="강조색1 5 28" xfId="0"/>
    <cellStyle name="강조색1 5 29" xfId="0"/>
    <cellStyle name="강조색1 5 3" xfId="0"/>
    <cellStyle name="강조색1 5 30" xfId="0"/>
    <cellStyle name="강조색1 5 31" xfId="0"/>
    <cellStyle name="강조색1 5 32" xfId="0"/>
    <cellStyle name="강조색1 5 33" xfId="0"/>
    <cellStyle name="강조색1 5 34" xfId="0"/>
    <cellStyle name="강조색1 5 4" xfId="0"/>
    <cellStyle name="강조색1 5 5" xfId="0"/>
    <cellStyle name="강조색1 5 6" xfId="0"/>
    <cellStyle name="강조색1 5 7" xfId="0"/>
    <cellStyle name="강조색1 5 8" xfId="0"/>
    <cellStyle name="강조색1 5 9" xfId="0"/>
    <cellStyle name="강조색1 6" xfId="0"/>
    <cellStyle name="강조색1 6 10" xfId="0"/>
    <cellStyle name="강조색1 6 11" xfId="0"/>
    <cellStyle name="강조색1 6 12" xfId="0"/>
    <cellStyle name="강조색1 6 13" xfId="0"/>
    <cellStyle name="강조색1 6 14" xfId="0"/>
    <cellStyle name="강조색1 6 15" xfId="0"/>
    <cellStyle name="강조색1 6 16" xfId="0"/>
    <cellStyle name="강조색1 6 17" xfId="0"/>
    <cellStyle name="강조색1 6 18" xfId="0"/>
    <cellStyle name="강조색1 6 19" xfId="0"/>
    <cellStyle name="강조색1 6 2" xfId="0"/>
    <cellStyle name="강조색1 6 20" xfId="0"/>
    <cellStyle name="강조색1 6 21" xfId="0"/>
    <cellStyle name="강조색1 6 22" xfId="0"/>
    <cellStyle name="강조색1 6 23" xfId="0"/>
    <cellStyle name="강조색1 6 24" xfId="0"/>
    <cellStyle name="강조색1 6 25" xfId="0"/>
    <cellStyle name="강조색1 6 26" xfId="0"/>
    <cellStyle name="강조색1 6 27" xfId="0"/>
    <cellStyle name="강조색1 6 28" xfId="0"/>
    <cellStyle name="강조색1 6 29" xfId="0"/>
    <cellStyle name="강조색1 6 3" xfId="0"/>
    <cellStyle name="강조색1 6 30" xfId="0"/>
    <cellStyle name="강조색1 6 4" xfId="0"/>
    <cellStyle name="강조색1 6 5" xfId="0"/>
    <cellStyle name="강조색1 6 6" xfId="0"/>
    <cellStyle name="강조색1 6 7" xfId="0"/>
    <cellStyle name="강조색1 6 8" xfId="0"/>
    <cellStyle name="강조색1 6 9" xfId="0"/>
    <cellStyle name="강조색1 7" xfId="0"/>
    <cellStyle name="강조색1 7 10" xfId="0"/>
    <cellStyle name="강조색1 7 11" xfId="0"/>
    <cellStyle name="강조색1 7 12" xfId="0"/>
    <cellStyle name="강조색1 7 13" xfId="0"/>
    <cellStyle name="강조색1 7 14" xfId="0"/>
    <cellStyle name="강조색1 7 15" xfId="0"/>
    <cellStyle name="강조색1 7 2" xfId="0"/>
    <cellStyle name="강조색1 7 2 2" xfId="0"/>
    <cellStyle name="강조색1 7 3" xfId="0"/>
    <cellStyle name="강조색1 7 3 2" xfId="0"/>
    <cellStyle name="강조색1 7 4" xfId="0"/>
    <cellStyle name="강조색1 7 4 2" xfId="0"/>
    <cellStyle name="강조색1 7 5" xfId="0"/>
    <cellStyle name="강조색1 7 5 2" xfId="0"/>
    <cellStyle name="강조색1 7 6" xfId="0"/>
    <cellStyle name="강조색1 7 6 2" xfId="0"/>
    <cellStyle name="강조색1 7 7" xfId="0"/>
    <cellStyle name="강조색1 7 8" xfId="0"/>
    <cellStyle name="강조색1 7 9" xfId="0"/>
    <cellStyle name="강조색1 8" xfId="0"/>
    <cellStyle name="강조색1 8 10" xfId="0"/>
    <cellStyle name="강조색1 8 11" xfId="0"/>
    <cellStyle name="강조색1 8 12" xfId="0"/>
    <cellStyle name="강조색1 8 13" xfId="0"/>
    <cellStyle name="강조색1 8 14" xfId="0"/>
    <cellStyle name="강조색1 8 2" xfId="0"/>
    <cellStyle name="강조색1 8 2 2" xfId="0"/>
    <cellStyle name="강조색1 8 3" xfId="0"/>
    <cellStyle name="강조색1 8 3 2" xfId="0"/>
    <cellStyle name="강조색1 8 4" xfId="0"/>
    <cellStyle name="강조색1 8 4 2" xfId="0"/>
    <cellStyle name="강조색1 8 5" xfId="0"/>
    <cellStyle name="강조색1 8 5 2" xfId="0"/>
    <cellStyle name="강조색1 8 6" xfId="0"/>
    <cellStyle name="강조색1 8 6 2" xfId="0"/>
    <cellStyle name="강조색1 8 7" xfId="0"/>
    <cellStyle name="강조색1 8 8" xfId="0"/>
    <cellStyle name="강조색1 8 9" xfId="0"/>
    <cellStyle name="강조색1 9" xfId="0"/>
    <cellStyle name="강조색1 9 10" xfId="0"/>
    <cellStyle name="강조색1 9 11" xfId="0"/>
    <cellStyle name="강조색1 9 12" xfId="0"/>
    <cellStyle name="강조색1 9 13" xfId="0"/>
    <cellStyle name="강조색1 9 14" xfId="0"/>
    <cellStyle name="강조색1 9 2" xfId="0"/>
    <cellStyle name="강조색1 9 2 2" xfId="0"/>
    <cellStyle name="강조색1 9 3" xfId="0"/>
    <cellStyle name="강조색1 9 3 2" xfId="0"/>
    <cellStyle name="강조색1 9 4" xfId="0"/>
    <cellStyle name="강조색1 9 4 2" xfId="0"/>
    <cellStyle name="강조색1 9 5" xfId="0"/>
    <cellStyle name="강조색1 9 5 2" xfId="0"/>
    <cellStyle name="강조색1 9 6" xfId="0"/>
    <cellStyle name="강조색1 9 6 2" xfId="0"/>
    <cellStyle name="강조색1 9 7" xfId="0"/>
    <cellStyle name="강조색1 9 8" xfId="0"/>
    <cellStyle name="강조색1 9 9" xfId="0"/>
    <cellStyle name="강조색2 10" xfId="0"/>
    <cellStyle name="강조색2 10 2" xfId="0"/>
    <cellStyle name="강조색2 10 2 2" xfId="0"/>
    <cellStyle name="강조색2 10 3" xfId="0"/>
    <cellStyle name="강조색2 10 3 2" xfId="0"/>
    <cellStyle name="강조색2 10 4" xfId="0"/>
    <cellStyle name="강조색2 10 4 2" xfId="0"/>
    <cellStyle name="강조색2 10 5" xfId="0"/>
    <cellStyle name="강조색2 10 6" xfId="0"/>
    <cellStyle name="강조색2 10 7" xfId="0"/>
    <cellStyle name="강조색2 11" xfId="0"/>
    <cellStyle name="강조색2 11 2" xfId="0"/>
    <cellStyle name="강조색2 11 2 2" xfId="0"/>
    <cellStyle name="강조색2 11 3" xfId="0"/>
    <cellStyle name="강조색2 11 3 2" xfId="0"/>
    <cellStyle name="강조색2 11 4" xfId="0"/>
    <cellStyle name="강조색2 11 4 2" xfId="0"/>
    <cellStyle name="강조색2 11 5" xfId="0"/>
    <cellStyle name="강조색2 11 6" xfId="0"/>
    <cellStyle name="강조색2 11 7" xfId="0"/>
    <cellStyle name="강조색2 12" xfId="0"/>
    <cellStyle name="강조색2 12 2" xfId="0"/>
    <cellStyle name="강조색2 12 3" xfId="0"/>
    <cellStyle name="강조색2 12 4" xfId="0"/>
    <cellStyle name="강조색2 12 5" xfId="0"/>
    <cellStyle name="강조색2 13" xfId="0"/>
    <cellStyle name="강조색2 13 2" xfId="0"/>
    <cellStyle name="강조색2 13 3" xfId="0"/>
    <cellStyle name="강조색2 13 4" xfId="0"/>
    <cellStyle name="강조색2 13 5" xfId="0"/>
    <cellStyle name="강조색2 14" xfId="0"/>
    <cellStyle name="강조색2 14 2" xfId="0"/>
    <cellStyle name="강조색2 15" xfId="0"/>
    <cellStyle name="강조색2 15 2" xfId="0"/>
    <cellStyle name="강조색2 16" xfId="0"/>
    <cellStyle name="강조색2 16 2" xfId="0"/>
    <cellStyle name="강조색2 17" xfId="0"/>
    <cellStyle name="강조색2 17 2" xfId="0"/>
    <cellStyle name="강조색2 18" xfId="0"/>
    <cellStyle name="강조색2 19" xfId="0"/>
    <cellStyle name="강조색2 2" xfId="0"/>
    <cellStyle name="강조색2 2 10" xfId="0"/>
    <cellStyle name="강조색2 2 11" xfId="0"/>
    <cellStyle name="강조색2 2 12" xfId="0"/>
    <cellStyle name="강조색2 2 13" xfId="0"/>
    <cellStyle name="강조색2 2 2" xfId="0"/>
    <cellStyle name="강조색2 2 2 10" xfId="0"/>
    <cellStyle name="강조색2 2 2 2" xfId="0"/>
    <cellStyle name="강조색2 2 2 3" xfId="0"/>
    <cellStyle name="강조색2 2 2 4" xfId="0"/>
    <cellStyle name="강조색2 2 2 5" xfId="0"/>
    <cellStyle name="강조색2 2 2 6" xfId="0"/>
    <cellStyle name="강조색2 2 2 7" xfId="0"/>
    <cellStyle name="강조색2 2 2 8" xfId="0"/>
    <cellStyle name="강조색2 2 2 9" xfId="0"/>
    <cellStyle name="강조색2 2 3" xfId="0"/>
    <cellStyle name="강조색2 2 3 10" xfId="0"/>
    <cellStyle name="강조색2 2 3 2" xfId="0"/>
    <cellStyle name="강조색2 2 3 3" xfId="0"/>
    <cellStyle name="강조색2 2 3 4" xfId="0"/>
    <cellStyle name="강조색2 2 3 5" xfId="0"/>
    <cellStyle name="강조색2 2 3 6" xfId="0"/>
    <cellStyle name="강조색2 2 3 7" xfId="0"/>
    <cellStyle name="강조색2 2 3 8" xfId="0"/>
    <cellStyle name="강조색2 2 3 9" xfId="0"/>
    <cellStyle name="강조색2 2 4" xfId="0"/>
    <cellStyle name="강조색2 2 4 10" xfId="0"/>
    <cellStyle name="강조색2 2 4 2" xfId="0"/>
    <cellStyle name="강조색2 2 4 3" xfId="0"/>
    <cellStyle name="강조색2 2 4 4" xfId="0"/>
    <cellStyle name="강조색2 2 4 5" xfId="0"/>
    <cellStyle name="강조색2 2 4 6" xfId="0"/>
    <cellStyle name="강조색2 2 4 7" xfId="0"/>
    <cellStyle name="강조색2 2 4 8" xfId="0"/>
    <cellStyle name="강조색2 2 4 9" xfId="0"/>
    <cellStyle name="강조색2 2 5" xfId="0"/>
    <cellStyle name="강조색2 2 5 10" xfId="0"/>
    <cellStyle name="강조색2 2 5 2" xfId="0"/>
    <cellStyle name="강조색2 2 5 3" xfId="0"/>
    <cellStyle name="강조색2 2 5 4" xfId="0"/>
    <cellStyle name="강조색2 2 5 5" xfId="0"/>
    <cellStyle name="강조색2 2 5 6" xfId="0"/>
    <cellStyle name="강조색2 2 5 7" xfId="0"/>
    <cellStyle name="강조색2 2 5 8" xfId="0"/>
    <cellStyle name="강조색2 2 5 9" xfId="0"/>
    <cellStyle name="강조색2 2 6" xfId="0"/>
    <cellStyle name="강조색2 2 6 10" xfId="0"/>
    <cellStyle name="강조색2 2 6 2" xfId="0"/>
    <cellStyle name="강조색2 2 6 3" xfId="0"/>
    <cellStyle name="강조색2 2 6 4" xfId="0"/>
    <cellStyle name="강조색2 2 6 5" xfId="0"/>
    <cellStyle name="강조색2 2 6 6" xfId="0"/>
    <cellStyle name="강조색2 2 6 7" xfId="0"/>
    <cellStyle name="강조색2 2 6 8" xfId="0"/>
    <cellStyle name="강조색2 2 6 9" xfId="0"/>
    <cellStyle name="강조색2 2 7" xfId="0"/>
    <cellStyle name="강조색2 2 7 10" xfId="0"/>
    <cellStyle name="강조색2 2 7 2" xfId="0"/>
    <cellStyle name="강조색2 2 7 3" xfId="0"/>
    <cellStyle name="강조색2 2 7 4" xfId="0"/>
    <cellStyle name="강조색2 2 7 5" xfId="0"/>
    <cellStyle name="강조색2 2 7 6" xfId="0"/>
    <cellStyle name="강조색2 2 7 7" xfId="0"/>
    <cellStyle name="강조색2 2 7 8" xfId="0"/>
    <cellStyle name="강조색2 2 7 9" xfId="0"/>
    <cellStyle name="강조색2 2 8" xfId="0"/>
    <cellStyle name="강조색2 2 8 2" xfId="0"/>
    <cellStyle name="강조색2 2 9" xfId="0"/>
    <cellStyle name="강조색2 20" xfId="0"/>
    <cellStyle name="강조색2 21" xfId="0"/>
    <cellStyle name="강조색2 22" xfId="0"/>
    <cellStyle name="강조색2 23" xfId="0"/>
    <cellStyle name="강조색2 24" xfId="0"/>
    <cellStyle name="강조색2 25" xfId="0"/>
    <cellStyle name="강조색2 26" xfId="0"/>
    <cellStyle name="강조색2 27" xfId="0"/>
    <cellStyle name="강조색2 2_3300현금및예치금" xfId="0"/>
    <cellStyle name="강조색2 3" xfId="0"/>
    <cellStyle name="강조색2 3 10" xfId="0"/>
    <cellStyle name="강조색2 3 10 2" xfId="0"/>
    <cellStyle name="강조색2 3 11" xfId="0"/>
    <cellStyle name="강조색2 3 11 2" xfId="0"/>
    <cellStyle name="강조색2 3 12" xfId="0"/>
    <cellStyle name="강조색2 3 12 2" xfId="0"/>
    <cellStyle name="강조색2 3 13" xfId="0"/>
    <cellStyle name="강조색2 3 14" xfId="0"/>
    <cellStyle name="강조색2 3 15" xfId="0"/>
    <cellStyle name="강조색2 3 16" xfId="0"/>
    <cellStyle name="강조색2 3 17" xfId="0"/>
    <cellStyle name="강조색2 3 18" xfId="0"/>
    <cellStyle name="강조색2 3 19" xfId="0"/>
    <cellStyle name="강조색2 3 2" xfId="0"/>
    <cellStyle name="강조색2 3 2 2" xfId="0"/>
    <cellStyle name="강조색2 3 2 3" xfId="0"/>
    <cellStyle name="강조색2 3 20" xfId="0"/>
    <cellStyle name="강조색2 3 3" xfId="0"/>
    <cellStyle name="강조색2 3 3 2" xfId="0"/>
    <cellStyle name="강조색2 3 3 3" xfId="0"/>
    <cellStyle name="강조색2 3 4" xfId="0"/>
    <cellStyle name="강조색2 3 4 2" xfId="0"/>
    <cellStyle name="강조색2 3 4 3" xfId="0"/>
    <cellStyle name="강조색2 3 5" xfId="0"/>
    <cellStyle name="강조색2 3 5 2" xfId="0"/>
    <cellStyle name="강조색2 3 5 3" xfId="0"/>
    <cellStyle name="강조색2 3 6" xfId="0"/>
    <cellStyle name="강조색2 3 6 2" xfId="0"/>
    <cellStyle name="강조색2 3 6 3" xfId="0"/>
    <cellStyle name="강조색2 3 7" xfId="0"/>
    <cellStyle name="강조색2 3 7 2" xfId="0"/>
    <cellStyle name="강조색2 3 7 3" xfId="0"/>
    <cellStyle name="강조색2 3 8" xfId="0"/>
    <cellStyle name="강조색2 3 8 2" xfId="0"/>
    <cellStyle name="강조색2 3 8 3" xfId="0"/>
    <cellStyle name="강조색2 3 9" xfId="0"/>
    <cellStyle name="강조색2 3 9 2" xfId="0"/>
    <cellStyle name="강조색2 3_운용자산별 손익분석" xfId="0"/>
    <cellStyle name="강조색2 4" xfId="0"/>
    <cellStyle name="강조색2 4 10" xfId="0"/>
    <cellStyle name="강조색2 4 11" xfId="0"/>
    <cellStyle name="강조색2 4 12" xfId="0"/>
    <cellStyle name="강조색2 4 13" xfId="0"/>
    <cellStyle name="강조색2 4 2" xfId="0"/>
    <cellStyle name="강조색2 4 3" xfId="0"/>
    <cellStyle name="강조색2 4 4" xfId="0"/>
    <cellStyle name="강조색2 4 5" xfId="0"/>
    <cellStyle name="강조색2 4 6" xfId="0"/>
    <cellStyle name="강조색2 4 7" xfId="0"/>
    <cellStyle name="강조색2 4 8" xfId="0"/>
    <cellStyle name="강조색2 4 9" xfId="0"/>
    <cellStyle name="강조색2 4_운용자산별 손익분석" xfId="0"/>
    <cellStyle name="강조색2 5" xfId="0"/>
    <cellStyle name="강조색2 5 10" xfId="0"/>
    <cellStyle name="강조색2 5 11" xfId="0"/>
    <cellStyle name="강조색2 5 12" xfId="0"/>
    <cellStyle name="강조색2 5 13" xfId="0"/>
    <cellStyle name="강조색2 5 14" xfId="0"/>
    <cellStyle name="강조색2 5 15" xfId="0"/>
    <cellStyle name="강조색2 5 16" xfId="0"/>
    <cellStyle name="강조색2 5 17" xfId="0"/>
    <cellStyle name="강조색2 5 18" xfId="0"/>
    <cellStyle name="강조색2 5 19" xfId="0"/>
    <cellStyle name="강조색2 5 2" xfId="0"/>
    <cellStyle name="강조색2 5 20" xfId="0"/>
    <cellStyle name="강조색2 5 21" xfId="0"/>
    <cellStyle name="강조색2 5 22" xfId="0"/>
    <cellStyle name="강조색2 5 23" xfId="0"/>
    <cellStyle name="강조색2 5 24" xfId="0"/>
    <cellStyle name="강조색2 5 25" xfId="0"/>
    <cellStyle name="강조색2 5 26" xfId="0"/>
    <cellStyle name="강조색2 5 27" xfId="0"/>
    <cellStyle name="강조색2 5 28" xfId="0"/>
    <cellStyle name="강조색2 5 29" xfId="0"/>
    <cellStyle name="강조색2 5 3" xfId="0"/>
    <cellStyle name="강조색2 5 30" xfId="0"/>
    <cellStyle name="강조색2 5 31" xfId="0"/>
    <cellStyle name="강조색2 5 32" xfId="0"/>
    <cellStyle name="강조색2 5 33" xfId="0"/>
    <cellStyle name="강조색2 5 34" xfId="0"/>
    <cellStyle name="강조색2 5 4" xfId="0"/>
    <cellStyle name="강조색2 5 5" xfId="0"/>
    <cellStyle name="강조색2 5 6" xfId="0"/>
    <cellStyle name="강조색2 5 7" xfId="0"/>
    <cellStyle name="강조색2 5 8" xfId="0"/>
    <cellStyle name="강조색2 5 9" xfId="0"/>
    <cellStyle name="강조색2 6" xfId="0"/>
    <cellStyle name="강조색2 6 10" xfId="0"/>
    <cellStyle name="강조색2 6 11" xfId="0"/>
    <cellStyle name="강조색2 6 12" xfId="0"/>
    <cellStyle name="강조색2 6 13" xfId="0"/>
    <cellStyle name="강조색2 6 14" xfId="0"/>
    <cellStyle name="강조색2 6 15" xfId="0"/>
    <cellStyle name="강조색2 6 16" xfId="0"/>
    <cellStyle name="강조색2 6 17" xfId="0"/>
    <cellStyle name="강조색2 6 18" xfId="0"/>
    <cellStyle name="강조색2 6 19" xfId="0"/>
    <cellStyle name="강조색2 6 2" xfId="0"/>
    <cellStyle name="강조색2 6 20" xfId="0"/>
    <cellStyle name="강조색2 6 21" xfId="0"/>
    <cellStyle name="강조색2 6 22" xfId="0"/>
    <cellStyle name="강조색2 6 23" xfId="0"/>
    <cellStyle name="강조색2 6 24" xfId="0"/>
    <cellStyle name="강조색2 6 25" xfId="0"/>
    <cellStyle name="강조색2 6 26" xfId="0"/>
    <cellStyle name="강조색2 6 27" xfId="0"/>
    <cellStyle name="강조색2 6 28" xfId="0"/>
    <cellStyle name="강조색2 6 29" xfId="0"/>
    <cellStyle name="강조색2 6 3" xfId="0"/>
    <cellStyle name="강조색2 6 30" xfId="0"/>
    <cellStyle name="강조색2 6 4" xfId="0"/>
    <cellStyle name="강조색2 6 5" xfId="0"/>
    <cellStyle name="강조색2 6 6" xfId="0"/>
    <cellStyle name="강조색2 6 7" xfId="0"/>
    <cellStyle name="강조색2 6 8" xfId="0"/>
    <cellStyle name="강조색2 6 9" xfId="0"/>
    <cellStyle name="강조색2 7" xfId="0"/>
    <cellStyle name="강조색2 7 10" xfId="0"/>
    <cellStyle name="강조색2 7 11" xfId="0"/>
    <cellStyle name="강조색2 7 12" xfId="0"/>
    <cellStyle name="강조색2 7 13" xfId="0"/>
    <cellStyle name="강조색2 7 14" xfId="0"/>
    <cellStyle name="강조색2 7 15" xfId="0"/>
    <cellStyle name="강조색2 7 2" xfId="0"/>
    <cellStyle name="강조색2 7 2 2" xfId="0"/>
    <cellStyle name="강조색2 7 3" xfId="0"/>
    <cellStyle name="강조색2 7 3 2" xfId="0"/>
    <cellStyle name="강조색2 7 4" xfId="0"/>
    <cellStyle name="강조색2 7 4 2" xfId="0"/>
    <cellStyle name="강조색2 7 5" xfId="0"/>
    <cellStyle name="강조색2 7 5 2" xfId="0"/>
    <cellStyle name="강조색2 7 6" xfId="0"/>
    <cellStyle name="강조색2 7 6 2" xfId="0"/>
    <cellStyle name="강조색2 7 7" xfId="0"/>
    <cellStyle name="강조색2 7 8" xfId="0"/>
    <cellStyle name="강조색2 7 9" xfId="0"/>
    <cellStyle name="강조색2 8" xfId="0"/>
    <cellStyle name="강조색2 8 10" xfId="0"/>
    <cellStyle name="강조색2 8 11" xfId="0"/>
    <cellStyle name="강조색2 8 12" xfId="0"/>
    <cellStyle name="강조색2 8 13" xfId="0"/>
    <cellStyle name="강조색2 8 14" xfId="0"/>
    <cellStyle name="강조색2 8 2" xfId="0"/>
    <cellStyle name="강조색2 8 2 2" xfId="0"/>
    <cellStyle name="강조색2 8 3" xfId="0"/>
    <cellStyle name="강조색2 8 3 2" xfId="0"/>
    <cellStyle name="강조색2 8 4" xfId="0"/>
    <cellStyle name="강조색2 8 4 2" xfId="0"/>
    <cellStyle name="강조색2 8 5" xfId="0"/>
    <cellStyle name="강조색2 8 5 2" xfId="0"/>
    <cellStyle name="강조색2 8 6" xfId="0"/>
    <cellStyle name="강조색2 8 6 2" xfId="0"/>
    <cellStyle name="강조색2 8 7" xfId="0"/>
    <cellStyle name="강조색2 8 8" xfId="0"/>
    <cellStyle name="강조색2 8 9" xfId="0"/>
    <cellStyle name="강조색2 9" xfId="0"/>
    <cellStyle name="강조색2 9 10" xfId="0"/>
    <cellStyle name="강조색2 9 11" xfId="0"/>
    <cellStyle name="강조색2 9 12" xfId="0"/>
    <cellStyle name="강조색2 9 13" xfId="0"/>
    <cellStyle name="강조색2 9 14" xfId="0"/>
    <cellStyle name="강조색2 9 2" xfId="0"/>
    <cellStyle name="강조색2 9 2 2" xfId="0"/>
    <cellStyle name="강조색2 9 3" xfId="0"/>
    <cellStyle name="강조색2 9 3 2" xfId="0"/>
    <cellStyle name="강조색2 9 4" xfId="0"/>
    <cellStyle name="강조색2 9 4 2" xfId="0"/>
    <cellStyle name="강조색2 9 5" xfId="0"/>
    <cellStyle name="강조색2 9 5 2" xfId="0"/>
    <cellStyle name="강조색2 9 6" xfId="0"/>
    <cellStyle name="강조색2 9 6 2" xfId="0"/>
    <cellStyle name="강조색2 9 7" xfId="0"/>
    <cellStyle name="강조색2 9 8" xfId="0"/>
    <cellStyle name="강조색2 9 9" xfId="0"/>
    <cellStyle name="강조색3 10" xfId="0"/>
    <cellStyle name="강조색3 10 2" xfId="0"/>
    <cellStyle name="강조색3 10 2 2" xfId="0"/>
    <cellStyle name="강조색3 10 3" xfId="0"/>
    <cellStyle name="강조색3 10 3 2" xfId="0"/>
    <cellStyle name="강조색3 10 4" xfId="0"/>
    <cellStyle name="강조색3 10 4 2" xfId="0"/>
    <cellStyle name="강조색3 10 5" xfId="0"/>
    <cellStyle name="강조색3 10 6" xfId="0"/>
    <cellStyle name="강조색3 10 7" xfId="0"/>
    <cellStyle name="강조색3 11" xfId="0"/>
    <cellStyle name="강조색3 11 2" xfId="0"/>
    <cellStyle name="강조색3 11 2 2" xfId="0"/>
    <cellStyle name="강조색3 11 3" xfId="0"/>
    <cellStyle name="강조색3 11 3 2" xfId="0"/>
    <cellStyle name="강조색3 11 4" xfId="0"/>
    <cellStyle name="강조색3 11 4 2" xfId="0"/>
    <cellStyle name="강조색3 11 5" xfId="0"/>
    <cellStyle name="강조색3 11 6" xfId="0"/>
    <cellStyle name="강조색3 11 7" xfId="0"/>
    <cellStyle name="강조색3 12" xfId="0"/>
    <cellStyle name="강조색3 12 2" xfId="0"/>
    <cellStyle name="강조색3 12 3" xfId="0"/>
    <cellStyle name="강조색3 12 4" xfId="0"/>
    <cellStyle name="강조색3 12 5" xfId="0"/>
    <cellStyle name="강조색3 13" xfId="0"/>
    <cellStyle name="강조색3 13 2" xfId="0"/>
    <cellStyle name="강조색3 13 3" xfId="0"/>
    <cellStyle name="강조색3 13 4" xfId="0"/>
    <cellStyle name="강조색3 13 5" xfId="0"/>
    <cellStyle name="강조색3 14" xfId="0"/>
    <cellStyle name="강조색3 14 2" xfId="0"/>
    <cellStyle name="강조색3 15" xfId="0"/>
    <cellStyle name="강조색3 15 2" xfId="0"/>
    <cellStyle name="강조색3 16" xfId="0"/>
    <cellStyle name="강조색3 16 2" xfId="0"/>
    <cellStyle name="강조색3 17" xfId="0"/>
    <cellStyle name="강조색3 17 2" xfId="0"/>
    <cellStyle name="강조색3 18" xfId="0"/>
    <cellStyle name="강조색3 19" xfId="0"/>
    <cellStyle name="강조색3 2" xfId="0"/>
    <cellStyle name="강조색3 2 10" xfId="0"/>
    <cellStyle name="강조색3 2 11" xfId="0"/>
    <cellStyle name="강조색3 2 12" xfId="0"/>
    <cellStyle name="강조색3 2 13" xfId="0"/>
    <cellStyle name="강조색3 2 2" xfId="0"/>
    <cellStyle name="강조색3 2 2 10" xfId="0"/>
    <cellStyle name="강조색3 2 2 2" xfId="0"/>
    <cellStyle name="강조색3 2 2 3" xfId="0"/>
    <cellStyle name="강조색3 2 2 4" xfId="0"/>
    <cellStyle name="강조색3 2 2 5" xfId="0"/>
    <cellStyle name="강조색3 2 2 6" xfId="0"/>
    <cellStyle name="강조색3 2 2 7" xfId="0"/>
    <cellStyle name="강조색3 2 2 8" xfId="0"/>
    <cellStyle name="강조색3 2 2 9" xfId="0"/>
    <cellStyle name="강조색3 2 3" xfId="0"/>
    <cellStyle name="강조색3 2 3 10" xfId="0"/>
    <cellStyle name="강조색3 2 3 2" xfId="0"/>
    <cellStyle name="강조색3 2 3 3" xfId="0"/>
    <cellStyle name="강조색3 2 3 4" xfId="0"/>
    <cellStyle name="강조색3 2 3 5" xfId="0"/>
    <cellStyle name="강조색3 2 3 6" xfId="0"/>
    <cellStyle name="강조색3 2 3 7" xfId="0"/>
    <cellStyle name="강조색3 2 3 8" xfId="0"/>
    <cellStyle name="강조색3 2 3 9" xfId="0"/>
    <cellStyle name="강조색3 2 4" xfId="0"/>
    <cellStyle name="강조색3 2 4 10" xfId="0"/>
    <cellStyle name="강조색3 2 4 2" xfId="0"/>
    <cellStyle name="강조색3 2 4 3" xfId="0"/>
    <cellStyle name="강조색3 2 4 4" xfId="0"/>
    <cellStyle name="강조색3 2 4 5" xfId="0"/>
    <cellStyle name="강조색3 2 4 6" xfId="0"/>
    <cellStyle name="강조색3 2 4 7" xfId="0"/>
    <cellStyle name="강조색3 2 4 8" xfId="0"/>
    <cellStyle name="강조색3 2 4 9" xfId="0"/>
    <cellStyle name="강조색3 2 5" xfId="0"/>
    <cellStyle name="강조색3 2 5 10" xfId="0"/>
    <cellStyle name="강조색3 2 5 2" xfId="0"/>
    <cellStyle name="강조색3 2 5 3" xfId="0"/>
    <cellStyle name="강조색3 2 5 4" xfId="0"/>
    <cellStyle name="강조색3 2 5 5" xfId="0"/>
    <cellStyle name="강조색3 2 5 6" xfId="0"/>
    <cellStyle name="강조색3 2 5 7" xfId="0"/>
    <cellStyle name="강조색3 2 5 8" xfId="0"/>
    <cellStyle name="강조색3 2 5 9" xfId="0"/>
    <cellStyle name="강조색3 2 6" xfId="0"/>
    <cellStyle name="강조색3 2 6 10" xfId="0"/>
    <cellStyle name="강조색3 2 6 2" xfId="0"/>
    <cellStyle name="강조색3 2 6 3" xfId="0"/>
    <cellStyle name="강조색3 2 6 4" xfId="0"/>
    <cellStyle name="강조색3 2 6 5" xfId="0"/>
    <cellStyle name="강조색3 2 6 6" xfId="0"/>
    <cellStyle name="강조색3 2 6 7" xfId="0"/>
    <cellStyle name="강조색3 2 6 8" xfId="0"/>
    <cellStyle name="강조색3 2 6 9" xfId="0"/>
    <cellStyle name="강조색3 2 7" xfId="0"/>
    <cellStyle name="강조색3 2 7 10" xfId="0"/>
    <cellStyle name="강조색3 2 7 2" xfId="0"/>
    <cellStyle name="강조색3 2 7 3" xfId="0"/>
    <cellStyle name="강조색3 2 7 4" xfId="0"/>
    <cellStyle name="강조색3 2 7 5" xfId="0"/>
    <cellStyle name="강조색3 2 7 6" xfId="0"/>
    <cellStyle name="강조색3 2 7 7" xfId="0"/>
    <cellStyle name="강조색3 2 7 8" xfId="0"/>
    <cellStyle name="강조색3 2 7 9" xfId="0"/>
    <cellStyle name="강조색3 2 8" xfId="0"/>
    <cellStyle name="강조색3 2 8 2" xfId="0"/>
    <cellStyle name="강조색3 2 9" xfId="0"/>
    <cellStyle name="강조색3 20" xfId="0"/>
    <cellStyle name="강조색3 21" xfId="0"/>
    <cellStyle name="강조색3 22" xfId="0"/>
    <cellStyle name="강조색3 23" xfId="0"/>
    <cellStyle name="강조색3 24" xfId="0"/>
    <cellStyle name="강조색3 25" xfId="0"/>
    <cellStyle name="강조색3 26" xfId="0"/>
    <cellStyle name="강조색3 27" xfId="0"/>
    <cellStyle name="강조색3 2_3300현금및예치금" xfId="0"/>
    <cellStyle name="강조색3 3" xfId="0"/>
    <cellStyle name="강조색3 3 10" xfId="0"/>
    <cellStyle name="강조색3 3 10 2" xfId="0"/>
    <cellStyle name="강조색3 3 11" xfId="0"/>
    <cellStyle name="강조색3 3 11 2" xfId="0"/>
    <cellStyle name="강조색3 3 12" xfId="0"/>
    <cellStyle name="강조색3 3 12 2" xfId="0"/>
    <cellStyle name="강조색3 3 13" xfId="0"/>
    <cellStyle name="강조색3 3 14" xfId="0"/>
    <cellStyle name="강조색3 3 15" xfId="0"/>
    <cellStyle name="강조색3 3 16" xfId="0"/>
    <cellStyle name="강조색3 3 17" xfId="0"/>
    <cellStyle name="강조색3 3 18" xfId="0"/>
    <cellStyle name="강조색3 3 19" xfId="0"/>
    <cellStyle name="강조색3 3 2" xfId="0"/>
    <cellStyle name="강조색3 3 2 2" xfId="0"/>
    <cellStyle name="강조색3 3 2 3" xfId="0"/>
    <cellStyle name="강조색3 3 20" xfId="0"/>
    <cellStyle name="강조색3 3 3" xfId="0"/>
    <cellStyle name="강조색3 3 3 2" xfId="0"/>
    <cellStyle name="강조색3 3 3 3" xfId="0"/>
    <cellStyle name="강조색3 3 4" xfId="0"/>
    <cellStyle name="강조색3 3 4 2" xfId="0"/>
    <cellStyle name="강조색3 3 4 3" xfId="0"/>
    <cellStyle name="강조색3 3 5" xfId="0"/>
    <cellStyle name="강조색3 3 5 2" xfId="0"/>
    <cellStyle name="강조색3 3 5 3" xfId="0"/>
    <cellStyle name="강조색3 3 6" xfId="0"/>
    <cellStyle name="강조색3 3 6 2" xfId="0"/>
    <cellStyle name="강조색3 3 6 3" xfId="0"/>
    <cellStyle name="강조색3 3 7" xfId="0"/>
    <cellStyle name="강조색3 3 7 2" xfId="0"/>
    <cellStyle name="강조색3 3 7 3" xfId="0"/>
    <cellStyle name="강조색3 3 8" xfId="0"/>
    <cellStyle name="강조색3 3 8 2" xfId="0"/>
    <cellStyle name="강조색3 3 8 3" xfId="0"/>
    <cellStyle name="강조색3 3 9" xfId="0"/>
    <cellStyle name="강조색3 3 9 2" xfId="0"/>
    <cellStyle name="강조색3 3_운용자산별 손익분석" xfId="0"/>
    <cellStyle name="강조색3 4" xfId="0"/>
    <cellStyle name="강조색3 4 10" xfId="0"/>
    <cellStyle name="강조색3 4 11" xfId="0"/>
    <cellStyle name="강조색3 4 12" xfId="0"/>
    <cellStyle name="강조색3 4 13" xfId="0"/>
    <cellStyle name="강조색3 4 2" xfId="0"/>
    <cellStyle name="강조색3 4 3" xfId="0"/>
    <cellStyle name="강조색3 4 4" xfId="0"/>
    <cellStyle name="강조색3 4 5" xfId="0"/>
    <cellStyle name="강조색3 4 6" xfId="0"/>
    <cellStyle name="강조색3 4 7" xfId="0"/>
    <cellStyle name="강조색3 4 8" xfId="0"/>
    <cellStyle name="강조색3 4 9" xfId="0"/>
    <cellStyle name="강조색3 4_운용자산별 손익분석" xfId="0"/>
    <cellStyle name="강조색3 5" xfId="0"/>
    <cellStyle name="강조색3 5 10" xfId="0"/>
    <cellStyle name="강조색3 5 11" xfId="0"/>
    <cellStyle name="강조색3 5 12" xfId="0"/>
    <cellStyle name="강조색3 5 13" xfId="0"/>
    <cellStyle name="강조색3 5 14" xfId="0"/>
    <cellStyle name="강조색3 5 15" xfId="0"/>
    <cellStyle name="강조색3 5 16" xfId="0"/>
    <cellStyle name="강조색3 5 17" xfId="0"/>
    <cellStyle name="강조색3 5 18" xfId="0"/>
    <cellStyle name="강조색3 5 19" xfId="0"/>
    <cellStyle name="강조색3 5 2" xfId="0"/>
    <cellStyle name="강조색3 5 20" xfId="0"/>
    <cellStyle name="강조색3 5 21" xfId="0"/>
    <cellStyle name="강조색3 5 22" xfId="0"/>
    <cellStyle name="강조색3 5 23" xfId="0"/>
    <cellStyle name="강조색3 5 24" xfId="0"/>
    <cellStyle name="강조색3 5 25" xfId="0"/>
    <cellStyle name="강조색3 5 26" xfId="0"/>
    <cellStyle name="강조색3 5 27" xfId="0"/>
    <cellStyle name="강조색3 5 28" xfId="0"/>
    <cellStyle name="강조색3 5 29" xfId="0"/>
    <cellStyle name="강조색3 5 3" xfId="0"/>
    <cellStyle name="강조색3 5 30" xfId="0"/>
    <cellStyle name="강조색3 5 31" xfId="0"/>
    <cellStyle name="강조색3 5 32" xfId="0"/>
    <cellStyle name="강조색3 5 33" xfId="0"/>
    <cellStyle name="강조색3 5 34" xfId="0"/>
    <cellStyle name="강조색3 5 4" xfId="0"/>
    <cellStyle name="강조색3 5 5" xfId="0"/>
    <cellStyle name="강조색3 5 6" xfId="0"/>
    <cellStyle name="강조색3 5 7" xfId="0"/>
    <cellStyle name="강조색3 5 8" xfId="0"/>
    <cellStyle name="강조색3 5 9" xfId="0"/>
    <cellStyle name="강조색3 6" xfId="0"/>
    <cellStyle name="강조색3 6 10" xfId="0"/>
    <cellStyle name="강조색3 6 11" xfId="0"/>
    <cellStyle name="강조색3 6 12" xfId="0"/>
    <cellStyle name="강조색3 6 13" xfId="0"/>
    <cellStyle name="강조색3 6 14" xfId="0"/>
    <cellStyle name="강조색3 6 15" xfId="0"/>
    <cellStyle name="강조색3 6 16" xfId="0"/>
    <cellStyle name="강조색3 6 17" xfId="0"/>
    <cellStyle name="강조색3 6 18" xfId="0"/>
    <cellStyle name="강조색3 6 19" xfId="0"/>
    <cellStyle name="강조색3 6 2" xfId="0"/>
    <cellStyle name="강조색3 6 20" xfId="0"/>
    <cellStyle name="강조색3 6 21" xfId="0"/>
    <cellStyle name="강조색3 6 22" xfId="0"/>
    <cellStyle name="강조색3 6 23" xfId="0"/>
    <cellStyle name="강조색3 6 24" xfId="0"/>
    <cellStyle name="강조색3 6 25" xfId="0"/>
    <cellStyle name="강조색3 6 26" xfId="0"/>
    <cellStyle name="강조색3 6 27" xfId="0"/>
    <cellStyle name="강조색3 6 28" xfId="0"/>
    <cellStyle name="강조색3 6 29" xfId="0"/>
    <cellStyle name="강조색3 6 3" xfId="0"/>
    <cellStyle name="강조색3 6 30" xfId="0"/>
    <cellStyle name="강조색3 6 4" xfId="0"/>
    <cellStyle name="강조색3 6 5" xfId="0"/>
    <cellStyle name="강조색3 6 6" xfId="0"/>
    <cellStyle name="강조색3 6 7" xfId="0"/>
    <cellStyle name="강조색3 6 8" xfId="0"/>
    <cellStyle name="강조색3 6 9" xfId="0"/>
    <cellStyle name="강조색3 7" xfId="0"/>
    <cellStyle name="강조색3 7 10" xfId="0"/>
    <cellStyle name="강조색3 7 11" xfId="0"/>
    <cellStyle name="강조색3 7 12" xfId="0"/>
    <cellStyle name="강조색3 7 13" xfId="0"/>
    <cellStyle name="강조색3 7 14" xfId="0"/>
    <cellStyle name="강조색3 7 15" xfId="0"/>
    <cellStyle name="강조색3 7 2" xfId="0"/>
    <cellStyle name="강조색3 7 2 2" xfId="0"/>
    <cellStyle name="강조색3 7 3" xfId="0"/>
    <cellStyle name="강조색3 7 3 2" xfId="0"/>
    <cellStyle name="강조색3 7 4" xfId="0"/>
    <cellStyle name="강조색3 7 4 2" xfId="0"/>
    <cellStyle name="강조색3 7 5" xfId="0"/>
    <cellStyle name="강조색3 7 5 2" xfId="0"/>
    <cellStyle name="강조색3 7 6" xfId="0"/>
    <cellStyle name="강조색3 7 6 2" xfId="0"/>
    <cellStyle name="강조색3 7 7" xfId="0"/>
    <cellStyle name="강조색3 7 8" xfId="0"/>
    <cellStyle name="강조색3 7 9" xfId="0"/>
    <cellStyle name="강조색3 8" xfId="0"/>
    <cellStyle name="강조색3 8 10" xfId="0"/>
    <cellStyle name="강조색3 8 11" xfId="0"/>
    <cellStyle name="강조색3 8 12" xfId="0"/>
    <cellStyle name="강조색3 8 13" xfId="0"/>
    <cellStyle name="강조색3 8 14" xfId="0"/>
    <cellStyle name="강조색3 8 2" xfId="0"/>
    <cellStyle name="강조색3 8 2 2" xfId="0"/>
    <cellStyle name="강조색3 8 3" xfId="0"/>
    <cellStyle name="강조색3 8 3 2" xfId="0"/>
    <cellStyle name="강조색3 8 4" xfId="0"/>
    <cellStyle name="강조색3 8 4 2" xfId="0"/>
    <cellStyle name="강조색3 8 5" xfId="0"/>
    <cellStyle name="강조색3 8 5 2" xfId="0"/>
    <cellStyle name="강조색3 8 6" xfId="0"/>
    <cellStyle name="강조색3 8 6 2" xfId="0"/>
    <cellStyle name="강조색3 8 7" xfId="0"/>
    <cellStyle name="강조색3 8 8" xfId="0"/>
    <cellStyle name="강조색3 8 9" xfId="0"/>
    <cellStyle name="강조색3 9" xfId="0"/>
    <cellStyle name="강조색3 9 10" xfId="0"/>
    <cellStyle name="강조색3 9 11" xfId="0"/>
    <cellStyle name="강조색3 9 12" xfId="0"/>
    <cellStyle name="강조색3 9 13" xfId="0"/>
    <cellStyle name="강조색3 9 14" xfId="0"/>
    <cellStyle name="강조색3 9 2" xfId="0"/>
    <cellStyle name="강조색3 9 2 2" xfId="0"/>
    <cellStyle name="강조색3 9 3" xfId="0"/>
    <cellStyle name="강조색3 9 3 2" xfId="0"/>
    <cellStyle name="강조색3 9 4" xfId="0"/>
    <cellStyle name="강조색3 9 4 2" xfId="0"/>
    <cellStyle name="강조색3 9 5" xfId="0"/>
    <cellStyle name="강조색3 9 5 2" xfId="0"/>
    <cellStyle name="강조색3 9 6" xfId="0"/>
    <cellStyle name="강조색3 9 6 2" xfId="0"/>
    <cellStyle name="강조색3 9 7" xfId="0"/>
    <cellStyle name="강조색3 9 8" xfId="0"/>
    <cellStyle name="강조색3 9 9" xfId="0"/>
    <cellStyle name="강조색4 10" xfId="0"/>
    <cellStyle name="강조색4 10 2" xfId="0"/>
    <cellStyle name="강조색4 10 2 2" xfId="0"/>
    <cellStyle name="강조색4 10 3" xfId="0"/>
    <cellStyle name="강조색4 10 3 2" xfId="0"/>
    <cellStyle name="강조색4 10 4" xfId="0"/>
    <cellStyle name="강조색4 10 4 2" xfId="0"/>
    <cellStyle name="강조색4 10 5" xfId="0"/>
    <cellStyle name="강조색4 10 6" xfId="0"/>
    <cellStyle name="강조색4 10 7" xfId="0"/>
    <cellStyle name="강조색4 11" xfId="0"/>
    <cellStyle name="강조색4 11 2" xfId="0"/>
    <cellStyle name="강조색4 11 2 2" xfId="0"/>
    <cellStyle name="강조색4 11 3" xfId="0"/>
    <cellStyle name="강조색4 11 3 2" xfId="0"/>
    <cellStyle name="강조색4 11 4" xfId="0"/>
    <cellStyle name="강조색4 11 4 2" xfId="0"/>
    <cellStyle name="강조색4 11 5" xfId="0"/>
    <cellStyle name="강조색4 11 6" xfId="0"/>
    <cellStyle name="강조색4 11 7" xfId="0"/>
    <cellStyle name="강조색4 12" xfId="0"/>
    <cellStyle name="강조색4 12 2" xfId="0"/>
    <cellStyle name="강조색4 12 3" xfId="0"/>
    <cellStyle name="강조색4 12 4" xfId="0"/>
    <cellStyle name="강조색4 12 5" xfId="0"/>
    <cellStyle name="강조색4 13" xfId="0"/>
    <cellStyle name="강조색4 13 2" xfId="0"/>
    <cellStyle name="강조색4 13 3" xfId="0"/>
    <cellStyle name="강조색4 13 4" xfId="0"/>
    <cellStyle name="강조색4 13 5" xfId="0"/>
    <cellStyle name="강조색4 14" xfId="0"/>
    <cellStyle name="강조색4 14 2" xfId="0"/>
    <cellStyle name="강조색4 15" xfId="0"/>
    <cellStyle name="강조색4 15 2" xfId="0"/>
    <cellStyle name="강조색4 16" xfId="0"/>
    <cellStyle name="강조색4 16 2" xfId="0"/>
    <cellStyle name="강조색4 17" xfId="0"/>
    <cellStyle name="강조색4 17 2" xfId="0"/>
    <cellStyle name="강조색4 18" xfId="0"/>
    <cellStyle name="강조색4 19" xfId="0"/>
    <cellStyle name="강조색4 2" xfId="0"/>
    <cellStyle name="강조색4 2 10" xfId="0"/>
    <cellStyle name="강조색4 2 11" xfId="0"/>
    <cellStyle name="강조색4 2 12" xfId="0"/>
    <cellStyle name="강조색4 2 13" xfId="0"/>
    <cellStyle name="강조색4 2 2" xfId="0"/>
    <cellStyle name="강조색4 2 2 10" xfId="0"/>
    <cellStyle name="강조색4 2 2 2" xfId="0"/>
    <cellStyle name="강조색4 2 2 3" xfId="0"/>
    <cellStyle name="강조색4 2 2 4" xfId="0"/>
    <cellStyle name="강조색4 2 2 5" xfId="0"/>
    <cellStyle name="강조색4 2 2 6" xfId="0"/>
    <cellStyle name="강조색4 2 2 7" xfId="0"/>
    <cellStyle name="강조색4 2 2 8" xfId="0"/>
    <cellStyle name="강조색4 2 2 9" xfId="0"/>
    <cellStyle name="강조색4 2 3" xfId="0"/>
    <cellStyle name="강조색4 2 3 10" xfId="0"/>
    <cellStyle name="강조색4 2 3 2" xfId="0"/>
    <cellStyle name="강조색4 2 3 3" xfId="0"/>
    <cellStyle name="강조색4 2 3 4" xfId="0"/>
    <cellStyle name="강조색4 2 3 5" xfId="0"/>
    <cellStyle name="강조색4 2 3 6" xfId="0"/>
    <cellStyle name="강조색4 2 3 7" xfId="0"/>
    <cellStyle name="강조색4 2 3 8" xfId="0"/>
    <cellStyle name="강조색4 2 3 9" xfId="0"/>
    <cellStyle name="강조색4 2 4" xfId="0"/>
    <cellStyle name="강조색4 2 4 10" xfId="0"/>
    <cellStyle name="강조색4 2 4 2" xfId="0"/>
    <cellStyle name="강조색4 2 4 3" xfId="0"/>
    <cellStyle name="강조색4 2 4 4" xfId="0"/>
    <cellStyle name="강조색4 2 4 5" xfId="0"/>
    <cellStyle name="강조색4 2 4 6" xfId="0"/>
    <cellStyle name="강조색4 2 4 7" xfId="0"/>
    <cellStyle name="강조색4 2 4 8" xfId="0"/>
    <cellStyle name="강조색4 2 4 9" xfId="0"/>
    <cellStyle name="강조색4 2 5" xfId="0"/>
    <cellStyle name="강조색4 2 5 10" xfId="0"/>
    <cellStyle name="강조색4 2 5 2" xfId="0"/>
    <cellStyle name="강조색4 2 5 3" xfId="0"/>
    <cellStyle name="강조색4 2 5 4" xfId="0"/>
    <cellStyle name="강조색4 2 5 5" xfId="0"/>
    <cellStyle name="강조색4 2 5 6" xfId="0"/>
    <cellStyle name="강조색4 2 5 7" xfId="0"/>
    <cellStyle name="강조색4 2 5 8" xfId="0"/>
    <cellStyle name="강조색4 2 5 9" xfId="0"/>
    <cellStyle name="강조색4 2 6" xfId="0"/>
    <cellStyle name="강조색4 2 6 10" xfId="0"/>
    <cellStyle name="강조색4 2 6 2" xfId="0"/>
    <cellStyle name="강조색4 2 6 3" xfId="0"/>
    <cellStyle name="강조색4 2 6 4" xfId="0"/>
    <cellStyle name="강조색4 2 6 5" xfId="0"/>
    <cellStyle name="강조색4 2 6 6" xfId="0"/>
    <cellStyle name="강조색4 2 6 7" xfId="0"/>
    <cellStyle name="강조색4 2 6 8" xfId="0"/>
    <cellStyle name="강조색4 2 6 9" xfId="0"/>
    <cellStyle name="강조색4 2 7" xfId="0"/>
    <cellStyle name="강조색4 2 7 10" xfId="0"/>
    <cellStyle name="강조색4 2 7 2" xfId="0"/>
    <cellStyle name="강조색4 2 7 3" xfId="0"/>
    <cellStyle name="강조색4 2 7 4" xfId="0"/>
    <cellStyle name="강조색4 2 7 5" xfId="0"/>
    <cellStyle name="강조색4 2 7 6" xfId="0"/>
    <cellStyle name="강조색4 2 7 7" xfId="0"/>
    <cellStyle name="강조색4 2 7 8" xfId="0"/>
    <cellStyle name="강조색4 2 7 9" xfId="0"/>
    <cellStyle name="강조색4 2 8" xfId="0"/>
    <cellStyle name="강조색4 2 8 2" xfId="0"/>
    <cellStyle name="강조색4 2 9" xfId="0"/>
    <cellStyle name="강조색4 20" xfId="0"/>
    <cellStyle name="강조색4 21" xfId="0"/>
    <cellStyle name="강조색4 22" xfId="0"/>
    <cellStyle name="강조색4 23" xfId="0"/>
    <cellStyle name="강조색4 24" xfId="0"/>
    <cellStyle name="강조색4 25" xfId="0"/>
    <cellStyle name="강조색4 26" xfId="0"/>
    <cellStyle name="강조색4 27" xfId="0"/>
    <cellStyle name="강조색4 2_3300현금및예치금" xfId="0"/>
    <cellStyle name="강조색4 3" xfId="0"/>
    <cellStyle name="강조색4 3 10" xfId="0"/>
    <cellStyle name="강조색4 3 10 2" xfId="0"/>
    <cellStyle name="강조색4 3 11" xfId="0"/>
    <cellStyle name="강조색4 3 11 2" xfId="0"/>
    <cellStyle name="강조색4 3 12" xfId="0"/>
    <cellStyle name="강조색4 3 12 2" xfId="0"/>
    <cellStyle name="강조색4 3 13" xfId="0"/>
    <cellStyle name="강조색4 3 14" xfId="0"/>
    <cellStyle name="강조색4 3 15" xfId="0"/>
    <cellStyle name="강조색4 3 16" xfId="0"/>
    <cellStyle name="강조색4 3 17" xfId="0"/>
    <cellStyle name="강조색4 3 18" xfId="0"/>
    <cellStyle name="강조색4 3 19" xfId="0"/>
    <cellStyle name="강조색4 3 2" xfId="0"/>
    <cellStyle name="강조색4 3 2 2" xfId="0"/>
    <cellStyle name="강조색4 3 2 3" xfId="0"/>
    <cellStyle name="강조색4 3 20" xfId="0"/>
    <cellStyle name="강조색4 3 3" xfId="0"/>
    <cellStyle name="강조색4 3 3 2" xfId="0"/>
    <cellStyle name="강조색4 3 3 3" xfId="0"/>
    <cellStyle name="강조색4 3 4" xfId="0"/>
    <cellStyle name="강조색4 3 4 2" xfId="0"/>
    <cellStyle name="강조색4 3 4 3" xfId="0"/>
    <cellStyle name="강조색4 3 5" xfId="0"/>
    <cellStyle name="강조색4 3 5 2" xfId="0"/>
    <cellStyle name="강조색4 3 5 3" xfId="0"/>
    <cellStyle name="강조색4 3 6" xfId="0"/>
    <cellStyle name="강조색4 3 6 2" xfId="0"/>
    <cellStyle name="강조색4 3 6 3" xfId="0"/>
    <cellStyle name="강조색4 3 7" xfId="0"/>
    <cellStyle name="강조색4 3 7 2" xfId="0"/>
    <cellStyle name="강조색4 3 7 3" xfId="0"/>
    <cellStyle name="강조색4 3 8" xfId="0"/>
    <cellStyle name="강조색4 3 8 2" xfId="0"/>
    <cellStyle name="강조색4 3 8 3" xfId="0"/>
    <cellStyle name="강조색4 3 9" xfId="0"/>
    <cellStyle name="강조색4 3 9 2" xfId="0"/>
    <cellStyle name="강조색4 3_운용자산별 손익분석" xfId="0"/>
    <cellStyle name="강조색4 4" xfId="0"/>
    <cellStyle name="강조색4 4 10" xfId="0"/>
    <cellStyle name="강조색4 4 11" xfId="0"/>
    <cellStyle name="강조색4 4 12" xfId="0"/>
    <cellStyle name="강조색4 4 13" xfId="0"/>
    <cellStyle name="강조색4 4 2" xfId="0"/>
    <cellStyle name="강조색4 4 3" xfId="0"/>
    <cellStyle name="강조색4 4 4" xfId="0"/>
    <cellStyle name="강조색4 4 5" xfId="0"/>
    <cellStyle name="강조색4 4 6" xfId="0"/>
    <cellStyle name="강조색4 4 7" xfId="0"/>
    <cellStyle name="강조색4 4 8" xfId="0"/>
    <cellStyle name="강조색4 4 9" xfId="0"/>
    <cellStyle name="강조색4 4_운용자산별 손익분석" xfId="0"/>
    <cellStyle name="강조색4 5" xfId="0"/>
    <cellStyle name="강조색4 5 10" xfId="0"/>
    <cellStyle name="강조색4 5 11" xfId="0"/>
    <cellStyle name="강조색4 5 12" xfId="0"/>
    <cellStyle name="강조색4 5 13" xfId="0"/>
    <cellStyle name="강조색4 5 14" xfId="0"/>
    <cellStyle name="강조색4 5 15" xfId="0"/>
    <cellStyle name="강조색4 5 16" xfId="0"/>
    <cellStyle name="강조색4 5 17" xfId="0"/>
    <cellStyle name="강조색4 5 18" xfId="0"/>
    <cellStyle name="강조색4 5 19" xfId="0"/>
    <cellStyle name="강조색4 5 2" xfId="0"/>
    <cellStyle name="강조색4 5 20" xfId="0"/>
    <cellStyle name="강조색4 5 21" xfId="0"/>
    <cellStyle name="강조색4 5 22" xfId="0"/>
    <cellStyle name="강조색4 5 23" xfId="0"/>
    <cellStyle name="강조색4 5 24" xfId="0"/>
    <cellStyle name="강조색4 5 25" xfId="0"/>
    <cellStyle name="강조색4 5 26" xfId="0"/>
    <cellStyle name="강조색4 5 27" xfId="0"/>
    <cellStyle name="강조색4 5 28" xfId="0"/>
    <cellStyle name="강조색4 5 29" xfId="0"/>
    <cellStyle name="강조색4 5 3" xfId="0"/>
    <cellStyle name="강조색4 5 30" xfId="0"/>
    <cellStyle name="강조색4 5 31" xfId="0"/>
    <cellStyle name="강조색4 5 32" xfId="0"/>
    <cellStyle name="강조색4 5 33" xfId="0"/>
    <cellStyle name="강조색4 5 34" xfId="0"/>
    <cellStyle name="강조색4 5 4" xfId="0"/>
    <cellStyle name="강조색4 5 5" xfId="0"/>
    <cellStyle name="강조색4 5 6" xfId="0"/>
    <cellStyle name="강조색4 5 7" xfId="0"/>
    <cellStyle name="강조색4 5 8" xfId="0"/>
    <cellStyle name="강조색4 5 9" xfId="0"/>
    <cellStyle name="강조색4 6" xfId="0"/>
    <cellStyle name="강조색4 6 10" xfId="0"/>
    <cellStyle name="강조색4 6 11" xfId="0"/>
    <cellStyle name="강조색4 6 12" xfId="0"/>
    <cellStyle name="강조색4 6 13" xfId="0"/>
    <cellStyle name="강조색4 6 14" xfId="0"/>
    <cellStyle name="강조색4 6 15" xfId="0"/>
    <cellStyle name="강조색4 6 16" xfId="0"/>
    <cellStyle name="강조색4 6 17" xfId="0"/>
    <cellStyle name="강조색4 6 18" xfId="0"/>
    <cellStyle name="강조색4 6 19" xfId="0"/>
    <cellStyle name="강조색4 6 2" xfId="0"/>
    <cellStyle name="강조색4 6 20" xfId="0"/>
    <cellStyle name="강조색4 6 21" xfId="0"/>
    <cellStyle name="강조색4 6 22" xfId="0"/>
    <cellStyle name="강조색4 6 23" xfId="0"/>
    <cellStyle name="강조색4 6 24" xfId="0"/>
    <cellStyle name="강조색4 6 25" xfId="0"/>
    <cellStyle name="강조색4 6 26" xfId="0"/>
    <cellStyle name="강조색4 6 27" xfId="0"/>
    <cellStyle name="강조색4 6 28" xfId="0"/>
    <cellStyle name="강조색4 6 29" xfId="0"/>
    <cellStyle name="강조색4 6 3" xfId="0"/>
    <cellStyle name="강조색4 6 30" xfId="0"/>
    <cellStyle name="강조색4 6 4" xfId="0"/>
    <cellStyle name="강조색4 6 5" xfId="0"/>
    <cellStyle name="강조색4 6 6" xfId="0"/>
    <cellStyle name="강조색4 6 7" xfId="0"/>
    <cellStyle name="강조색4 6 8" xfId="0"/>
    <cellStyle name="강조색4 6 9" xfId="0"/>
    <cellStyle name="강조색4 7" xfId="0"/>
    <cellStyle name="강조색4 7 10" xfId="0"/>
    <cellStyle name="강조색4 7 11" xfId="0"/>
    <cellStyle name="강조색4 7 12" xfId="0"/>
    <cellStyle name="강조색4 7 13" xfId="0"/>
    <cellStyle name="강조색4 7 14" xfId="0"/>
    <cellStyle name="강조색4 7 15" xfId="0"/>
    <cellStyle name="강조색4 7 2" xfId="0"/>
    <cellStyle name="강조색4 7 2 2" xfId="0"/>
    <cellStyle name="강조색4 7 3" xfId="0"/>
    <cellStyle name="강조색4 7 3 2" xfId="0"/>
    <cellStyle name="강조색4 7 4" xfId="0"/>
    <cellStyle name="강조색4 7 4 2" xfId="0"/>
    <cellStyle name="강조색4 7 5" xfId="0"/>
    <cellStyle name="강조색4 7 5 2" xfId="0"/>
    <cellStyle name="강조색4 7 6" xfId="0"/>
    <cellStyle name="강조색4 7 6 2" xfId="0"/>
    <cellStyle name="강조색4 7 7" xfId="0"/>
    <cellStyle name="강조색4 7 8" xfId="0"/>
    <cellStyle name="강조색4 7 9" xfId="0"/>
    <cellStyle name="강조색4 8" xfId="0"/>
    <cellStyle name="강조색4 8 10" xfId="0"/>
    <cellStyle name="강조색4 8 11" xfId="0"/>
    <cellStyle name="강조색4 8 12" xfId="0"/>
    <cellStyle name="강조색4 8 13" xfId="0"/>
    <cellStyle name="강조색4 8 14" xfId="0"/>
    <cellStyle name="강조색4 8 2" xfId="0"/>
    <cellStyle name="강조색4 8 2 2" xfId="0"/>
    <cellStyle name="강조색4 8 3" xfId="0"/>
    <cellStyle name="강조색4 8 3 2" xfId="0"/>
    <cellStyle name="강조색4 8 4" xfId="0"/>
    <cellStyle name="강조색4 8 4 2" xfId="0"/>
    <cellStyle name="강조색4 8 5" xfId="0"/>
    <cellStyle name="강조색4 8 5 2" xfId="0"/>
    <cellStyle name="강조색4 8 6" xfId="0"/>
    <cellStyle name="강조색4 8 6 2" xfId="0"/>
    <cellStyle name="강조색4 8 7" xfId="0"/>
    <cellStyle name="강조색4 8 8" xfId="0"/>
    <cellStyle name="강조색4 8 9" xfId="0"/>
    <cellStyle name="강조색4 9" xfId="0"/>
    <cellStyle name="강조색4 9 10" xfId="0"/>
    <cellStyle name="강조색4 9 11" xfId="0"/>
    <cellStyle name="강조색4 9 12" xfId="0"/>
    <cellStyle name="강조색4 9 13" xfId="0"/>
    <cellStyle name="강조색4 9 14" xfId="0"/>
    <cellStyle name="강조색4 9 2" xfId="0"/>
    <cellStyle name="강조색4 9 2 2" xfId="0"/>
    <cellStyle name="강조색4 9 3" xfId="0"/>
    <cellStyle name="강조색4 9 3 2" xfId="0"/>
    <cellStyle name="강조색4 9 4" xfId="0"/>
    <cellStyle name="강조색4 9 4 2" xfId="0"/>
    <cellStyle name="강조색4 9 5" xfId="0"/>
    <cellStyle name="강조색4 9 5 2" xfId="0"/>
    <cellStyle name="강조색4 9 6" xfId="0"/>
    <cellStyle name="강조색4 9 6 2" xfId="0"/>
    <cellStyle name="강조색4 9 7" xfId="0"/>
    <cellStyle name="강조색4 9 8" xfId="0"/>
    <cellStyle name="강조색4 9 9" xfId="0"/>
    <cellStyle name="강조색5 10" xfId="0"/>
    <cellStyle name="강조색5 10 2" xfId="0"/>
    <cellStyle name="강조색5 10 2 2" xfId="0"/>
    <cellStyle name="강조색5 10 3" xfId="0"/>
    <cellStyle name="강조색5 10 3 2" xfId="0"/>
    <cellStyle name="강조색5 10 4" xfId="0"/>
    <cellStyle name="강조색5 10 4 2" xfId="0"/>
    <cellStyle name="강조색5 10 5" xfId="0"/>
    <cellStyle name="강조색5 10 6" xfId="0"/>
    <cellStyle name="강조색5 10 7" xfId="0"/>
    <cellStyle name="강조색5 11" xfId="0"/>
    <cellStyle name="강조색5 11 2" xfId="0"/>
    <cellStyle name="강조색5 11 2 2" xfId="0"/>
    <cellStyle name="강조색5 11 3" xfId="0"/>
    <cellStyle name="강조색5 11 3 2" xfId="0"/>
    <cellStyle name="강조색5 11 4" xfId="0"/>
    <cellStyle name="강조색5 11 4 2" xfId="0"/>
    <cellStyle name="강조색5 11 5" xfId="0"/>
    <cellStyle name="강조색5 11 6" xfId="0"/>
    <cellStyle name="강조색5 11 7" xfId="0"/>
    <cellStyle name="강조색5 12" xfId="0"/>
    <cellStyle name="강조색5 12 2" xfId="0"/>
    <cellStyle name="강조색5 12 3" xfId="0"/>
    <cellStyle name="강조색5 12 4" xfId="0"/>
    <cellStyle name="강조색5 12 5" xfId="0"/>
    <cellStyle name="강조색5 13" xfId="0"/>
    <cellStyle name="강조색5 13 2" xfId="0"/>
    <cellStyle name="강조색5 13 3" xfId="0"/>
    <cellStyle name="강조색5 13 4" xfId="0"/>
    <cellStyle name="강조색5 13 5" xfId="0"/>
    <cellStyle name="강조색5 14" xfId="0"/>
    <cellStyle name="강조색5 14 2" xfId="0"/>
    <cellStyle name="강조색5 15" xfId="0"/>
    <cellStyle name="강조색5 15 2" xfId="0"/>
    <cellStyle name="강조색5 16" xfId="0"/>
    <cellStyle name="강조색5 16 2" xfId="0"/>
    <cellStyle name="강조색5 17" xfId="0"/>
    <cellStyle name="강조색5 17 2" xfId="0"/>
    <cellStyle name="강조색5 18" xfId="0"/>
    <cellStyle name="강조색5 19" xfId="0"/>
    <cellStyle name="강조색5 2" xfId="0"/>
    <cellStyle name="강조색5 2 10" xfId="0"/>
    <cellStyle name="강조색5 2 11" xfId="0"/>
    <cellStyle name="강조색5 2 12" xfId="0"/>
    <cellStyle name="강조색5 2 13" xfId="0"/>
    <cellStyle name="강조색5 2 2" xfId="0"/>
    <cellStyle name="강조색5 2 2 10" xfId="0"/>
    <cellStyle name="강조색5 2 2 2" xfId="0"/>
    <cellStyle name="강조색5 2 2 3" xfId="0"/>
    <cellStyle name="강조색5 2 2 4" xfId="0"/>
    <cellStyle name="강조색5 2 2 5" xfId="0"/>
    <cellStyle name="강조색5 2 2 6" xfId="0"/>
    <cellStyle name="강조색5 2 2 7" xfId="0"/>
    <cellStyle name="강조색5 2 2 8" xfId="0"/>
    <cellStyle name="강조색5 2 2 9" xfId="0"/>
    <cellStyle name="강조색5 2 3" xfId="0"/>
    <cellStyle name="강조색5 2 3 10" xfId="0"/>
    <cellStyle name="강조색5 2 3 2" xfId="0"/>
    <cellStyle name="강조색5 2 3 3" xfId="0"/>
    <cellStyle name="강조색5 2 3 4" xfId="0"/>
    <cellStyle name="강조색5 2 3 5" xfId="0"/>
    <cellStyle name="강조색5 2 3 6" xfId="0"/>
    <cellStyle name="강조색5 2 3 7" xfId="0"/>
    <cellStyle name="강조색5 2 3 8" xfId="0"/>
    <cellStyle name="강조색5 2 3 9" xfId="0"/>
    <cellStyle name="강조색5 2 4" xfId="0"/>
    <cellStyle name="강조색5 2 4 10" xfId="0"/>
    <cellStyle name="강조색5 2 4 2" xfId="0"/>
    <cellStyle name="강조색5 2 4 3" xfId="0"/>
    <cellStyle name="강조색5 2 4 4" xfId="0"/>
    <cellStyle name="강조색5 2 4 5" xfId="0"/>
    <cellStyle name="강조색5 2 4 6" xfId="0"/>
    <cellStyle name="강조색5 2 4 7" xfId="0"/>
    <cellStyle name="강조색5 2 4 8" xfId="0"/>
    <cellStyle name="강조색5 2 4 9" xfId="0"/>
    <cellStyle name="강조색5 2 5" xfId="0"/>
    <cellStyle name="강조색5 2 5 10" xfId="0"/>
    <cellStyle name="강조색5 2 5 2" xfId="0"/>
    <cellStyle name="강조색5 2 5 3" xfId="0"/>
    <cellStyle name="강조색5 2 5 4" xfId="0"/>
    <cellStyle name="강조색5 2 5 5" xfId="0"/>
    <cellStyle name="강조색5 2 5 6" xfId="0"/>
    <cellStyle name="강조색5 2 5 7" xfId="0"/>
    <cellStyle name="강조색5 2 5 8" xfId="0"/>
    <cellStyle name="강조색5 2 5 9" xfId="0"/>
    <cellStyle name="강조색5 2 6" xfId="0"/>
    <cellStyle name="강조색5 2 6 10" xfId="0"/>
    <cellStyle name="강조색5 2 6 2" xfId="0"/>
    <cellStyle name="강조색5 2 6 3" xfId="0"/>
    <cellStyle name="강조색5 2 6 4" xfId="0"/>
    <cellStyle name="강조색5 2 6 5" xfId="0"/>
    <cellStyle name="강조색5 2 6 6" xfId="0"/>
    <cellStyle name="강조색5 2 6 7" xfId="0"/>
    <cellStyle name="강조색5 2 6 8" xfId="0"/>
    <cellStyle name="강조색5 2 6 9" xfId="0"/>
    <cellStyle name="강조색5 2 7" xfId="0"/>
    <cellStyle name="강조색5 2 7 10" xfId="0"/>
    <cellStyle name="강조색5 2 7 2" xfId="0"/>
    <cellStyle name="강조색5 2 7 3" xfId="0"/>
    <cellStyle name="강조색5 2 7 4" xfId="0"/>
    <cellStyle name="강조색5 2 7 5" xfId="0"/>
    <cellStyle name="강조색5 2 7 6" xfId="0"/>
    <cellStyle name="강조색5 2 7 7" xfId="0"/>
    <cellStyle name="강조색5 2 7 8" xfId="0"/>
    <cellStyle name="강조색5 2 7 9" xfId="0"/>
    <cellStyle name="강조색5 2 8" xfId="0"/>
    <cellStyle name="강조색5 2 8 2" xfId="0"/>
    <cellStyle name="강조색5 2 9" xfId="0"/>
    <cellStyle name="강조색5 20" xfId="0"/>
    <cellStyle name="강조색5 21" xfId="0"/>
    <cellStyle name="강조색5 22" xfId="0"/>
    <cellStyle name="강조색5 23" xfId="0"/>
    <cellStyle name="강조색5 24" xfId="0"/>
    <cellStyle name="강조색5 25" xfId="0"/>
    <cellStyle name="강조색5 26" xfId="0"/>
    <cellStyle name="강조색5 27" xfId="0"/>
    <cellStyle name="강조색5 2_3300현금및예치금" xfId="0"/>
    <cellStyle name="강조색5 3" xfId="0"/>
    <cellStyle name="강조색5 3 10" xfId="0"/>
    <cellStyle name="강조색5 3 10 2" xfId="0"/>
    <cellStyle name="강조색5 3 11" xfId="0"/>
    <cellStyle name="강조색5 3 11 2" xfId="0"/>
    <cellStyle name="강조색5 3 12" xfId="0"/>
    <cellStyle name="강조색5 3 12 2" xfId="0"/>
    <cellStyle name="강조색5 3 13" xfId="0"/>
    <cellStyle name="강조색5 3 14" xfId="0"/>
    <cellStyle name="강조색5 3 15" xfId="0"/>
    <cellStyle name="강조색5 3 16" xfId="0"/>
    <cellStyle name="강조색5 3 17" xfId="0"/>
    <cellStyle name="강조색5 3 18" xfId="0"/>
    <cellStyle name="강조색5 3 19" xfId="0"/>
    <cellStyle name="강조색5 3 2" xfId="0"/>
    <cellStyle name="강조색5 3 2 2" xfId="0"/>
    <cellStyle name="강조색5 3 2 3" xfId="0"/>
    <cellStyle name="강조색5 3 20" xfId="0"/>
    <cellStyle name="강조색5 3 3" xfId="0"/>
    <cellStyle name="강조색5 3 3 2" xfId="0"/>
    <cellStyle name="강조색5 3 3 3" xfId="0"/>
    <cellStyle name="강조색5 3 4" xfId="0"/>
    <cellStyle name="강조색5 3 4 2" xfId="0"/>
    <cellStyle name="강조색5 3 4 3" xfId="0"/>
    <cellStyle name="강조색5 3 5" xfId="0"/>
    <cellStyle name="강조색5 3 5 2" xfId="0"/>
    <cellStyle name="강조색5 3 5 3" xfId="0"/>
    <cellStyle name="강조색5 3 6" xfId="0"/>
    <cellStyle name="강조색5 3 6 2" xfId="0"/>
    <cellStyle name="강조색5 3 6 3" xfId="0"/>
    <cellStyle name="강조색5 3 7" xfId="0"/>
    <cellStyle name="강조색5 3 7 2" xfId="0"/>
    <cellStyle name="강조색5 3 7 3" xfId="0"/>
    <cellStyle name="강조색5 3 8" xfId="0"/>
    <cellStyle name="강조색5 3 8 2" xfId="0"/>
    <cellStyle name="강조색5 3 8 3" xfId="0"/>
    <cellStyle name="강조색5 3 9" xfId="0"/>
    <cellStyle name="강조색5 3 9 2" xfId="0"/>
    <cellStyle name="강조색5 3_운용자산별 손익분석" xfId="0"/>
    <cellStyle name="강조색5 4" xfId="0"/>
    <cellStyle name="강조색5 4 10" xfId="0"/>
    <cellStyle name="강조색5 4 11" xfId="0"/>
    <cellStyle name="강조색5 4 12" xfId="0"/>
    <cellStyle name="강조색5 4 13" xfId="0"/>
    <cellStyle name="강조색5 4 2" xfId="0"/>
    <cellStyle name="강조색5 4 3" xfId="0"/>
    <cellStyle name="강조색5 4 4" xfId="0"/>
    <cellStyle name="강조색5 4 5" xfId="0"/>
    <cellStyle name="강조색5 4 6" xfId="0"/>
    <cellStyle name="강조색5 4 7" xfId="0"/>
    <cellStyle name="강조색5 4 8" xfId="0"/>
    <cellStyle name="강조색5 4 9" xfId="0"/>
    <cellStyle name="강조색5 4_운용자산별 손익분석" xfId="0"/>
    <cellStyle name="강조색5 5" xfId="0"/>
    <cellStyle name="강조색5 5 10" xfId="0"/>
    <cellStyle name="강조색5 5 11" xfId="0"/>
    <cellStyle name="강조색5 5 12" xfId="0"/>
    <cellStyle name="강조색5 5 13" xfId="0"/>
    <cellStyle name="강조색5 5 14" xfId="0"/>
    <cellStyle name="강조색5 5 15" xfId="0"/>
    <cellStyle name="강조색5 5 16" xfId="0"/>
    <cellStyle name="강조색5 5 17" xfId="0"/>
    <cellStyle name="강조색5 5 18" xfId="0"/>
    <cellStyle name="강조색5 5 19" xfId="0"/>
    <cellStyle name="강조색5 5 2" xfId="0"/>
    <cellStyle name="강조색5 5 20" xfId="0"/>
    <cellStyle name="강조색5 5 21" xfId="0"/>
    <cellStyle name="강조색5 5 22" xfId="0"/>
    <cellStyle name="강조색5 5 23" xfId="0"/>
    <cellStyle name="강조색5 5 24" xfId="0"/>
    <cellStyle name="강조색5 5 25" xfId="0"/>
    <cellStyle name="강조색5 5 26" xfId="0"/>
    <cellStyle name="강조색5 5 27" xfId="0"/>
    <cellStyle name="강조색5 5 28" xfId="0"/>
    <cellStyle name="강조색5 5 29" xfId="0"/>
    <cellStyle name="강조색5 5 3" xfId="0"/>
    <cellStyle name="강조색5 5 30" xfId="0"/>
    <cellStyle name="강조색5 5 31" xfId="0"/>
    <cellStyle name="강조색5 5 32" xfId="0"/>
    <cellStyle name="강조색5 5 33" xfId="0"/>
    <cellStyle name="강조색5 5 34" xfId="0"/>
    <cellStyle name="강조색5 5 4" xfId="0"/>
    <cellStyle name="강조색5 5 5" xfId="0"/>
    <cellStyle name="강조색5 5 6" xfId="0"/>
    <cellStyle name="강조색5 5 7" xfId="0"/>
    <cellStyle name="강조색5 5 8" xfId="0"/>
    <cellStyle name="강조색5 5 9" xfId="0"/>
    <cellStyle name="강조색5 6" xfId="0"/>
    <cellStyle name="강조색5 6 10" xfId="0"/>
    <cellStyle name="강조색5 6 11" xfId="0"/>
    <cellStyle name="강조색5 6 12" xfId="0"/>
    <cellStyle name="강조색5 6 13" xfId="0"/>
    <cellStyle name="강조색5 6 14" xfId="0"/>
    <cellStyle name="강조색5 6 15" xfId="0"/>
    <cellStyle name="강조색5 6 16" xfId="0"/>
    <cellStyle name="강조색5 6 17" xfId="0"/>
    <cellStyle name="강조색5 6 18" xfId="0"/>
    <cellStyle name="강조색5 6 19" xfId="0"/>
    <cellStyle name="강조색5 6 2" xfId="0"/>
    <cellStyle name="강조색5 6 20" xfId="0"/>
    <cellStyle name="강조색5 6 21" xfId="0"/>
    <cellStyle name="강조색5 6 22" xfId="0"/>
    <cellStyle name="강조색5 6 23" xfId="0"/>
    <cellStyle name="강조색5 6 24" xfId="0"/>
    <cellStyle name="강조색5 6 25" xfId="0"/>
    <cellStyle name="강조색5 6 26" xfId="0"/>
    <cellStyle name="강조색5 6 27" xfId="0"/>
    <cellStyle name="강조색5 6 28" xfId="0"/>
    <cellStyle name="강조색5 6 29" xfId="0"/>
    <cellStyle name="강조색5 6 3" xfId="0"/>
    <cellStyle name="강조색5 6 30" xfId="0"/>
    <cellStyle name="강조색5 6 4" xfId="0"/>
    <cellStyle name="강조색5 6 5" xfId="0"/>
    <cellStyle name="강조색5 6 6" xfId="0"/>
    <cellStyle name="강조색5 6 7" xfId="0"/>
    <cellStyle name="강조색5 6 8" xfId="0"/>
    <cellStyle name="강조색5 6 9" xfId="0"/>
    <cellStyle name="강조색5 7" xfId="0"/>
    <cellStyle name="강조색5 7 10" xfId="0"/>
    <cellStyle name="강조색5 7 11" xfId="0"/>
    <cellStyle name="강조색5 7 12" xfId="0"/>
    <cellStyle name="강조색5 7 13" xfId="0"/>
    <cellStyle name="강조색5 7 14" xfId="0"/>
    <cellStyle name="강조색5 7 15" xfId="0"/>
    <cellStyle name="강조색5 7 2" xfId="0"/>
    <cellStyle name="강조색5 7 2 2" xfId="0"/>
    <cellStyle name="강조색5 7 3" xfId="0"/>
    <cellStyle name="강조색5 7 3 2" xfId="0"/>
    <cellStyle name="강조색5 7 4" xfId="0"/>
    <cellStyle name="강조색5 7 4 2" xfId="0"/>
    <cellStyle name="강조색5 7 5" xfId="0"/>
    <cellStyle name="강조색5 7 5 2" xfId="0"/>
    <cellStyle name="강조색5 7 6" xfId="0"/>
    <cellStyle name="강조색5 7 6 2" xfId="0"/>
    <cellStyle name="강조색5 7 7" xfId="0"/>
    <cellStyle name="강조색5 7 8" xfId="0"/>
    <cellStyle name="강조색5 7 9" xfId="0"/>
    <cellStyle name="강조색5 8" xfId="0"/>
    <cellStyle name="강조색5 8 10" xfId="0"/>
    <cellStyle name="강조색5 8 11" xfId="0"/>
    <cellStyle name="강조색5 8 12" xfId="0"/>
    <cellStyle name="강조색5 8 13" xfId="0"/>
    <cellStyle name="강조색5 8 14" xfId="0"/>
    <cellStyle name="강조색5 8 2" xfId="0"/>
    <cellStyle name="강조색5 8 2 2" xfId="0"/>
    <cellStyle name="강조색5 8 3" xfId="0"/>
    <cellStyle name="강조색5 8 3 2" xfId="0"/>
    <cellStyle name="강조색5 8 4" xfId="0"/>
    <cellStyle name="강조색5 8 4 2" xfId="0"/>
    <cellStyle name="강조색5 8 5" xfId="0"/>
    <cellStyle name="강조색5 8 5 2" xfId="0"/>
    <cellStyle name="강조색5 8 6" xfId="0"/>
    <cellStyle name="강조색5 8 6 2" xfId="0"/>
    <cellStyle name="강조색5 8 7" xfId="0"/>
    <cellStyle name="강조색5 8 8" xfId="0"/>
    <cellStyle name="강조색5 8 9" xfId="0"/>
    <cellStyle name="강조색5 9" xfId="0"/>
    <cellStyle name="강조색5 9 10" xfId="0"/>
    <cellStyle name="강조색5 9 11" xfId="0"/>
    <cellStyle name="강조색5 9 12" xfId="0"/>
    <cellStyle name="강조색5 9 13" xfId="0"/>
    <cellStyle name="강조색5 9 14" xfId="0"/>
    <cellStyle name="강조색5 9 2" xfId="0"/>
    <cellStyle name="강조색5 9 2 2" xfId="0"/>
    <cellStyle name="강조색5 9 3" xfId="0"/>
    <cellStyle name="강조색5 9 3 2" xfId="0"/>
    <cellStyle name="강조색5 9 4" xfId="0"/>
    <cellStyle name="강조색5 9 4 2" xfId="0"/>
    <cellStyle name="강조색5 9 5" xfId="0"/>
    <cellStyle name="강조색5 9 5 2" xfId="0"/>
    <cellStyle name="강조색5 9 6" xfId="0"/>
    <cellStyle name="강조색5 9 6 2" xfId="0"/>
    <cellStyle name="강조색5 9 7" xfId="0"/>
    <cellStyle name="강조색5 9 8" xfId="0"/>
    <cellStyle name="강조색5 9 9" xfId="0"/>
    <cellStyle name="강조색6 10" xfId="0"/>
    <cellStyle name="강조색6 10 2" xfId="0"/>
    <cellStyle name="강조색6 10 2 2" xfId="0"/>
    <cellStyle name="강조색6 10 3" xfId="0"/>
    <cellStyle name="강조색6 10 3 2" xfId="0"/>
    <cellStyle name="강조색6 10 4" xfId="0"/>
    <cellStyle name="강조색6 10 4 2" xfId="0"/>
    <cellStyle name="강조색6 10 5" xfId="0"/>
    <cellStyle name="강조색6 10 6" xfId="0"/>
    <cellStyle name="강조색6 10 7" xfId="0"/>
    <cellStyle name="강조색6 11" xfId="0"/>
    <cellStyle name="강조색6 11 2" xfId="0"/>
    <cellStyle name="강조색6 11 2 2" xfId="0"/>
    <cellStyle name="강조색6 11 3" xfId="0"/>
    <cellStyle name="강조색6 11 3 2" xfId="0"/>
    <cellStyle name="강조색6 11 4" xfId="0"/>
    <cellStyle name="강조색6 11 4 2" xfId="0"/>
    <cellStyle name="강조색6 11 5" xfId="0"/>
    <cellStyle name="강조색6 11 6" xfId="0"/>
    <cellStyle name="강조색6 11 7" xfId="0"/>
    <cellStyle name="강조색6 12" xfId="0"/>
    <cellStyle name="강조색6 12 2" xfId="0"/>
    <cellStyle name="강조색6 12 3" xfId="0"/>
    <cellStyle name="강조색6 12 4" xfId="0"/>
    <cellStyle name="강조색6 12 5" xfId="0"/>
    <cellStyle name="강조색6 13" xfId="0"/>
    <cellStyle name="강조색6 13 2" xfId="0"/>
    <cellStyle name="강조색6 13 3" xfId="0"/>
    <cellStyle name="강조색6 13 4" xfId="0"/>
    <cellStyle name="강조색6 13 5" xfId="0"/>
    <cellStyle name="강조색6 14" xfId="0"/>
    <cellStyle name="강조색6 14 2" xfId="0"/>
    <cellStyle name="강조색6 15" xfId="0"/>
    <cellStyle name="강조색6 15 2" xfId="0"/>
    <cellStyle name="강조색6 16" xfId="0"/>
    <cellStyle name="강조색6 16 2" xfId="0"/>
    <cellStyle name="강조색6 17" xfId="0"/>
    <cellStyle name="강조색6 17 2" xfId="0"/>
    <cellStyle name="강조색6 18" xfId="0"/>
    <cellStyle name="강조색6 19" xfId="0"/>
    <cellStyle name="강조색6 2" xfId="0"/>
    <cellStyle name="강조색6 2 10" xfId="0"/>
    <cellStyle name="강조색6 2 11" xfId="0"/>
    <cellStyle name="강조색6 2 12" xfId="0"/>
    <cellStyle name="강조색6 2 13" xfId="0"/>
    <cellStyle name="강조색6 2 2" xfId="0"/>
    <cellStyle name="강조색6 2 2 10" xfId="0"/>
    <cellStyle name="강조색6 2 2 11" xfId="0"/>
    <cellStyle name="강조색6 2 2 2" xfId="0"/>
    <cellStyle name="강조색6 2 2 3" xfId="0"/>
    <cellStyle name="강조색6 2 2 4" xfId="0"/>
    <cellStyle name="강조색6 2 2 5" xfId="0"/>
    <cellStyle name="강조색6 2 2 6" xfId="0"/>
    <cellStyle name="강조색6 2 2 7" xfId="0"/>
    <cellStyle name="강조색6 2 2 8" xfId="0"/>
    <cellStyle name="강조색6 2 2 9" xfId="0"/>
    <cellStyle name="강조색6 2 3" xfId="0"/>
    <cellStyle name="강조색6 2 3 10" xfId="0"/>
    <cellStyle name="강조색6 2 3 2" xfId="0"/>
    <cellStyle name="강조색6 2 3 3" xfId="0"/>
    <cellStyle name="강조색6 2 3 4" xfId="0"/>
    <cellStyle name="강조색6 2 3 5" xfId="0"/>
    <cellStyle name="강조색6 2 3 6" xfId="0"/>
    <cellStyle name="강조색6 2 3 7" xfId="0"/>
    <cellStyle name="강조색6 2 3 8" xfId="0"/>
    <cellStyle name="강조색6 2 3 9" xfId="0"/>
    <cellStyle name="강조색6 2 4" xfId="0"/>
    <cellStyle name="강조색6 2 4 10" xfId="0"/>
    <cellStyle name="강조색6 2 4 2" xfId="0"/>
    <cellStyle name="강조색6 2 4 3" xfId="0"/>
    <cellStyle name="강조색6 2 4 4" xfId="0"/>
    <cellStyle name="강조색6 2 4 5" xfId="0"/>
    <cellStyle name="강조색6 2 4 6" xfId="0"/>
    <cellStyle name="강조색6 2 4 7" xfId="0"/>
    <cellStyle name="강조색6 2 4 8" xfId="0"/>
    <cellStyle name="강조색6 2 4 9" xfId="0"/>
    <cellStyle name="강조색6 2 5" xfId="0"/>
    <cellStyle name="강조색6 2 5 10" xfId="0"/>
    <cellStyle name="강조색6 2 5 2" xfId="0"/>
    <cellStyle name="강조색6 2 5 3" xfId="0"/>
    <cellStyle name="강조색6 2 5 4" xfId="0"/>
    <cellStyle name="강조색6 2 5 5" xfId="0"/>
    <cellStyle name="강조색6 2 5 6" xfId="0"/>
    <cellStyle name="강조색6 2 5 7" xfId="0"/>
    <cellStyle name="강조색6 2 5 8" xfId="0"/>
    <cellStyle name="강조색6 2 5 9" xfId="0"/>
    <cellStyle name="강조색6 2 6" xfId="0"/>
    <cellStyle name="강조색6 2 6 10" xfId="0"/>
    <cellStyle name="강조색6 2 6 2" xfId="0"/>
    <cellStyle name="강조색6 2 6 3" xfId="0"/>
    <cellStyle name="강조색6 2 6 4" xfId="0"/>
    <cellStyle name="강조색6 2 6 5" xfId="0"/>
    <cellStyle name="강조색6 2 6 6" xfId="0"/>
    <cellStyle name="강조색6 2 6 7" xfId="0"/>
    <cellStyle name="강조색6 2 6 8" xfId="0"/>
    <cellStyle name="강조색6 2 6 9" xfId="0"/>
    <cellStyle name="강조색6 2 7" xfId="0"/>
    <cellStyle name="강조색6 2 7 10" xfId="0"/>
    <cellStyle name="강조색6 2 7 2" xfId="0"/>
    <cellStyle name="강조색6 2 7 3" xfId="0"/>
    <cellStyle name="강조색6 2 7 4" xfId="0"/>
    <cellStyle name="강조색6 2 7 5" xfId="0"/>
    <cellStyle name="강조색6 2 7 6" xfId="0"/>
    <cellStyle name="강조색6 2 7 7" xfId="0"/>
    <cellStyle name="강조색6 2 7 8" xfId="0"/>
    <cellStyle name="강조색6 2 7 9" xfId="0"/>
    <cellStyle name="강조색6 2 8" xfId="0"/>
    <cellStyle name="강조색6 2 8 2" xfId="0"/>
    <cellStyle name="강조색6 2 9" xfId="0"/>
    <cellStyle name="강조색6 20" xfId="0"/>
    <cellStyle name="강조색6 21" xfId="0"/>
    <cellStyle name="강조색6 22" xfId="0"/>
    <cellStyle name="강조색6 23" xfId="0"/>
    <cellStyle name="강조색6 24" xfId="0"/>
    <cellStyle name="강조색6 25" xfId="0"/>
    <cellStyle name="강조색6 26" xfId="0"/>
    <cellStyle name="강조색6 27" xfId="0"/>
    <cellStyle name="강조색6 28" xfId="0"/>
    <cellStyle name="강조색6 2_3300현금및예치금" xfId="0"/>
    <cellStyle name="강조색6 3" xfId="0"/>
    <cellStyle name="강조색6 3 10" xfId="0"/>
    <cellStyle name="강조색6 3 10 2" xfId="0"/>
    <cellStyle name="강조색6 3 11" xfId="0"/>
    <cellStyle name="강조색6 3 11 2" xfId="0"/>
    <cellStyle name="강조색6 3 12" xfId="0"/>
    <cellStyle name="강조색6 3 12 2" xfId="0"/>
    <cellStyle name="강조색6 3 13" xfId="0"/>
    <cellStyle name="강조색6 3 14" xfId="0"/>
    <cellStyle name="강조색6 3 15" xfId="0"/>
    <cellStyle name="강조색6 3 16" xfId="0"/>
    <cellStyle name="강조색6 3 17" xfId="0"/>
    <cellStyle name="강조색6 3 18" xfId="0"/>
    <cellStyle name="강조색6 3 19" xfId="0"/>
    <cellStyle name="강조색6 3 2" xfId="0"/>
    <cellStyle name="강조색6 3 2 2" xfId="0"/>
    <cellStyle name="강조색6 3 2 3" xfId="0"/>
    <cellStyle name="강조색6 3 20" xfId="0"/>
    <cellStyle name="강조색6 3 3" xfId="0"/>
    <cellStyle name="강조색6 3 3 2" xfId="0"/>
    <cellStyle name="강조색6 3 3 3" xfId="0"/>
    <cellStyle name="강조색6 3 4" xfId="0"/>
    <cellStyle name="강조색6 3 4 2" xfId="0"/>
    <cellStyle name="강조색6 3 4 3" xfId="0"/>
    <cellStyle name="강조색6 3 5" xfId="0"/>
    <cellStyle name="강조색6 3 5 2" xfId="0"/>
    <cellStyle name="강조색6 3 5 3" xfId="0"/>
    <cellStyle name="강조색6 3 6" xfId="0"/>
    <cellStyle name="강조색6 3 6 2" xfId="0"/>
    <cellStyle name="강조색6 3 6 3" xfId="0"/>
    <cellStyle name="강조색6 3 7" xfId="0"/>
    <cellStyle name="강조색6 3 7 2" xfId="0"/>
    <cellStyle name="강조색6 3 7 3" xfId="0"/>
    <cellStyle name="강조색6 3 8" xfId="0"/>
    <cellStyle name="강조색6 3 8 2" xfId="0"/>
    <cellStyle name="강조색6 3 8 3" xfId="0"/>
    <cellStyle name="강조색6 3 9" xfId="0"/>
    <cellStyle name="강조색6 3 9 2" xfId="0"/>
    <cellStyle name="강조색6 3_운용자산별 손익분석" xfId="0"/>
    <cellStyle name="강조색6 4" xfId="0"/>
    <cellStyle name="강조색6 4 10" xfId="0"/>
    <cellStyle name="강조색6 4 11" xfId="0"/>
    <cellStyle name="강조색6 4 12" xfId="0"/>
    <cellStyle name="강조색6 4 13" xfId="0"/>
    <cellStyle name="강조색6 4 2" xfId="0"/>
    <cellStyle name="강조색6 4 3" xfId="0"/>
    <cellStyle name="강조색6 4 4" xfId="0"/>
    <cellStyle name="강조색6 4 5" xfId="0"/>
    <cellStyle name="강조색6 4 6" xfId="0"/>
    <cellStyle name="강조색6 4 7" xfId="0"/>
    <cellStyle name="강조색6 4 8" xfId="0"/>
    <cellStyle name="강조색6 4 9" xfId="0"/>
    <cellStyle name="강조색6 4_운용자산별 손익분석" xfId="0"/>
    <cellStyle name="강조색6 5" xfId="0"/>
    <cellStyle name="강조색6 5 10" xfId="0"/>
    <cellStyle name="강조색6 5 11" xfId="0"/>
    <cellStyle name="강조색6 5 12" xfId="0"/>
    <cellStyle name="강조색6 5 13" xfId="0"/>
    <cellStyle name="강조색6 5 14" xfId="0"/>
    <cellStyle name="강조색6 5 15" xfId="0"/>
    <cellStyle name="강조색6 5 16" xfId="0"/>
    <cellStyle name="강조색6 5 17" xfId="0"/>
    <cellStyle name="강조색6 5 18" xfId="0"/>
    <cellStyle name="강조색6 5 19" xfId="0"/>
    <cellStyle name="강조색6 5 2" xfId="0"/>
    <cellStyle name="강조색6 5 20" xfId="0"/>
    <cellStyle name="강조색6 5 21" xfId="0"/>
    <cellStyle name="강조색6 5 22" xfId="0"/>
    <cellStyle name="강조색6 5 23" xfId="0"/>
    <cellStyle name="강조색6 5 24" xfId="0"/>
    <cellStyle name="강조색6 5 25" xfId="0"/>
    <cellStyle name="강조색6 5 26" xfId="0"/>
    <cellStyle name="강조색6 5 27" xfId="0"/>
    <cellStyle name="강조색6 5 28" xfId="0"/>
    <cellStyle name="강조색6 5 29" xfId="0"/>
    <cellStyle name="강조색6 5 3" xfId="0"/>
    <cellStyle name="강조색6 5 30" xfId="0"/>
    <cellStyle name="강조색6 5 31" xfId="0"/>
    <cellStyle name="강조색6 5 32" xfId="0"/>
    <cellStyle name="강조색6 5 33" xfId="0"/>
    <cellStyle name="강조색6 5 34" xfId="0"/>
    <cellStyle name="강조색6 5 4" xfId="0"/>
    <cellStyle name="강조색6 5 5" xfId="0"/>
    <cellStyle name="강조색6 5 6" xfId="0"/>
    <cellStyle name="강조색6 5 7" xfId="0"/>
    <cellStyle name="강조색6 5 8" xfId="0"/>
    <cellStyle name="강조색6 5 9" xfId="0"/>
    <cellStyle name="강조색6 6" xfId="0"/>
    <cellStyle name="강조색6 6 10" xfId="0"/>
    <cellStyle name="강조색6 6 11" xfId="0"/>
    <cellStyle name="강조색6 6 12" xfId="0"/>
    <cellStyle name="강조색6 6 13" xfId="0"/>
    <cellStyle name="강조색6 6 14" xfId="0"/>
    <cellStyle name="강조색6 6 15" xfId="0"/>
    <cellStyle name="강조색6 6 16" xfId="0"/>
    <cellStyle name="강조색6 6 17" xfId="0"/>
    <cellStyle name="강조색6 6 18" xfId="0"/>
    <cellStyle name="강조색6 6 19" xfId="0"/>
    <cellStyle name="강조색6 6 2" xfId="0"/>
    <cellStyle name="강조색6 6 20" xfId="0"/>
    <cellStyle name="강조색6 6 21" xfId="0"/>
    <cellStyle name="강조색6 6 22" xfId="0"/>
    <cellStyle name="강조색6 6 23" xfId="0"/>
    <cellStyle name="강조색6 6 24" xfId="0"/>
    <cellStyle name="강조색6 6 25" xfId="0"/>
    <cellStyle name="강조색6 6 26" xfId="0"/>
    <cellStyle name="강조색6 6 27" xfId="0"/>
    <cellStyle name="강조색6 6 28" xfId="0"/>
    <cellStyle name="강조색6 6 29" xfId="0"/>
    <cellStyle name="강조색6 6 3" xfId="0"/>
    <cellStyle name="강조색6 6 30" xfId="0"/>
    <cellStyle name="강조색6 6 4" xfId="0"/>
    <cellStyle name="강조색6 6 5" xfId="0"/>
    <cellStyle name="강조색6 6 6" xfId="0"/>
    <cellStyle name="강조색6 6 7" xfId="0"/>
    <cellStyle name="강조색6 6 8" xfId="0"/>
    <cellStyle name="강조색6 6 9" xfId="0"/>
    <cellStyle name="강조색6 7" xfId="0"/>
    <cellStyle name="강조색6 7 10" xfId="0"/>
    <cellStyle name="강조색6 7 11" xfId="0"/>
    <cellStyle name="강조색6 7 12" xfId="0"/>
    <cellStyle name="강조색6 7 13" xfId="0"/>
    <cellStyle name="강조색6 7 14" xfId="0"/>
    <cellStyle name="강조색6 7 15" xfId="0"/>
    <cellStyle name="강조색6 7 2" xfId="0"/>
    <cellStyle name="강조색6 7 2 2" xfId="0"/>
    <cellStyle name="강조색6 7 3" xfId="0"/>
    <cellStyle name="강조색6 7 3 2" xfId="0"/>
    <cellStyle name="강조색6 7 4" xfId="0"/>
    <cellStyle name="강조색6 7 4 2" xfId="0"/>
    <cellStyle name="강조색6 7 5" xfId="0"/>
    <cellStyle name="강조색6 7 5 2" xfId="0"/>
    <cellStyle name="강조색6 7 6" xfId="0"/>
    <cellStyle name="강조색6 7 6 2" xfId="0"/>
    <cellStyle name="강조색6 7 7" xfId="0"/>
    <cellStyle name="강조색6 7 8" xfId="0"/>
    <cellStyle name="강조색6 7 9" xfId="0"/>
    <cellStyle name="강조색6 8" xfId="0"/>
    <cellStyle name="강조색6 8 10" xfId="0"/>
    <cellStyle name="강조색6 8 11" xfId="0"/>
    <cellStyle name="강조색6 8 12" xfId="0"/>
    <cellStyle name="강조색6 8 13" xfId="0"/>
    <cellStyle name="강조색6 8 14" xfId="0"/>
    <cellStyle name="강조색6 8 2" xfId="0"/>
    <cellStyle name="강조색6 8 2 2" xfId="0"/>
    <cellStyle name="강조색6 8 3" xfId="0"/>
    <cellStyle name="강조색6 8 3 2" xfId="0"/>
    <cellStyle name="강조색6 8 4" xfId="0"/>
    <cellStyle name="강조색6 8 4 2" xfId="0"/>
    <cellStyle name="강조색6 8 5" xfId="0"/>
    <cellStyle name="강조색6 8 5 2" xfId="0"/>
    <cellStyle name="강조색6 8 6" xfId="0"/>
    <cellStyle name="강조색6 8 6 2" xfId="0"/>
    <cellStyle name="강조색6 8 7" xfId="0"/>
    <cellStyle name="강조색6 8 8" xfId="0"/>
    <cellStyle name="강조색6 8 9" xfId="0"/>
    <cellStyle name="강조색6 9" xfId="0"/>
    <cellStyle name="강조색6 9 10" xfId="0"/>
    <cellStyle name="강조색6 9 11" xfId="0"/>
    <cellStyle name="강조색6 9 12" xfId="0"/>
    <cellStyle name="강조색6 9 13" xfId="0"/>
    <cellStyle name="강조색6 9 14" xfId="0"/>
    <cellStyle name="강조색6 9 2" xfId="0"/>
    <cellStyle name="강조색6 9 2 2" xfId="0"/>
    <cellStyle name="강조색6 9 3" xfId="0"/>
    <cellStyle name="강조색6 9 3 2" xfId="0"/>
    <cellStyle name="강조색6 9 4" xfId="0"/>
    <cellStyle name="강조색6 9 4 2" xfId="0"/>
    <cellStyle name="강조색6 9 5" xfId="0"/>
    <cellStyle name="강조색6 9 5 2" xfId="0"/>
    <cellStyle name="강조색6 9 6" xfId="0"/>
    <cellStyle name="강조색6 9 6 2" xfId="0"/>
    <cellStyle name="강조색6 9 7" xfId="0"/>
    <cellStyle name="강조색6 9 8" xfId="0"/>
    <cellStyle name="강조색6 9 9" xfId="0"/>
    <cellStyle name="견적" xfId="0"/>
    <cellStyle name="결산일" xfId="0"/>
    <cellStyle name="경고문 10" xfId="0"/>
    <cellStyle name="경고문 10 2" xfId="0"/>
    <cellStyle name="경고문 10 2 2" xfId="0"/>
    <cellStyle name="경고문 10 3" xfId="0"/>
    <cellStyle name="경고문 10 3 2" xfId="0"/>
    <cellStyle name="경고문 10 4" xfId="0"/>
    <cellStyle name="경고문 10 4 2" xfId="0"/>
    <cellStyle name="경고문 10 5" xfId="0"/>
    <cellStyle name="경고문 10 6" xfId="0"/>
    <cellStyle name="경고문 10 7" xfId="0"/>
    <cellStyle name="경고문 11" xfId="0"/>
    <cellStyle name="경고문 11 2" xfId="0"/>
    <cellStyle name="경고문 11 2 2" xfId="0"/>
    <cellStyle name="경고문 11 3" xfId="0"/>
    <cellStyle name="경고문 11 3 2" xfId="0"/>
    <cellStyle name="경고문 11 4" xfId="0"/>
    <cellStyle name="경고문 11 4 2" xfId="0"/>
    <cellStyle name="경고문 11 5" xfId="0"/>
    <cellStyle name="경고문 11 6" xfId="0"/>
    <cellStyle name="경고문 11 7" xfId="0"/>
    <cellStyle name="경고문 12" xfId="0"/>
    <cellStyle name="경고문 12 2" xfId="0"/>
    <cellStyle name="경고문 12 3" xfId="0"/>
    <cellStyle name="경고문 12 4" xfId="0"/>
    <cellStyle name="경고문 12 5" xfId="0"/>
    <cellStyle name="경고문 13" xfId="0"/>
    <cellStyle name="경고문 13 2" xfId="0"/>
    <cellStyle name="경고문 13 3" xfId="0"/>
    <cellStyle name="경고문 13 4" xfId="0"/>
    <cellStyle name="경고문 13 5" xfId="0"/>
    <cellStyle name="경고문 14" xfId="0"/>
    <cellStyle name="경고문 14 2" xfId="0"/>
    <cellStyle name="경고문 15" xfId="0"/>
    <cellStyle name="경고문 15 2" xfId="0"/>
    <cellStyle name="경고문 16" xfId="0"/>
    <cellStyle name="경고문 16 2" xfId="0"/>
    <cellStyle name="경고문 17" xfId="0"/>
    <cellStyle name="경고문 17 2" xfId="0"/>
    <cellStyle name="경고문 18" xfId="0"/>
    <cellStyle name="경고문 19" xfId="0"/>
    <cellStyle name="경고문 2" xfId="0"/>
    <cellStyle name="경고문 2 10" xfId="0"/>
    <cellStyle name="경고문 2 11" xfId="0"/>
    <cellStyle name="경고문 2 12" xfId="0"/>
    <cellStyle name="경고문 2 13" xfId="0"/>
    <cellStyle name="경고문 2 2" xfId="0"/>
    <cellStyle name="경고문 2 2 10" xfId="0"/>
    <cellStyle name="경고문 2 2 11" xfId="0"/>
    <cellStyle name="경고문 2 2 2" xfId="0"/>
    <cellStyle name="경고문 2 2 3" xfId="0"/>
    <cellStyle name="경고문 2 2 4" xfId="0"/>
    <cellStyle name="경고문 2 2 5" xfId="0"/>
    <cellStyle name="경고문 2 2 6" xfId="0"/>
    <cellStyle name="경고문 2 2 7" xfId="0"/>
    <cellStyle name="경고문 2 2 8" xfId="0"/>
    <cellStyle name="경고문 2 2 9" xfId="0"/>
    <cellStyle name="경고문 2 3" xfId="0"/>
    <cellStyle name="경고문 2 3 10" xfId="0"/>
    <cellStyle name="경고문 2 3 2" xfId="0"/>
    <cellStyle name="경고문 2 3 3" xfId="0"/>
    <cellStyle name="경고문 2 3 4" xfId="0"/>
    <cellStyle name="경고문 2 3 5" xfId="0"/>
    <cellStyle name="경고문 2 3 6" xfId="0"/>
    <cellStyle name="경고문 2 3 7" xfId="0"/>
    <cellStyle name="경고문 2 3 8" xfId="0"/>
    <cellStyle name="경고문 2 3 9" xfId="0"/>
    <cellStyle name="경고문 2 4" xfId="0"/>
    <cellStyle name="경고문 2 4 10" xfId="0"/>
    <cellStyle name="경고문 2 4 2" xfId="0"/>
    <cellStyle name="경고문 2 4 3" xfId="0"/>
    <cellStyle name="경고문 2 4 4" xfId="0"/>
    <cellStyle name="경고문 2 4 5" xfId="0"/>
    <cellStyle name="경고문 2 4 6" xfId="0"/>
    <cellStyle name="경고문 2 4 7" xfId="0"/>
    <cellStyle name="경고문 2 4 8" xfId="0"/>
    <cellStyle name="경고문 2 4 9" xfId="0"/>
    <cellStyle name="경고문 2 5" xfId="0"/>
    <cellStyle name="경고문 2 5 10" xfId="0"/>
    <cellStyle name="경고문 2 5 2" xfId="0"/>
    <cellStyle name="경고문 2 5 3" xfId="0"/>
    <cellStyle name="경고문 2 5 4" xfId="0"/>
    <cellStyle name="경고문 2 5 5" xfId="0"/>
    <cellStyle name="경고문 2 5 6" xfId="0"/>
    <cellStyle name="경고문 2 5 7" xfId="0"/>
    <cellStyle name="경고문 2 5 8" xfId="0"/>
    <cellStyle name="경고문 2 5 9" xfId="0"/>
    <cellStyle name="경고문 2 6" xfId="0"/>
    <cellStyle name="경고문 2 6 10" xfId="0"/>
    <cellStyle name="경고문 2 6 2" xfId="0"/>
    <cellStyle name="경고문 2 6 3" xfId="0"/>
    <cellStyle name="경고문 2 6 4" xfId="0"/>
    <cellStyle name="경고문 2 6 5" xfId="0"/>
    <cellStyle name="경고문 2 6 6" xfId="0"/>
    <cellStyle name="경고문 2 6 7" xfId="0"/>
    <cellStyle name="경고문 2 6 8" xfId="0"/>
    <cellStyle name="경고문 2 6 9" xfId="0"/>
    <cellStyle name="경고문 2 7" xfId="0"/>
    <cellStyle name="경고문 2 7 10" xfId="0"/>
    <cellStyle name="경고문 2 7 2" xfId="0"/>
    <cellStyle name="경고문 2 7 3" xfId="0"/>
    <cellStyle name="경고문 2 7 4" xfId="0"/>
    <cellStyle name="경고문 2 7 5" xfId="0"/>
    <cellStyle name="경고문 2 7 6" xfId="0"/>
    <cellStyle name="경고문 2 7 7" xfId="0"/>
    <cellStyle name="경고문 2 7 8" xfId="0"/>
    <cellStyle name="경고문 2 7 9" xfId="0"/>
    <cellStyle name="경고문 2 8" xfId="0"/>
    <cellStyle name="경고문 2 8 2" xfId="0"/>
    <cellStyle name="경고문 2 9" xfId="0"/>
    <cellStyle name="경고문 20" xfId="0"/>
    <cellStyle name="경고문 21" xfId="0"/>
    <cellStyle name="경고문 22" xfId="0"/>
    <cellStyle name="경고문 23" xfId="0"/>
    <cellStyle name="경고문 24" xfId="0"/>
    <cellStyle name="경고문 25" xfId="0"/>
    <cellStyle name="경고문 26" xfId="0"/>
    <cellStyle name="경고문 27" xfId="0"/>
    <cellStyle name="경고문 2_3300현금및예치금" xfId="0"/>
    <cellStyle name="경고문 3" xfId="0"/>
    <cellStyle name="경고문 3 10" xfId="0"/>
    <cellStyle name="경고문 3 10 2" xfId="0"/>
    <cellStyle name="경고문 3 11" xfId="0"/>
    <cellStyle name="경고문 3 11 2" xfId="0"/>
    <cellStyle name="경고문 3 12" xfId="0"/>
    <cellStyle name="경고문 3 12 2" xfId="0"/>
    <cellStyle name="경고문 3 13" xfId="0"/>
    <cellStyle name="경고문 3 14" xfId="0"/>
    <cellStyle name="경고문 3 15" xfId="0"/>
    <cellStyle name="경고문 3 16" xfId="0"/>
    <cellStyle name="경고문 3 17" xfId="0"/>
    <cellStyle name="경고문 3 18" xfId="0"/>
    <cellStyle name="경고문 3 19" xfId="0"/>
    <cellStyle name="경고문 3 2" xfId="0"/>
    <cellStyle name="경고문 3 2 2" xfId="0"/>
    <cellStyle name="경고문 3 2 3" xfId="0"/>
    <cellStyle name="경고문 3 20" xfId="0"/>
    <cellStyle name="경고문 3 3" xfId="0"/>
    <cellStyle name="경고문 3 3 2" xfId="0"/>
    <cellStyle name="경고문 3 3 3" xfId="0"/>
    <cellStyle name="경고문 3 4" xfId="0"/>
    <cellStyle name="경고문 3 4 2" xfId="0"/>
    <cellStyle name="경고문 3 4 3" xfId="0"/>
    <cellStyle name="경고문 3 5" xfId="0"/>
    <cellStyle name="경고문 3 5 2" xfId="0"/>
    <cellStyle name="경고문 3 5 3" xfId="0"/>
    <cellStyle name="경고문 3 6" xfId="0"/>
    <cellStyle name="경고문 3 6 2" xfId="0"/>
    <cellStyle name="경고문 3 6 3" xfId="0"/>
    <cellStyle name="경고문 3 7" xfId="0"/>
    <cellStyle name="경고문 3 7 2" xfId="0"/>
    <cellStyle name="경고문 3 7 3" xfId="0"/>
    <cellStyle name="경고문 3 8" xfId="0"/>
    <cellStyle name="경고문 3 8 2" xfId="0"/>
    <cellStyle name="경고문 3 8 3" xfId="0"/>
    <cellStyle name="경고문 3 9" xfId="0"/>
    <cellStyle name="경고문 3 9 2" xfId="0"/>
    <cellStyle name="경고문 3_운용자산별 손익분석" xfId="0"/>
    <cellStyle name="경고문 4" xfId="0"/>
    <cellStyle name="경고문 4 10" xfId="0"/>
    <cellStyle name="경고문 4 11" xfId="0"/>
    <cellStyle name="경고문 4 12" xfId="0"/>
    <cellStyle name="경고문 4 13" xfId="0"/>
    <cellStyle name="경고문 4 2" xfId="0"/>
    <cellStyle name="경고문 4 3" xfId="0"/>
    <cellStyle name="경고문 4 4" xfId="0"/>
    <cellStyle name="경고문 4 5" xfId="0"/>
    <cellStyle name="경고문 4 6" xfId="0"/>
    <cellStyle name="경고문 4 7" xfId="0"/>
    <cellStyle name="경고문 4 8" xfId="0"/>
    <cellStyle name="경고문 4 9" xfId="0"/>
    <cellStyle name="경고문 4_운용자산별 손익분석" xfId="0"/>
    <cellStyle name="경고문 5" xfId="0"/>
    <cellStyle name="경고문 5 10" xfId="0"/>
    <cellStyle name="경고문 5 11" xfId="0"/>
    <cellStyle name="경고문 5 12" xfId="0"/>
    <cellStyle name="경고문 5 13" xfId="0"/>
    <cellStyle name="경고문 5 14" xfId="0"/>
    <cellStyle name="경고문 5 15" xfId="0"/>
    <cellStyle name="경고문 5 16" xfId="0"/>
    <cellStyle name="경고문 5 17" xfId="0"/>
    <cellStyle name="경고문 5 18" xfId="0"/>
    <cellStyle name="경고문 5 19" xfId="0"/>
    <cellStyle name="경고문 5 2" xfId="0"/>
    <cellStyle name="경고문 5 20" xfId="0"/>
    <cellStyle name="경고문 5 21" xfId="0"/>
    <cellStyle name="경고문 5 22" xfId="0"/>
    <cellStyle name="경고문 5 23" xfId="0"/>
    <cellStyle name="경고문 5 24" xfId="0"/>
    <cellStyle name="경고문 5 25" xfId="0"/>
    <cellStyle name="경고문 5 26" xfId="0"/>
    <cellStyle name="경고문 5 27" xfId="0"/>
    <cellStyle name="경고문 5 28" xfId="0"/>
    <cellStyle name="경고문 5 29" xfId="0"/>
    <cellStyle name="경고문 5 3" xfId="0"/>
    <cellStyle name="경고문 5 30" xfId="0"/>
    <cellStyle name="경고문 5 31" xfId="0"/>
    <cellStyle name="경고문 5 32" xfId="0"/>
    <cellStyle name="경고문 5 33" xfId="0"/>
    <cellStyle name="경고문 5 34" xfId="0"/>
    <cellStyle name="경고문 5 4" xfId="0"/>
    <cellStyle name="경고문 5 5" xfId="0"/>
    <cellStyle name="경고문 5 6" xfId="0"/>
    <cellStyle name="경고문 5 7" xfId="0"/>
    <cellStyle name="경고문 5 8" xfId="0"/>
    <cellStyle name="경고문 5 9" xfId="0"/>
    <cellStyle name="경고문 6" xfId="0"/>
    <cellStyle name="경고문 6 10" xfId="0"/>
    <cellStyle name="경고문 6 11" xfId="0"/>
    <cellStyle name="경고문 6 12" xfId="0"/>
    <cellStyle name="경고문 6 13" xfId="0"/>
    <cellStyle name="경고문 6 14" xfId="0"/>
    <cellStyle name="경고문 6 15" xfId="0"/>
    <cellStyle name="경고문 6 16" xfId="0"/>
    <cellStyle name="경고문 6 17" xfId="0"/>
    <cellStyle name="경고문 6 18" xfId="0"/>
    <cellStyle name="경고문 6 19" xfId="0"/>
    <cellStyle name="경고문 6 2" xfId="0"/>
    <cellStyle name="경고문 6 20" xfId="0"/>
    <cellStyle name="경고문 6 21" xfId="0"/>
    <cellStyle name="경고문 6 22" xfId="0"/>
    <cellStyle name="경고문 6 23" xfId="0"/>
    <cellStyle name="경고문 6 24" xfId="0"/>
    <cellStyle name="경고문 6 25" xfId="0"/>
    <cellStyle name="경고문 6 26" xfId="0"/>
    <cellStyle name="경고문 6 27" xfId="0"/>
    <cellStyle name="경고문 6 28" xfId="0"/>
    <cellStyle name="경고문 6 29" xfId="0"/>
    <cellStyle name="경고문 6 3" xfId="0"/>
    <cellStyle name="경고문 6 30" xfId="0"/>
    <cellStyle name="경고문 6 4" xfId="0"/>
    <cellStyle name="경고문 6 5" xfId="0"/>
    <cellStyle name="경고문 6 6" xfId="0"/>
    <cellStyle name="경고문 6 7" xfId="0"/>
    <cellStyle name="경고문 6 8" xfId="0"/>
    <cellStyle name="경고문 6 9" xfId="0"/>
    <cellStyle name="경고문 7" xfId="0"/>
    <cellStyle name="경고문 7 10" xfId="0"/>
    <cellStyle name="경고문 7 11" xfId="0"/>
    <cellStyle name="경고문 7 12" xfId="0"/>
    <cellStyle name="경고문 7 13" xfId="0"/>
    <cellStyle name="경고문 7 14" xfId="0"/>
    <cellStyle name="경고문 7 15" xfId="0"/>
    <cellStyle name="경고문 7 2" xfId="0"/>
    <cellStyle name="경고문 7 2 2" xfId="0"/>
    <cellStyle name="경고문 7 3" xfId="0"/>
    <cellStyle name="경고문 7 3 2" xfId="0"/>
    <cellStyle name="경고문 7 4" xfId="0"/>
    <cellStyle name="경고문 7 4 2" xfId="0"/>
    <cellStyle name="경고문 7 5" xfId="0"/>
    <cellStyle name="경고문 7 5 2" xfId="0"/>
    <cellStyle name="경고문 7 6" xfId="0"/>
    <cellStyle name="경고문 7 6 2" xfId="0"/>
    <cellStyle name="경고문 7 7" xfId="0"/>
    <cellStyle name="경고문 7 8" xfId="0"/>
    <cellStyle name="경고문 7 9" xfId="0"/>
    <cellStyle name="경고문 8" xfId="0"/>
    <cellStyle name="경고문 8 10" xfId="0"/>
    <cellStyle name="경고문 8 11" xfId="0"/>
    <cellStyle name="경고문 8 12" xfId="0"/>
    <cellStyle name="경고문 8 13" xfId="0"/>
    <cellStyle name="경고문 8 14" xfId="0"/>
    <cellStyle name="경고문 8 2" xfId="0"/>
    <cellStyle name="경고문 8 2 2" xfId="0"/>
    <cellStyle name="경고문 8 3" xfId="0"/>
    <cellStyle name="경고문 8 3 2" xfId="0"/>
    <cellStyle name="경고문 8 4" xfId="0"/>
    <cellStyle name="경고문 8 4 2" xfId="0"/>
    <cellStyle name="경고문 8 5" xfId="0"/>
    <cellStyle name="경고문 8 5 2" xfId="0"/>
    <cellStyle name="경고문 8 6" xfId="0"/>
    <cellStyle name="경고문 8 6 2" xfId="0"/>
    <cellStyle name="경고문 8 7" xfId="0"/>
    <cellStyle name="경고문 8 8" xfId="0"/>
    <cellStyle name="경고문 8 9" xfId="0"/>
    <cellStyle name="경고문 9" xfId="0"/>
    <cellStyle name="경고문 9 10" xfId="0"/>
    <cellStyle name="경고문 9 11" xfId="0"/>
    <cellStyle name="경고문 9 12" xfId="0"/>
    <cellStyle name="경고문 9 13" xfId="0"/>
    <cellStyle name="경고문 9 14" xfId="0"/>
    <cellStyle name="경고문 9 2" xfId="0"/>
    <cellStyle name="경고문 9 2 2" xfId="0"/>
    <cellStyle name="경고문 9 3" xfId="0"/>
    <cellStyle name="경고문 9 3 2" xfId="0"/>
    <cellStyle name="경고문 9 4" xfId="0"/>
    <cellStyle name="경고문 9 4 2" xfId="0"/>
    <cellStyle name="경고문 9 5" xfId="0"/>
    <cellStyle name="경고문 9 5 2" xfId="0"/>
    <cellStyle name="경고문 9 6" xfId="0"/>
    <cellStyle name="경고문 9 6 2" xfId="0"/>
    <cellStyle name="경고문 9 7" xfId="0"/>
    <cellStyle name="경고문 9 8" xfId="0"/>
    <cellStyle name="경고문 9 9" xfId="0"/>
    <cellStyle name="계산 10" xfId="0"/>
    <cellStyle name="계산 10 2" xfId="0"/>
    <cellStyle name="계산 10 2 2" xfId="0"/>
    <cellStyle name="계산 10 3" xfId="0"/>
    <cellStyle name="계산 10 3 2" xfId="0"/>
    <cellStyle name="계산 10 4" xfId="0"/>
    <cellStyle name="계산 10 4 2" xfId="0"/>
    <cellStyle name="계산 10 5" xfId="0"/>
    <cellStyle name="계산 10 6" xfId="0"/>
    <cellStyle name="계산 10 7" xfId="0"/>
    <cellStyle name="계산 11" xfId="0"/>
    <cellStyle name="계산 11 2" xfId="0"/>
    <cellStyle name="계산 11 2 2" xfId="0"/>
    <cellStyle name="계산 11 3" xfId="0"/>
    <cellStyle name="계산 11 3 2" xfId="0"/>
    <cellStyle name="계산 11 4" xfId="0"/>
    <cellStyle name="계산 11 4 2" xfId="0"/>
    <cellStyle name="계산 11 5" xfId="0"/>
    <cellStyle name="계산 11 6" xfId="0"/>
    <cellStyle name="계산 11 7" xfId="0"/>
    <cellStyle name="계산 12" xfId="0"/>
    <cellStyle name="계산 12 2" xfId="0"/>
    <cellStyle name="계산 12 3" xfId="0"/>
    <cellStyle name="계산 12 4" xfId="0"/>
    <cellStyle name="계산 12 5" xfId="0"/>
    <cellStyle name="계산 13" xfId="0"/>
    <cellStyle name="계산 13 2" xfId="0"/>
    <cellStyle name="계산 13 3" xfId="0"/>
    <cellStyle name="계산 13 4" xfId="0"/>
    <cellStyle name="계산 13 5" xfId="0"/>
    <cellStyle name="계산 14" xfId="0"/>
    <cellStyle name="계산 14 2" xfId="0"/>
    <cellStyle name="계산 15" xfId="0"/>
    <cellStyle name="계산 15 2" xfId="0"/>
    <cellStyle name="계산 16" xfId="0"/>
    <cellStyle name="계산 16 2" xfId="0"/>
    <cellStyle name="계산 17" xfId="0"/>
    <cellStyle name="계산 17 2" xfId="0"/>
    <cellStyle name="계산 18" xfId="0"/>
    <cellStyle name="계산 19" xfId="0"/>
    <cellStyle name="계산 2" xfId="0"/>
    <cellStyle name="계산 2 10" xfId="0"/>
    <cellStyle name="계산 2 11" xfId="0"/>
    <cellStyle name="계산 2 12" xfId="0"/>
    <cellStyle name="계산 2 13" xfId="0"/>
    <cellStyle name="계산 2 14" xfId="0"/>
    <cellStyle name="계산 2 2" xfId="0"/>
    <cellStyle name="계산 2 2 10" xfId="0"/>
    <cellStyle name="계산 2 2 2" xfId="0"/>
    <cellStyle name="계산 2 2 3" xfId="0"/>
    <cellStyle name="계산 2 2 4" xfId="0"/>
    <cellStyle name="계산 2 2 5" xfId="0"/>
    <cellStyle name="계산 2 2 6" xfId="0"/>
    <cellStyle name="계산 2 2 7" xfId="0"/>
    <cellStyle name="계산 2 2 8" xfId="0"/>
    <cellStyle name="계산 2 2 9" xfId="0"/>
    <cellStyle name="계산 2 3" xfId="0"/>
    <cellStyle name="계산 2 3 10" xfId="0"/>
    <cellStyle name="계산 2 3 2" xfId="0"/>
    <cellStyle name="계산 2 3 3" xfId="0"/>
    <cellStyle name="계산 2 3 4" xfId="0"/>
    <cellStyle name="계산 2 3 5" xfId="0"/>
    <cellStyle name="계산 2 3 6" xfId="0"/>
    <cellStyle name="계산 2 3 7" xfId="0"/>
    <cellStyle name="계산 2 3 8" xfId="0"/>
    <cellStyle name="계산 2 3 9" xfId="0"/>
    <cellStyle name="계산 2 4" xfId="0"/>
    <cellStyle name="계산 2 4 10" xfId="0"/>
    <cellStyle name="계산 2 4 2" xfId="0"/>
    <cellStyle name="계산 2 4 3" xfId="0"/>
    <cellStyle name="계산 2 4 4" xfId="0"/>
    <cellStyle name="계산 2 4 5" xfId="0"/>
    <cellStyle name="계산 2 4 6" xfId="0"/>
    <cellStyle name="계산 2 4 7" xfId="0"/>
    <cellStyle name="계산 2 4 8" xfId="0"/>
    <cellStyle name="계산 2 4 9" xfId="0"/>
    <cellStyle name="계산 2 5" xfId="0"/>
    <cellStyle name="계산 2 5 10" xfId="0"/>
    <cellStyle name="계산 2 5 2" xfId="0"/>
    <cellStyle name="계산 2 5 3" xfId="0"/>
    <cellStyle name="계산 2 5 4" xfId="0"/>
    <cellStyle name="계산 2 5 5" xfId="0"/>
    <cellStyle name="계산 2 5 6" xfId="0"/>
    <cellStyle name="계산 2 5 7" xfId="0"/>
    <cellStyle name="계산 2 5 8" xfId="0"/>
    <cellStyle name="계산 2 5 9" xfId="0"/>
    <cellStyle name="계산 2 6" xfId="0"/>
    <cellStyle name="계산 2 6 10" xfId="0"/>
    <cellStyle name="계산 2 6 2" xfId="0"/>
    <cellStyle name="계산 2 6 3" xfId="0"/>
    <cellStyle name="계산 2 6 4" xfId="0"/>
    <cellStyle name="계산 2 6 5" xfId="0"/>
    <cellStyle name="계산 2 6 6" xfId="0"/>
    <cellStyle name="계산 2 6 7" xfId="0"/>
    <cellStyle name="계산 2 6 8" xfId="0"/>
    <cellStyle name="계산 2 6 9" xfId="0"/>
    <cellStyle name="계산 2 7" xfId="0"/>
    <cellStyle name="계산 2 7 10" xfId="0"/>
    <cellStyle name="계산 2 7 2" xfId="0"/>
    <cellStyle name="계산 2 7 3" xfId="0"/>
    <cellStyle name="계산 2 7 4" xfId="0"/>
    <cellStyle name="계산 2 7 5" xfId="0"/>
    <cellStyle name="계산 2 7 6" xfId="0"/>
    <cellStyle name="계산 2 7 7" xfId="0"/>
    <cellStyle name="계산 2 7 8" xfId="0"/>
    <cellStyle name="계산 2 7 9" xfId="0"/>
    <cellStyle name="계산 2 8" xfId="0"/>
    <cellStyle name="계산 2 8 2" xfId="0"/>
    <cellStyle name="계산 2 9" xfId="0"/>
    <cellStyle name="계산 20" xfId="0"/>
    <cellStyle name="계산 21" xfId="0"/>
    <cellStyle name="계산 22" xfId="0"/>
    <cellStyle name="계산 23" xfId="0"/>
    <cellStyle name="계산 24" xfId="0"/>
    <cellStyle name="계산 25" xfId="0"/>
    <cellStyle name="계산 26" xfId="0"/>
    <cellStyle name="계산 27" xfId="0"/>
    <cellStyle name="계산 2_3300현금및예치금" xfId="0"/>
    <cellStyle name="계산 3" xfId="0"/>
    <cellStyle name="계산 3 10" xfId="0"/>
    <cellStyle name="계산 3 10 2" xfId="0"/>
    <cellStyle name="계산 3 11" xfId="0"/>
    <cellStyle name="계산 3 11 2" xfId="0"/>
    <cellStyle name="계산 3 12" xfId="0"/>
    <cellStyle name="계산 3 12 2" xfId="0"/>
    <cellStyle name="계산 3 13" xfId="0"/>
    <cellStyle name="계산 3 14" xfId="0"/>
    <cellStyle name="계산 3 15" xfId="0"/>
    <cellStyle name="계산 3 16" xfId="0"/>
    <cellStyle name="계산 3 17" xfId="0"/>
    <cellStyle name="계산 3 18" xfId="0"/>
    <cellStyle name="계산 3 19" xfId="0"/>
    <cellStyle name="계산 3 2" xfId="0"/>
    <cellStyle name="계산 3 2 2" xfId="0"/>
    <cellStyle name="계산 3 2 3" xfId="0"/>
    <cellStyle name="계산 3 20" xfId="0"/>
    <cellStyle name="계산 3 3" xfId="0"/>
    <cellStyle name="계산 3 3 2" xfId="0"/>
    <cellStyle name="계산 3 3 3" xfId="0"/>
    <cellStyle name="계산 3 4" xfId="0"/>
    <cellStyle name="계산 3 4 2" xfId="0"/>
    <cellStyle name="계산 3 4 3" xfId="0"/>
    <cellStyle name="계산 3 5" xfId="0"/>
    <cellStyle name="계산 3 5 2" xfId="0"/>
    <cellStyle name="계산 3 5 3" xfId="0"/>
    <cellStyle name="계산 3 6" xfId="0"/>
    <cellStyle name="계산 3 6 2" xfId="0"/>
    <cellStyle name="계산 3 6 3" xfId="0"/>
    <cellStyle name="계산 3 7" xfId="0"/>
    <cellStyle name="계산 3 7 2" xfId="0"/>
    <cellStyle name="계산 3 7 3" xfId="0"/>
    <cellStyle name="계산 3 8" xfId="0"/>
    <cellStyle name="계산 3 8 2" xfId="0"/>
    <cellStyle name="계산 3 8 3" xfId="0"/>
    <cellStyle name="계산 3 9" xfId="0"/>
    <cellStyle name="계산 3 9 2" xfId="0"/>
    <cellStyle name="계산 3_운용자산별 손익분석" xfId="0"/>
    <cellStyle name="계산 4" xfId="0"/>
    <cellStyle name="계산 4 10" xfId="0"/>
    <cellStyle name="계산 4 11" xfId="0"/>
    <cellStyle name="계산 4 12" xfId="0"/>
    <cellStyle name="계산 4 13" xfId="0"/>
    <cellStyle name="계산 4 2" xfId="0"/>
    <cellStyle name="계산 4 3" xfId="0"/>
    <cellStyle name="계산 4 4" xfId="0"/>
    <cellStyle name="계산 4 5" xfId="0"/>
    <cellStyle name="계산 4 6" xfId="0"/>
    <cellStyle name="계산 4 7" xfId="0"/>
    <cellStyle name="계산 4 8" xfId="0"/>
    <cellStyle name="계산 4 9" xfId="0"/>
    <cellStyle name="계산 4_운용자산별 손익분석" xfId="0"/>
    <cellStyle name="계산 5" xfId="0"/>
    <cellStyle name="계산 5 10" xfId="0"/>
    <cellStyle name="계산 5 11" xfId="0"/>
    <cellStyle name="계산 5 12" xfId="0"/>
    <cellStyle name="계산 5 13" xfId="0"/>
    <cellStyle name="계산 5 14" xfId="0"/>
    <cellStyle name="계산 5 15" xfId="0"/>
    <cellStyle name="계산 5 16" xfId="0"/>
    <cellStyle name="계산 5 17" xfId="0"/>
    <cellStyle name="계산 5 18" xfId="0"/>
    <cellStyle name="계산 5 19" xfId="0"/>
    <cellStyle name="계산 5 2" xfId="0"/>
    <cellStyle name="계산 5 20" xfId="0"/>
    <cellStyle name="계산 5 21" xfId="0"/>
    <cellStyle name="계산 5 22" xfId="0"/>
    <cellStyle name="계산 5 23" xfId="0"/>
    <cellStyle name="계산 5 24" xfId="0"/>
    <cellStyle name="계산 5 25" xfId="0"/>
    <cellStyle name="계산 5 26" xfId="0"/>
    <cellStyle name="계산 5 27" xfId="0"/>
    <cellStyle name="계산 5 28" xfId="0"/>
    <cellStyle name="계산 5 29" xfId="0"/>
    <cellStyle name="계산 5 3" xfId="0"/>
    <cellStyle name="계산 5 30" xfId="0"/>
    <cellStyle name="계산 5 31" xfId="0"/>
    <cellStyle name="계산 5 32" xfId="0"/>
    <cellStyle name="계산 5 33" xfId="0"/>
    <cellStyle name="계산 5 34" xfId="0"/>
    <cellStyle name="계산 5 4" xfId="0"/>
    <cellStyle name="계산 5 5" xfId="0"/>
    <cellStyle name="계산 5 6" xfId="0"/>
    <cellStyle name="계산 5 7" xfId="0"/>
    <cellStyle name="계산 5 8" xfId="0"/>
    <cellStyle name="계산 5 9" xfId="0"/>
    <cellStyle name="계산 6" xfId="0"/>
    <cellStyle name="계산 6 10" xfId="0"/>
    <cellStyle name="계산 6 11" xfId="0"/>
    <cellStyle name="계산 6 12" xfId="0"/>
    <cellStyle name="계산 6 13" xfId="0"/>
    <cellStyle name="계산 6 14" xfId="0"/>
    <cellStyle name="계산 6 15" xfId="0"/>
    <cellStyle name="계산 6 16" xfId="0"/>
    <cellStyle name="계산 6 17" xfId="0"/>
    <cellStyle name="계산 6 18" xfId="0"/>
    <cellStyle name="계산 6 19" xfId="0"/>
    <cellStyle name="계산 6 2" xfId="0"/>
    <cellStyle name="계산 6 20" xfId="0"/>
    <cellStyle name="계산 6 21" xfId="0"/>
    <cellStyle name="계산 6 22" xfId="0"/>
    <cellStyle name="계산 6 23" xfId="0"/>
    <cellStyle name="계산 6 24" xfId="0"/>
    <cellStyle name="계산 6 25" xfId="0"/>
    <cellStyle name="계산 6 26" xfId="0"/>
    <cellStyle name="계산 6 27" xfId="0"/>
    <cellStyle name="계산 6 28" xfId="0"/>
    <cellStyle name="계산 6 29" xfId="0"/>
    <cellStyle name="계산 6 3" xfId="0"/>
    <cellStyle name="계산 6 30" xfId="0"/>
    <cellStyle name="계산 6 4" xfId="0"/>
    <cellStyle name="계산 6 5" xfId="0"/>
    <cellStyle name="계산 6 6" xfId="0"/>
    <cellStyle name="계산 6 7" xfId="0"/>
    <cellStyle name="계산 6 8" xfId="0"/>
    <cellStyle name="계산 6 9" xfId="0"/>
    <cellStyle name="계산 7" xfId="0"/>
    <cellStyle name="계산 7 10" xfId="0"/>
    <cellStyle name="계산 7 11" xfId="0"/>
    <cellStyle name="계산 7 12" xfId="0"/>
    <cellStyle name="계산 7 13" xfId="0"/>
    <cellStyle name="계산 7 14" xfId="0"/>
    <cellStyle name="계산 7 15" xfId="0"/>
    <cellStyle name="계산 7 2" xfId="0"/>
    <cellStyle name="계산 7 2 2" xfId="0"/>
    <cellStyle name="계산 7 3" xfId="0"/>
    <cellStyle name="계산 7 3 2" xfId="0"/>
    <cellStyle name="계산 7 4" xfId="0"/>
    <cellStyle name="계산 7 4 2" xfId="0"/>
    <cellStyle name="계산 7 5" xfId="0"/>
    <cellStyle name="계산 7 5 2" xfId="0"/>
    <cellStyle name="계산 7 6" xfId="0"/>
    <cellStyle name="계산 7 6 2" xfId="0"/>
    <cellStyle name="계산 7 7" xfId="0"/>
    <cellStyle name="계산 7 8" xfId="0"/>
    <cellStyle name="계산 7 9" xfId="0"/>
    <cellStyle name="계산 8" xfId="0"/>
    <cellStyle name="계산 8 10" xfId="0"/>
    <cellStyle name="계산 8 11" xfId="0"/>
    <cellStyle name="계산 8 12" xfId="0"/>
    <cellStyle name="계산 8 13" xfId="0"/>
    <cellStyle name="계산 8 14" xfId="0"/>
    <cellStyle name="계산 8 2" xfId="0"/>
    <cellStyle name="계산 8 2 2" xfId="0"/>
    <cellStyle name="계산 8 3" xfId="0"/>
    <cellStyle name="계산 8 3 2" xfId="0"/>
    <cellStyle name="계산 8 4" xfId="0"/>
    <cellStyle name="계산 8 4 2" xfId="0"/>
    <cellStyle name="계산 8 5" xfId="0"/>
    <cellStyle name="계산 8 5 2" xfId="0"/>
    <cellStyle name="계산 8 6" xfId="0"/>
    <cellStyle name="계산 8 6 2" xfId="0"/>
    <cellStyle name="계산 8 7" xfId="0"/>
    <cellStyle name="계산 8 8" xfId="0"/>
    <cellStyle name="계산 8 9" xfId="0"/>
    <cellStyle name="계산 9" xfId="0"/>
    <cellStyle name="계산 9 10" xfId="0"/>
    <cellStyle name="계산 9 11" xfId="0"/>
    <cellStyle name="계산 9 12" xfId="0"/>
    <cellStyle name="계산 9 13" xfId="0"/>
    <cellStyle name="계산 9 14" xfId="0"/>
    <cellStyle name="계산 9 2" xfId="0"/>
    <cellStyle name="계산 9 2 2" xfId="0"/>
    <cellStyle name="계산 9 3" xfId="0"/>
    <cellStyle name="계산 9 3 2" xfId="0"/>
    <cellStyle name="계산 9 4" xfId="0"/>
    <cellStyle name="계산 9 4 2" xfId="0"/>
    <cellStyle name="계산 9 5" xfId="0"/>
    <cellStyle name="계산 9 5 2" xfId="0"/>
    <cellStyle name="계산 9 6" xfId="0"/>
    <cellStyle name="계산 9 6 2" xfId="0"/>
    <cellStyle name="계산 9 7" xfId="0"/>
    <cellStyle name="계산 9 8" xfId="0"/>
    <cellStyle name="계산 9 9" xfId="0"/>
    <cellStyle name="계정과목" xfId="0"/>
    <cellStyle name="고정소숫점" xfId="0"/>
    <cellStyle name="고정소숫점 2" xfId="0"/>
    <cellStyle name="고정출력1" xfId="0"/>
    <cellStyle name="고정출력1 2" xfId="0"/>
    <cellStyle name="고정출력2" xfId="0"/>
    <cellStyle name="고정출력2 2" xfId="0"/>
    <cellStyle name="괄(계정)" xfId="0"/>
    <cellStyle name="괄호금액" xfId="0"/>
    <cellStyle name="굴림체" xfId="0"/>
    <cellStyle name="굵은항목" xfId="0"/>
    <cellStyle name="금액" xfId="0"/>
    <cellStyle name="금액 2" xfId="0"/>
    <cellStyle name="긪귽긬?깏깛긏" xfId="0"/>
    <cellStyle name="기  업" xfId="0"/>
    <cellStyle name="기계" xfId="0"/>
    <cellStyle name="김" xfId="0"/>
    <cellStyle name="나쁨 10" xfId="0"/>
    <cellStyle name="나쁨 10 2" xfId="0"/>
    <cellStyle name="나쁨 10 2 2" xfId="0"/>
    <cellStyle name="나쁨 10 3" xfId="0"/>
    <cellStyle name="나쁨 10 3 2" xfId="0"/>
    <cellStyle name="나쁨 10 4" xfId="0"/>
    <cellStyle name="나쁨 10 4 2" xfId="0"/>
    <cellStyle name="나쁨 10 5" xfId="0"/>
    <cellStyle name="나쁨 10 6" xfId="0"/>
    <cellStyle name="나쁨 10 7" xfId="0"/>
    <cellStyle name="나쁨 11" xfId="0"/>
    <cellStyle name="나쁨 11 2" xfId="0"/>
    <cellStyle name="나쁨 11 2 2" xfId="0"/>
    <cellStyle name="나쁨 11 3" xfId="0"/>
    <cellStyle name="나쁨 11 3 2" xfId="0"/>
    <cellStyle name="나쁨 11 4" xfId="0"/>
    <cellStyle name="나쁨 11 4 2" xfId="0"/>
    <cellStyle name="나쁨 11 5" xfId="0"/>
    <cellStyle name="나쁨 11 6" xfId="0"/>
    <cellStyle name="나쁨 11 7" xfId="0"/>
    <cellStyle name="나쁨 12" xfId="0"/>
    <cellStyle name="나쁨 12 2" xfId="0"/>
    <cellStyle name="나쁨 12 3" xfId="0"/>
    <cellStyle name="나쁨 12 4" xfId="0"/>
    <cellStyle name="나쁨 12 5" xfId="0"/>
    <cellStyle name="나쁨 13" xfId="0"/>
    <cellStyle name="나쁨 13 2" xfId="0"/>
    <cellStyle name="나쁨 13 3" xfId="0"/>
    <cellStyle name="나쁨 13 4" xfId="0"/>
    <cellStyle name="나쁨 13 5" xfId="0"/>
    <cellStyle name="나쁨 14" xfId="0"/>
    <cellStyle name="나쁨 14 2" xfId="0"/>
    <cellStyle name="나쁨 15" xfId="0"/>
    <cellStyle name="나쁨 15 2" xfId="0"/>
    <cellStyle name="나쁨 16" xfId="0"/>
    <cellStyle name="나쁨 16 2" xfId="0"/>
    <cellStyle name="나쁨 17" xfId="0"/>
    <cellStyle name="나쁨 17 2" xfId="0"/>
    <cellStyle name="나쁨 18" xfId="0"/>
    <cellStyle name="나쁨 19" xfId="0"/>
    <cellStyle name="나쁨 2" xfId="0"/>
    <cellStyle name="나쁨 2 10" xfId="0"/>
    <cellStyle name="나쁨 2 11" xfId="0"/>
    <cellStyle name="나쁨 2 12" xfId="0"/>
    <cellStyle name="나쁨 2 13" xfId="0"/>
    <cellStyle name="나쁨 2 2" xfId="0"/>
    <cellStyle name="나쁨 2 2 10" xfId="0"/>
    <cellStyle name="나쁨 2 2 11" xfId="0"/>
    <cellStyle name="나쁨 2 2 2" xfId="0"/>
    <cellStyle name="나쁨 2 2 3" xfId="0"/>
    <cellStyle name="나쁨 2 2 4" xfId="0"/>
    <cellStyle name="나쁨 2 2 5" xfId="0"/>
    <cellStyle name="나쁨 2 2 6" xfId="0"/>
    <cellStyle name="나쁨 2 2 7" xfId="0"/>
    <cellStyle name="나쁨 2 2 8" xfId="0"/>
    <cellStyle name="나쁨 2 2 9" xfId="0"/>
    <cellStyle name="나쁨 2 3" xfId="0"/>
    <cellStyle name="나쁨 2 3 10" xfId="0"/>
    <cellStyle name="나쁨 2 3 11" xfId="0"/>
    <cellStyle name="나쁨 2 3 2" xfId="0"/>
    <cellStyle name="나쁨 2 3 3" xfId="0"/>
    <cellStyle name="나쁨 2 3 4" xfId="0"/>
    <cellStyle name="나쁨 2 3 5" xfId="0"/>
    <cellStyle name="나쁨 2 3 6" xfId="0"/>
    <cellStyle name="나쁨 2 3 7" xfId="0"/>
    <cellStyle name="나쁨 2 3 8" xfId="0"/>
    <cellStyle name="나쁨 2 3 9" xfId="0"/>
    <cellStyle name="나쁨 2 4" xfId="0"/>
    <cellStyle name="나쁨 2 4 10" xfId="0"/>
    <cellStyle name="나쁨 2 4 11" xfId="0"/>
    <cellStyle name="나쁨 2 4 2" xfId="0"/>
    <cellStyle name="나쁨 2 4 3" xfId="0"/>
    <cellStyle name="나쁨 2 4 4" xfId="0"/>
    <cellStyle name="나쁨 2 4 5" xfId="0"/>
    <cellStyle name="나쁨 2 4 6" xfId="0"/>
    <cellStyle name="나쁨 2 4 7" xfId="0"/>
    <cellStyle name="나쁨 2 4 8" xfId="0"/>
    <cellStyle name="나쁨 2 4 9" xfId="0"/>
    <cellStyle name="나쁨 2 5" xfId="0"/>
    <cellStyle name="나쁨 2 5 10" xfId="0"/>
    <cellStyle name="나쁨 2 5 2" xfId="0"/>
    <cellStyle name="나쁨 2 5 3" xfId="0"/>
    <cellStyle name="나쁨 2 5 4" xfId="0"/>
    <cellStyle name="나쁨 2 5 5" xfId="0"/>
    <cellStyle name="나쁨 2 5 6" xfId="0"/>
    <cellStyle name="나쁨 2 5 7" xfId="0"/>
    <cellStyle name="나쁨 2 5 8" xfId="0"/>
    <cellStyle name="나쁨 2 5 9" xfId="0"/>
    <cellStyle name="나쁨 2 6" xfId="0"/>
    <cellStyle name="나쁨 2 6 10" xfId="0"/>
    <cellStyle name="나쁨 2 6 2" xfId="0"/>
    <cellStyle name="나쁨 2 6 3" xfId="0"/>
    <cellStyle name="나쁨 2 6 4" xfId="0"/>
    <cellStyle name="나쁨 2 6 5" xfId="0"/>
    <cellStyle name="나쁨 2 6 6" xfId="0"/>
    <cellStyle name="나쁨 2 6 7" xfId="0"/>
    <cellStyle name="나쁨 2 6 8" xfId="0"/>
    <cellStyle name="나쁨 2 6 9" xfId="0"/>
    <cellStyle name="나쁨 2 7" xfId="0"/>
    <cellStyle name="나쁨 2 7 10" xfId="0"/>
    <cellStyle name="나쁨 2 7 2" xfId="0"/>
    <cellStyle name="나쁨 2 7 3" xfId="0"/>
    <cellStyle name="나쁨 2 7 4" xfId="0"/>
    <cellStyle name="나쁨 2 7 5" xfId="0"/>
    <cellStyle name="나쁨 2 7 6" xfId="0"/>
    <cellStyle name="나쁨 2 7 7" xfId="0"/>
    <cellStyle name="나쁨 2 7 8" xfId="0"/>
    <cellStyle name="나쁨 2 7 9" xfId="0"/>
    <cellStyle name="나쁨 2 8" xfId="0"/>
    <cellStyle name="나쁨 2 8 2" xfId="0"/>
    <cellStyle name="나쁨 2 9" xfId="0"/>
    <cellStyle name="나쁨 20" xfId="0"/>
    <cellStyle name="나쁨 21" xfId="0"/>
    <cellStyle name="나쁨 22" xfId="0"/>
    <cellStyle name="나쁨 23" xfId="0"/>
    <cellStyle name="나쁨 24" xfId="0"/>
    <cellStyle name="나쁨 25" xfId="0"/>
    <cellStyle name="나쁨 26" xfId="0"/>
    <cellStyle name="나쁨 27" xfId="0"/>
    <cellStyle name="나쁨 28" xfId="0"/>
    <cellStyle name="나쁨 2_3300현금및예치금" xfId="0"/>
    <cellStyle name="나쁨 3" xfId="0"/>
    <cellStyle name="나쁨 3 10" xfId="0"/>
    <cellStyle name="나쁨 3 10 2" xfId="0"/>
    <cellStyle name="나쁨 3 11" xfId="0"/>
    <cellStyle name="나쁨 3 11 2" xfId="0"/>
    <cellStyle name="나쁨 3 12" xfId="0"/>
    <cellStyle name="나쁨 3 12 2" xfId="0"/>
    <cellStyle name="나쁨 3 13" xfId="0"/>
    <cellStyle name="나쁨 3 14" xfId="0"/>
    <cellStyle name="나쁨 3 15" xfId="0"/>
    <cellStyle name="나쁨 3 16" xfId="0"/>
    <cellStyle name="나쁨 3 17" xfId="0"/>
    <cellStyle name="나쁨 3 18" xfId="0"/>
    <cellStyle name="나쁨 3 19" xfId="0"/>
    <cellStyle name="나쁨 3 2" xfId="0"/>
    <cellStyle name="나쁨 3 2 2" xfId="0"/>
    <cellStyle name="나쁨 3 2 3" xfId="0"/>
    <cellStyle name="나쁨 3 20" xfId="0"/>
    <cellStyle name="나쁨 3 3" xfId="0"/>
    <cellStyle name="나쁨 3 3 2" xfId="0"/>
    <cellStyle name="나쁨 3 3 3" xfId="0"/>
    <cellStyle name="나쁨 3 4" xfId="0"/>
    <cellStyle name="나쁨 3 4 2" xfId="0"/>
    <cellStyle name="나쁨 3 4 3" xfId="0"/>
    <cellStyle name="나쁨 3 5" xfId="0"/>
    <cellStyle name="나쁨 3 5 2" xfId="0"/>
    <cellStyle name="나쁨 3 5 3" xfId="0"/>
    <cellStyle name="나쁨 3 6" xfId="0"/>
    <cellStyle name="나쁨 3 6 2" xfId="0"/>
    <cellStyle name="나쁨 3 6 3" xfId="0"/>
    <cellStyle name="나쁨 3 7" xfId="0"/>
    <cellStyle name="나쁨 3 7 2" xfId="0"/>
    <cellStyle name="나쁨 3 7 3" xfId="0"/>
    <cellStyle name="나쁨 3 8" xfId="0"/>
    <cellStyle name="나쁨 3 8 2" xfId="0"/>
    <cellStyle name="나쁨 3 8 3" xfId="0"/>
    <cellStyle name="나쁨 3 9" xfId="0"/>
    <cellStyle name="나쁨 3 9 2" xfId="0"/>
    <cellStyle name="나쁨 3_운용자산별 손익분석" xfId="0"/>
    <cellStyle name="나쁨 4" xfId="0"/>
    <cellStyle name="나쁨 4 10" xfId="0"/>
    <cellStyle name="나쁨 4 11" xfId="0"/>
    <cellStyle name="나쁨 4 12" xfId="0"/>
    <cellStyle name="나쁨 4 13" xfId="0"/>
    <cellStyle name="나쁨 4 2" xfId="0"/>
    <cellStyle name="나쁨 4 3" xfId="0"/>
    <cellStyle name="나쁨 4 4" xfId="0"/>
    <cellStyle name="나쁨 4 5" xfId="0"/>
    <cellStyle name="나쁨 4 6" xfId="0"/>
    <cellStyle name="나쁨 4 7" xfId="0"/>
    <cellStyle name="나쁨 4 8" xfId="0"/>
    <cellStyle name="나쁨 4 9" xfId="0"/>
    <cellStyle name="나쁨 4_운용자산별 손익분석" xfId="0"/>
    <cellStyle name="나쁨 5" xfId="0"/>
    <cellStyle name="나쁨 5 10" xfId="0"/>
    <cellStyle name="나쁨 5 11" xfId="0"/>
    <cellStyle name="나쁨 5 12" xfId="0"/>
    <cellStyle name="나쁨 5 13" xfId="0"/>
    <cellStyle name="나쁨 5 14" xfId="0"/>
    <cellStyle name="나쁨 5 15" xfId="0"/>
    <cellStyle name="나쁨 5 16" xfId="0"/>
    <cellStyle name="나쁨 5 17" xfId="0"/>
    <cellStyle name="나쁨 5 18" xfId="0"/>
    <cellStyle name="나쁨 5 19" xfId="0"/>
    <cellStyle name="나쁨 5 2" xfId="0"/>
    <cellStyle name="나쁨 5 20" xfId="0"/>
    <cellStyle name="나쁨 5 21" xfId="0"/>
    <cellStyle name="나쁨 5 22" xfId="0"/>
    <cellStyle name="나쁨 5 23" xfId="0"/>
    <cellStyle name="나쁨 5 24" xfId="0"/>
    <cellStyle name="나쁨 5 25" xfId="0"/>
    <cellStyle name="나쁨 5 26" xfId="0"/>
    <cellStyle name="나쁨 5 27" xfId="0"/>
    <cellStyle name="나쁨 5 28" xfId="0"/>
    <cellStyle name="나쁨 5 29" xfId="0"/>
    <cellStyle name="나쁨 5 3" xfId="0"/>
    <cellStyle name="나쁨 5 30" xfId="0"/>
    <cellStyle name="나쁨 5 31" xfId="0"/>
    <cellStyle name="나쁨 5 32" xfId="0"/>
    <cellStyle name="나쁨 5 33" xfId="0"/>
    <cellStyle name="나쁨 5 34" xfId="0"/>
    <cellStyle name="나쁨 5 4" xfId="0"/>
    <cellStyle name="나쁨 5 5" xfId="0"/>
    <cellStyle name="나쁨 5 6" xfId="0"/>
    <cellStyle name="나쁨 5 7" xfId="0"/>
    <cellStyle name="나쁨 5 8" xfId="0"/>
    <cellStyle name="나쁨 5 9" xfId="0"/>
    <cellStyle name="나쁨 6" xfId="0"/>
    <cellStyle name="나쁨 6 10" xfId="0"/>
    <cellStyle name="나쁨 6 11" xfId="0"/>
    <cellStyle name="나쁨 6 12" xfId="0"/>
    <cellStyle name="나쁨 6 13" xfId="0"/>
    <cellStyle name="나쁨 6 14" xfId="0"/>
    <cellStyle name="나쁨 6 15" xfId="0"/>
    <cellStyle name="나쁨 6 16" xfId="0"/>
    <cellStyle name="나쁨 6 17" xfId="0"/>
    <cellStyle name="나쁨 6 18" xfId="0"/>
    <cellStyle name="나쁨 6 19" xfId="0"/>
    <cellStyle name="나쁨 6 2" xfId="0"/>
    <cellStyle name="나쁨 6 20" xfId="0"/>
    <cellStyle name="나쁨 6 21" xfId="0"/>
    <cellStyle name="나쁨 6 22" xfId="0"/>
    <cellStyle name="나쁨 6 23" xfId="0"/>
    <cellStyle name="나쁨 6 24" xfId="0"/>
    <cellStyle name="나쁨 6 25" xfId="0"/>
    <cellStyle name="나쁨 6 26" xfId="0"/>
    <cellStyle name="나쁨 6 27" xfId="0"/>
    <cellStyle name="나쁨 6 28" xfId="0"/>
    <cellStyle name="나쁨 6 29" xfId="0"/>
    <cellStyle name="나쁨 6 3" xfId="0"/>
    <cellStyle name="나쁨 6 30" xfId="0"/>
    <cellStyle name="나쁨 6 4" xfId="0"/>
    <cellStyle name="나쁨 6 5" xfId="0"/>
    <cellStyle name="나쁨 6 6" xfId="0"/>
    <cellStyle name="나쁨 6 7" xfId="0"/>
    <cellStyle name="나쁨 6 8" xfId="0"/>
    <cellStyle name="나쁨 6 9" xfId="0"/>
    <cellStyle name="나쁨 7" xfId="0"/>
    <cellStyle name="나쁨 7 10" xfId="0"/>
    <cellStyle name="나쁨 7 11" xfId="0"/>
    <cellStyle name="나쁨 7 12" xfId="0"/>
    <cellStyle name="나쁨 7 13" xfId="0"/>
    <cellStyle name="나쁨 7 14" xfId="0"/>
    <cellStyle name="나쁨 7 15" xfId="0"/>
    <cellStyle name="나쁨 7 2" xfId="0"/>
    <cellStyle name="나쁨 7 2 2" xfId="0"/>
    <cellStyle name="나쁨 7 3" xfId="0"/>
    <cellStyle name="나쁨 7 3 2" xfId="0"/>
    <cellStyle name="나쁨 7 4" xfId="0"/>
    <cellStyle name="나쁨 7 4 2" xfId="0"/>
    <cellStyle name="나쁨 7 5" xfId="0"/>
    <cellStyle name="나쁨 7 5 2" xfId="0"/>
    <cellStyle name="나쁨 7 6" xfId="0"/>
    <cellStyle name="나쁨 7 6 2" xfId="0"/>
    <cellStyle name="나쁨 7 7" xfId="0"/>
    <cellStyle name="나쁨 7 8" xfId="0"/>
    <cellStyle name="나쁨 7 9" xfId="0"/>
    <cellStyle name="나쁨 8" xfId="0"/>
    <cellStyle name="나쁨 8 10" xfId="0"/>
    <cellStyle name="나쁨 8 11" xfId="0"/>
    <cellStyle name="나쁨 8 12" xfId="0"/>
    <cellStyle name="나쁨 8 13" xfId="0"/>
    <cellStyle name="나쁨 8 14" xfId="0"/>
    <cellStyle name="나쁨 8 2" xfId="0"/>
    <cellStyle name="나쁨 8 2 2" xfId="0"/>
    <cellStyle name="나쁨 8 3" xfId="0"/>
    <cellStyle name="나쁨 8 3 2" xfId="0"/>
    <cellStyle name="나쁨 8 4" xfId="0"/>
    <cellStyle name="나쁨 8 4 2" xfId="0"/>
    <cellStyle name="나쁨 8 5" xfId="0"/>
    <cellStyle name="나쁨 8 5 2" xfId="0"/>
    <cellStyle name="나쁨 8 6" xfId="0"/>
    <cellStyle name="나쁨 8 6 2" xfId="0"/>
    <cellStyle name="나쁨 8 7" xfId="0"/>
    <cellStyle name="나쁨 8 8" xfId="0"/>
    <cellStyle name="나쁨 8 9" xfId="0"/>
    <cellStyle name="나쁨 9" xfId="0"/>
    <cellStyle name="나쁨 9 10" xfId="0"/>
    <cellStyle name="나쁨 9 11" xfId="0"/>
    <cellStyle name="나쁨 9 12" xfId="0"/>
    <cellStyle name="나쁨 9 13" xfId="0"/>
    <cellStyle name="나쁨 9 14" xfId="0"/>
    <cellStyle name="나쁨 9 2" xfId="0"/>
    <cellStyle name="나쁨 9 2 2" xfId="0"/>
    <cellStyle name="나쁨 9 3" xfId="0"/>
    <cellStyle name="나쁨 9 3 2" xfId="0"/>
    <cellStyle name="나쁨 9 4" xfId="0"/>
    <cellStyle name="나쁨 9 4 2" xfId="0"/>
    <cellStyle name="나쁨 9 5" xfId="0"/>
    <cellStyle name="나쁨 9 5 2" xfId="0"/>
    <cellStyle name="나쁨 9 6" xfId="0"/>
    <cellStyle name="나쁨 9 6 2" xfId="0"/>
    <cellStyle name="나쁨 9 7" xfId="0"/>
    <cellStyle name="나쁨 9 8" xfId="0"/>
    <cellStyle name="나쁨 9 9" xfId="0"/>
    <cellStyle name="나열번호" xfId="0"/>
    <cellStyle name="날자" xfId="0"/>
    <cellStyle name="날짜" xfId="0"/>
    <cellStyle name="날짜(네자리)" xfId="0"/>
    <cellStyle name="날짜(두자리)" xfId="0"/>
    <cellStyle name="날짜형식" xfId="0"/>
    <cellStyle name="내양식" xfId="0"/>
    <cellStyle name="내표준" xfId="0"/>
    <cellStyle name="년도" xfId="0"/>
    <cellStyle name="단위 : 백만원" xfId="0"/>
    <cellStyle name="단위 : 원" xfId="0"/>
    <cellStyle name="단위 : 천원" xfId="0"/>
    <cellStyle name="단위(원)" xfId="0"/>
    <cellStyle name="달러" xfId="0"/>
    <cellStyle name="달러 2" xfId="0"/>
    <cellStyle name="돋움" xfId="0"/>
    <cellStyle name="뒤에 오는 하이퍼링크" xfId="0"/>
    <cellStyle name="뒤에 오는 하이퍼링크 2" xfId="0"/>
    <cellStyle name="뒤에 오는 하이퍼링크_'00탑0630" xfId="0"/>
    <cellStyle name="똿떓죶Ø괻 [0.00]_PRODUCT DETAIL Q1" xfId="0"/>
    <cellStyle name="똿떓죶Ø괻_PRODUCT DETAIL Q1" xfId="0"/>
    <cellStyle name="똿뗦먛귟 [0.00]_9703JPY" xfId="0"/>
    <cellStyle name="똿뗦먛귟_9703JPY" xfId="0"/>
    <cellStyle name="메모 10" xfId="0"/>
    <cellStyle name="메모 10 2" xfId="0"/>
    <cellStyle name="메모 10 2 2" xfId="0"/>
    <cellStyle name="메모 10 3" xfId="0"/>
    <cellStyle name="메모 10 3 2" xfId="0"/>
    <cellStyle name="메모 10 4" xfId="0"/>
    <cellStyle name="메모 10 4 2" xfId="0"/>
    <cellStyle name="메모 10 5" xfId="0"/>
    <cellStyle name="메모 10 6" xfId="0"/>
    <cellStyle name="메모 10 7" xfId="0"/>
    <cellStyle name="메모 11" xfId="0"/>
    <cellStyle name="메모 11 2" xfId="0"/>
    <cellStyle name="메모 11 2 2" xfId="0"/>
    <cellStyle name="메모 11 3" xfId="0"/>
    <cellStyle name="메모 11 3 2" xfId="0"/>
    <cellStyle name="메모 11 4" xfId="0"/>
    <cellStyle name="메모 11 4 2" xfId="0"/>
    <cellStyle name="메모 11 5" xfId="0"/>
    <cellStyle name="메모 11 6" xfId="0"/>
    <cellStyle name="메모 11 7" xfId="0"/>
    <cellStyle name="메모 12" xfId="0"/>
    <cellStyle name="메모 12 2" xfId="0"/>
    <cellStyle name="메모 12 3" xfId="0"/>
    <cellStyle name="메모 12 4" xfId="0"/>
    <cellStyle name="메모 12 5" xfId="0"/>
    <cellStyle name="메모 13" xfId="0"/>
    <cellStyle name="메모 13 2" xfId="0"/>
    <cellStyle name="메모 13 3" xfId="0"/>
    <cellStyle name="메모 13 4" xfId="0"/>
    <cellStyle name="메모 13 5" xfId="0"/>
    <cellStyle name="메모 14" xfId="0"/>
    <cellStyle name="메모 14 2" xfId="0"/>
    <cellStyle name="메모 14 3" xfId="0"/>
    <cellStyle name="메모 15" xfId="0"/>
    <cellStyle name="메모 15 2" xfId="0"/>
    <cellStyle name="메모 15 3" xfId="0"/>
    <cellStyle name="메모 16" xfId="0"/>
    <cellStyle name="메모 16 2" xfId="0"/>
    <cellStyle name="메모 16 3" xfId="0"/>
    <cellStyle name="메모 17" xfId="0"/>
    <cellStyle name="메모 17 2" xfId="0"/>
    <cellStyle name="메모 17 3" xfId="0"/>
    <cellStyle name="메모 18" xfId="0"/>
    <cellStyle name="메모 18 2" xfId="0"/>
    <cellStyle name="메모 18 3" xfId="0"/>
    <cellStyle name="메모 19" xfId="0"/>
    <cellStyle name="메모 19 2" xfId="0"/>
    <cellStyle name="메모 19 3" xfId="0"/>
    <cellStyle name="메모 2" xfId="0"/>
    <cellStyle name="메모 2 10" xfId="0"/>
    <cellStyle name="메모 2 11" xfId="0"/>
    <cellStyle name="메모 2 12" xfId="0"/>
    <cellStyle name="메모 2 13" xfId="0"/>
    <cellStyle name="메모 2 14" xfId="0"/>
    <cellStyle name="메모 2 15" xfId="0"/>
    <cellStyle name="메모 2 16" xfId="0"/>
    <cellStyle name="메모 2 17" xfId="0"/>
    <cellStyle name="메모 2 18" xfId="0"/>
    <cellStyle name="메모 2 19" xfId="0"/>
    <cellStyle name="메모 2 2" xfId="0"/>
    <cellStyle name="메모 2 2 10" xfId="0"/>
    <cellStyle name="메모 2 2 10 2" xfId="0"/>
    <cellStyle name="메모 2 2 11" xfId="0"/>
    <cellStyle name="메모 2 2 11 2" xfId="0"/>
    <cellStyle name="메모 2 2 12" xfId="0"/>
    <cellStyle name="메모 2 2 12 2" xfId="0"/>
    <cellStyle name="메모 2 2 13" xfId="0"/>
    <cellStyle name="메모 2 2 13 2" xfId="0"/>
    <cellStyle name="메모 2 2 14" xfId="0"/>
    <cellStyle name="메모 2 2 15" xfId="0"/>
    <cellStyle name="메모 2 2 2" xfId="0"/>
    <cellStyle name="메모 2 2 2 10" xfId="0"/>
    <cellStyle name="메모 2 2 2 2" xfId="0"/>
    <cellStyle name="메모 2 2 2 3" xfId="0"/>
    <cellStyle name="메모 2 2 2 4" xfId="0"/>
    <cellStyle name="메모 2 2 2 5" xfId="0"/>
    <cellStyle name="메모 2 2 2 6" xfId="0"/>
    <cellStyle name="메모 2 2 2 7" xfId="0"/>
    <cellStyle name="메모 2 2 2 8" xfId="0"/>
    <cellStyle name="메모 2 2 2 9" xfId="0"/>
    <cellStyle name="메모 2 2 3" xfId="0"/>
    <cellStyle name="메모 2 2 3 2" xfId="0"/>
    <cellStyle name="메모 2 2 4" xfId="0"/>
    <cellStyle name="메모 2 2 4 2" xfId="0"/>
    <cellStyle name="메모 2 2 5" xfId="0"/>
    <cellStyle name="메모 2 2 5 2" xfId="0"/>
    <cellStyle name="메모 2 2 6" xfId="0"/>
    <cellStyle name="메모 2 2 6 2" xfId="0"/>
    <cellStyle name="메모 2 2 7" xfId="0"/>
    <cellStyle name="메모 2 2 7 2" xfId="0"/>
    <cellStyle name="메모 2 2 8" xfId="0"/>
    <cellStyle name="메모 2 2 8 2" xfId="0"/>
    <cellStyle name="메모 2 2 9" xfId="0"/>
    <cellStyle name="메모 2 2 9 2" xfId="0"/>
    <cellStyle name="메모 2 20" xfId="0"/>
    <cellStyle name="메모 2 21" xfId="0"/>
    <cellStyle name="메모 2 22" xfId="0"/>
    <cellStyle name="메모 2 23" xfId="0"/>
    <cellStyle name="메모 2 24" xfId="0"/>
    <cellStyle name="메모 2 25" xfId="0"/>
    <cellStyle name="메모 2 26" xfId="0"/>
    <cellStyle name="메모 2 27" xfId="0"/>
    <cellStyle name="메모 2 28" xfId="0"/>
    <cellStyle name="메모 2 29" xfId="0"/>
    <cellStyle name="메모 2 3" xfId="0"/>
    <cellStyle name="메모 2 3 10" xfId="0"/>
    <cellStyle name="메모 2 3 10 2" xfId="0"/>
    <cellStyle name="메모 2 3 11" xfId="0"/>
    <cellStyle name="메모 2 3 11 2" xfId="0"/>
    <cellStyle name="메모 2 3 12" xfId="0"/>
    <cellStyle name="메모 2 3 12 2" xfId="0"/>
    <cellStyle name="메모 2 3 13" xfId="0"/>
    <cellStyle name="메모 2 3 13 2" xfId="0"/>
    <cellStyle name="메모 2 3 14" xfId="0"/>
    <cellStyle name="메모 2 3 15" xfId="0"/>
    <cellStyle name="메모 2 3 2" xfId="0"/>
    <cellStyle name="메모 2 3 2 10" xfId="0"/>
    <cellStyle name="메모 2 3 2 2" xfId="0"/>
    <cellStyle name="메모 2 3 2 3" xfId="0"/>
    <cellStyle name="메모 2 3 2 4" xfId="0"/>
    <cellStyle name="메모 2 3 2 5" xfId="0"/>
    <cellStyle name="메모 2 3 2 6" xfId="0"/>
    <cellStyle name="메모 2 3 2 7" xfId="0"/>
    <cellStyle name="메모 2 3 2 8" xfId="0"/>
    <cellStyle name="메모 2 3 2 9" xfId="0"/>
    <cellStyle name="메모 2 3 3" xfId="0"/>
    <cellStyle name="메모 2 3 3 2" xfId="0"/>
    <cellStyle name="메모 2 3 4" xfId="0"/>
    <cellStyle name="메모 2 3 4 2" xfId="0"/>
    <cellStyle name="메모 2 3 5" xfId="0"/>
    <cellStyle name="메모 2 3 5 2" xfId="0"/>
    <cellStyle name="메모 2 3 6" xfId="0"/>
    <cellStyle name="메모 2 3 6 2" xfId="0"/>
    <cellStyle name="메모 2 3 7" xfId="0"/>
    <cellStyle name="메모 2 3 7 2" xfId="0"/>
    <cellStyle name="메모 2 3 8" xfId="0"/>
    <cellStyle name="메모 2 3 8 2" xfId="0"/>
    <cellStyle name="메모 2 3 9" xfId="0"/>
    <cellStyle name="메모 2 3 9 2" xfId="0"/>
    <cellStyle name="메모 2 30" xfId="0"/>
    <cellStyle name="메모 2 31" xfId="0"/>
    <cellStyle name="메모 2 4" xfId="0"/>
    <cellStyle name="메모 2 4 10" xfId="0"/>
    <cellStyle name="메모 2 4 11" xfId="0"/>
    <cellStyle name="메모 2 4 2" xfId="0"/>
    <cellStyle name="메모 2 4 3" xfId="0"/>
    <cellStyle name="메모 2 4 4" xfId="0"/>
    <cellStyle name="메모 2 4 5" xfId="0"/>
    <cellStyle name="메모 2 4 6" xfId="0"/>
    <cellStyle name="메모 2 4 7" xfId="0"/>
    <cellStyle name="메모 2 4 8" xfId="0"/>
    <cellStyle name="메모 2 4 9" xfId="0"/>
    <cellStyle name="메모 2 5" xfId="0"/>
    <cellStyle name="메모 2 5 10" xfId="0"/>
    <cellStyle name="메모 2 5 11" xfId="0"/>
    <cellStyle name="메모 2 5 2" xfId="0"/>
    <cellStyle name="메모 2 5 3" xfId="0"/>
    <cellStyle name="메모 2 5 4" xfId="0"/>
    <cellStyle name="메모 2 5 5" xfId="0"/>
    <cellStyle name="메모 2 5 6" xfId="0"/>
    <cellStyle name="메모 2 5 7" xfId="0"/>
    <cellStyle name="메모 2 5 8" xfId="0"/>
    <cellStyle name="메모 2 5 9" xfId="0"/>
    <cellStyle name="메모 2 6" xfId="0"/>
    <cellStyle name="메모 2 6 10" xfId="0"/>
    <cellStyle name="메모 2 6 11" xfId="0"/>
    <cellStyle name="메모 2 6 2" xfId="0"/>
    <cellStyle name="메모 2 6 3" xfId="0"/>
    <cellStyle name="메모 2 6 4" xfId="0"/>
    <cellStyle name="메모 2 6 5" xfId="0"/>
    <cellStyle name="메모 2 6 6" xfId="0"/>
    <cellStyle name="메모 2 6 7" xfId="0"/>
    <cellStyle name="메모 2 6 8" xfId="0"/>
    <cellStyle name="메모 2 6 9" xfId="0"/>
    <cellStyle name="메모 2 7" xfId="0"/>
    <cellStyle name="메모 2 7 10" xfId="0"/>
    <cellStyle name="메모 2 7 2" xfId="0"/>
    <cellStyle name="메모 2 7 3" xfId="0"/>
    <cellStyle name="메모 2 7 4" xfId="0"/>
    <cellStyle name="메모 2 7 5" xfId="0"/>
    <cellStyle name="메모 2 7 6" xfId="0"/>
    <cellStyle name="메모 2 7 7" xfId="0"/>
    <cellStyle name="메모 2 7 8" xfId="0"/>
    <cellStyle name="메모 2 7 9" xfId="0"/>
    <cellStyle name="메모 2 8" xfId="0"/>
    <cellStyle name="메모 2 8 2" xfId="0"/>
    <cellStyle name="메모 2 9" xfId="0"/>
    <cellStyle name="메모 20" xfId="0"/>
    <cellStyle name="메모 20 2" xfId="0"/>
    <cellStyle name="메모 20 3" xfId="0"/>
    <cellStyle name="메모 21" xfId="0"/>
    <cellStyle name="메모 21 2" xfId="0"/>
    <cellStyle name="메모 21 3" xfId="0"/>
    <cellStyle name="메모 22" xfId="0"/>
    <cellStyle name="메모 22 2" xfId="0"/>
    <cellStyle name="메모 22 3" xfId="0"/>
    <cellStyle name="메모 23" xfId="0"/>
    <cellStyle name="메모 23 2" xfId="0"/>
    <cellStyle name="메모 23 3" xfId="0"/>
    <cellStyle name="메모 24" xfId="0"/>
    <cellStyle name="메모 24 2" xfId="0"/>
    <cellStyle name="메모 24 3" xfId="0"/>
    <cellStyle name="메모 25" xfId="0"/>
    <cellStyle name="메모 25 2" xfId="0"/>
    <cellStyle name="메모 25 3" xfId="0"/>
    <cellStyle name="메모 26" xfId="0"/>
    <cellStyle name="메모 26 2" xfId="0"/>
    <cellStyle name="메모 26 3" xfId="0"/>
    <cellStyle name="메모 27" xfId="0"/>
    <cellStyle name="메모 27 2" xfId="0"/>
    <cellStyle name="메모 27 3" xfId="0"/>
    <cellStyle name="메모 28" xfId="0"/>
    <cellStyle name="메모 28 2" xfId="0"/>
    <cellStyle name="메모 29" xfId="0"/>
    <cellStyle name="메모 29 2" xfId="0"/>
    <cellStyle name="메모 2_3300현금및예치금" xfId="0"/>
    <cellStyle name="메모 3" xfId="0"/>
    <cellStyle name="메모 3 10" xfId="0"/>
    <cellStyle name="메모 3 10 2" xfId="0"/>
    <cellStyle name="메모 3 11" xfId="0"/>
    <cellStyle name="메모 3 11 2" xfId="0"/>
    <cellStyle name="메모 3 12" xfId="0"/>
    <cellStyle name="메모 3 12 2" xfId="0"/>
    <cellStyle name="메모 3 13" xfId="0"/>
    <cellStyle name="메모 3 14" xfId="0"/>
    <cellStyle name="메모 3 15" xfId="0"/>
    <cellStyle name="메모 3 16" xfId="0"/>
    <cellStyle name="메모 3 17" xfId="0"/>
    <cellStyle name="메모 3 18" xfId="0"/>
    <cellStyle name="메모 3 19" xfId="0"/>
    <cellStyle name="메모 3 2" xfId="0"/>
    <cellStyle name="메모 3 2 10" xfId="0"/>
    <cellStyle name="메모 3 2 10 2" xfId="0"/>
    <cellStyle name="메모 3 2 11" xfId="0"/>
    <cellStyle name="메모 3 2 11 2" xfId="0"/>
    <cellStyle name="메모 3 2 12" xfId="0"/>
    <cellStyle name="메모 3 2 12 2" xfId="0"/>
    <cellStyle name="메모 3 2 13" xfId="0"/>
    <cellStyle name="메모 3 2 13 2" xfId="0"/>
    <cellStyle name="메모 3 2 14" xfId="0"/>
    <cellStyle name="메모 3 2 15" xfId="0"/>
    <cellStyle name="메모 3 2 2" xfId="0"/>
    <cellStyle name="메모 3 2 2 2" xfId="0"/>
    <cellStyle name="메모 3 2 3" xfId="0"/>
    <cellStyle name="메모 3 2 3 2" xfId="0"/>
    <cellStyle name="메모 3 2 4" xfId="0"/>
    <cellStyle name="메모 3 2 4 2" xfId="0"/>
    <cellStyle name="메모 3 2 5" xfId="0"/>
    <cellStyle name="메모 3 2 5 2" xfId="0"/>
    <cellStyle name="메모 3 2 6" xfId="0"/>
    <cellStyle name="메모 3 2 6 2" xfId="0"/>
    <cellStyle name="메모 3 2 7" xfId="0"/>
    <cellStyle name="메모 3 2 7 2" xfId="0"/>
    <cellStyle name="메모 3 2 8" xfId="0"/>
    <cellStyle name="메모 3 2 8 2" xfId="0"/>
    <cellStyle name="메모 3 2 9" xfId="0"/>
    <cellStyle name="메모 3 2 9 2" xfId="0"/>
    <cellStyle name="메모 3 20" xfId="0"/>
    <cellStyle name="메모 3 21" xfId="0"/>
    <cellStyle name="메모 3 22" xfId="0"/>
    <cellStyle name="메모 3 23" xfId="0"/>
    <cellStyle name="메모 3 24" xfId="0"/>
    <cellStyle name="메모 3 25" xfId="0"/>
    <cellStyle name="메모 3 26" xfId="0"/>
    <cellStyle name="메모 3 27" xfId="0"/>
    <cellStyle name="메모 3 28" xfId="0"/>
    <cellStyle name="메모 3 29" xfId="0"/>
    <cellStyle name="메모 3 3" xfId="0"/>
    <cellStyle name="메모 3 3 10" xfId="0"/>
    <cellStyle name="메모 3 3 10 2" xfId="0"/>
    <cellStyle name="메모 3 3 11" xfId="0"/>
    <cellStyle name="메모 3 3 11 2" xfId="0"/>
    <cellStyle name="메모 3 3 12" xfId="0"/>
    <cellStyle name="메모 3 3 12 2" xfId="0"/>
    <cellStyle name="메모 3 3 13" xfId="0"/>
    <cellStyle name="메모 3 3 13 2" xfId="0"/>
    <cellStyle name="메모 3 3 14" xfId="0"/>
    <cellStyle name="메모 3 3 15" xfId="0"/>
    <cellStyle name="메모 3 3 2" xfId="0"/>
    <cellStyle name="메모 3 3 2 2" xfId="0"/>
    <cellStyle name="메모 3 3 3" xfId="0"/>
    <cellStyle name="메모 3 3 3 2" xfId="0"/>
    <cellStyle name="메모 3 3 4" xfId="0"/>
    <cellStyle name="메모 3 3 4 2" xfId="0"/>
    <cellStyle name="메모 3 3 5" xfId="0"/>
    <cellStyle name="메모 3 3 5 2" xfId="0"/>
    <cellStyle name="메모 3 3 6" xfId="0"/>
    <cellStyle name="메모 3 3 6 2" xfId="0"/>
    <cellStyle name="메모 3 3 7" xfId="0"/>
    <cellStyle name="메모 3 3 7 2" xfId="0"/>
    <cellStyle name="메모 3 3 8" xfId="0"/>
    <cellStyle name="메모 3 3 8 2" xfId="0"/>
    <cellStyle name="메모 3 3 9" xfId="0"/>
    <cellStyle name="메모 3 3 9 2" xfId="0"/>
    <cellStyle name="메모 3 30" xfId="0"/>
    <cellStyle name="메모 3 4" xfId="0"/>
    <cellStyle name="메모 3 4 2" xfId="0"/>
    <cellStyle name="메모 3 4 3" xfId="0"/>
    <cellStyle name="메모 3 5" xfId="0"/>
    <cellStyle name="메모 3 5 2" xfId="0"/>
    <cellStyle name="메모 3 5 3" xfId="0"/>
    <cellStyle name="메모 3 6" xfId="0"/>
    <cellStyle name="메모 3 6 2" xfId="0"/>
    <cellStyle name="메모 3 6 3" xfId="0"/>
    <cellStyle name="메모 3 7" xfId="0"/>
    <cellStyle name="메모 3 7 2" xfId="0"/>
    <cellStyle name="메모 3 7 3" xfId="0"/>
    <cellStyle name="메모 3 8" xfId="0"/>
    <cellStyle name="메모 3 8 2" xfId="0"/>
    <cellStyle name="메모 3 8 3" xfId="0"/>
    <cellStyle name="메모 3 9" xfId="0"/>
    <cellStyle name="메모 3 9 2" xfId="0"/>
    <cellStyle name="메모 30" xfId="0"/>
    <cellStyle name="메모 30 2" xfId="0"/>
    <cellStyle name="메모 31" xfId="0"/>
    <cellStyle name="메모 31 2" xfId="0"/>
    <cellStyle name="메모 32" xfId="0"/>
    <cellStyle name="메모 32 2" xfId="0"/>
    <cellStyle name="메모 33" xfId="0"/>
    <cellStyle name="메모 33 2" xfId="0"/>
    <cellStyle name="메모 4" xfId="0"/>
    <cellStyle name="메모 4 10" xfId="0"/>
    <cellStyle name="메모 4 11" xfId="0"/>
    <cellStyle name="메모 4 12" xfId="0"/>
    <cellStyle name="메모 4 13" xfId="0"/>
    <cellStyle name="메모 4 14" xfId="0"/>
    <cellStyle name="메모 4 15" xfId="0"/>
    <cellStyle name="메모 4 16" xfId="0"/>
    <cellStyle name="메모 4 17" xfId="0"/>
    <cellStyle name="메모 4 18" xfId="0"/>
    <cellStyle name="메모 4 19" xfId="0"/>
    <cellStyle name="메모 4 2" xfId="0"/>
    <cellStyle name="메모 4 2 10" xfId="0"/>
    <cellStyle name="메모 4 2 10 2" xfId="0"/>
    <cellStyle name="메모 4 2 11" xfId="0"/>
    <cellStyle name="메모 4 2 11 2" xfId="0"/>
    <cellStyle name="메모 4 2 12" xfId="0"/>
    <cellStyle name="메모 4 2 12 2" xfId="0"/>
    <cellStyle name="메모 4 2 13" xfId="0"/>
    <cellStyle name="메모 4 2 13 2" xfId="0"/>
    <cellStyle name="메모 4 2 14" xfId="0"/>
    <cellStyle name="메모 4 2 2" xfId="0"/>
    <cellStyle name="메모 4 2 2 2" xfId="0"/>
    <cellStyle name="메모 4 2 3" xfId="0"/>
    <cellStyle name="메모 4 2 3 2" xfId="0"/>
    <cellStyle name="메모 4 2 4" xfId="0"/>
    <cellStyle name="메모 4 2 4 2" xfId="0"/>
    <cellStyle name="메모 4 2 5" xfId="0"/>
    <cellStyle name="메모 4 2 5 2" xfId="0"/>
    <cellStyle name="메모 4 2 6" xfId="0"/>
    <cellStyle name="메모 4 2 6 2" xfId="0"/>
    <cellStyle name="메모 4 2 7" xfId="0"/>
    <cellStyle name="메모 4 2 7 2" xfId="0"/>
    <cellStyle name="메모 4 2 8" xfId="0"/>
    <cellStyle name="메모 4 2 8 2" xfId="0"/>
    <cellStyle name="메모 4 2 9" xfId="0"/>
    <cellStyle name="메모 4 2 9 2" xfId="0"/>
    <cellStyle name="메모 4 20" xfId="0"/>
    <cellStyle name="메모 4 21" xfId="0"/>
    <cellStyle name="메모 4 22" xfId="0"/>
    <cellStyle name="메모 4 23" xfId="0"/>
    <cellStyle name="메모 4 24" xfId="0"/>
    <cellStyle name="메모 4 25" xfId="0"/>
    <cellStyle name="메모 4 26" xfId="0"/>
    <cellStyle name="메모 4 27" xfId="0"/>
    <cellStyle name="메모 4 28" xfId="0"/>
    <cellStyle name="메모 4 29" xfId="0"/>
    <cellStyle name="메모 4 3" xfId="0"/>
    <cellStyle name="메모 4 3 10" xfId="0"/>
    <cellStyle name="메모 4 3 10 2" xfId="0"/>
    <cellStyle name="메모 4 3 11" xfId="0"/>
    <cellStyle name="메모 4 3 11 2" xfId="0"/>
    <cellStyle name="메모 4 3 12" xfId="0"/>
    <cellStyle name="메모 4 3 12 2" xfId="0"/>
    <cellStyle name="메모 4 3 13" xfId="0"/>
    <cellStyle name="메모 4 3 13 2" xfId="0"/>
    <cellStyle name="메모 4 3 14" xfId="0"/>
    <cellStyle name="메모 4 3 2" xfId="0"/>
    <cellStyle name="메모 4 3 2 2" xfId="0"/>
    <cellStyle name="메모 4 3 3" xfId="0"/>
    <cellStyle name="메모 4 3 3 2" xfId="0"/>
    <cellStyle name="메모 4 3 4" xfId="0"/>
    <cellStyle name="메모 4 3 4 2" xfId="0"/>
    <cellStyle name="메모 4 3 5" xfId="0"/>
    <cellStyle name="메모 4 3 5 2" xfId="0"/>
    <cellStyle name="메모 4 3 6" xfId="0"/>
    <cellStyle name="메모 4 3 6 2" xfId="0"/>
    <cellStyle name="메모 4 3 7" xfId="0"/>
    <cellStyle name="메모 4 3 7 2" xfId="0"/>
    <cellStyle name="메모 4 3 8" xfId="0"/>
    <cellStyle name="메모 4 3 8 2" xfId="0"/>
    <cellStyle name="메모 4 3 9" xfId="0"/>
    <cellStyle name="메모 4 3 9 2" xfId="0"/>
    <cellStyle name="메모 4 30" xfId="0"/>
    <cellStyle name="메모 4 4" xfId="0"/>
    <cellStyle name="메모 4 5" xfId="0"/>
    <cellStyle name="메모 4 6" xfId="0"/>
    <cellStyle name="메모 4 7" xfId="0"/>
    <cellStyle name="메모 4 8" xfId="0"/>
    <cellStyle name="메모 4 8 2" xfId="0"/>
    <cellStyle name="메모 4 9" xfId="0"/>
    <cellStyle name="메모 5" xfId="0"/>
    <cellStyle name="메모 5 10" xfId="0"/>
    <cellStyle name="메모 5 10 2" xfId="0"/>
    <cellStyle name="메모 5 11" xfId="0"/>
    <cellStyle name="메모 5 11 2" xfId="0"/>
    <cellStyle name="메모 5 12" xfId="0"/>
    <cellStyle name="메모 5 12 2" xfId="0"/>
    <cellStyle name="메모 5 13" xfId="0"/>
    <cellStyle name="메모 5 13 2" xfId="0"/>
    <cellStyle name="메모 5 14" xfId="0"/>
    <cellStyle name="메모 5 15" xfId="0"/>
    <cellStyle name="메모 5 16" xfId="0"/>
    <cellStyle name="메모 5 17" xfId="0"/>
    <cellStyle name="메모 5 18" xfId="0"/>
    <cellStyle name="메모 5 19" xfId="0"/>
    <cellStyle name="메모 5 2" xfId="0"/>
    <cellStyle name="메모 5 2 10" xfId="0"/>
    <cellStyle name="메모 5 2 11" xfId="0"/>
    <cellStyle name="메모 5 2 12" xfId="0"/>
    <cellStyle name="메모 5 2 13" xfId="0"/>
    <cellStyle name="메모 5 2 2" xfId="0"/>
    <cellStyle name="메모 5 2 3" xfId="0"/>
    <cellStyle name="메모 5 2 4" xfId="0"/>
    <cellStyle name="메모 5 2 5" xfId="0"/>
    <cellStyle name="메모 5 2 6" xfId="0"/>
    <cellStyle name="메모 5 2 7" xfId="0"/>
    <cellStyle name="메모 5 2 8" xfId="0"/>
    <cellStyle name="메모 5 2 9" xfId="0"/>
    <cellStyle name="메모 5 20" xfId="0"/>
    <cellStyle name="메모 5 21" xfId="0"/>
    <cellStyle name="메모 5 22" xfId="0"/>
    <cellStyle name="메모 5 23" xfId="0"/>
    <cellStyle name="메모 5 24" xfId="0"/>
    <cellStyle name="메모 5 25" xfId="0"/>
    <cellStyle name="메모 5 26" xfId="0"/>
    <cellStyle name="메모 5 27" xfId="0"/>
    <cellStyle name="메모 5 28" xfId="0"/>
    <cellStyle name="메모 5 29" xfId="0"/>
    <cellStyle name="메모 5 3" xfId="0"/>
    <cellStyle name="메모 5 3 10" xfId="0"/>
    <cellStyle name="메모 5 3 11" xfId="0"/>
    <cellStyle name="메모 5 3 12" xfId="0"/>
    <cellStyle name="메모 5 3 13" xfId="0"/>
    <cellStyle name="메모 5 3 2" xfId="0"/>
    <cellStyle name="메모 5 3 3" xfId="0"/>
    <cellStyle name="메모 5 3 4" xfId="0"/>
    <cellStyle name="메모 5 3 5" xfId="0"/>
    <cellStyle name="메모 5 3 6" xfId="0"/>
    <cellStyle name="메모 5 3 7" xfId="0"/>
    <cellStyle name="메모 5 3 8" xfId="0"/>
    <cellStyle name="메모 5 3 9" xfId="0"/>
    <cellStyle name="메모 5 30" xfId="0"/>
    <cellStyle name="메모 5 31" xfId="0"/>
    <cellStyle name="메모 5 32" xfId="0"/>
    <cellStyle name="메모 5 33" xfId="0"/>
    <cellStyle name="메모 5 34" xfId="0"/>
    <cellStyle name="메모 5 4" xfId="0"/>
    <cellStyle name="메모 5 4 10" xfId="0"/>
    <cellStyle name="메모 5 4 11" xfId="0"/>
    <cellStyle name="메모 5 4 12" xfId="0"/>
    <cellStyle name="메모 5 4 13" xfId="0"/>
    <cellStyle name="메모 5 4 2" xfId="0"/>
    <cellStyle name="메모 5 4 3" xfId="0"/>
    <cellStyle name="메모 5 4 4" xfId="0"/>
    <cellStyle name="메모 5 4 5" xfId="0"/>
    <cellStyle name="메모 5 4 6" xfId="0"/>
    <cellStyle name="메모 5 4 7" xfId="0"/>
    <cellStyle name="메모 5 4 8" xfId="0"/>
    <cellStyle name="메모 5 4 9" xfId="0"/>
    <cellStyle name="메모 5 5" xfId="0"/>
    <cellStyle name="메모 5 5 10" xfId="0"/>
    <cellStyle name="메모 5 5 11" xfId="0"/>
    <cellStyle name="메모 5 5 12" xfId="0"/>
    <cellStyle name="메모 5 5 13" xfId="0"/>
    <cellStyle name="메모 5 5 2" xfId="0"/>
    <cellStyle name="메모 5 5 3" xfId="0"/>
    <cellStyle name="메모 5 5 4" xfId="0"/>
    <cellStyle name="메모 5 5 5" xfId="0"/>
    <cellStyle name="메모 5 5 6" xfId="0"/>
    <cellStyle name="메모 5 5 7" xfId="0"/>
    <cellStyle name="메모 5 5 8" xfId="0"/>
    <cellStyle name="메모 5 5 9" xfId="0"/>
    <cellStyle name="메모 5 6" xfId="0"/>
    <cellStyle name="메모 5 6 2" xfId="0"/>
    <cellStyle name="메모 5 7" xfId="0"/>
    <cellStyle name="메모 5 7 2" xfId="0"/>
    <cellStyle name="메모 5 8" xfId="0"/>
    <cellStyle name="메모 5 8 2" xfId="0"/>
    <cellStyle name="메모 5 9" xfId="0"/>
    <cellStyle name="메모 5 9 2" xfId="0"/>
    <cellStyle name="메모 6" xfId="0"/>
    <cellStyle name="메모 6 10" xfId="0"/>
    <cellStyle name="메모 6 10 2" xfId="0"/>
    <cellStyle name="메모 6 11" xfId="0"/>
    <cellStyle name="메모 6 11 2" xfId="0"/>
    <cellStyle name="메모 6 12" xfId="0"/>
    <cellStyle name="메모 6 12 2" xfId="0"/>
    <cellStyle name="메모 6 13" xfId="0"/>
    <cellStyle name="메모 6 13 2" xfId="0"/>
    <cellStyle name="메모 6 14" xfId="0"/>
    <cellStyle name="메모 6 15" xfId="0"/>
    <cellStyle name="메모 6 16" xfId="0"/>
    <cellStyle name="메모 6 17" xfId="0"/>
    <cellStyle name="메모 6 18" xfId="0"/>
    <cellStyle name="메모 6 19" xfId="0"/>
    <cellStyle name="메모 6 2" xfId="0"/>
    <cellStyle name="메모 6 2 2" xfId="0"/>
    <cellStyle name="메모 6 20" xfId="0"/>
    <cellStyle name="메모 6 21" xfId="0"/>
    <cellStyle name="메모 6 22" xfId="0"/>
    <cellStyle name="메모 6 23" xfId="0"/>
    <cellStyle name="메모 6 24" xfId="0"/>
    <cellStyle name="메모 6 25" xfId="0"/>
    <cellStyle name="메모 6 26" xfId="0"/>
    <cellStyle name="메모 6 27" xfId="0"/>
    <cellStyle name="메모 6 28" xfId="0"/>
    <cellStyle name="메모 6 29" xfId="0"/>
    <cellStyle name="메모 6 3" xfId="0"/>
    <cellStyle name="메모 6 3 2" xfId="0"/>
    <cellStyle name="메모 6 30" xfId="0"/>
    <cellStyle name="메모 6 4" xfId="0"/>
    <cellStyle name="메모 6 4 2" xfId="0"/>
    <cellStyle name="메모 6 5" xfId="0"/>
    <cellStyle name="메모 6 5 2" xfId="0"/>
    <cellStyle name="메모 6 6" xfId="0"/>
    <cellStyle name="메모 6 6 2" xfId="0"/>
    <cellStyle name="메모 6 7" xfId="0"/>
    <cellStyle name="메모 6 7 2" xfId="0"/>
    <cellStyle name="메모 6 8" xfId="0"/>
    <cellStyle name="메모 6 8 2" xfId="0"/>
    <cellStyle name="메모 6 9" xfId="0"/>
    <cellStyle name="메모 6 9 2" xfId="0"/>
    <cellStyle name="메모 7" xfId="0"/>
    <cellStyle name="메모 7 10" xfId="0"/>
    <cellStyle name="메모 7 11" xfId="0"/>
    <cellStyle name="메모 7 12" xfId="0"/>
    <cellStyle name="메모 7 13" xfId="0"/>
    <cellStyle name="메모 7 14" xfId="0"/>
    <cellStyle name="메모 7 15" xfId="0"/>
    <cellStyle name="메모 7 2" xfId="0"/>
    <cellStyle name="메모 7 2 2" xfId="0"/>
    <cellStyle name="메모 7 3" xfId="0"/>
    <cellStyle name="메모 7 3 2" xfId="0"/>
    <cellStyle name="메모 7 4" xfId="0"/>
    <cellStyle name="메모 7 4 2" xfId="0"/>
    <cellStyle name="메모 7 5" xfId="0"/>
    <cellStyle name="메모 7 5 2" xfId="0"/>
    <cellStyle name="메모 7 6" xfId="0"/>
    <cellStyle name="메모 7 6 2" xfId="0"/>
    <cellStyle name="메모 7 7" xfId="0"/>
    <cellStyle name="메모 7 8" xfId="0"/>
    <cellStyle name="메모 7 9" xfId="0"/>
    <cellStyle name="메모 8" xfId="0"/>
    <cellStyle name="메모 8 10" xfId="0"/>
    <cellStyle name="메모 8 11" xfId="0"/>
    <cellStyle name="메모 8 12" xfId="0"/>
    <cellStyle name="메모 8 13" xfId="0"/>
    <cellStyle name="메모 8 14" xfId="0"/>
    <cellStyle name="메모 8 2" xfId="0"/>
    <cellStyle name="메모 8 2 2" xfId="0"/>
    <cellStyle name="메모 8 3" xfId="0"/>
    <cellStyle name="메모 8 3 2" xfId="0"/>
    <cellStyle name="메모 8 4" xfId="0"/>
    <cellStyle name="메모 8 4 2" xfId="0"/>
    <cellStyle name="메모 8 5" xfId="0"/>
    <cellStyle name="메모 8 5 2" xfId="0"/>
    <cellStyle name="메모 8 6" xfId="0"/>
    <cellStyle name="메모 8 6 2" xfId="0"/>
    <cellStyle name="메모 8 7" xfId="0"/>
    <cellStyle name="메모 8 8" xfId="0"/>
    <cellStyle name="메모 8 9" xfId="0"/>
    <cellStyle name="메모 9" xfId="0"/>
    <cellStyle name="메모 9 10" xfId="0"/>
    <cellStyle name="메모 9 11" xfId="0"/>
    <cellStyle name="메모 9 12" xfId="0"/>
    <cellStyle name="메모 9 13" xfId="0"/>
    <cellStyle name="메모 9 14" xfId="0"/>
    <cellStyle name="메모 9 2" xfId="0"/>
    <cellStyle name="메모 9 2 2" xfId="0"/>
    <cellStyle name="메모 9 3" xfId="0"/>
    <cellStyle name="메모 9 3 2" xfId="0"/>
    <cellStyle name="메모 9 4" xfId="0"/>
    <cellStyle name="메모 9 4 2" xfId="0"/>
    <cellStyle name="메모 9 5" xfId="0"/>
    <cellStyle name="메모 9 5 2" xfId="0"/>
    <cellStyle name="메모 9 6" xfId="0"/>
    <cellStyle name="메모 9 6 2" xfId="0"/>
    <cellStyle name="메모 9 7" xfId="0"/>
    <cellStyle name="메모 9 8" xfId="0"/>
    <cellStyle name="메모 9 9" xfId="0"/>
    <cellStyle name="메시지" xfId="0"/>
    <cellStyle name="묮뎋 [0.00]_PRODUCT DETAIL Q1" xfId="0"/>
    <cellStyle name="묮뎋_PRODUCT DETAIL Q1" xfId="0"/>
    <cellStyle name="문자" xfId="0"/>
    <cellStyle name="문자열" xfId="0"/>
    <cellStyle name="문자열(가운데맞춤)" xfId="0"/>
    <cellStyle name="믅됞 [0.00]_9703JPY" xfId="0"/>
    <cellStyle name="믅됞_9703JPY" xfId="0"/>
    <cellStyle name="미정" xfId="0"/>
    <cellStyle name="민" xfId="0"/>
    <cellStyle name="바깥" xfId="0"/>
    <cellStyle name="백" xfId="0"/>
    <cellStyle name="백_Valuation_(주)LG_ver1" xfId="0"/>
    <cellStyle name="백만" xfId="0"/>
    <cellStyle name="백만원" xfId="0"/>
    <cellStyle name="백분율 10" xfId="0"/>
    <cellStyle name="백분율 11" xfId="0"/>
    <cellStyle name="백분율 12" xfId="0"/>
    <cellStyle name="백분율 13" xfId="0"/>
    <cellStyle name="백분율 14" xfId="0"/>
    <cellStyle name="백분율 15" xfId="0"/>
    <cellStyle name="백분율 16" xfId="0"/>
    <cellStyle name="백분율 17" xfId="0"/>
    <cellStyle name="백분율 18" xfId="0"/>
    <cellStyle name="백분율 19" xfId="0"/>
    <cellStyle name="백분율 2" xfId="0"/>
    <cellStyle name="백분율 2 10" xfId="0"/>
    <cellStyle name="백분율 2 10 2" xfId="0"/>
    <cellStyle name="백분율 2 10 3" xfId="0"/>
    <cellStyle name="백분율 2 10 4" xfId="0"/>
    <cellStyle name="백분율 2 10 5" xfId="0"/>
    <cellStyle name="백분율 2 11" xfId="0"/>
    <cellStyle name="백분율 2 11 2" xfId="0"/>
    <cellStyle name="백분율 2 11 3" xfId="0"/>
    <cellStyle name="백분율 2 11 4" xfId="0"/>
    <cellStyle name="백분율 2 11 5" xfId="0"/>
    <cellStyle name="백분율 2 12" xfId="0"/>
    <cellStyle name="백분율 2 12 2" xfId="0"/>
    <cellStyle name="백분율 2 12 3" xfId="0"/>
    <cellStyle name="백분율 2 12 4" xfId="0"/>
    <cellStyle name="백분율 2 12 5" xfId="0"/>
    <cellStyle name="백분율 2 13" xfId="0"/>
    <cellStyle name="백분율 2 14" xfId="0"/>
    <cellStyle name="백분율 2 15" xfId="0"/>
    <cellStyle name="백분율 2 16" xfId="0"/>
    <cellStyle name="백분율 2 17" xfId="0"/>
    <cellStyle name="백분율 2 2" xfId="0"/>
    <cellStyle name="백분율 2 2 2" xfId="0"/>
    <cellStyle name="백분율 2 2 3" xfId="0"/>
    <cellStyle name="백분율 2 3" xfId="0"/>
    <cellStyle name="백분율 2 3 2" xfId="0"/>
    <cellStyle name="백분율 2 3 3" xfId="0"/>
    <cellStyle name="백분율 2 4" xfId="0"/>
    <cellStyle name="백분율 2 4 2" xfId="0"/>
    <cellStyle name="백분율 2 5" xfId="0"/>
    <cellStyle name="백분율 2 6" xfId="0"/>
    <cellStyle name="백분율 2 7" xfId="0"/>
    <cellStyle name="백분율 2 8" xfId="0"/>
    <cellStyle name="백분율 2 8 10" xfId="0"/>
    <cellStyle name="백분율 2 8 2" xfId="0"/>
    <cellStyle name="백분율 2 8 2 2" xfId="0"/>
    <cellStyle name="백분율 2 8 2 3" xfId="0"/>
    <cellStyle name="백분율 2 8 2 4" xfId="0"/>
    <cellStyle name="백분율 2 8 2 5" xfId="0"/>
    <cellStyle name="백분율 2 8 3" xfId="0"/>
    <cellStyle name="백분율 2 8 3 2" xfId="0"/>
    <cellStyle name="백분율 2 8 3 3" xfId="0"/>
    <cellStyle name="백분율 2 8 3 4" xfId="0"/>
    <cellStyle name="백분율 2 8 3 5" xfId="0"/>
    <cellStyle name="백분율 2 8 4" xfId="0"/>
    <cellStyle name="백분율 2 8 4 2" xfId="0"/>
    <cellStyle name="백분율 2 8 4 3" xfId="0"/>
    <cellStyle name="백분율 2 8 4 4" xfId="0"/>
    <cellStyle name="백분율 2 8 4 5" xfId="0"/>
    <cellStyle name="백분율 2 8 5" xfId="0"/>
    <cellStyle name="백분율 2 8 5 2" xfId="0"/>
    <cellStyle name="백분율 2 8 5 3" xfId="0"/>
    <cellStyle name="백분율 2 8 5 4" xfId="0"/>
    <cellStyle name="백분율 2 8 5 5" xfId="0"/>
    <cellStyle name="백분율 2 8 6" xfId="0"/>
    <cellStyle name="백분율 2 8 7" xfId="0"/>
    <cellStyle name="백분율 2 8 8" xfId="0"/>
    <cellStyle name="백분율 2 8 9" xfId="0"/>
    <cellStyle name="백분율 2 9" xfId="0"/>
    <cellStyle name="백분율 2 9 2" xfId="0"/>
    <cellStyle name="백분율 2 9 3" xfId="0"/>
    <cellStyle name="백분율 2 9 4" xfId="0"/>
    <cellStyle name="백분율 2 9 5" xfId="0"/>
    <cellStyle name="백분율 20" xfId="0"/>
    <cellStyle name="백분율 21" xfId="0"/>
    <cellStyle name="백분율 3" xfId="0"/>
    <cellStyle name="백분율 3 2" xfId="0"/>
    <cellStyle name="백분율 3 2 2" xfId="0"/>
    <cellStyle name="백분율 3 2 2 2" xfId="0"/>
    <cellStyle name="백분율 3 2 2 3" xfId="0"/>
    <cellStyle name="백분율 3 2 2 3 2" xfId="0"/>
    <cellStyle name="백분율 3 2 2 3 2 2" xfId="0"/>
    <cellStyle name="백분율 3 2 2 3 2 2 2" xfId="0"/>
    <cellStyle name="백분율 3 2 2 3 2 2 2 2" xfId="0"/>
    <cellStyle name="백분율 3 2 2 3 2 2 2 2 2" xfId="0"/>
    <cellStyle name="백분율 3 2 2 3 2 2 2 2 2 2" xfId="0"/>
    <cellStyle name="백분율 3 2 2 3 2 2 2 2 2 2 2" xfId="0"/>
    <cellStyle name="백분율 3 2 2 3 2 2 2 2 2 2 2 2" xfId="0"/>
    <cellStyle name="백분율 3 2 2 3 2 2 2 2 2 2 2 2 2" xfId="0"/>
    <cellStyle name="백분율 3 2 2 4" xfId="0"/>
    <cellStyle name="백분율 3 2 3" xfId="0"/>
    <cellStyle name="백분율 3 3" xfId="0"/>
    <cellStyle name="백분율 3 3 2" xfId="0"/>
    <cellStyle name="백분율 3 3 3" xfId="0"/>
    <cellStyle name="백분율 3 4" xfId="0"/>
    <cellStyle name="백분율 3 5" xfId="0"/>
    <cellStyle name="백분율 3 6" xfId="0"/>
    <cellStyle name="백분율 3 7" xfId="0"/>
    <cellStyle name="백분율 4" xfId="0"/>
    <cellStyle name="백분율 4 2" xfId="0"/>
    <cellStyle name="백분율 4 3" xfId="0"/>
    <cellStyle name="백분율 41" xfId="0"/>
    <cellStyle name="백분율 5" xfId="0"/>
    <cellStyle name="백분율 5 2" xfId="0"/>
    <cellStyle name="백분율 5 3" xfId="0"/>
    <cellStyle name="백분율 6" xfId="0"/>
    <cellStyle name="백분율 6 2" xfId="0"/>
    <cellStyle name="백분율 6 3" xfId="0"/>
    <cellStyle name="백분율 6 4" xfId="0"/>
    <cellStyle name="백분율 6 5" xfId="0"/>
    <cellStyle name="백분율 7" xfId="0"/>
    <cellStyle name="백분율 8" xfId="0"/>
    <cellStyle name="백분율 9" xfId="0"/>
    <cellStyle name="백분율 [0]" xfId="0"/>
    <cellStyle name="백분율 [2]" xfId="0"/>
    <cellStyle name="백분율[2]" xfId="0"/>
    <cellStyle name="보고서" xfId="0"/>
    <cellStyle name="보통 10" xfId="0"/>
    <cellStyle name="보통 10 2" xfId="0"/>
    <cellStyle name="보통 10 2 2" xfId="0"/>
    <cellStyle name="보통 10 3" xfId="0"/>
    <cellStyle name="보통 10 3 2" xfId="0"/>
    <cellStyle name="보통 10 4" xfId="0"/>
    <cellStyle name="보통 10 4 2" xfId="0"/>
    <cellStyle name="보통 10 5" xfId="0"/>
    <cellStyle name="보통 10 6" xfId="0"/>
    <cellStyle name="보통 10 7" xfId="0"/>
    <cellStyle name="보통 11" xfId="0"/>
    <cellStyle name="보통 11 2" xfId="0"/>
    <cellStyle name="보통 11 2 2" xfId="0"/>
    <cellStyle name="보통 11 3" xfId="0"/>
    <cellStyle name="보통 11 3 2" xfId="0"/>
    <cellStyle name="보통 11 4" xfId="0"/>
    <cellStyle name="보통 11 4 2" xfId="0"/>
    <cellStyle name="보통 11 5" xfId="0"/>
    <cellStyle name="보통 11 6" xfId="0"/>
    <cellStyle name="보통 11 7" xfId="0"/>
    <cellStyle name="보통 12" xfId="0"/>
    <cellStyle name="보통 12 2" xfId="0"/>
    <cellStyle name="보통 12 3" xfId="0"/>
    <cellStyle name="보통 12 4" xfId="0"/>
    <cellStyle name="보통 12 5" xfId="0"/>
    <cellStyle name="보통 13" xfId="0"/>
    <cellStyle name="보통 13 2" xfId="0"/>
    <cellStyle name="보통 13 3" xfId="0"/>
    <cellStyle name="보통 13 4" xfId="0"/>
    <cellStyle name="보통 13 5" xfId="0"/>
    <cellStyle name="보통 14" xfId="0"/>
    <cellStyle name="보통 14 2" xfId="0"/>
    <cellStyle name="보통 15" xfId="0"/>
    <cellStyle name="보통 15 2" xfId="0"/>
    <cellStyle name="보통 16" xfId="0"/>
    <cellStyle name="보통 16 2" xfId="0"/>
    <cellStyle name="보통 17" xfId="0"/>
    <cellStyle name="보통 17 2" xfId="0"/>
    <cellStyle name="보통 18" xfId="0"/>
    <cellStyle name="보통 19" xfId="0"/>
    <cellStyle name="보통 2" xfId="0"/>
    <cellStyle name="보통 2 10" xfId="0"/>
    <cellStyle name="보통 2 11" xfId="0"/>
    <cellStyle name="보통 2 12" xfId="0"/>
    <cellStyle name="보통 2 13" xfId="0"/>
    <cellStyle name="보통 2 2" xfId="0"/>
    <cellStyle name="보통 2 2 10" xfId="0"/>
    <cellStyle name="보통 2 2 2" xfId="0"/>
    <cellStyle name="보통 2 2 3" xfId="0"/>
    <cellStyle name="보통 2 2 4" xfId="0"/>
    <cellStyle name="보통 2 2 5" xfId="0"/>
    <cellStyle name="보통 2 2 6" xfId="0"/>
    <cellStyle name="보통 2 2 7" xfId="0"/>
    <cellStyle name="보통 2 2 8" xfId="0"/>
    <cellStyle name="보통 2 2 9" xfId="0"/>
    <cellStyle name="보통 2 3" xfId="0"/>
    <cellStyle name="보통 2 3 10" xfId="0"/>
    <cellStyle name="보통 2 3 2" xfId="0"/>
    <cellStyle name="보통 2 3 3" xfId="0"/>
    <cellStyle name="보통 2 3 4" xfId="0"/>
    <cellStyle name="보통 2 3 5" xfId="0"/>
    <cellStyle name="보통 2 3 6" xfId="0"/>
    <cellStyle name="보통 2 3 7" xfId="0"/>
    <cellStyle name="보통 2 3 8" xfId="0"/>
    <cellStyle name="보통 2 3 9" xfId="0"/>
    <cellStyle name="보통 2 4" xfId="0"/>
    <cellStyle name="보통 2 4 10" xfId="0"/>
    <cellStyle name="보통 2 4 2" xfId="0"/>
    <cellStyle name="보통 2 4 3" xfId="0"/>
    <cellStyle name="보통 2 4 4" xfId="0"/>
    <cellStyle name="보통 2 4 5" xfId="0"/>
    <cellStyle name="보통 2 4 6" xfId="0"/>
    <cellStyle name="보통 2 4 7" xfId="0"/>
    <cellStyle name="보통 2 4 8" xfId="0"/>
    <cellStyle name="보통 2 4 9" xfId="0"/>
    <cellStyle name="보통 2 5" xfId="0"/>
    <cellStyle name="보통 2 5 10" xfId="0"/>
    <cellStyle name="보통 2 5 2" xfId="0"/>
    <cellStyle name="보통 2 5 3" xfId="0"/>
    <cellStyle name="보통 2 5 4" xfId="0"/>
    <cellStyle name="보통 2 5 5" xfId="0"/>
    <cellStyle name="보통 2 5 6" xfId="0"/>
    <cellStyle name="보통 2 5 7" xfId="0"/>
    <cellStyle name="보통 2 5 8" xfId="0"/>
    <cellStyle name="보통 2 5 9" xfId="0"/>
    <cellStyle name="보통 2 6" xfId="0"/>
    <cellStyle name="보통 2 6 10" xfId="0"/>
    <cellStyle name="보통 2 6 2" xfId="0"/>
    <cellStyle name="보통 2 6 3" xfId="0"/>
    <cellStyle name="보통 2 6 4" xfId="0"/>
    <cellStyle name="보통 2 6 5" xfId="0"/>
    <cellStyle name="보통 2 6 6" xfId="0"/>
    <cellStyle name="보통 2 6 7" xfId="0"/>
    <cellStyle name="보통 2 6 8" xfId="0"/>
    <cellStyle name="보통 2 6 9" xfId="0"/>
    <cellStyle name="보통 2 7" xfId="0"/>
    <cellStyle name="보통 2 7 10" xfId="0"/>
    <cellStyle name="보통 2 7 2" xfId="0"/>
    <cellStyle name="보통 2 7 3" xfId="0"/>
    <cellStyle name="보통 2 7 4" xfId="0"/>
    <cellStyle name="보통 2 7 5" xfId="0"/>
    <cellStyle name="보통 2 7 6" xfId="0"/>
    <cellStyle name="보통 2 7 7" xfId="0"/>
    <cellStyle name="보통 2 7 8" xfId="0"/>
    <cellStyle name="보통 2 7 9" xfId="0"/>
    <cellStyle name="보통 2 8" xfId="0"/>
    <cellStyle name="보통 2 8 2" xfId="0"/>
    <cellStyle name="보통 2 9" xfId="0"/>
    <cellStyle name="보통 20" xfId="0"/>
    <cellStyle name="보통 21" xfId="0"/>
    <cellStyle name="보통 22" xfId="0"/>
    <cellStyle name="보통 23" xfId="0"/>
    <cellStyle name="보통 24" xfId="0"/>
    <cellStyle name="보통 25" xfId="0"/>
    <cellStyle name="보통 26" xfId="0"/>
    <cellStyle name="보통 27" xfId="0"/>
    <cellStyle name="보통 2_3300현금및예치금" xfId="0"/>
    <cellStyle name="보통 3" xfId="0"/>
    <cellStyle name="보통 3 10" xfId="0"/>
    <cellStyle name="보통 3 10 2" xfId="0"/>
    <cellStyle name="보통 3 11" xfId="0"/>
    <cellStyle name="보통 3 11 2" xfId="0"/>
    <cellStyle name="보통 3 12" xfId="0"/>
    <cellStyle name="보통 3 12 2" xfId="0"/>
    <cellStyle name="보통 3 13" xfId="0"/>
    <cellStyle name="보통 3 14" xfId="0"/>
    <cellStyle name="보통 3 15" xfId="0"/>
    <cellStyle name="보통 3 16" xfId="0"/>
    <cellStyle name="보통 3 17" xfId="0"/>
    <cellStyle name="보통 3 18" xfId="0"/>
    <cellStyle name="보통 3 19" xfId="0"/>
    <cellStyle name="보통 3 2" xfId="0"/>
    <cellStyle name="보통 3 2 2" xfId="0"/>
    <cellStyle name="보통 3 2 3" xfId="0"/>
    <cellStyle name="보통 3 20" xfId="0"/>
    <cellStyle name="보통 3 3" xfId="0"/>
    <cellStyle name="보통 3 3 2" xfId="0"/>
    <cellStyle name="보통 3 3 3" xfId="0"/>
    <cellStyle name="보통 3 4" xfId="0"/>
    <cellStyle name="보통 3 4 2" xfId="0"/>
    <cellStyle name="보통 3 4 3" xfId="0"/>
    <cellStyle name="보통 3 5" xfId="0"/>
    <cellStyle name="보통 3 5 2" xfId="0"/>
    <cellStyle name="보통 3 5 3" xfId="0"/>
    <cellStyle name="보통 3 6" xfId="0"/>
    <cellStyle name="보통 3 6 2" xfId="0"/>
    <cellStyle name="보통 3 6 2 2" xfId="0"/>
    <cellStyle name="보통 3 6 3" xfId="0"/>
    <cellStyle name="보통 3 6 4" xfId="0"/>
    <cellStyle name="보통 3 6 5" xfId="0"/>
    <cellStyle name="보통 3 7" xfId="0"/>
    <cellStyle name="보통 3 7 2" xfId="0"/>
    <cellStyle name="보통 3 7 3" xfId="0"/>
    <cellStyle name="보통 3 8" xfId="0"/>
    <cellStyle name="보통 3 8 2" xfId="0"/>
    <cellStyle name="보통 3 8 3" xfId="0"/>
    <cellStyle name="보통 3 9" xfId="0"/>
    <cellStyle name="보통 3 9 2" xfId="0"/>
    <cellStyle name="보통 3_운용자산별 손익분석" xfId="0"/>
    <cellStyle name="보통 4" xfId="0"/>
    <cellStyle name="보통 4 10" xfId="0"/>
    <cellStyle name="보통 4 11" xfId="0"/>
    <cellStyle name="보통 4 12" xfId="0"/>
    <cellStyle name="보통 4 13" xfId="0"/>
    <cellStyle name="보통 4 2" xfId="0"/>
    <cellStyle name="보통 4 3" xfId="0"/>
    <cellStyle name="보통 4 4" xfId="0"/>
    <cellStyle name="보통 4 5" xfId="0"/>
    <cellStyle name="보통 4 6" xfId="0"/>
    <cellStyle name="보통 4 7" xfId="0"/>
    <cellStyle name="보통 4 8" xfId="0"/>
    <cellStyle name="보통 4 9" xfId="0"/>
    <cellStyle name="보통 4_운용자산별 손익분석" xfId="0"/>
    <cellStyle name="보통 5" xfId="0"/>
    <cellStyle name="보통 5 10" xfId="0"/>
    <cellStyle name="보통 5 11" xfId="0"/>
    <cellStyle name="보통 5 12" xfId="0"/>
    <cellStyle name="보통 5 13" xfId="0"/>
    <cellStyle name="보통 5 14" xfId="0"/>
    <cellStyle name="보통 5 15" xfId="0"/>
    <cellStyle name="보통 5 16" xfId="0"/>
    <cellStyle name="보통 5 17" xfId="0"/>
    <cellStyle name="보통 5 18" xfId="0"/>
    <cellStyle name="보통 5 19" xfId="0"/>
    <cellStyle name="보통 5 2" xfId="0"/>
    <cellStyle name="보통 5 20" xfId="0"/>
    <cellStyle name="보통 5 21" xfId="0"/>
    <cellStyle name="보통 5 22" xfId="0"/>
    <cellStyle name="보통 5 23" xfId="0"/>
    <cellStyle name="보통 5 24" xfId="0"/>
    <cellStyle name="보통 5 25" xfId="0"/>
    <cellStyle name="보통 5 26" xfId="0"/>
    <cellStyle name="보통 5 27" xfId="0"/>
    <cellStyle name="보통 5 28" xfId="0"/>
    <cellStyle name="보통 5 29" xfId="0"/>
    <cellStyle name="보통 5 3" xfId="0"/>
    <cellStyle name="보통 5 30" xfId="0"/>
    <cellStyle name="보통 5 31" xfId="0"/>
    <cellStyle name="보통 5 32" xfId="0"/>
    <cellStyle name="보통 5 33" xfId="0"/>
    <cellStyle name="보통 5 34" xfId="0"/>
    <cellStyle name="보통 5 4" xfId="0"/>
    <cellStyle name="보통 5 5" xfId="0"/>
    <cellStyle name="보통 5 6" xfId="0"/>
    <cellStyle name="보통 5 7" xfId="0"/>
    <cellStyle name="보통 5 8" xfId="0"/>
    <cellStyle name="보통 5 9" xfId="0"/>
    <cellStyle name="보통 6" xfId="0"/>
    <cellStyle name="보통 6 10" xfId="0"/>
    <cellStyle name="보통 6 11" xfId="0"/>
    <cellStyle name="보통 6 12" xfId="0"/>
    <cellStyle name="보통 6 13" xfId="0"/>
    <cellStyle name="보통 6 14" xfId="0"/>
    <cellStyle name="보통 6 15" xfId="0"/>
    <cellStyle name="보통 6 16" xfId="0"/>
    <cellStyle name="보통 6 17" xfId="0"/>
    <cellStyle name="보통 6 18" xfId="0"/>
    <cellStyle name="보통 6 19" xfId="0"/>
    <cellStyle name="보통 6 2" xfId="0"/>
    <cellStyle name="보통 6 20" xfId="0"/>
    <cellStyle name="보통 6 21" xfId="0"/>
    <cellStyle name="보통 6 22" xfId="0"/>
    <cellStyle name="보통 6 23" xfId="0"/>
    <cellStyle name="보통 6 24" xfId="0"/>
    <cellStyle name="보통 6 25" xfId="0"/>
    <cellStyle name="보통 6 26" xfId="0"/>
    <cellStyle name="보통 6 27" xfId="0"/>
    <cellStyle name="보통 6 28" xfId="0"/>
    <cellStyle name="보통 6 29" xfId="0"/>
    <cellStyle name="보통 6 3" xfId="0"/>
    <cellStyle name="보통 6 30" xfId="0"/>
    <cellStyle name="보통 6 4" xfId="0"/>
    <cellStyle name="보통 6 5" xfId="0"/>
    <cellStyle name="보통 6 6" xfId="0"/>
    <cellStyle name="보통 6 7" xfId="0"/>
    <cellStyle name="보통 6 8" xfId="0"/>
    <cellStyle name="보통 6 9" xfId="0"/>
    <cellStyle name="보통 7" xfId="0"/>
    <cellStyle name="보통 7 10" xfId="0"/>
    <cellStyle name="보통 7 11" xfId="0"/>
    <cellStyle name="보통 7 12" xfId="0"/>
    <cellStyle name="보통 7 13" xfId="0"/>
    <cellStyle name="보통 7 14" xfId="0"/>
    <cellStyle name="보통 7 15" xfId="0"/>
    <cellStyle name="보통 7 2" xfId="0"/>
    <cellStyle name="보통 7 2 2" xfId="0"/>
    <cellStyle name="보통 7 3" xfId="0"/>
    <cellStyle name="보통 7 3 2" xfId="0"/>
    <cellStyle name="보통 7 4" xfId="0"/>
    <cellStyle name="보통 7 4 2" xfId="0"/>
    <cellStyle name="보통 7 5" xfId="0"/>
    <cellStyle name="보통 7 5 2" xfId="0"/>
    <cellStyle name="보통 7 6" xfId="0"/>
    <cellStyle name="보통 7 6 2" xfId="0"/>
    <cellStyle name="보통 7 7" xfId="0"/>
    <cellStyle name="보통 7 8" xfId="0"/>
    <cellStyle name="보통 7 9" xfId="0"/>
    <cellStyle name="보통 8" xfId="0"/>
    <cellStyle name="보통 8 10" xfId="0"/>
    <cellStyle name="보통 8 11" xfId="0"/>
    <cellStyle name="보통 8 12" xfId="0"/>
    <cellStyle name="보통 8 13" xfId="0"/>
    <cellStyle name="보통 8 14" xfId="0"/>
    <cellStyle name="보통 8 2" xfId="0"/>
    <cellStyle name="보통 8 2 2" xfId="0"/>
    <cellStyle name="보통 8 3" xfId="0"/>
    <cellStyle name="보통 8 3 2" xfId="0"/>
    <cellStyle name="보통 8 4" xfId="0"/>
    <cellStyle name="보통 8 4 2" xfId="0"/>
    <cellStyle name="보통 8 5" xfId="0"/>
    <cellStyle name="보통 8 5 2" xfId="0"/>
    <cellStyle name="보통 8 6" xfId="0"/>
    <cellStyle name="보통 8 6 2" xfId="0"/>
    <cellStyle name="보통 8 7" xfId="0"/>
    <cellStyle name="보통 8 8" xfId="0"/>
    <cellStyle name="보통 8 9" xfId="0"/>
    <cellStyle name="보통 9" xfId="0"/>
    <cellStyle name="보통 9 10" xfId="0"/>
    <cellStyle name="보통 9 11" xfId="0"/>
    <cellStyle name="보통 9 12" xfId="0"/>
    <cellStyle name="보통 9 13" xfId="0"/>
    <cellStyle name="보통 9 14" xfId="0"/>
    <cellStyle name="보통 9 2" xfId="0"/>
    <cellStyle name="보통 9 2 2" xfId="0"/>
    <cellStyle name="보통 9 3" xfId="0"/>
    <cellStyle name="보통 9 3 2" xfId="0"/>
    <cellStyle name="보통 9 4" xfId="0"/>
    <cellStyle name="보통 9 4 2" xfId="0"/>
    <cellStyle name="보통 9 5" xfId="0"/>
    <cellStyle name="보통 9 5 2" xfId="0"/>
    <cellStyle name="보통 9 6" xfId="0"/>
    <cellStyle name="보통 9 6 2" xfId="0"/>
    <cellStyle name="보통 9 7" xfId="0"/>
    <cellStyle name="보통 9 8" xfId="0"/>
    <cellStyle name="보통 9 9" xfId="0"/>
    <cellStyle name="뷭?" xfId="0"/>
    <cellStyle name="사용자" xfId="0"/>
    <cellStyle name="사원명무 표준" xfId="0"/>
    <cellStyle name="삼일-금지" xfId="0"/>
    <cellStyle name="삼일-입력" xfId="0"/>
    <cellStyle name="새귑[0]_롤痰삠悧 " xfId="0"/>
    <cellStyle name="새귑_롤痰삠悧 " xfId="0"/>
    <cellStyle name="선 수 보 험 료" xfId="0"/>
    <cellStyle name="선우공정현황" xfId="0"/>
    <cellStyle name="선택영역의 가운데로" xfId="0"/>
    <cellStyle name="선택중앙" xfId="0"/>
    <cellStyle name="설계서-내용" xfId="0"/>
    <cellStyle name="설계서-내용-소수점" xfId="0"/>
    <cellStyle name="설계서-내용-우" xfId="0"/>
    <cellStyle name="설계서-내용-좌" xfId="0"/>
    <cellStyle name="설계서-소제목" xfId="0"/>
    <cellStyle name="설계서-타이틀" xfId="0"/>
    <cellStyle name="설계서-항목" xfId="0"/>
    <cellStyle name="설명 텍스트 10" xfId="0"/>
    <cellStyle name="설명 텍스트 10 2" xfId="0"/>
    <cellStyle name="설명 텍스트 10 2 2" xfId="0"/>
    <cellStyle name="설명 텍스트 10 3" xfId="0"/>
    <cellStyle name="설명 텍스트 10 3 2" xfId="0"/>
    <cellStyle name="설명 텍스트 10 4" xfId="0"/>
    <cellStyle name="설명 텍스트 10 4 2" xfId="0"/>
    <cellStyle name="설명 텍스트 10 5" xfId="0"/>
    <cellStyle name="설명 텍스트 10 6" xfId="0"/>
    <cellStyle name="설명 텍스트 10 7" xfId="0"/>
    <cellStyle name="설명 텍스트 11" xfId="0"/>
    <cellStyle name="설명 텍스트 11 2" xfId="0"/>
    <cellStyle name="설명 텍스트 11 2 2" xfId="0"/>
    <cellStyle name="설명 텍스트 11 3" xfId="0"/>
    <cellStyle name="설명 텍스트 11 3 2" xfId="0"/>
    <cellStyle name="설명 텍스트 11 4" xfId="0"/>
    <cellStyle name="설명 텍스트 11 4 2" xfId="0"/>
    <cellStyle name="설명 텍스트 11 5" xfId="0"/>
    <cellStyle name="설명 텍스트 11 6" xfId="0"/>
    <cellStyle name="설명 텍스트 11 7" xfId="0"/>
    <cellStyle name="설명 텍스트 12" xfId="0"/>
    <cellStyle name="설명 텍스트 12 2" xfId="0"/>
    <cellStyle name="설명 텍스트 12 3" xfId="0"/>
    <cellStyle name="설명 텍스트 12 4" xfId="0"/>
    <cellStyle name="설명 텍스트 12 5" xfId="0"/>
    <cellStyle name="설명 텍스트 13" xfId="0"/>
    <cellStyle name="설명 텍스트 13 2" xfId="0"/>
    <cellStyle name="설명 텍스트 13 3" xfId="0"/>
    <cellStyle name="설명 텍스트 13 4" xfId="0"/>
    <cellStyle name="설명 텍스트 13 5" xfId="0"/>
    <cellStyle name="설명 텍스트 14" xfId="0"/>
    <cellStyle name="설명 텍스트 14 2" xfId="0"/>
    <cellStyle name="설명 텍스트 15" xfId="0"/>
    <cellStyle name="설명 텍스트 15 2" xfId="0"/>
    <cellStyle name="설명 텍스트 16" xfId="0"/>
    <cellStyle name="설명 텍스트 16 2" xfId="0"/>
    <cellStyle name="설명 텍스트 17" xfId="0"/>
    <cellStyle name="설명 텍스트 17 2" xfId="0"/>
    <cellStyle name="설명 텍스트 18" xfId="0"/>
    <cellStyle name="설명 텍스트 19" xfId="0"/>
    <cellStyle name="설명 텍스트 2" xfId="0"/>
    <cellStyle name="설명 텍스트 2 10" xfId="0"/>
    <cellStyle name="설명 텍스트 2 11" xfId="0"/>
    <cellStyle name="설명 텍스트 2 12" xfId="0"/>
    <cellStyle name="설명 텍스트 2 13" xfId="0"/>
    <cellStyle name="설명 텍스트 2 2" xfId="0"/>
    <cellStyle name="설명 텍스트 2 2 10" xfId="0"/>
    <cellStyle name="설명 텍스트 2 2 2" xfId="0"/>
    <cellStyle name="설명 텍스트 2 2 3" xfId="0"/>
    <cellStyle name="설명 텍스트 2 2 4" xfId="0"/>
    <cellStyle name="설명 텍스트 2 2 5" xfId="0"/>
    <cellStyle name="설명 텍스트 2 2 6" xfId="0"/>
    <cellStyle name="설명 텍스트 2 2 7" xfId="0"/>
    <cellStyle name="설명 텍스트 2 2 8" xfId="0"/>
    <cellStyle name="설명 텍스트 2 2 9" xfId="0"/>
    <cellStyle name="설명 텍스트 2 3" xfId="0"/>
    <cellStyle name="설명 텍스트 2 3 10" xfId="0"/>
    <cellStyle name="설명 텍스트 2 3 2" xfId="0"/>
    <cellStyle name="설명 텍스트 2 3 3" xfId="0"/>
    <cellStyle name="설명 텍스트 2 3 4" xfId="0"/>
    <cellStyle name="설명 텍스트 2 3 5" xfId="0"/>
    <cellStyle name="설명 텍스트 2 3 6" xfId="0"/>
    <cellStyle name="설명 텍스트 2 3 7" xfId="0"/>
    <cellStyle name="설명 텍스트 2 3 8" xfId="0"/>
    <cellStyle name="설명 텍스트 2 3 9" xfId="0"/>
    <cellStyle name="설명 텍스트 2 4" xfId="0"/>
    <cellStyle name="설명 텍스트 2 4 10" xfId="0"/>
    <cellStyle name="설명 텍스트 2 4 2" xfId="0"/>
    <cellStyle name="설명 텍스트 2 4 3" xfId="0"/>
    <cellStyle name="설명 텍스트 2 4 4" xfId="0"/>
    <cellStyle name="설명 텍스트 2 4 5" xfId="0"/>
    <cellStyle name="설명 텍스트 2 4 6" xfId="0"/>
    <cellStyle name="설명 텍스트 2 4 7" xfId="0"/>
    <cellStyle name="설명 텍스트 2 4 8" xfId="0"/>
    <cellStyle name="설명 텍스트 2 4 9" xfId="0"/>
    <cellStyle name="설명 텍스트 2 5" xfId="0"/>
    <cellStyle name="설명 텍스트 2 5 10" xfId="0"/>
    <cellStyle name="설명 텍스트 2 5 2" xfId="0"/>
    <cellStyle name="설명 텍스트 2 5 3" xfId="0"/>
    <cellStyle name="설명 텍스트 2 5 4" xfId="0"/>
    <cellStyle name="설명 텍스트 2 5 5" xfId="0"/>
    <cellStyle name="설명 텍스트 2 5 6" xfId="0"/>
    <cellStyle name="설명 텍스트 2 5 7" xfId="0"/>
    <cellStyle name="설명 텍스트 2 5 8" xfId="0"/>
    <cellStyle name="설명 텍스트 2 5 9" xfId="0"/>
    <cellStyle name="설명 텍스트 2 6" xfId="0"/>
    <cellStyle name="설명 텍스트 2 6 10" xfId="0"/>
    <cellStyle name="설명 텍스트 2 6 2" xfId="0"/>
    <cellStyle name="설명 텍스트 2 6 3" xfId="0"/>
    <cellStyle name="설명 텍스트 2 6 4" xfId="0"/>
    <cellStyle name="설명 텍스트 2 6 5" xfId="0"/>
    <cellStyle name="설명 텍스트 2 6 6" xfId="0"/>
    <cellStyle name="설명 텍스트 2 6 7" xfId="0"/>
    <cellStyle name="설명 텍스트 2 6 8" xfId="0"/>
    <cellStyle name="설명 텍스트 2 6 9" xfId="0"/>
    <cellStyle name="설명 텍스트 2 7" xfId="0"/>
    <cellStyle name="설명 텍스트 2 7 10" xfId="0"/>
    <cellStyle name="설명 텍스트 2 7 2" xfId="0"/>
    <cellStyle name="설명 텍스트 2 7 3" xfId="0"/>
    <cellStyle name="설명 텍스트 2 7 4" xfId="0"/>
    <cellStyle name="설명 텍스트 2 7 5" xfId="0"/>
    <cellStyle name="설명 텍스트 2 7 6" xfId="0"/>
    <cellStyle name="설명 텍스트 2 7 7" xfId="0"/>
    <cellStyle name="설명 텍스트 2 7 8" xfId="0"/>
    <cellStyle name="설명 텍스트 2 7 9" xfId="0"/>
    <cellStyle name="설명 텍스트 2 8" xfId="0"/>
    <cellStyle name="설명 텍스트 2 8 2" xfId="0"/>
    <cellStyle name="설명 텍스트 2 9" xfId="0"/>
    <cellStyle name="설명 텍스트 20" xfId="0"/>
    <cellStyle name="설명 텍스트 21" xfId="0"/>
    <cellStyle name="설명 텍스트 22" xfId="0"/>
    <cellStyle name="설명 텍스트 23" xfId="0"/>
    <cellStyle name="설명 텍스트 24" xfId="0"/>
    <cellStyle name="설명 텍스트 25" xfId="0"/>
    <cellStyle name="설명 텍스트 26" xfId="0"/>
    <cellStyle name="설명 텍스트 27" xfId="0"/>
    <cellStyle name="설명 텍스트 2_3300현금및예치금" xfId="0"/>
    <cellStyle name="설명 텍스트 3" xfId="0"/>
    <cellStyle name="설명 텍스트 3 10" xfId="0"/>
    <cellStyle name="설명 텍스트 3 10 2" xfId="0"/>
    <cellStyle name="설명 텍스트 3 11" xfId="0"/>
    <cellStyle name="설명 텍스트 3 11 2" xfId="0"/>
    <cellStyle name="설명 텍스트 3 12" xfId="0"/>
    <cellStyle name="설명 텍스트 3 12 2" xfId="0"/>
    <cellStyle name="설명 텍스트 3 13" xfId="0"/>
    <cellStyle name="설명 텍스트 3 14" xfId="0"/>
    <cellStyle name="설명 텍스트 3 15" xfId="0"/>
    <cellStyle name="설명 텍스트 3 16" xfId="0"/>
    <cellStyle name="설명 텍스트 3 17" xfId="0"/>
    <cellStyle name="설명 텍스트 3 18" xfId="0"/>
    <cellStyle name="설명 텍스트 3 19" xfId="0"/>
    <cellStyle name="설명 텍스트 3 2" xfId="0"/>
    <cellStyle name="설명 텍스트 3 2 2" xfId="0"/>
    <cellStyle name="설명 텍스트 3 2 3" xfId="0"/>
    <cellStyle name="설명 텍스트 3 20" xfId="0"/>
    <cellStyle name="설명 텍스트 3 3" xfId="0"/>
    <cellStyle name="설명 텍스트 3 3 2" xfId="0"/>
    <cellStyle name="설명 텍스트 3 3 3" xfId="0"/>
    <cellStyle name="설명 텍스트 3 4" xfId="0"/>
    <cellStyle name="설명 텍스트 3 4 2" xfId="0"/>
    <cellStyle name="설명 텍스트 3 4 3" xfId="0"/>
    <cellStyle name="설명 텍스트 3 5" xfId="0"/>
    <cellStyle name="설명 텍스트 3 5 2" xfId="0"/>
    <cellStyle name="설명 텍스트 3 5 3" xfId="0"/>
    <cellStyle name="설명 텍스트 3 6" xfId="0"/>
    <cellStyle name="설명 텍스트 3 6 2" xfId="0"/>
    <cellStyle name="설명 텍스트 3 6 3" xfId="0"/>
    <cellStyle name="설명 텍스트 3 7" xfId="0"/>
    <cellStyle name="설명 텍스트 3 7 2" xfId="0"/>
    <cellStyle name="설명 텍스트 3 7 3" xfId="0"/>
    <cellStyle name="설명 텍스트 3 8" xfId="0"/>
    <cellStyle name="설명 텍스트 3 8 2" xfId="0"/>
    <cellStyle name="설명 텍스트 3 8 3" xfId="0"/>
    <cellStyle name="설명 텍스트 3 9" xfId="0"/>
    <cellStyle name="설명 텍스트 3 9 2" xfId="0"/>
    <cellStyle name="설명 텍스트 3_운용자산별 손익분석" xfId="0"/>
    <cellStyle name="설명 텍스트 4" xfId="0"/>
    <cellStyle name="설명 텍스트 4 10" xfId="0"/>
    <cellStyle name="설명 텍스트 4 11" xfId="0"/>
    <cellStyle name="설명 텍스트 4 12" xfId="0"/>
    <cellStyle name="설명 텍스트 4 13" xfId="0"/>
    <cellStyle name="설명 텍스트 4 2" xfId="0"/>
    <cellStyle name="설명 텍스트 4 3" xfId="0"/>
    <cellStyle name="설명 텍스트 4 4" xfId="0"/>
    <cellStyle name="설명 텍스트 4 5" xfId="0"/>
    <cellStyle name="설명 텍스트 4 6" xfId="0"/>
    <cellStyle name="설명 텍스트 4 7" xfId="0"/>
    <cellStyle name="설명 텍스트 4 8" xfId="0"/>
    <cellStyle name="설명 텍스트 4 9" xfId="0"/>
    <cellStyle name="설명 텍스트 4_운용자산별 손익분석" xfId="0"/>
    <cellStyle name="설명 텍스트 5" xfId="0"/>
    <cellStyle name="설명 텍스트 5 10" xfId="0"/>
    <cellStyle name="설명 텍스트 5 11" xfId="0"/>
    <cellStyle name="설명 텍스트 5 12" xfId="0"/>
    <cellStyle name="설명 텍스트 5 13" xfId="0"/>
    <cellStyle name="설명 텍스트 5 14" xfId="0"/>
    <cellStyle name="설명 텍스트 5 15" xfId="0"/>
    <cellStyle name="설명 텍스트 5 16" xfId="0"/>
    <cellStyle name="설명 텍스트 5 17" xfId="0"/>
    <cellStyle name="설명 텍스트 5 18" xfId="0"/>
    <cellStyle name="설명 텍스트 5 19" xfId="0"/>
    <cellStyle name="설명 텍스트 5 2" xfId="0"/>
    <cellStyle name="설명 텍스트 5 20" xfId="0"/>
    <cellStyle name="설명 텍스트 5 21" xfId="0"/>
    <cellStyle name="설명 텍스트 5 22" xfId="0"/>
    <cellStyle name="설명 텍스트 5 23" xfId="0"/>
    <cellStyle name="설명 텍스트 5 24" xfId="0"/>
    <cellStyle name="설명 텍스트 5 25" xfId="0"/>
    <cellStyle name="설명 텍스트 5 26" xfId="0"/>
    <cellStyle name="설명 텍스트 5 27" xfId="0"/>
    <cellStyle name="설명 텍스트 5 28" xfId="0"/>
    <cellStyle name="설명 텍스트 5 29" xfId="0"/>
    <cellStyle name="설명 텍스트 5 3" xfId="0"/>
    <cellStyle name="설명 텍스트 5 30" xfId="0"/>
    <cellStyle name="설명 텍스트 5 31" xfId="0"/>
    <cellStyle name="설명 텍스트 5 32" xfId="0"/>
    <cellStyle name="설명 텍스트 5 33" xfId="0"/>
    <cellStyle name="설명 텍스트 5 34" xfId="0"/>
    <cellStyle name="설명 텍스트 5 4" xfId="0"/>
    <cellStyle name="설명 텍스트 5 5" xfId="0"/>
    <cellStyle name="설명 텍스트 5 6" xfId="0"/>
    <cellStyle name="설명 텍스트 5 7" xfId="0"/>
    <cellStyle name="설명 텍스트 5 8" xfId="0"/>
    <cellStyle name="설명 텍스트 5 9" xfId="0"/>
    <cellStyle name="설명 텍스트 6" xfId="0"/>
    <cellStyle name="설명 텍스트 6 10" xfId="0"/>
    <cellStyle name="설명 텍스트 6 11" xfId="0"/>
    <cellStyle name="설명 텍스트 6 12" xfId="0"/>
    <cellStyle name="설명 텍스트 6 13" xfId="0"/>
    <cellStyle name="설명 텍스트 6 14" xfId="0"/>
    <cellStyle name="설명 텍스트 6 15" xfId="0"/>
    <cellStyle name="설명 텍스트 6 16" xfId="0"/>
    <cellStyle name="설명 텍스트 6 17" xfId="0"/>
    <cellStyle name="설명 텍스트 6 18" xfId="0"/>
    <cellStyle name="설명 텍스트 6 19" xfId="0"/>
    <cellStyle name="설명 텍스트 6 2" xfId="0"/>
    <cellStyle name="설명 텍스트 6 20" xfId="0"/>
    <cellStyle name="설명 텍스트 6 21" xfId="0"/>
    <cellStyle name="설명 텍스트 6 22" xfId="0"/>
    <cellStyle name="설명 텍스트 6 23" xfId="0"/>
    <cellStyle name="설명 텍스트 6 24" xfId="0"/>
    <cellStyle name="설명 텍스트 6 25" xfId="0"/>
    <cellStyle name="설명 텍스트 6 26" xfId="0"/>
    <cellStyle name="설명 텍스트 6 27" xfId="0"/>
    <cellStyle name="설명 텍스트 6 28" xfId="0"/>
    <cellStyle name="설명 텍스트 6 29" xfId="0"/>
    <cellStyle name="설명 텍스트 6 3" xfId="0"/>
    <cellStyle name="설명 텍스트 6 30" xfId="0"/>
    <cellStyle name="설명 텍스트 6 4" xfId="0"/>
    <cellStyle name="설명 텍스트 6 5" xfId="0"/>
    <cellStyle name="설명 텍스트 6 6" xfId="0"/>
    <cellStyle name="설명 텍스트 6 7" xfId="0"/>
    <cellStyle name="설명 텍스트 6 8" xfId="0"/>
    <cellStyle name="설명 텍스트 6 9" xfId="0"/>
    <cellStyle name="설명 텍스트 7" xfId="0"/>
    <cellStyle name="설명 텍스트 7 10" xfId="0"/>
    <cellStyle name="설명 텍스트 7 11" xfId="0"/>
    <cellStyle name="설명 텍스트 7 12" xfId="0"/>
    <cellStyle name="설명 텍스트 7 13" xfId="0"/>
    <cellStyle name="설명 텍스트 7 14" xfId="0"/>
    <cellStyle name="설명 텍스트 7 15" xfId="0"/>
    <cellStyle name="설명 텍스트 7 2" xfId="0"/>
    <cellStyle name="설명 텍스트 7 2 2" xfId="0"/>
    <cellStyle name="설명 텍스트 7 3" xfId="0"/>
    <cellStyle name="설명 텍스트 7 3 2" xfId="0"/>
    <cellStyle name="설명 텍스트 7 4" xfId="0"/>
    <cellStyle name="설명 텍스트 7 4 2" xfId="0"/>
    <cellStyle name="설명 텍스트 7 5" xfId="0"/>
    <cellStyle name="설명 텍스트 7 5 2" xfId="0"/>
    <cellStyle name="설명 텍스트 7 6" xfId="0"/>
    <cellStyle name="설명 텍스트 7 6 2" xfId="0"/>
    <cellStyle name="설명 텍스트 7 7" xfId="0"/>
    <cellStyle name="설명 텍스트 7 8" xfId="0"/>
    <cellStyle name="설명 텍스트 7 9" xfId="0"/>
    <cellStyle name="설명 텍스트 8" xfId="0"/>
    <cellStyle name="설명 텍스트 8 10" xfId="0"/>
    <cellStyle name="설명 텍스트 8 11" xfId="0"/>
    <cellStyle name="설명 텍스트 8 12" xfId="0"/>
    <cellStyle name="설명 텍스트 8 13" xfId="0"/>
    <cellStyle name="설명 텍스트 8 14" xfId="0"/>
    <cellStyle name="설명 텍스트 8 2" xfId="0"/>
    <cellStyle name="설명 텍스트 8 2 2" xfId="0"/>
    <cellStyle name="설명 텍스트 8 3" xfId="0"/>
    <cellStyle name="설명 텍스트 8 3 2" xfId="0"/>
    <cellStyle name="설명 텍스트 8 4" xfId="0"/>
    <cellStyle name="설명 텍스트 8 4 2" xfId="0"/>
    <cellStyle name="설명 텍스트 8 5" xfId="0"/>
    <cellStyle name="설명 텍스트 8 5 2" xfId="0"/>
    <cellStyle name="설명 텍스트 8 6" xfId="0"/>
    <cellStyle name="설명 텍스트 8 6 2" xfId="0"/>
    <cellStyle name="설명 텍스트 8 7" xfId="0"/>
    <cellStyle name="설명 텍스트 8 8" xfId="0"/>
    <cellStyle name="설명 텍스트 8 9" xfId="0"/>
    <cellStyle name="설명 텍스트 9" xfId="0"/>
    <cellStyle name="설명 텍스트 9 10" xfId="0"/>
    <cellStyle name="설명 텍스트 9 11" xfId="0"/>
    <cellStyle name="설명 텍스트 9 12" xfId="0"/>
    <cellStyle name="설명 텍스트 9 13" xfId="0"/>
    <cellStyle name="설명 텍스트 9 14" xfId="0"/>
    <cellStyle name="설명 텍스트 9 2" xfId="0"/>
    <cellStyle name="설명 텍스트 9 2 2" xfId="0"/>
    <cellStyle name="설명 텍스트 9 3" xfId="0"/>
    <cellStyle name="설명 텍스트 9 3 2" xfId="0"/>
    <cellStyle name="설명 텍스트 9 4" xfId="0"/>
    <cellStyle name="설명 텍스트 9 4 2" xfId="0"/>
    <cellStyle name="설명 텍스트 9 5" xfId="0"/>
    <cellStyle name="설명 텍스트 9 5 2" xfId="0"/>
    <cellStyle name="설명 텍스트 9 6" xfId="0"/>
    <cellStyle name="설명 텍스트 9 6 2" xfId="0"/>
    <cellStyle name="설명 텍스트 9 7" xfId="0"/>
    <cellStyle name="설명 텍스트 9 8" xfId="0"/>
    <cellStyle name="설명 텍스트 9 9" xfId="0"/>
    <cellStyle name="셀 확인 10" xfId="0"/>
    <cellStyle name="셀 확인 10 2" xfId="0"/>
    <cellStyle name="셀 확인 10 2 2" xfId="0"/>
    <cellStyle name="셀 확인 10 3" xfId="0"/>
    <cellStyle name="셀 확인 10 3 2" xfId="0"/>
    <cellStyle name="셀 확인 10 4" xfId="0"/>
    <cellStyle name="셀 확인 10 4 2" xfId="0"/>
    <cellStyle name="셀 확인 10 5" xfId="0"/>
    <cellStyle name="셀 확인 10 6" xfId="0"/>
    <cellStyle name="셀 확인 10 7" xfId="0"/>
    <cellStyle name="셀 확인 11" xfId="0"/>
    <cellStyle name="셀 확인 11 2" xfId="0"/>
    <cellStyle name="셀 확인 11 2 2" xfId="0"/>
    <cellStyle name="셀 확인 11 3" xfId="0"/>
    <cellStyle name="셀 확인 11 3 2" xfId="0"/>
    <cellStyle name="셀 확인 11 4" xfId="0"/>
    <cellStyle name="셀 확인 11 4 2" xfId="0"/>
    <cellStyle name="셀 확인 11 5" xfId="0"/>
    <cellStyle name="셀 확인 11 6" xfId="0"/>
    <cellStyle name="셀 확인 11 7" xfId="0"/>
    <cellStyle name="셀 확인 12" xfId="0"/>
    <cellStyle name="셀 확인 12 2" xfId="0"/>
    <cellStyle name="셀 확인 12 3" xfId="0"/>
    <cellStyle name="셀 확인 12 4" xfId="0"/>
    <cellStyle name="셀 확인 12 5" xfId="0"/>
    <cellStyle name="셀 확인 13" xfId="0"/>
    <cellStyle name="셀 확인 13 2" xfId="0"/>
    <cellStyle name="셀 확인 13 3" xfId="0"/>
    <cellStyle name="셀 확인 13 4" xfId="0"/>
    <cellStyle name="셀 확인 13 5" xfId="0"/>
    <cellStyle name="셀 확인 14" xfId="0"/>
    <cellStyle name="셀 확인 14 2" xfId="0"/>
    <cellStyle name="셀 확인 15" xfId="0"/>
    <cellStyle name="셀 확인 15 2" xfId="0"/>
    <cellStyle name="셀 확인 16" xfId="0"/>
    <cellStyle name="셀 확인 16 2" xfId="0"/>
    <cellStyle name="셀 확인 17" xfId="0"/>
    <cellStyle name="셀 확인 17 2" xfId="0"/>
    <cellStyle name="셀 확인 18" xfId="0"/>
    <cellStyle name="셀 확인 19" xfId="0"/>
    <cellStyle name="셀 확인 2" xfId="0"/>
    <cellStyle name="셀 확인 2 10" xfId="0"/>
    <cellStyle name="셀 확인 2 11" xfId="0"/>
    <cellStyle name="셀 확인 2 12" xfId="0"/>
    <cellStyle name="셀 확인 2 13" xfId="0"/>
    <cellStyle name="셀 확인 2 2" xfId="0"/>
    <cellStyle name="셀 확인 2 2 10" xfId="0"/>
    <cellStyle name="셀 확인 2 2 2" xfId="0"/>
    <cellStyle name="셀 확인 2 2 3" xfId="0"/>
    <cellStyle name="셀 확인 2 2 4" xfId="0"/>
    <cellStyle name="셀 확인 2 2 5" xfId="0"/>
    <cellStyle name="셀 확인 2 2 6" xfId="0"/>
    <cellStyle name="셀 확인 2 2 7" xfId="0"/>
    <cellStyle name="셀 확인 2 2 8" xfId="0"/>
    <cellStyle name="셀 확인 2 2 9" xfId="0"/>
    <cellStyle name="셀 확인 2 3" xfId="0"/>
    <cellStyle name="셀 확인 2 3 10" xfId="0"/>
    <cellStyle name="셀 확인 2 3 2" xfId="0"/>
    <cellStyle name="셀 확인 2 3 3" xfId="0"/>
    <cellStyle name="셀 확인 2 3 4" xfId="0"/>
    <cellStyle name="셀 확인 2 3 5" xfId="0"/>
    <cellStyle name="셀 확인 2 3 6" xfId="0"/>
    <cellStyle name="셀 확인 2 3 7" xfId="0"/>
    <cellStyle name="셀 확인 2 3 8" xfId="0"/>
    <cellStyle name="셀 확인 2 3 9" xfId="0"/>
    <cellStyle name="셀 확인 2 4" xfId="0"/>
    <cellStyle name="셀 확인 2 4 10" xfId="0"/>
    <cellStyle name="셀 확인 2 4 2" xfId="0"/>
    <cellStyle name="셀 확인 2 4 3" xfId="0"/>
    <cellStyle name="셀 확인 2 4 4" xfId="0"/>
    <cellStyle name="셀 확인 2 4 5" xfId="0"/>
    <cellStyle name="셀 확인 2 4 6" xfId="0"/>
    <cellStyle name="셀 확인 2 4 7" xfId="0"/>
    <cellStyle name="셀 확인 2 4 8" xfId="0"/>
    <cellStyle name="셀 확인 2 4 9" xfId="0"/>
    <cellStyle name="셀 확인 2 5" xfId="0"/>
    <cellStyle name="셀 확인 2 5 10" xfId="0"/>
    <cellStyle name="셀 확인 2 5 2" xfId="0"/>
    <cellStyle name="셀 확인 2 5 3" xfId="0"/>
    <cellStyle name="셀 확인 2 5 4" xfId="0"/>
    <cellStyle name="셀 확인 2 5 5" xfId="0"/>
    <cellStyle name="셀 확인 2 5 6" xfId="0"/>
    <cellStyle name="셀 확인 2 5 7" xfId="0"/>
    <cellStyle name="셀 확인 2 5 8" xfId="0"/>
    <cellStyle name="셀 확인 2 5 9" xfId="0"/>
    <cellStyle name="셀 확인 2 6" xfId="0"/>
    <cellStyle name="셀 확인 2 6 10" xfId="0"/>
    <cellStyle name="셀 확인 2 6 2" xfId="0"/>
    <cellStyle name="셀 확인 2 6 3" xfId="0"/>
    <cellStyle name="셀 확인 2 6 4" xfId="0"/>
    <cellStyle name="셀 확인 2 6 5" xfId="0"/>
    <cellStyle name="셀 확인 2 6 6" xfId="0"/>
    <cellStyle name="셀 확인 2 6 7" xfId="0"/>
    <cellStyle name="셀 확인 2 6 8" xfId="0"/>
    <cellStyle name="셀 확인 2 6 9" xfId="0"/>
    <cellStyle name="셀 확인 2 7" xfId="0"/>
    <cellStyle name="셀 확인 2 7 10" xfId="0"/>
    <cellStyle name="셀 확인 2 7 2" xfId="0"/>
    <cellStyle name="셀 확인 2 7 3" xfId="0"/>
    <cellStyle name="셀 확인 2 7 4" xfId="0"/>
    <cellStyle name="셀 확인 2 7 5" xfId="0"/>
    <cellStyle name="셀 확인 2 7 6" xfId="0"/>
    <cellStyle name="셀 확인 2 7 7" xfId="0"/>
    <cellStyle name="셀 확인 2 7 8" xfId="0"/>
    <cellStyle name="셀 확인 2 7 9" xfId="0"/>
    <cellStyle name="셀 확인 2 8" xfId="0"/>
    <cellStyle name="셀 확인 2 8 2" xfId="0"/>
    <cellStyle name="셀 확인 2 9" xfId="0"/>
    <cellStyle name="셀 확인 20" xfId="0"/>
    <cellStyle name="셀 확인 21" xfId="0"/>
    <cellStyle name="셀 확인 22" xfId="0"/>
    <cellStyle name="셀 확인 23" xfId="0"/>
    <cellStyle name="셀 확인 24" xfId="0"/>
    <cellStyle name="셀 확인 25" xfId="0"/>
    <cellStyle name="셀 확인 26" xfId="0"/>
    <cellStyle name="셀 확인 27" xfId="0"/>
    <cellStyle name="셀 확인 2_3300현금및예치금" xfId="0"/>
    <cellStyle name="셀 확인 3" xfId="0"/>
    <cellStyle name="셀 확인 3 10" xfId="0"/>
    <cellStyle name="셀 확인 3 10 2" xfId="0"/>
    <cellStyle name="셀 확인 3 11" xfId="0"/>
    <cellStyle name="셀 확인 3 11 2" xfId="0"/>
    <cellStyle name="셀 확인 3 12" xfId="0"/>
    <cellStyle name="셀 확인 3 12 2" xfId="0"/>
    <cellStyle name="셀 확인 3 13" xfId="0"/>
    <cellStyle name="셀 확인 3 14" xfId="0"/>
    <cellStyle name="셀 확인 3 15" xfId="0"/>
    <cellStyle name="셀 확인 3 16" xfId="0"/>
    <cellStyle name="셀 확인 3 17" xfId="0"/>
    <cellStyle name="셀 확인 3 18" xfId="0"/>
    <cellStyle name="셀 확인 3 19" xfId="0"/>
    <cellStyle name="셀 확인 3 2" xfId="0"/>
    <cellStyle name="셀 확인 3 2 2" xfId="0"/>
    <cellStyle name="셀 확인 3 2 3" xfId="0"/>
    <cellStyle name="셀 확인 3 20" xfId="0"/>
    <cellStyle name="셀 확인 3 3" xfId="0"/>
    <cellStyle name="셀 확인 3 3 2" xfId="0"/>
    <cellStyle name="셀 확인 3 3 3" xfId="0"/>
    <cellStyle name="셀 확인 3 4" xfId="0"/>
    <cellStyle name="셀 확인 3 4 2" xfId="0"/>
    <cellStyle name="셀 확인 3 4 3" xfId="0"/>
    <cellStyle name="셀 확인 3 5" xfId="0"/>
    <cellStyle name="셀 확인 3 5 2" xfId="0"/>
    <cellStyle name="셀 확인 3 5 3" xfId="0"/>
    <cellStyle name="셀 확인 3 6" xfId="0"/>
    <cellStyle name="셀 확인 3 6 2" xfId="0"/>
    <cellStyle name="셀 확인 3 6 3" xfId="0"/>
    <cellStyle name="셀 확인 3 7" xfId="0"/>
    <cellStyle name="셀 확인 3 7 2" xfId="0"/>
    <cellStyle name="셀 확인 3 7 3" xfId="0"/>
    <cellStyle name="셀 확인 3 8" xfId="0"/>
    <cellStyle name="셀 확인 3 8 2" xfId="0"/>
    <cellStyle name="셀 확인 3 8 3" xfId="0"/>
    <cellStyle name="셀 확인 3 9" xfId="0"/>
    <cellStyle name="셀 확인 3 9 2" xfId="0"/>
    <cellStyle name="셀 확인 3_운용자산별 손익분석" xfId="0"/>
    <cellStyle name="셀 확인 4" xfId="0"/>
    <cellStyle name="셀 확인 4 10" xfId="0"/>
    <cellStyle name="셀 확인 4 11" xfId="0"/>
    <cellStyle name="셀 확인 4 12" xfId="0"/>
    <cellStyle name="셀 확인 4 13" xfId="0"/>
    <cellStyle name="셀 확인 4 2" xfId="0"/>
    <cellStyle name="셀 확인 4 3" xfId="0"/>
    <cellStyle name="셀 확인 4 4" xfId="0"/>
    <cellStyle name="셀 확인 4 5" xfId="0"/>
    <cellStyle name="셀 확인 4 6" xfId="0"/>
    <cellStyle name="셀 확인 4 7" xfId="0"/>
    <cellStyle name="셀 확인 4 8" xfId="0"/>
    <cellStyle name="셀 확인 4 9" xfId="0"/>
    <cellStyle name="셀 확인 4_운용자산별 손익분석" xfId="0"/>
    <cellStyle name="셀 확인 5" xfId="0"/>
    <cellStyle name="셀 확인 5 10" xfId="0"/>
    <cellStyle name="셀 확인 5 11" xfId="0"/>
    <cellStyle name="셀 확인 5 12" xfId="0"/>
    <cellStyle name="셀 확인 5 13" xfId="0"/>
    <cellStyle name="셀 확인 5 14" xfId="0"/>
    <cellStyle name="셀 확인 5 15" xfId="0"/>
    <cellStyle name="셀 확인 5 16" xfId="0"/>
    <cellStyle name="셀 확인 5 17" xfId="0"/>
    <cellStyle name="셀 확인 5 18" xfId="0"/>
    <cellStyle name="셀 확인 5 19" xfId="0"/>
    <cellStyle name="셀 확인 5 2" xfId="0"/>
    <cellStyle name="셀 확인 5 20" xfId="0"/>
    <cellStyle name="셀 확인 5 21" xfId="0"/>
    <cellStyle name="셀 확인 5 22" xfId="0"/>
    <cellStyle name="셀 확인 5 23" xfId="0"/>
    <cellStyle name="셀 확인 5 24" xfId="0"/>
    <cellStyle name="셀 확인 5 25" xfId="0"/>
    <cellStyle name="셀 확인 5 26" xfId="0"/>
    <cellStyle name="셀 확인 5 27" xfId="0"/>
    <cellStyle name="셀 확인 5 28" xfId="0"/>
    <cellStyle name="셀 확인 5 29" xfId="0"/>
    <cellStyle name="셀 확인 5 3" xfId="0"/>
    <cellStyle name="셀 확인 5 30" xfId="0"/>
    <cellStyle name="셀 확인 5 31" xfId="0"/>
    <cellStyle name="셀 확인 5 32" xfId="0"/>
    <cellStyle name="셀 확인 5 33" xfId="0"/>
    <cellStyle name="셀 확인 5 34" xfId="0"/>
    <cellStyle name="셀 확인 5 4" xfId="0"/>
    <cellStyle name="셀 확인 5 5" xfId="0"/>
    <cellStyle name="셀 확인 5 6" xfId="0"/>
    <cellStyle name="셀 확인 5 7" xfId="0"/>
    <cellStyle name="셀 확인 5 8" xfId="0"/>
    <cellStyle name="셀 확인 5 9" xfId="0"/>
    <cellStyle name="셀 확인 6" xfId="0"/>
    <cellStyle name="셀 확인 6 10" xfId="0"/>
    <cellStyle name="셀 확인 6 11" xfId="0"/>
    <cellStyle name="셀 확인 6 12" xfId="0"/>
    <cellStyle name="셀 확인 6 13" xfId="0"/>
    <cellStyle name="셀 확인 6 14" xfId="0"/>
    <cellStyle name="셀 확인 6 15" xfId="0"/>
    <cellStyle name="셀 확인 6 16" xfId="0"/>
    <cellStyle name="셀 확인 6 17" xfId="0"/>
    <cellStyle name="셀 확인 6 18" xfId="0"/>
    <cellStyle name="셀 확인 6 19" xfId="0"/>
    <cellStyle name="셀 확인 6 2" xfId="0"/>
    <cellStyle name="셀 확인 6 20" xfId="0"/>
    <cellStyle name="셀 확인 6 21" xfId="0"/>
    <cellStyle name="셀 확인 6 22" xfId="0"/>
    <cellStyle name="셀 확인 6 23" xfId="0"/>
    <cellStyle name="셀 확인 6 24" xfId="0"/>
    <cellStyle name="셀 확인 6 25" xfId="0"/>
    <cellStyle name="셀 확인 6 26" xfId="0"/>
    <cellStyle name="셀 확인 6 27" xfId="0"/>
    <cellStyle name="셀 확인 6 28" xfId="0"/>
    <cellStyle name="셀 확인 6 29" xfId="0"/>
    <cellStyle name="셀 확인 6 3" xfId="0"/>
    <cellStyle name="셀 확인 6 30" xfId="0"/>
    <cellStyle name="셀 확인 6 4" xfId="0"/>
    <cellStyle name="셀 확인 6 5" xfId="0"/>
    <cellStyle name="셀 확인 6 6" xfId="0"/>
    <cellStyle name="셀 확인 6 7" xfId="0"/>
    <cellStyle name="셀 확인 6 8" xfId="0"/>
    <cellStyle name="셀 확인 6 9" xfId="0"/>
    <cellStyle name="셀 확인 7" xfId="0"/>
    <cellStyle name="셀 확인 7 10" xfId="0"/>
    <cellStyle name="셀 확인 7 11" xfId="0"/>
    <cellStyle name="셀 확인 7 12" xfId="0"/>
    <cellStyle name="셀 확인 7 13" xfId="0"/>
    <cellStyle name="셀 확인 7 14" xfId="0"/>
    <cellStyle name="셀 확인 7 15" xfId="0"/>
    <cellStyle name="셀 확인 7 2" xfId="0"/>
    <cellStyle name="셀 확인 7 2 2" xfId="0"/>
    <cellStyle name="셀 확인 7 3" xfId="0"/>
    <cellStyle name="셀 확인 7 3 2" xfId="0"/>
    <cellStyle name="셀 확인 7 4" xfId="0"/>
    <cellStyle name="셀 확인 7 4 2" xfId="0"/>
    <cellStyle name="셀 확인 7 5" xfId="0"/>
    <cellStyle name="셀 확인 7 5 2" xfId="0"/>
    <cellStyle name="셀 확인 7 6" xfId="0"/>
    <cellStyle name="셀 확인 7 6 2" xfId="0"/>
    <cellStyle name="셀 확인 7 7" xfId="0"/>
    <cellStyle name="셀 확인 7 8" xfId="0"/>
    <cellStyle name="셀 확인 7 9" xfId="0"/>
    <cellStyle name="셀 확인 8" xfId="0"/>
    <cellStyle name="셀 확인 8 10" xfId="0"/>
    <cellStyle name="셀 확인 8 11" xfId="0"/>
    <cellStyle name="셀 확인 8 12" xfId="0"/>
    <cellStyle name="셀 확인 8 13" xfId="0"/>
    <cellStyle name="셀 확인 8 14" xfId="0"/>
    <cellStyle name="셀 확인 8 2" xfId="0"/>
    <cellStyle name="셀 확인 8 2 2" xfId="0"/>
    <cellStyle name="셀 확인 8 3" xfId="0"/>
    <cellStyle name="셀 확인 8 3 2" xfId="0"/>
    <cellStyle name="셀 확인 8 4" xfId="0"/>
    <cellStyle name="셀 확인 8 4 2" xfId="0"/>
    <cellStyle name="셀 확인 8 5" xfId="0"/>
    <cellStyle name="셀 확인 8 5 2" xfId="0"/>
    <cellStyle name="셀 확인 8 6" xfId="0"/>
    <cellStyle name="셀 확인 8 6 2" xfId="0"/>
    <cellStyle name="셀 확인 8 7" xfId="0"/>
    <cellStyle name="셀 확인 8 8" xfId="0"/>
    <cellStyle name="셀 확인 8 9" xfId="0"/>
    <cellStyle name="셀 확인 9" xfId="0"/>
    <cellStyle name="셀 확인 9 10" xfId="0"/>
    <cellStyle name="셀 확인 9 11" xfId="0"/>
    <cellStyle name="셀 확인 9 12" xfId="0"/>
    <cellStyle name="셀 확인 9 13" xfId="0"/>
    <cellStyle name="셀 확인 9 14" xfId="0"/>
    <cellStyle name="셀 확인 9 2" xfId="0"/>
    <cellStyle name="셀 확인 9 2 2" xfId="0"/>
    <cellStyle name="셀 확인 9 3" xfId="0"/>
    <cellStyle name="셀 확인 9 3 2" xfId="0"/>
    <cellStyle name="셀 확인 9 4" xfId="0"/>
    <cellStyle name="셀 확인 9 4 2" xfId="0"/>
    <cellStyle name="셀 확인 9 5" xfId="0"/>
    <cellStyle name="셀 확인 9 5 2" xfId="0"/>
    <cellStyle name="셀 확인 9 6" xfId="0"/>
    <cellStyle name="셀 확인 9 6 2" xfId="0"/>
    <cellStyle name="셀 확인 9 7" xfId="0"/>
    <cellStyle name="셀 확인 9 8" xfId="0"/>
    <cellStyle name="셀 확인 9 9" xfId="0"/>
    <cellStyle name="셈迷?XLS!check_filesche|_x0005_" xfId="0"/>
    <cellStyle name="소수1" xfId="0"/>
    <cellStyle name="소수2" xfId="0"/>
    <cellStyle name="소수점" xfId="0"/>
    <cellStyle name="소제목" xfId="0"/>
    <cellStyle name="숫자" xfId="0"/>
    <cellStyle name="숫자(R)" xfId="0"/>
    <cellStyle name="숫자(R) 2" xfId="0"/>
    <cellStyle name="숫자_삼각형[0-]" xfId="0"/>
    <cellStyle name="쉼표 10" xfId="0"/>
    <cellStyle name="쉼표 11" xfId="0"/>
    <cellStyle name="쉼표 12" xfId="0"/>
    <cellStyle name="쉼표 13" xfId="0"/>
    <cellStyle name="쉼표 14" xfId="0"/>
    <cellStyle name="쉼표 15" xfId="0"/>
    <cellStyle name="쉼표 16" xfId="0"/>
    <cellStyle name="쉼표 17" xfId="0"/>
    <cellStyle name="쉼표 2" xfId="0"/>
    <cellStyle name="쉼표 2 10" xfId="0"/>
    <cellStyle name="쉼표 2 10 2" xfId="0"/>
    <cellStyle name="쉼표 2 10 3" xfId="0"/>
    <cellStyle name="쉼표 2 10 4" xfId="0"/>
    <cellStyle name="쉼표 2 11" xfId="0"/>
    <cellStyle name="쉼표 2 11 2" xfId="0"/>
    <cellStyle name="쉼표 2 11 3" xfId="0"/>
    <cellStyle name="쉼표 2 11 4" xfId="0"/>
    <cellStyle name="쉼표 2 12" xfId="0"/>
    <cellStyle name="쉼표 2 12 2" xfId="0"/>
    <cellStyle name="쉼표 2 12 3" xfId="0"/>
    <cellStyle name="쉼표 2 12 4" xfId="0"/>
    <cellStyle name="쉼표 2 13" xfId="0"/>
    <cellStyle name="쉼표 2 13 2" xfId="0"/>
    <cellStyle name="쉼표 2 13 3" xfId="0"/>
    <cellStyle name="쉼표 2 13 4" xfId="0"/>
    <cellStyle name="쉼표 2 14" xfId="0"/>
    <cellStyle name="쉼표 2 15" xfId="0"/>
    <cellStyle name="쉼표 2 16" xfId="0"/>
    <cellStyle name="쉼표 2 17" xfId="0"/>
    <cellStyle name="쉼표 2 2" xfId="0"/>
    <cellStyle name="쉼표 2 2 10" xfId="0"/>
    <cellStyle name="쉼표 2 2 2" xfId="0"/>
    <cellStyle name="쉼표 2 2 2 2" xfId="0"/>
    <cellStyle name="쉼표 2 2 2 3" xfId="0"/>
    <cellStyle name="쉼표 2 2 2 4" xfId="0"/>
    <cellStyle name="쉼표 2 2 2 5" xfId="0"/>
    <cellStyle name="쉼표 2 2 2 6" xfId="0"/>
    <cellStyle name="쉼표 2 2 3" xfId="0"/>
    <cellStyle name="쉼표 2 2 4" xfId="0"/>
    <cellStyle name="쉼표 2 2 5" xfId="0"/>
    <cellStyle name="쉼표 2 2 6" xfId="0"/>
    <cellStyle name="쉼표 2 2 7" xfId="0"/>
    <cellStyle name="쉼표 2 2 8" xfId="0"/>
    <cellStyle name="쉼표 2 2 9" xfId="0"/>
    <cellStyle name="쉼표 2 2 9 2" xfId="0"/>
    <cellStyle name="쉼표 2 2 9 3" xfId="0"/>
    <cellStyle name="쉼표 2 2 9 4" xfId="0"/>
    <cellStyle name="쉼표 2 3" xfId="0"/>
    <cellStyle name="쉼표 2 3 2" xfId="0"/>
    <cellStyle name="쉼표 2 3 2 2" xfId="0"/>
    <cellStyle name="쉼표 2 3 2 3" xfId="0"/>
    <cellStyle name="쉼표 2 3 2 4" xfId="0"/>
    <cellStyle name="쉼표 2 3 3" xfId="0"/>
    <cellStyle name="쉼표 2 3 4" xfId="0"/>
    <cellStyle name="쉼표 2 3 5" xfId="0"/>
    <cellStyle name="쉼표 2 4" xfId="0"/>
    <cellStyle name="쉼표 2 5" xfId="0"/>
    <cellStyle name="쉼표 2 5 2" xfId="0"/>
    <cellStyle name="쉼표 2 6" xfId="0"/>
    <cellStyle name="쉼표 2 7" xfId="0"/>
    <cellStyle name="쉼표 2 8" xfId="0"/>
    <cellStyle name="쉼표 2 8 2" xfId="0"/>
    <cellStyle name="쉼표 2 8 3" xfId="0"/>
    <cellStyle name="쉼표 2 8 4" xfId="0"/>
    <cellStyle name="쉼표 2 9" xfId="0"/>
    <cellStyle name="쉼표 2 9 2" xfId="0"/>
    <cellStyle name="쉼표 2 9 3" xfId="0"/>
    <cellStyle name="쉼표 2 9 4" xfId="0"/>
    <cellStyle name="쉼표 3" xfId="0"/>
    <cellStyle name="쉼표 3 2" xfId="0"/>
    <cellStyle name="쉼표 3 3" xfId="0"/>
    <cellStyle name="쉼표 3 4" xfId="0"/>
    <cellStyle name="쉼표 4" xfId="0"/>
    <cellStyle name="쉼표 4 2" xfId="0"/>
    <cellStyle name="쉼표 4 3" xfId="0"/>
    <cellStyle name="쉼표 4 4" xfId="0"/>
    <cellStyle name="쉼표 4 5" xfId="0"/>
    <cellStyle name="쉼표 5" xfId="0"/>
    <cellStyle name="쉼표 5 2" xfId="0"/>
    <cellStyle name="쉼표 6" xfId="0"/>
    <cellStyle name="쉼표 7" xfId="0"/>
    <cellStyle name="쉼표 7 2" xfId="0"/>
    <cellStyle name="쉼표 7 3" xfId="0"/>
    <cellStyle name="쉼표 7 4" xfId="0"/>
    <cellStyle name="쉼표 8" xfId="0"/>
    <cellStyle name="쉼표 8 2" xfId="0"/>
    <cellStyle name="쉼표 9" xfId="0"/>
    <cellStyle name="쉼표 [0] 10" xfId="0"/>
    <cellStyle name="쉼표 [0] 10 10" xfId="0"/>
    <cellStyle name="쉼표 [0] 10 2" xfId="0"/>
    <cellStyle name="쉼표 [0] 10 2 2" xfId="0"/>
    <cellStyle name="쉼표 [0] 10 2 3" xfId="0"/>
    <cellStyle name="쉼표 [0] 10 2 4" xfId="0"/>
    <cellStyle name="쉼표 [0] 10 2 5" xfId="0"/>
    <cellStyle name="쉼표 [0] 10 2 6" xfId="0"/>
    <cellStyle name="쉼표 [0] 10 3" xfId="0"/>
    <cellStyle name="쉼표 [0] 10 3 2" xfId="0"/>
    <cellStyle name="쉼표 [0] 10 3 3" xfId="0"/>
    <cellStyle name="쉼표 [0] 10 3 4" xfId="0"/>
    <cellStyle name="쉼표 [0] 10 3 5" xfId="0"/>
    <cellStyle name="쉼표 [0] 10 4" xfId="0"/>
    <cellStyle name="쉼표 [0] 10 4 2" xfId="0"/>
    <cellStyle name="쉼표 [0] 10 4 3" xfId="0"/>
    <cellStyle name="쉼표 [0] 10 4 4" xfId="0"/>
    <cellStyle name="쉼표 [0] 10 5" xfId="0"/>
    <cellStyle name="쉼표 [0] 10 5 2" xfId="0"/>
    <cellStyle name="쉼표 [0] 10 5 3" xfId="0"/>
    <cellStyle name="쉼표 [0] 10 5 4" xfId="0"/>
    <cellStyle name="쉼표 [0] 10 6" xfId="0"/>
    <cellStyle name="쉼표 [0] 10 7" xfId="0"/>
    <cellStyle name="쉼표 [0] 10 8" xfId="0"/>
    <cellStyle name="쉼표 [0] 10 9" xfId="0"/>
    <cellStyle name="쉼표 [0] 11" xfId="0"/>
    <cellStyle name="쉼표 [0] 11 10" xfId="0"/>
    <cellStyle name="쉼표 [0] 11 10 2" xfId="0"/>
    <cellStyle name="쉼표 [0] 11 10 3" xfId="0"/>
    <cellStyle name="쉼표 [0] 11 10 4" xfId="0"/>
    <cellStyle name="쉼표 [0] 11 11" xfId="0"/>
    <cellStyle name="쉼표 [0] 11 11 2" xfId="0"/>
    <cellStyle name="쉼표 [0] 11 11 3" xfId="0"/>
    <cellStyle name="쉼표 [0] 11 11 4" xfId="0"/>
    <cellStyle name="쉼표 [0] 11 12" xfId="0"/>
    <cellStyle name="쉼표 [0] 11 12 2" xfId="0"/>
    <cellStyle name="쉼표 [0] 11 12 3" xfId="0"/>
    <cellStyle name="쉼표 [0] 11 12 4" xfId="0"/>
    <cellStyle name="쉼표 [0] 11 13" xfId="0"/>
    <cellStyle name="쉼표 [0] 11 13 2" xfId="0"/>
    <cellStyle name="쉼표 [0] 11 13 3" xfId="0"/>
    <cellStyle name="쉼표 [0] 11 13 4" xfId="0"/>
    <cellStyle name="쉼표 [0] 11 14" xfId="0"/>
    <cellStyle name="쉼표 [0] 11 14 2" xfId="0"/>
    <cellStyle name="쉼표 [0] 11 14 3" xfId="0"/>
    <cellStyle name="쉼표 [0] 11 14 4" xfId="0"/>
    <cellStyle name="쉼표 [0] 11 15" xfId="0"/>
    <cellStyle name="쉼표 [0] 11 16" xfId="0"/>
    <cellStyle name="쉼표 [0] 11 17" xfId="0"/>
    <cellStyle name="쉼표 [0] 11 18" xfId="0"/>
    <cellStyle name="쉼표 [0] 11 2" xfId="0"/>
    <cellStyle name="쉼표 [0] 11 2 2" xfId="0"/>
    <cellStyle name="쉼표 [0] 11 2 3" xfId="0"/>
    <cellStyle name="쉼표 [0] 11 2 4" xfId="0"/>
    <cellStyle name="쉼표 [0] 11 2 5" xfId="0"/>
    <cellStyle name="쉼표 [0] 11 3" xfId="0"/>
    <cellStyle name="쉼표 [0] 11 3 2" xfId="0"/>
    <cellStyle name="쉼표 [0] 11 3 3" xfId="0"/>
    <cellStyle name="쉼표 [0] 11 3 4" xfId="0"/>
    <cellStyle name="쉼표 [0] 11 3 5" xfId="0"/>
    <cellStyle name="쉼표 [0] 11 4" xfId="0"/>
    <cellStyle name="쉼표 [0] 11 4 2" xfId="0"/>
    <cellStyle name="쉼표 [0] 11 4 3" xfId="0"/>
    <cellStyle name="쉼표 [0] 11 4 4" xfId="0"/>
    <cellStyle name="쉼표 [0] 11 5" xfId="0"/>
    <cellStyle name="쉼표 [0] 11 5 2" xfId="0"/>
    <cellStyle name="쉼표 [0] 11 5 3" xfId="0"/>
    <cellStyle name="쉼표 [0] 11 5 4" xfId="0"/>
    <cellStyle name="쉼표 [0] 11 6" xfId="0"/>
    <cellStyle name="쉼표 [0] 11 6 2" xfId="0"/>
    <cellStyle name="쉼표 [0] 11 6 3" xfId="0"/>
    <cellStyle name="쉼표 [0] 11 6 4" xfId="0"/>
    <cellStyle name="쉼표 [0] 11 7" xfId="0"/>
    <cellStyle name="쉼표 [0] 11 7 2" xfId="0"/>
    <cellStyle name="쉼표 [0] 11 7 3" xfId="0"/>
    <cellStyle name="쉼표 [0] 11 7 4" xfId="0"/>
    <cellStyle name="쉼표 [0] 11 8" xfId="0"/>
    <cellStyle name="쉼표 [0] 11 8 2" xfId="0"/>
    <cellStyle name="쉼표 [0] 11 8 3" xfId="0"/>
    <cellStyle name="쉼표 [0] 11 8 4" xfId="0"/>
    <cellStyle name="쉼표 [0] 11 9" xfId="0"/>
    <cellStyle name="쉼표 [0] 11 9 2" xfId="0"/>
    <cellStyle name="쉼표 [0] 11 9 3" xfId="0"/>
    <cellStyle name="쉼표 [0] 11 9 4" xfId="0"/>
    <cellStyle name="쉼표 [0] 12" xfId="0"/>
    <cellStyle name="쉼표 [0] 12 2" xfId="0"/>
    <cellStyle name="쉼표 [0] 12 2 2" xfId="0"/>
    <cellStyle name="쉼표 [0] 12 3" xfId="0"/>
    <cellStyle name="쉼표 [0] 12 4" xfId="0"/>
    <cellStyle name="쉼표 [0] 12 5" xfId="0"/>
    <cellStyle name="쉼표 [0] 13" xfId="0"/>
    <cellStyle name="쉼표 [0] 13 2" xfId="0"/>
    <cellStyle name="쉼표 [0] 13 3" xfId="0"/>
    <cellStyle name="쉼표 [0] 14" xfId="0"/>
    <cellStyle name="쉼표 [0] 14 2" xfId="0"/>
    <cellStyle name="쉼표 [0] 14 2 2" xfId="0"/>
    <cellStyle name="쉼표 [0] 14 3" xfId="0"/>
    <cellStyle name="쉼표 [0] 14 4" xfId="0"/>
    <cellStyle name="쉼표 [0] 14 5" xfId="0"/>
    <cellStyle name="쉼표 [0] 14 5 2" xfId="0"/>
    <cellStyle name="쉼표 [0] 14 6" xfId="0"/>
    <cellStyle name="쉼표 [0] 14 7" xfId="0"/>
    <cellStyle name="쉼표 [0] 14 7 2" xfId="0"/>
    <cellStyle name="쉼표 [0] 14 8" xfId="0"/>
    <cellStyle name="쉼표 [0] 15" xfId="0"/>
    <cellStyle name="쉼표 [0] 15 2" xfId="0"/>
    <cellStyle name="쉼표 [0] 15 2 2" xfId="0"/>
    <cellStyle name="쉼표 [0] 15 3" xfId="0"/>
    <cellStyle name="쉼표 [0] 16" xfId="0"/>
    <cellStyle name="쉼표 [0] 16 2" xfId="0"/>
    <cellStyle name="쉼표 [0] 16 2 2" xfId="0"/>
    <cellStyle name="쉼표 [0] 16 3" xfId="0"/>
    <cellStyle name="쉼표 [0] 16 4" xfId="0"/>
    <cellStyle name="쉼표 [0] 17" xfId="0"/>
    <cellStyle name="쉼표 [0] 18" xfId="0"/>
    <cellStyle name="쉼표 [0] 18 2" xfId="0"/>
    <cellStyle name="쉼표 [0] 18 2 2" xfId="0"/>
    <cellStyle name="쉼표 [0] 18 3" xfId="0"/>
    <cellStyle name="쉼표 [0] 18 4" xfId="0"/>
    <cellStyle name="쉼표 [0] 19" xfId="0"/>
    <cellStyle name="쉼표 [0] 19 2" xfId="0"/>
    <cellStyle name="쉼표 [0] 19 2 2" xfId="0"/>
    <cellStyle name="쉼표 [0] 19 3" xfId="0"/>
    <cellStyle name="쉼표 [0] 2" xfId="0"/>
    <cellStyle name="쉼표 [0] 2 10" xfId="0"/>
    <cellStyle name="쉼표 [0] 2 10 2" xfId="0"/>
    <cellStyle name="쉼표 [0] 2 10 2 2" xfId="0"/>
    <cellStyle name="쉼표 [0] 2 10 2 2 2" xfId="0"/>
    <cellStyle name="쉼표 [0] 2 10 2 2 3" xfId="0"/>
    <cellStyle name="쉼표 [0] 2 10 2 2 4" xfId="0"/>
    <cellStyle name="쉼표 [0] 2 10 2 3" xfId="0"/>
    <cellStyle name="쉼표 [0] 2 10 2 3 2" xfId="0"/>
    <cellStyle name="쉼표 [0] 2 10 2 3 3" xfId="0"/>
    <cellStyle name="쉼표 [0] 2 10 2 3 4" xfId="0"/>
    <cellStyle name="쉼표 [0] 2 10 2 4" xfId="0"/>
    <cellStyle name="쉼표 [0] 2 10 2 4 2" xfId="0"/>
    <cellStyle name="쉼표 [0] 2 10 2 4 3" xfId="0"/>
    <cellStyle name="쉼표 [0] 2 10 2 4 4" xfId="0"/>
    <cellStyle name="쉼표 [0] 2 10 2 5" xfId="0"/>
    <cellStyle name="쉼표 [0] 2 10 2 5 2" xfId="0"/>
    <cellStyle name="쉼표 [0] 2 10 2 5 3" xfId="0"/>
    <cellStyle name="쉼표 [0] 2 10 2 5 4" xfId="0"/>
    <cellStyle name="쉼표 [0] 2 10 2 6" xfId="0"/>
    <cellStyle name="쉼표 [0] 2 10 2 7" xfId="0"/>
    <cellStyle name="쉼표 [0] 2 10 2 8" xfId="0"/>
    <cellStyle name="쉼표 [0] 2 10 3" xfId="0"/>
    <cellStyle name="쉼표 [0] 2 10 4" xfId="0"/>
    <cellStyle name="쉼표 [0] 2 10 5" xfId="0"/>
    <cellStyle name="쉼표 [0] 2 10 6" xfId="0"/>
    <cellStyle name="쉼표 [0] 2 10 7" xfId="0"/>
    <cellStyle name="쉼표 [0] 2 11" xfId="0"/>
    <cellStyle name="쉼표 [0] 2 11 2" xfId="0"/>
    <cellStyle name="쉼표 [0] 2 11 2 2" xfId="0"/>
    <cellStyle name="쉼표 [0] 2 11 2 2 2" xfId="0"/>
    <cellStyle name="쉼표 [0] 2 11 2 2 3" xfId="0"/>
    <cellStyle name="쉼표 [0] 2 11 2 2 4" xfId="0"/>
    <cellStyle name="쉼표 [0] 2 11 2 3" xfId="0"/>
    <cellStyle name="쉼표 [0] 2 11 2 3 2" xfId="0"/>
    <cellStyle name="쉼표 [0] 2 11 2 3 3" xfId="0"/>
    <cellStyle name="쉼표 [0] 2 11 2 3 4" xfId="0"/>
    <cellStyle name="쉼표 [0] 2 11 2 4" xfId="0"/>
    <cellStyle name="쉼표 [0] 2 11 2 4 2" xfId="0"/>
    <cellStyle name="쉼표 [0] 2 11 2 4 3" xfId="0"/>
    <cellStyle name="쉼표 [0] 2 11 2 4 4" xfId="0"/>
    <cellStyle name="쉼표 [0] 2 11 2 5" xfId="0"/>
    <cellStyle name="쉼표 [0] 2 11 2 5 2" xfId="0"/>
    <cellStyle name="쉼표 [0] 2 11 2 5 3" xfId="0"/>
    <cellStyle name="쉼표 [0] 2 11 2 5 4" xfId="0"/>
    <cellStyle name="쉼표 [0] 2 11 2 6" xfId="0"/>
    <cellStyle name="쉼표 [0] 2 11 2 7" xfId="0"/>
    <cellStyle name="쉼표 [0] 2 11 2 8" xfId="0"/>
    <cellStyle name="쉼표 [0] 2 11 3" xfId="0"/>
    <cellStyle name="쉼표 [0] 2 11 4" xfId="0"/>
    <cellStyle name="쉼표 [0] 2 11 5" xfId="0"/>
    <cellStyle name="쉼표 [0] 2 12" xfId="0"/>
    <cellStyle name="쉼표 [0] 2 12 2" xfId="0"/>
    <cellStyle name="쉼표 [0] 2 12 2 2" xfId="0"/>
    <cellStyle name="쉼표 [0] 2 12 2 2 2" xfId="0"/>
    <cellStyle name="쉼표 [0] 2 12 2 2 3" xfId="0"/>
    <cellStyle name="쉼표 [0] 2 12 2 2 4" xfId="0"/>
    <cellStyle name="쉼표 [0] 2 12 2 3" xfId="0"/>
    <cellStyle name="쉼표 [0] 2 12 2 3 2" xfId="0"/>
    <cellStyle name="쉼표 [0] 2 12 2 3 3" xfId="0"/>
    <cellStyle name="쉼표 [0] 2 12 2 3 4" xfId="0"/>
    <cellStyle name="쉼표 [0] 2 12 2 4" xfId="0"/>
    <cellStyle name="쉼표 [0] 2 12 2 4 2" xfId="0"/>
    <cellStyle name="쉼표 [0] 2 12 2 4 3" xfId="0"/>
    <cellStyle name="쉼표 [0] 2 12 2 4 4" xfId="0"/>
    <cellStyle name="쉼표 [0] 2 12 2 5" xfId="0"/>
    <cellStyle name="쉼표 [0] 2 12 2 5 2" xfId="0"/>
    <cellStyle name="쉼표 [0] 2 12 2 5 3" xfId="0"/>
    <cellStyle name="쉼표 [0] 2 12 2 5 4" xfId="0"/>
    <cellStyle name="쉼표 [0] 2 12 2 6" xfId="0"/>
    <cellStyle name="쉼표 [0] 2 12 2 7" xfId="0"/>
    <cellStyle name="쉼표 [0] 2 12 2 8" xfId="0"/>
    <cellStyle name="쉼표 [0] 2 12 3" xfId="0"/>
    <cellStyle name="쉼표 [0] 2 12 4" xfId="0"/>
    <cellStyle name="쉼표 [0] 2 12 5" xfId="0"/>
    <cellStyle name="쉼표 [0] 2 13" xfId="0"/>
    <cellStyle name="쉼표 [0] 2 13 2" xfId="0"/>
    <cellStyle name="쉼표 [0] 2 13 2 2" xfId="0"/>
    <cellStyle name="쉼표 [0] 2 13 2 2 2" xfId="0"/>
    <cellStyle name="쉼표 [0] 2 13 2 2 3" xfId="0"/>
    <cellStyle name="쉼표 [0] 2 13 2 2 4" xfId="0"/>
    <cellStyle name="쉼표 [0] 2 13 2 3" xfId="0"/>
    <cellStyle name="쉼표 [0] 2 13 2 3 2" xfId="0"/>
    <cellStyle name="쉼표 [0] 2 13 2 3 3" xfId="0"/>
    <cellStyle name="쉼표 [0] 2 13 2 3 4" xfId="0"/>
    <cellStyle name="쉼표 [0] 2 13 2 4" xfId="0"/>
    <cellStyle name="쉼표 [0] 2 13 2 4 2" xfId="0"/>
    <cellStyle name="쉼표 [0] 2 13 2 4 3" xfId="0"/>
    <cellStyle name="쉼표 [0] 2 13 2 4 4" xfId="0"/>
    <cellStyle name="쉼표 [0] 2 13 2 5" xfId="0"/>
    <cellStyle name="쉼표 [0] 2 13 2 5 2" xfId="0"/>
    <cellStyle name="쉼표 [0] 2 13 2 5 3" xfId="0"/>
    <cellStyle name="쉼표 [0] 2 13 2 5 4" xfId="0"/>
    <cellStyle name="쉼표 [0] 2 13 2 6" xfId="0"/>
    <cellStyle name="쉼표 [0] 2 13 2 7" xfId="0"/>
    <cellStyle name="쉼표 [0] 2 13 2 8" xfId="0"/>
    <cellStyle name="쉼표 [0] 2 13 3" xfId="0"/>
    <cellStyle name="쉼표 [0] 2 13 4" xfId="0"/>
    <cellStyle name="쉼표 [0] 2 13 5" xfId="0"/>
    <cellStyle name="쉼표 [0] 2 14" xfId="0"/>
    <cellStyle name="쉼표 [0] 2 14 2" xfId="0"/>
    <cellStyle name="쉼표 [0] 2 14 2 2" xfId="0"/>
    <cellStyle name="쉼표 [0] 2 14 2 2 2" xfId="0"/>
    <cellStyle name="쉼표 [0] 2 14 2 2 3" xfId="0"/>
    <cellStyle name="쉼표 [0] 2 14 2 2 4" xfId="0"/>
    <cellStyle name="쉼표 [0] 2 14 2 3" xfId="0"/>
    <cellStyle name="쉼표 [0] 2 14 2 3 2" xfId="0"/>
    <cellStyle name="쉼표 [0] 2 14 2 3 3" xfId="0"/>
    <cellStyle name="쉼표 [0] 2 14 2 3 4" xfId="0"/>
    <cellStyle name="쉼표 [0] 2 14 2 4" xfId="0"/>
    <cellStyle name="쉼표 [0] 2 14 2 4 2" xfId="0"/>
    <cellStyle name="쉼표 [0] 2 14 2 4 3" xfId="0"/>
    <cellStyle name="쉼표 [0] 2 14 2 4 4" xfId="0"/>
    <cellStyle name="쉼표 [0] 2 14 2 5" xfId="0"/>
    <cellStyle name="쉼표 [0] 2 14 2 5 2" xfId="0"/>
    <cellStyle name="쉼표 [0] 2 14 2 5 3" xfId="0"/>
    <cellStyle name="쉼표 [0] 2 14 2 5 4" xfId="0"/>
    <cellStyle name="쉼표 [0] 2 14 2 6" xfId="0"/>
    <cellStyle name="쉼표 [0] 2 14 2 7" xfId="0"/>
    <cellStyle name="쉼표 [0] 2 14 2 8" xfId="0"/>
    <cellStyle name="쉼표 [0] 2 14 3" xfId="0"/>
    <cellStyle name="쉼표 [0] 2 14 3 2" xfId="0"/>
    <cellStyle name="쉼표 [0] 2 14 3 3" xfId="0"/>
    <cellStyle name="쉼표 [0] 2 14 3 4" xfId="0"/>
    <cellStyle name="쉼표 [0] 2 14 4" xfId="0"/>
    <cellStyle name="쉼표 [0] 2 14 4 2" xfId="0"/>
    <cellStyle name="쉼표 [0] 2 14 4 3" xfId="0"/>
    <cellStyle name="쉼표 [0] 2 14 4 4" xfId="0"/>
    <cellStyle name="쉼표 [0] 2 14 5" xfId="0"/>
    <cellStyle name="쉼표 [0] 2 14 5 2" xfId="0"/>
    <cellStyle name="쉼표 [0] 2 14 5 3" xfId="0"/>
    <cellStyle name="쉼표 [0] 2 14 5 4" xfId="0"/>
    <cellStyle name="쉼표 [0] 2 14 6" xfId="0"/>
    <cellStyle name="쉼표 [0] 2 14 7" xfId="0"/>
    <cellStyle name="쉼표 [0] 2 14 8" xfId="0"/>
    <cellStyle name="쉼표 [0] 2 15" xfId="0"/>
    <cellStyle name="쉼표 [0] 2 15 2" xfId="0"/>
    <cellStyle name="쉼표 [0] 2 15 3" xfId="0"/>
    <cellStyle name="쉼표 [0] 2 15 4" xfId="0"/>
    <cellStyle name="쉼표 [0] 2 16" xfId="0"/>
    <cellStyle name="쉼표 [0] 2 16 2" xfId="0"/>
    <cellStyle name="쉼표 [0] 2 16 3" xfId="0"/>
    <cellStyle name="쉼표 [0] 2 16 4" xfId="0"/>
    <cellStyle name="쉼표 [0] 2 17" xfId="0"/>
    <cellStyle name="쉼표 [0] 2 17 2" xfId="0"/>
    <cellStyle name="쉼표 [0] 2 17 3" xfId="0"/>
    <cellStyle name="쉼표 [0] 2 17 4" xfId="0"/>
    <cellStyle name="쉼표 [0] 2 18" xfId="0"/>
    <cellStyle name="쉼표 [0] 2 18 2" xfId="0"/>
    <cellStyle name="쉼표 [0] 2 18 3" xfId="0"/>
    <cellStyle name="쉼표 [0] 2 18 4" xfId="0"/>
    <cellStyle name="쉼표 [0] 2 19" xfId="0"/>
    <cellStyle name="쉼표 [0] 2 19 2" xfId="0"/>
    <cellStyle name="쉼표 [0] 2 19 3" xfId="0"/>
    <cellStyle name="쉼표 [0] 2 19 4" xfId="0"/>
    <cellStyle name="쉼표 [0] 2 2" xfId="0"/>
    <cellStyle name="쉼표 [0] 2 2 10" xfId="0"/>
    <cellStyle name="쉼표 [0] 2 2 10 10" xfId="0"/>
    <cellStyle name="쉼표 [0] 2 2 10 10 2" xfId="0"/>
    <cellStyle name="쉼표 [0] 2 2 10 10 3" xfId="0"/>
    <cellStyle name="쉼표 [0] 2 2 10 10 4" xfId="0"/>
    <cellStyle name="쉼표 [0] 2 2 10 11" xfId="0"/>
    <cellStyle name="쉼표 [0] 2 2 10 11 2" xfId="0"/>
    <cellStyle name="쉼표 [0] 2 2 10 11 3" xfId="0"/>
    <cellStyle name="쉼표 [0] 2 2 10 11 4" xfId="0"/>
    <cellStyle name="쉼표 [0] 2 2 10 12" xfId="0"/>
    <cellStyle name="쉼표 [0] 2 2 10 12 2" xfId="0"/>
    <cellStyle name="쉼표 [0] 2 2 10 12 3" xfId="0"/>
    <cellStyle name="쉼표 [0] 2 2 10 12 4" xfId="0"/>
    <cellStyle name="쉼표 [0] 2 2 10 13" xfId="0"/>
    <cellStyle name="쉼표 [0] 2 2 10 13 2" xfId="0"/>
    <cellStyle name="쉼표 [0] 2 2 10 13 3" xfId="0"/>
    <cellStyle name="쉼표 [0] 2 2 10 13 4" xfId="0"/>
    <cellStyle name="쉼표 [0] 2 2 10 14" xfId="0"/>
    <cellStyle name="쉼표 [0] 2 2 10 14 2" xfId="0"/>
    <cellStyle name="쉼표 [0] 2 2 10 14 3" xfId="0"/>
    <cellStyle name="쉼표 [0] 2 2 10 14 4" xfId="0"/>
    <cellStyle name="쉼표 [0] 2 2 10 15" xfId="0"/>
    <cellStyle name="쉼표 [0] 2 2 10 15 2" xfId="0"/>
    <cellStyle name="쉼표 [0] 2 2 10 15 3" xfId="0"/>
    <cellStyle name="쉼표 [0] 2 2 10 15 4" xfId="0"/>
    <cellStyle name="쉼표 [0] 2 2 10 16" xfId="0"/>
    <cellStyle name="쉼표 [0] 2 2 10 16 2" xfId="0"/>
    <cellStyle name="쉼표 [0] 2 2 10 16 3" xfId="0"/>
    <cellStyle name="쉼표 [0] 2 2 10 16 4" xfId="0"/>
    <cellStyle name="쉼표 [0] 2 2 10 17" xfId="0"/>
    <cellStyle name="쉼표 [0] 2 2 10 17 2" xfId="0"/>
    <cellStyle name="쉼표 [0] 2 2 10 17 3" xfId="0"/>
    <cellStyle name="쉼표 [0] 2 2 10 17 4" xfId="0"/>
    <cellStyle name="쉼표 [0] 2 2 10 18" xfId="0"/>
    <cellStyle name="쉼표 [0] 2 2 10 18 2" xfId="0"/>
    <cellStyle name="쉼표 [0] 2 2 10 18 3" xfId="0"/>
    <cellStyle name="쉼표 [0] 2 2 10 18 4" xfId="0"/>
    <cellStyle name="쉼표 [0] 2 2 10 19" xfId="0"/>
    <cellStyle name="쉼표 [0] 2 2 10 19 2" xfId="0"/>
    <cellStyle name="쉼표 [0] 2 2 10 19 3" xfId="0"/>
    <cellStyle name="쉼표 [0] 2 2 10 19 4" xfId="0"/>
    <cellStyle name="쉼표 [0] 2 2 10 2" xfId="0"/>
    <cellStyle name="쉼표 [0] 2 2 10 2 2" xfId="0"/>
    <cellStyle name="쉼표 [0] 2 2 10 2 3" xfId="0"/>
    <cellStyle name="쉼표 [0] 2 2 10 2 4" xfId="0"/>
    <cellStyle name="쉼표 [0] 2 2 10 20" xfId="0"/>
    <cellStyle name="쉼표 [0] 2 2 10 20 2" xfId="0"/>
    <cellStyle name="쉼표 [0] 2 2 10 20 3" xfId="0"/>
    <cellStyle name="쉼표 [0] 2 2 10 20 4" xfId="0"/>
    <cellStyle name="쉼표 [0] 2 2 10 21" xfId="0"/>
    <cellStyle name="쉼표 [0] 2 2 10 21 2" xfId="0"/>
    <cellStyle name="쉼표 [0] 2 2 10 21 3" xfId="0"/>
    <cellStyle name="쉼표 [0] 2 2 10 21 4" xfId="0"/>
    <cellStyle name="쉼표 [0] 2 2 10 22" xfId="0"/>
    <cellStyle name="쉼표 [0] 2 2 10 23" xfId="0"/>
    <cellStyle name="쉼표 [0] 2 2 10 24" xfId="0"/>
    <cellStyle name="쉼표 [0] 2 2 10 3" xfId="0"/>
    <cellStyle name="쉼표 [0] 2 2 10 3 2" xfId="0"/>
    <cellStyle name="쉼표 [0] 2 2 10 3 3" xfId="0"/>
    <cellStyle name="쉼표 [0] 2 2 10 3 4" xfId="0"/>
    <cellStyle name="쉼표 [0] 2 2 10 4" xfId="0"/>
    <cellStyle name="쉼표 [0] 2 2 10 4 2" xfId="0"/>
    <cellStyle name="쉼표 [0] 2 2 10 4 3" xfId="0"/>
    <cellStyle name="쉼표 [0] 2 2 10 4 4" xfId="0"/>
    <cellStyle name="쉼표 [0] 2 2 10 5" xfId="0"/>
    <cellStyle name="쉼표 [0] 2 2 10 5 2" xfId="0"/>
    <cellStyle name="쉼표 [0] 2 2 10 5 3" xfId="0"/>
    <cellStyle name="쉼표 [0] 2 2 10 5 4" xfId="0"/>
    <cellStyle name="쉼표 [0] 2 2 10 6" xfId="0"/>
    <cellStyle name="쉼표 [0] 2 2 10 6 2" xfId="0"/>
    <cellStyle name="쉼표 [0] 2 2 10 6 3" xfId="0"/>
    <cellStyle name="쉼표 [0] 2 2 10 6 4" xfId="0"/>
    <cellStyle name="쉼표 [0] 2 2 10 7" xfId="0"/>
    <cellStyle name="쉼표 [0] 2 2 10 7 2" xfId="0"/>
    <cellStyle name="쉼표 [0] 2 2 10 7 3" xfId="0"/>
    <cellStyle name="쉼표 [0] 2 2 10 7 4" xfId="0"/>
    <cellStyle name="쉼표 [0] 2 2 10 8" xfId="0"/>
    <cellStyle name="쉼표 [0] 2 2 10 8 2" xfId="0"/>
    <cellStyle name="쉼표 [0] 2 2 10 8 3" xfId="0"/>
    <cellStyle name="쉼표 [0] 2 2 10 8 4" xfId="0"/>
    <cellStyle name="쉼표 [0] 2 2 10 9" xfId="0"/>
    <cellStyle name="쉼표 [0] 2 2 10 9 2" xfId="0"/>
    <cellStyle name="쉼표 [0] 2 2 10 9 3" xfId="0"/>
    <cellStyle name="쉼표 [0] 2 2 10 9 4" xfId="0"/>
    <cellStyle name="쉼표 [0] 2 2 11" xfId="0"/>
    <cellStyle name="쉼표 [0] 2 2 11 10" xfId="0"/>
    <cellStyle name="쉼표 [0] 2 2 11 10 2" xfId="0"/>
    <cellStyle name="쉼표 [0] 2 2 11 10 3" xfId="0"/>
    <cellStyle name="쉼표 [0] 2 2 11 10 4" xfId="0"/>
    <cellStyle name="쉼표 [0] 2 2 11 11" xfId="0"/>
    <cellStyle name="쉼표 [0] 2 2 11 11 2" xfId="0"/>
    <cellStyle name="쉼표 [0] 2 2 11 11 3" xfId="0"/>
    <cellStyle name="쉼표 [0] 2 2 11 11 4" xfId="0"/>
    <cellStyle name="쉼표 [0] 2 2 11 12" xfId="0"/>
    <cellStyle name="쉼표 [0] 2 2 11 12 2" xfId="0"/>
    <cellStyle name="쉼표 [0] 2 2 11 12 3" xfId="0"/>
    <cellStyle name="쉼표 [0] 2 2 11 12 4" xfId="0"/>
    <cellStyle name="쉼표 [0] 2 2 11 13" xfId="0"/>
    <cellStyle name="쉼표 [0] 2 2 11 13 2" xfId="0"/>
    <cellStyle name="쉼표 [0] 2 2 11 13 3" xfId="0"/>
    <cellStyle name="쉼표 [0] 2 2 11 13 4" xfId="0"/>
    <cellStyle name="쉼표 [0] 2 2 11 14" xfId="0"/>
    <cellStyle name="쉼표 [0] 2 2 11 14 2" xfId="0"/>
    <cellStyle name="쉼표 [0] 2 2 11 14 3" xfId="0"/>
    <cellStyle name="쉼표 [0] 2 2 11 14 4" xfId="0"/>
    <cellStyle name="쉼표 [0] 2 2 11 15" xfId="0"/>
    <cellStyle name="쉼표 [0] 2 2 11 15 2" xfId="0"/>
    <cellStyle name="쉼표 [0] 2 2 11 15 3" xfId="0"/>
    <cellStyle name="쉼표 [0] 2 2 11 15 4" xfId="0"/>
    <cellStyle name="쉼표 [0] 2 2 11 16" xfId="0"/>
    <cellStyle name="쉼표 [0] 2 2 11 16 2" xfId="0"/>
    <cellStyle name="쉼표 [0] 2 2 11 16 3" xfId="0"/>
    <cellStyle name="쉼표 [0] 2 2 11 16 4" xfId="0"/>
    <cellStyle name="쉼표 [0] 2 2 11 17" xfId="0"/>
    <cellStyle name="쉼표 [0] 2 2 11 17 2" xfId="0"/>
    <cellStyle name="쉼표 [0] 2 2 11 17 3" xfId="0"/>
    <cellStyle name="쉼표 [0] 2 2 11 17 4" xfId="0"/>
    <cellStyle name="쉼표 [0] 2 2 11 18" xfId="0"/>
    <cellStyle name="쉼표 [0] 2 2 11 18 2" xfId="0"/>
    <cellStyle name="쉼표 [0] 2 2 11 18 3" xfId="0"/>
    <cellStyle name="쉼표 [0] 2 2 11 18 4" xfId="0"/>
    <cellStyle name="쉼표 [0] 2 2 11 19" xfId="0"/>
    <cellStyle name="쉼표 [0] 2 2 11 19 2" xfId="0"/>
    <cellStyle name="쉼표 [0] 2 2 11 19 3" xfId="0"/>
    <cellStyle name="쉼표 [0] 2 2 11 19 4" xfId="0"/>
    <cellStyle name="쉼표 [0] 2 2 11 2" xfId="0"/>
    <cellStyle name="쉼표 [0] 2 2 11 2 2" xfId="0"/>
    <cellStyle name="쉼표 [0] 2 2 11 2 3" xfId="0"/>
    <cellStyle name="쉼표 [0] 2 2 11 2 4" xfId="0"/>
    <cellStyle name="쉼표 [0] 2 2 11 20" xfId="0"/>
    <cellStyle name="쉼표 [0] 2 2 11 20 2" xfId="0"/>
    <cellStyle name="쉼표 [0] 2 2 11 20 3" xfId="0"/>
    <cellStyle name="쉼표 [0] 2 2 11 20 4" xfId="0"/>
    <cellStyle name="쉼표 [0] 2 2 11 21" xfId="0"/>
    <cellStyle name="쉼표 [0] 2 2 11 21 2" xfId="0"/>
    <cellStyle name="쉼표 [0] 2 2 11 21 3" xfId="0"/>
    <cellStyle name="쉼표 [0] 2 2 11 21 4" xfId="0"/>
    <cellStyle name="쉼표 [0] 2 2 11 22" xfId="0"/>
    <cellStyle name="쉼표 [0] 2 2 11 23" xfId="0"/>
    <cellStyle name="쉼표 [0] 2 2 11 24" xfId="0"/>
    <cellStyle name="쉼표 [0] 2 2 11 3" xfId="0"/>
    <cellStyle name="쉼표 [0] 2 2 11 3 2" xfId="0"/>
    <cellStyle name="쉼표 [0] 2 2 11 3 3" xfId="0"/>
    <cellStyle name="쉼표 [0] 2 2 11 3 4" xfId="0"/>
    <cellStyle name="쉼표 [0] 2 2 11 4" xfId="0"/>
    <cellStyle name="쉼표 [0] 2 2 11 4 2" xfId="0"/>
    <cellStyle name="쉼표 [0] 2 2 11 4 3" xfId="0"/>
    <cellStyle name="쉼표 [0] 2 2 11 4 4" xfId="0"/>
    <cellStyle name="쉼표 [0] 2 2 11 5" xfId="0"/>
    <cellStyle name="쉼표 [0] 2 2 11 5 2" xfId="0"/>
    <cellStyle name="쉼표 [0] 2 2 11 5 3" xfId="0"/>
    <cellStyle name="쉼표 [0] 2 2 11 5 4" xfId="0"/>
    <cellStyle name="쉼표 [0] 2 2 11 6" xfId="0"/>
    <cellStyle name="쉼표 [0] 2 2 11 6 2" xfId="0"/>
    <cellStyle name="쉼표 [0] 2 2 11 6 3" xfId="0"/>
    <cellStyle name="쉼표 [0] 2 2 11 6 4" xfId="0"/>
    <cellStyle name="쉼표 [0] 2 2 11 7" xfId="0"/>
    <cellStyle name="쉼표 [0] 2 2 11 7 2" xfId="0"/>
    <cellStyle name="쉼표 [0] 2 2 11 7 3" xfId="0"/>
    <cellStyle name="쉼표 [0] 2 2 11 7 4" xfId="0"/>
    <cellStyle name="쉼표 [0] 2 2 11 8" xfId="0"/>
    <cellStyle name="쉼표 [0] 2 2 11 8 2" xfId="0"/>
    <cellStyle name="쉼표 [0] 2 2 11 8 3" xfId="0"/>
    <cellStyle name="쉼표 [0] 2 2 11 8 4" xfId="0"/>
    <cellStyle name="쉼표 [0] 2 2 11 9" xfId="0"/>
    <cellStyle name="쉼표 [0] 2 2 11 9 2" xfId="0"/>
    <cellStyle name="쉼표 [0] 2 2 11 9 3" xfId="0"/>
    <cellStyle name="쉼표 [0] 2 2 11 9 4" xfId="0"/>
    <cellStyle name="쉼표 [0] 2 2 12" xfId="0"/>
    <cellStyle name="쉼표 [0] 2 2 12 10" xfId="0"/>
    <cellStyle name="쉼표 [0] 2 2 12 10 2" xfId="0"/>
    <cellStyle name="쉼표 [0] 2 2 12 10 3" xfId="0"/>
    <cellStyle name="쉼표 [0] 2 2 12 10 4" xfId="0"/>
    <cellStyle name="쉼표 [0] 2 2 12 11" xfId="0"/>
    <cellStyle name="쉼표 [0] 2 2 12 11 2" xfId="0"/>
    <cellStyle name="쉼표 [0] 2 2 12 11 3" xfId="0"/>
    <cellStyle name="쉼표 [0] 2 2 12 11 4" xfId="0"/>
    <cellStyle name="쉼표 [0] 2 2 12 12" xfId="0"/>
    <cellStyle name="쉼표 [0] 2 2 12 12 2" xfId="0"/>
    <cellStyle name="쉼표 [0] 2 2 12 12 3" xfId="0"/>
    <cellStyle name="쉼표 [0] 2 2 12 12 4" xfId="0"/>
    <cellStyle name="쉼표 [0] 2 2 12 13" xfId="0"/>
    <cellStyle name="쉼표 [0] 2 2 12 13 2" xfId="0"/>
    <cellStyle name="쉼표 [0] 2 2 12 13 3" xfId="0"/>
    <cellStyle name="쉼표 [0] 2 2 12 13 4" xfId="0"/>
    <cellStyle name="쉼표 [0] 2 2 12 14" xfId="0"/>
    <cellStyle name="쉼표 [0] 2 2 12 14 2" xfId="0"/>
    <cellStyle name="쉼표 [0] 2 2 12 14 3" xfId="0"/>
    <cellStyle name="쉼표 [0] 2 2 12 14 4" xfId="0"/>
    <cellStyle name="쉼표 [0] 2 2 12 15" xfId="0"/>
    <cellStyle name="쉼표 [0] 2 2 12 15 2" xfId="0"/>
    <cellStyle name="쉼표 [0] 2 2 12 15 3" xfId="0"/>
    <cellStyle name="쉼표 [0] 2 2 12 15 4" xfId="0"/>
    <cellStyle name="쉼표 [0] 2 2 12 16" xfId="0"/>
    <cellStyle name="쉼표 [0] 2 2 12 16 2" xfId="0"/>
    <cellStyle name="쉼표 [0] 2 2 12 16 3" xfId="0"/>
    <cellStyle name="쉼표 [0] 2 2 12 16 4" xfId="0"/>
    <cellStyle name="쉼표 [0] 2 2 12 17" xfId="0"/>
    <cellStyle name="쉼표 [0] 2 2 12 17 2" xfId="0"/>
    <cellStyle name="쉼표 [0] 2 2 12 17 3" xfId="0"/>
    <cellStyle name="쉼표 [0] 2 2 12 17 4" xfId="0"/>
    <cellStyle name="쉼표 [0] 2 2 12 18" xfId="0"/>
    <cellStyle name="쉼표 [0] 2 2 12 18 2" xfId="0"/>
    <cellStyle name="쉼표 [0] 2 2 12 18 3" xfId="0"/>
    <cellStyle name="쉼표 [0] 2 2 12 18 4" xfId="0"/>
    <cellStyle name="쉼표 [0] 2 2 12 19" xfId="0"/>
    <cellStyle name="쉼표 [0] 2 2 12 19 2" xfId="0"/>
    <cellStyle name="쉼표 [0] 2 2 12 19 3" xfId="0"/>
    <cellStyle name="쉼표 [0] 2 2 12 19 4" xfId="0"/>
    <cellStyle name="쉼표 [0] 2 2 12 2" xfId="0"/>
    <cellStyle name="쉼표 [0] 2 2 12 2 2" xfId="0"/>
    <cellStyle name="쉼표 [0] 2 2 12 2 2 2" xfId="0"/>
    <cellStyle name="쉼표 [0] 2 2 12 2 2 2 2" xfId="0"/>
    <cellStyle name="쉼표 [0] 2 2 12 2 2 2 3" xfId="0"/>
    <cellStyle name="쉼표 [0] 2 2 12 2 2 2 4" xfId="0"/>
    <cellStyle name="쉼표 [0] 2 2 12 2 2 3" xfId="0"/>
    <cellStyle name="쉼표 [0] 2 2 12 2 2 3 2" xfId="0"/>
    <cellStyle name="쉼표 [0] 2 2 12 2 2 3 3" xfId="0"/>
    <cellStyle name="쉼표 [0] 2 2 12 2 2 3 4" xfId="0"/>
    <cellStyle name="쉼표 [0] 2 2 12 2 2 4" xfId="0"/>
    <cellStyle name="쉼표 [0] 2 2 12 2 2 4 2" xfId="0"/>
    <cellStyle name="쉼표 [0] 2 2 12 2 2 4 3" xfId="0"/>
    <cellStyle name="쉼표 [0] 2 2 12 2 2 4 4" xfId="0"/>
    <cellStyle name="쉼표 [0] 2 2 12 2 2 5" xfId="0"/>
    <cellStyle name="쉼표 [0] 2 2 12 2 2 5 2" xfId="0"/>
    <cellStyle name="쉼표 [0] 2 2 12 2 2 5 3" xfId="0"/>
    <cellStyle name="쉼표 [0] 2 2 12 2 2 5 4" xfId="0"/>
    <cellStyle name="쉼표 [0] 2 2 12 2 2 6" xfId="0"/>
    <cellStyle name="쉼표 [0] 2 2 12 2 2 7" xfId="0"/>
    <cellStyle name="쉼표 [0] 2 2 12 2 2 8" xfId="0"/>
    <cellStyle name="쉼표 [0] 2 2 12 2 3" xfId="0"/>
    <cellStyle name="쉼표 [0] 2 2 12 2 3 2" xfId="0"/>
    <cellStyle name="쉼표 [0] 2 2 12 2 3 3" xfId="0"/>
    <cellStyle name="쉼표 [0] 2 2 12 2 3 4" xfId="0"/>
    <cellStyle name="쉼표 [0] 2 2 12 2 4" xfId="0"/>
    <cellStyle name="쉼표 [0] 2 2 12 2 4 2" xfId="0"/>
    <cellStyle name="쉼표 [0] 2 2 12 2 4 3" xfId="0"/>
    <cellStyle name="쉼표 [0] 2 2 12 2 4 4" xfId="0"/>
    <cellStyle name="쉼표 [0] 2 2 12 2 5" xfId="0"/>
    <cellStyle name="쉼표 [0] 2 2 12 2 5 2" xfId="0"/>
    <cellStyle name="쉼표 [0] 2 2 12 2 5 3" xfId="0"/>
    <cellStyle name="쉼표 [0] 2 2 12 2 5 4" xfId="0"/>
    <cellStyle name="쉼표 [0] 2 2 12 2 6" xfId="0"/>
    <cellStyle name="쉼표 [0] 2 2 12 2 7" xfId="0"/>
    <cellStyle name="쉼표 [0] 2 2 12 2 8" xfId="0"/>
    <cellStyle name="쉼표 [0] 2 2 12 20" xfId="0"/>
    <cellStyle name="쉼표 [0] 2 2 12 20 2" xfId="0"/>
    <cellStyle name="쉼표 [0] 2 2 12 20 3" xfId="0"/>
    <cellStyle name="쉼표 [0] 2 2 12 20 4" xfId="0"/>
    <cellStyle name="쉼표 [0] 2 2 12 21" xfId="0"/>
    <cellStyle name="쉼표 [0] 2 2 12 21 2" xfId="0"/>
    <cellStyle name="쉼표 [0] 2 2 12 21 3" xfId="0"/>
    <cellStyle name="쉼표 [0] 2 2 12 21 4" xfId="0"/>
    <cellStyle name="쉼표 [0] 2 2 12 22" xfId="0"/>
    <cellStyle name="쉼표 [0] 2 2 12 23" xfId="0"/>
    <cellStyle name="쉼표 [0] 2 2 12 24" xfId="0"/>
    <cellStyle name="쉼표 [0] 2 2 12 25" xfId="0"/>
    <cellStyle name="쉼표 [0] 2 2 12 26" xfId="0"/>
    <cellStyle name="쉼표 [0] 2 2 12 3" xfId="0"/>
    <cellStyle name="쉼표 [0] 2 2 12 3 2" xfId="0"/>
    <cellStyle name="쉼표 [0] 2 2 12 3 2 2" xfId="0"/>
    <cellStyle name="쉼표 [0] 2 2 12 3 2 2 2" xfId="0"/>
    <cellStyle name="쉼표 [0] 2 2 12 3 2 2 3" xfId="0"/>
    <cellStyle name="쉼표 [0] 2 2 12 3 2 2 4" xfId="0"/>
    <cellStyle name="쉼표 [0] 2 2 12 3 2 3" xfId="0"/>
    <cellStyle name="쉼표 [0] 2 2 12 3 2 3 2" xfId="0"/>
    <cellStyle name="쉼표 [0] 2 2 12 3 2 3 3" xfId="0"/>
    <cellStyle name="쉼표 [0] 2 2 12 3 2 3 4" xfId="0"/>
    <cellStyle name="쉼표 [0] 2 2 12 3 2 4" xfId="0"/>
    <cellStyle name="쉼표 [0] 2 2 12 3 2 4 2" xfId="0"/>
    <cellStyle name="쉼표 [0] 2 2 12 3 2 4 3" xfId="0"/>
    <cellStyle name="쉼표 [0] 2 2 12 3 2 4 4" xfId="0"/>
    <cellStyle name="쉼표 [0] 2 2 12 3 2 5" xfId="0"/>
    <cellStyle name="쉼표 [0] 2 2 12 3 2 5 2" xfId="0"/>
    <cellStyle name="쉼표 [0] 2 2 12 3 2 5 3" xfId="0"/>
    <cellStyle name="쉼표 [0] 2 2 12 3 2 5 4" xfId="0"/>
    <cellStyle name="쉼표 [0] 2 2 12 3 2 6" xfId="0"/>
    <cellStyle name="쉼표 [0] 2 2 12 3 2 7" xfId="0"/>
    <cellStyle name="쉼표 [0] 2 2 12 3 2 8" xfId="0"/>
    <cellStyle name="쉼표 [0] 2 2 12 3 3" xfId="0"/>
    <cellStyle name="쉼표 [0] 2 2 12 3 3 2" xfId="0"/>
    <cellStyle name="쉼표 [0] 2 2 12 3 3 3" xfId="0"/>
    <cellStyle name="쉼표 [0] 2 2 12 3 3 4" xfId="0"/>
    <cellStyle name="쉼표 [0] 2 2 12 3 4" xfId="0"/>
    <cellStyle name="쉼표 [0] 2 2 12 3 4 2" xfId="0"/>
    <cellStyle name="쉼표 [0] 2 2 12 3 4 3" xfId="0"/>
    <cellStyle name="쉼표 [0] 2 2 12 3 4 4" xfId="0"/>
    <cellStyle name="쉼표 [0] 2 2 12 3 5" xfId="0"/>
    <cellStyle name="쉼표 [0] 2 2 12 3 5 2" xfId="0"/>
    <cellStyle name="쉼표 [0] 2 2 12 3 5 3" xfId="0"/>
    <cellStyle name="쉼표 [0] 2 2 12 3 5 4" xfId="0"/>
    <cellStyle name="쉼표 [0] 2 2 12 3 6" xfId="0"/>
    <cellStyle name="쉼표 [0] 2 2 12 3 7" xfId="0"/>
    <cellStyle name="쉼표 [0] 2 2 12 3 8" xfId="0"/>
    <cellStyle name="쉼표 [0] 2 2 12 4" xfId="0"/>
    <cellStyle name="쉼표 [0] 2 2 12 4 2" xfId="0"/>
    <cellStyle name="쉼표 [0] 2 2 12 4 3" xfId="0"/>
    <cellStyle name="쉼표 [0] 2 2 12 4 4" xfId="0"/>
    <cellStyle name="쉼표 [0] 2 2 12 5" xfId="0"/>
    <cellStyle name="쉼표 [0] 2 2 12 5 2" xfId="0"/>
    <cellStyle name="쉼표 [0] 2 2 12 5 3" xfId="0"/>
    <cellStyle name="쉼표 [0] 2 2 12 5 4" xfId="0"/>
    <cellStyle name="쉼표 [0] 2 2 12 6" xfId="0"/>
    <cellStyle name="쉼표 [0] 2 2 12 6 2" xfId="0"/>
    <cellStyle name="쉼표 [0] 2 2 12 6 3" xfId="0"/>
    <cellStyle name="쉼표 [0] 2 2 12 6 4" xfId="0"/>
    <cellStyle name="쉼표 [0] 2 2 12 7" xfId="0"/>
    <cellStyle name="쉼표 [0] 2 2 12 7 2" xfId="0"/>
    <cellStyle name="쉼표 [0] 2 2 12 7 3" xfId="0"/>
    <cellStyle name="쉼표 [0] 2 2 12 7 4" xfId="0"/>
    <cellStyle name="쉼표 [0] 2 2 12 8" xfId="0"/>
    <cellStyle name="쉼표 [0] 2 2 12 8 2" xfId="0"/>
    <cellStyle name="쉼표 [0] 2 2 12 8 3" xfId="0"/>
    <cellStyle name="쉼표 [0] 2 2 12 8 4" xfId="0"/>
    <cellStyle name="쉼표 [0] 2 2 12 9" xfId="0"/>
    <cellStyle name="쉼표 [0] 2 2 12 9 2" xfId="0"/>
    <cellStyle name="쉼표 [0] 2 2 12 9 3" xfId="0"/>
    <cellStyle name="쉼표 [0] 2 2 12 9 4" xfId="0"/>
    <cellStyle name="쉼표 [0] 2 2 13" xfId="0"/>
    <cellStyle name="쉼표 [0] 2 2 13 10" xfId="0"/>
    <cellStyle name="쉼표 [0] 2 2 13 10 2" xfId="0"/>
    <cellStyle name="쉼표 [0] 2 2 13 10 3" xfId="0"/>
    <cellStyle name="쉼표 [0] 2 2 13 10 4" xfId="0"/>
    <cellStyle name="쉼표 [0] 2 2 13 11" xfId="0"/>
    <cellStyle name="쉼표 [0] 2 2 13 11 2" xfId="0"/>
    <cellStyle name="쉼표 [0] 2 2 13 11 3" xfId="0"/>
    <cellStyle name="쉼표 [0] 2 2 13 11 4" xfId="0"/>
    <cellStyle name="쉼표 [0] 2 2 13 12" xfId="0"/>
    <cellStyle name="쉼표 [0] 2 2 13 12 2" xfId="0"/>
    <cellStyle name="쉼표 [0] 2 2 13 12 3" xfId="0"/>
    <cellStyle name="쉼표 [0] 2 2 13 12 4" xfId="0"/>
    <cellStyle name="쉼표 [0] 2 2 13 13" xfId="0"/>
    <cellStyle name="쉼표 [0] 2 2 13 13 2" xfId="0"/>
    <cellStyle name="쉼표 [0] 2 2 13 13 3" xfId="0"/>
    <cellStyle name="쉼표 [0] 2 2 13 13 4" xfId="0"/>
    <cellStyle name="쉼표 [0] 2 2 13 14" xfId="0"/>
    <cellStyle name="쉼표 [0] 2 2 13 14 2" xfId="0"/>
    <cellStyle name="쉼표 [0] 2 2 13 14 3" xfId="0"/>
    <cellStyle name="쉼표 [0] 2 2 13 14 4" xfId="0"/>
    <cellStyle name="쉼표 [0] 2 2 13 15" xfId="0"/>
    <cellStyle name="쉼표 [0] 2 2 13 15 2" xfId="0"/>
    <cellStyle name="쉼표 [0] 2 2 13 15 3" xfId="0"/>
    <cellStyle name="쉼표 [0] 2 2 13 15 4" xfId="0"/>
    <cellStyle name="쉼표 [0] 2 2 13 16" xfId="0"/>
    <cellStyle name="쉼표 [0] 2 2 13 16 2" xfId="0"/>
    <cellStyle name="쉼표 [0] 2 2 13 16 3" xfId="0"/>
    <cellStyle name="쉼표 [0] 2 2 13 16 4" xfId="0"/>
    <cellStyle name="쉼표 [0] 2 2 13 17" xfId="0"/>
    <cellStyle name="쉼표 [0] 2 2 13 17 2" xfId="0"/>
    <cellStyle name="쉼표 [0] 2 2 13 17 3" xfId="0"/>
    <cellStyle name="쉼표 [0] 2 2 13 17 4" xfId="0"/>
    <cellStyle name="쉼표 [0] 2 2 13 18" xfId="0"/>
    <cellStyle name="쉼표 [0] 2 2 13 19" xfId="0"/>
    <cellStyle name="쉼표 [0] 2 2 13 2" xfId="0"/>
    <cellStyle name="쉼표 [0] 2 2 13 2 2" xfId="0"/>
    <cellStyle name="쉼표 [0] 2 2 13 2 3" xfId="0"/>
    <cellStyle name="쉼표 [0] 2 2 13 2 4" xfId="0"/>
    <cellStyle name="쉼표 [0] 2 2 13 20" xfId="0"/>
    <cellStyle name="쉼표 [0] 2 2 13 21" xfId="0"/>
    <cellStyle name="쉼표 [0] 2 2 13 3" xfId="0"/>
    <cellStyle name="쉼표 [0] 2 2 13 3 2" xfId="0"/>
    <cellStyle name="쉼표 [0] 2 2 13 3 3" xfId="0"/>
    <cellStyle name="쉼표 [0] 2 2 13 3 4" xfId="0"/>
    <cellStyle name="쉼표 [0] 2 2 13 4" xfId="0"/>
    <cellStyle name="쉼표 [0] 2 2 13 4 2" xfId="0"/>
    <cellStyle name="쉼표 [0] 2 2 13 4 3" xfId="0"/>
    <cellStyle name="쉼표 [0] 2 2 13 4 4" xfId="0"/>
    <cellStyle name="쉼표 [0] 2 2 13 5" xfId="0"/>
    <cellStyle name="쉼표 [0] 2 2 13 5 2" xfId="0"/>
    <cellStyle name="쉼표 [0] 2 2 13 5 3" xfId="0"/>
    <cellStyle name="쉼표 [0] 2 2 13 5 4" xfId="0"/>
    <cellStyle name="쉼표 [0] 2 2 13 6" xfId="0"/>
    <cellStyle name="쉼표 [0] 2 2 13 6 2" xfId="0"/>
    <cellStyle name="쉼표 [0] 2 2 13 6 3" xfId="0"/>
    <cellStyle name="쉼표 [0] 2 2 13 6 4" xfId="0"/>
    <cellStyle name="쉼표 [0] 2 2 13 7" xfId="0"/>
    <cellStyle name="쉼표 [0] 2 2 13 7 2" xfId="0"/>
    <cellStyle name="쉼표 [0] 2 2 13 7 3" xfId="0"/>
    <cellStyle name="쉼표 [0] 2 2 13 7 4" xfId="0"/>
    <cellStyle name="쉼표 [0] 2 2 13 8" xfId="0"/>
    <cellStyle name="쉼표 [0] 2 2 13 8 2" xfId="0"/>
    <cellStyle name="쉼표 [0] 2 2 13 8 3" xfId="0"/>
    <cellStyle name="쉼표 [0] 2 2 13 8 4" xfId="0"/>
    <cellStyle name="쉼표 [0] 2 2 13 9" xfId="0"/>
    <cellStyle name="쉼표 [0] 2 2 13 9 2" xfId="0"/>
    <cellStyle name="쉼표 [0] 2 2 13 9 3" xfId="0"/>
    <cellStyle name="쉼표 [0] 2 2 13 9 4" xfId="0"/>
    <cellStyle name="쉼표 [0] 2 2 14" xfId="0"/>
    <cellStyle name="쉼표 [0] 2 2 14 10" xfId="0"/>
    <cellStyle name="쉼표 [0] 2 2 14 10 2" xfId="0"/>
    <cellStyle name="쉼표 [0] 2 2 14 10 3" xfId="0"/>
    <cellStyle name="쉼표 [0] 2 2 14 10 4" xfId="0"/>
    <cellStyle name="쉼표 [0] 2 2 14 11" xfId="0"/>
    <cellStyle name="쉼표 [0] 2 2 14 11 2" xfId="0"/>
    <cellStyle name="쉼표 [0] 2 2 14 11 3" xfId="0"/>
    <cellStyle name="쉼표 [0] 2 2 14 11 4" xfId="0"/>
    <cellStyle name="쉼표 [0] 2 2 14 12" xfId="0"/>
    <cellStyle name="쉼표 [0] 2 2 14 12 2" xfId="0"/>
    <cellStyle name="쉼표 [0] 2 2 14 12 3" xfId="0"/>
    <cellStyle name="쉼표 [0] 2 2 14 12 4" xfId="0"/>
    <cellStyle name="쉼표 [0] 2 2 14 13" xfId="0"/>
    <cellStyle name="쉼표 [0] 2 2 14 13 2" xfId="0"/>
    <cellStyle name="쉼표 [0] 2 2 14 13 3" xfId="0"/>
    <cellStyle name="쉼표 [0] 2 2 14 13 4" xfId="0"/>
    <cellStyle name="쉼표 [0] 2 2 14 14" xfId="0"/>
    <cellStyle name="쉼표 [0] 2 2 14 14 2" xfId="0"/>
    <cellStyle name="쉼표 [0] 2 2 14 14 3" xfId="0"/>
    <cellStyle name="쉼표 [0] 2 2 14 14 4" xfId="0"/>
    <cellStyle name="쉼표 [0] 2 2 14 15" xfId="0"/>
    <cellStyle name="쉼표 [0] 2 2 14 15 2" xfId="0"/>
    <cellStyle name="쉼표 [0] 2 2 14 15 3" xfId="0"/>
    <cellStyle name="쉼표 [0] 2 2 14 15 4" xfId="0"/>
    <cellStyle name="쉼표 [0] 2 2 14 16" xfId="0"/>
    <cellStyle name="쉼표 [0] 2 2 14 16 2" xfId="0"/>
    <cellStyle name="쉼표 [0] 2 2 14 16 3" xfId="0"/>
    <cellStyle name="쉼표 [0] 2 2 14 16 4" xfId="0"/>
    <cellStyle name="쉼표 [0] 2 2 14 17" xfId="0"/>
    <cellStyle name="쉼표 [0] 2 2 14 17 2" xfId="0"/>
    <cellStyle name="쉼표 [0] 2 2 14 17 3" xfId="0"/>
    <cellStyle name="쉼표 [0] 2 2 14 17 4" xfId="0"/>
    <cellStyle name="쉼표 [0] 2 2 14 18" xfId="0"/>
    <cellStyle name="쉼표 [0] 2 2 14 19" xfId="0"/>
    <cellStyle name="쉼표 [0] 2 2 14 2" xfId="0"/>
    <cellStyle name="쉼표 [0] 2 2 14 2 2" xfId="0"/>
    <cellStyle name="쉼표 [0] 2 2 14 2 3" xfId="0"/>
    <cellStyle name="쉼표 [0] 2 2 14 2 4" xfId="0"/>
    <cellStyle name="쉼표 [0] 2 2 14 20" xfId="0"/>
    <cellStyle name="쉼표 [0] 2 2 14 21" xfId="0"/>
    <cellStyle name="쉼표 [0] 2 2 14 3" xfId="0"/>
    <cellStyle name="쉼표 [0] 2 2 14 3 2" xfId="0"/>
    <cellStyle name="쉼표 [0] 2 2 14 3 3" xfId="0"/>
    <cellStyle name="쉼표 [0] 2 2 14 3 4" xfId="0"/>
    <cellStyle name="쉼표 [0] 2 2 14 4" xfId="0"/>
    <cellStyle name="쉼표 [0] 2 2 14 4 2" xfId="0"/>
    <cellStyle name="쉼표 [0] 2 2 14 4 3" xfId="0"/>
    <cellStyle name="쉼표 [0] 2 2 14 4 4" xfId="0"/>
    <cellStyle name="쉼표 [0] 2 2 14 5" xfId="0"/>
    <cellStyle name="쉼표 [0] 2 2 14 5 2" xfId="0"/>
    <cellStyle name="쉼표 [0] 2 2 14 5 3" xfId="0"/>
    <cellStyle name="쉼표 [0] 2 2 14 5 4" xfId="0"/>
    <cellStyle name="쉼표 [0] 2 2 14 6" xfId="0"/>
    <cellStyle name="쉼표 [0] 2 2 14 6 2" xfId="0"/>
    <cellStyle name="쉼표 [0] 2 2 14 6 3" xfId="0"/>
    <cellStyle name="쉼표 [0] 2 2 14 6 4" xfId="0"/>
    <cellStyle name="쉼표 [0] 2 2 14 7" xfId="0"/>
    <cellStyle name="쉼표 [0] 2 2 14 7 2" xfId="0"/>
    <cellStyle name="쉼표 [0] 2 2 14 7 3" xfId="0"/>
    <cellStyle name="쉼표 [0] 2 2 14 7 4" xfId="0"/>
    <cellStyle name="쉼표 [0] 2 2 14 8" xfId="0"/>
    <cellStyle name="쉼표 [0] 2 2 14 8 2" xfId="0"/>
    <cellStyle name="쉼표 [0] 2 2 14 8 3" xfId="0"/>
    <cellStyle name="쉼표 [0] 2 2 14 8 4" xfId="0"/>
    <cellStyle name="쉼표 [0] 2 2 14 9" xfId="0"/>
    <cellStyle name="쉼표 [0] 2 2 14 9 2" xfId="0"/>
    <cellStyle name="쉼표 [0] 2 2 14 9 3" xfId="0"/>
    <cellStyle name="쉼표 [0] 2 2 14 9 4" xfId="0"/>
    <cellStyle name="쉼표 [0] 2 2 15" xfId="0"/>
    <cellStyle name="쉼표 [0] 2 2 15 10" xfId="0"/>
    <cellStyle name="쉼표 [0] 2 2 15 10 2" xfId="0"/>
    <cellStyle name="쉼표 [0] 2 2 15 10 3" xfId="0"/>
    <cellStyle name="쉼표 [0] 2 2 15 10 4" xfId="0"/>
    <cellStyle name="쉼표 [0] 2 2 15 11" xfId="0"/>
    <cellStyle name="쉼표 [0] 2 2 15 11 2" xfId="0"/>
    <cellStyle name="쉼표 [0] 2 2 15 11 3" xfId="0"/>
    <cellStyle name="쉼표 [0] 2 2 15 11 4" xfId="0"/>
    <cellStyle name="쉼표 [0] 2 2 15 12" xfId="0"/>
    <cellStyle name="쉼표 [0] 2 2 15 12 2" xfId="0"/>
    <cellStyle name="쉼표 [0] 2 2 15 12 3" xfId="0"/>
    <cellStyle name="쉼표 [0] 2 2 15 12 4" xfId="0"/>
    <cellStyle name="쉼표 [0] 2 2 15 13" xfId="0"/>
    <cellStyle name="쉼표 [0] 2 2 15 13 2" xfId="0"/>
    <cellStyle name="쉼표 [0] 2 2 15 13 3" xfId="0"/>
    <cellStyle name="쉼표 [0] 2 2 15 13 4" xfId="0"/>
    <cellStyle name="쉼표 [0] 2 2 15 14" xfId="0"/>
    <cellStyle name="쉼표 [0] 2 2 15 14 2" xfId="0"/>
    <cellStyle name="쉼표 [0] 2 2 15 14 3" xfId="0"/>
    <cellStyle name="쉼표 [0] 2 2 15 14 4" xfId="0"/>
    <cellStyle name="쉼표 [0] 2 2 15 15" xfId="0"/>
    <cellStyle name="쉼표 [0] 2 2 15 15 2" xfId="0"/>
    <cellStyle name="쉼표 [0] 2 2 15 15 3" xfId="0"/>
    <cellStyle name="쉼표 [0] 2 2 15 15 4" xfId="0"/>
    <cellStyle name="쉼표 [0] 2 2 15 16" xfId="0"/>
    <cellStyle name="쉼표 [0] 2 2 15 16 2" xfId="0"/>
    <cellStyle name="쉼표 [0] 2 2 15 16 3" xfId="0"/>
    <cellStyle name="쉼표 [0] 2 2 15 16 4" xfId="0"/>
    <cellStyle name="쉼표 [0] 2 2 15 17" xfId="0"/>
    <cellStyle name="쉼표 [0] 2 2 15 17 2" xfId="0"/>
    <cellStyle name="쉼표 [0] 2 2 15 17 3" xfId="0"/>
    <cellStyle name="쉼표 [0] 2 2 15 17 4" xfId="0"/>
    <cellStyle name="쉼표 [0] 2 2 15 18" xfId="0"/>
    <cellStyle name="쉼표 [0] 2 2 15 19" xfId="0"/>
    <cellStyle name="쉼표 [0] 2 2 15 2" xfId="0"/>
    <cellStyle name="쉼표 [0] 2 2 15 2 2" xfId="0"/>
    <cellStyle name="쉼표 [0] 2 2 15 2 3" xfId="0"/>
    <cellStyle name="쉼표 [0] 2 2 15 2 4" xfId="0"/>
    <cellStyle name="쉼표 [0] 2 2 15 20" xfId="0"/>
    <cellStyle name="쉼표 [0] 2 2 15 21" xfId="0"/>
    <cellStyle name="쉼표 [0] 2 2 15 3" xfId="0"/>
    <cellStyle name="쉼표 [0] 2 2 15 3 2" xfId="0"/>
    <cellStyle name="쉼표 [0] 2 2 15 3 3" xfId="0"/>
    <cellStyle name="쉼표 [0] 2 2 15 3 4" xfId="0"/>
    <cellStyle name="쉼표 [0] 2 2 15 4" xfId="0"/>
    <cellStyle name="쉼표 [0] 2 2 15 4 2" xfId="0"/>
    <cellStyle name="쉼표 [0] 2 2 15 4 3" xfId="0"/>
    <cellStyle name="쉼표 [0] 2 2 15 4 4" xfId="0"/>
    <cellStyle name="쉼표 [0] 2 2 15 5" xfId="0"/>
    <cellStyle name="쉼표 [0] 2 2 15 5 2" xfId="0"/>
    <cellStyle name="쉼표 [0] 2 2 15 5 3" xfId="0"/>
    <cellStyle name="쉼표 [0] 2 2 15 5 4" xfId="0"/>
    <cellStyle name="쉼표 [0] 2 2 15 6" xfId="0"/>
    <cellStyle name="쉼표 [0] 2 2 15 6 2" xfId="0"/>
    <cellStyle name="쉼표 [0] 2 2 15 6 3" xfId="0"/>
    <cellStyle name="쉼표 [0] 2 2 15 6 4" xfId="0"/>
    <cellStyle name="쉼표 [0] 2 2 15 7" xfId="0"/>
    <cellStyle name="쉼표 [0] 2 2 15 7 2" xfId="0"/>
    <cellStyle name="쉼표 [0] 2 2 15 7 3" xfId="0"/>
    <cellStyle name="쉼표 [0] 2 2 15 7 4" xfId="0"/>
    <cellStyle name="쉼표 [0] 2 2 15 8" xfId="0"/>
    <cellStyle name="쉼표 [0] 2 2 15 8 2" xfId="0"/>
    <cellStyle name="쉼표 [0] 2 2 15 8 3" xfId="0"/>
    <cellStyle name="쉼표 [0] 2 2 15 8 4" xfId="0"/>
    <cellStyle name="쉼표 [0] 2 2 15 9" xfId="0"/>
    <cellStyle name="쉼표 [0] 2 2 15 9 2" xfId="0"/>
    <cellStyle name="쉼표 [0] 2 2 15 9 3" xfId="0"/>
    <cellStyle name="쉼표 [0] 2 2 15 9 4" xfId="0"/>
    <cellStyle name="쉼표 [0] 2 2 16" xfId="0"/>
    <cellStyle name="쉼표 [0] 2 2 16 10" xfId="0"/>
    <cellStyle name="쉼표 [0] 2 2 16 10 2" xfId="0"/>
    <cellStyle name="쉼표 [0] 2 2 16 10 3" xfId="0"/>
    <cellStyle name="쉼표 [0] 2 2 16 10 4" xfId="0"/>
    <cellStyle name="쉼표 [0] 2 2 16 11" xfId="0"/>
    <cellStyle name="쉼표 [0] 2 2 16 11 2" xfId="0"/>
    <cellStyle name="쉼표 [0] 2 2 16 11 3" xfId="0"/>
    <cellStyle name="쉼표 [0] 2 2 16 11 4" xfId="0"/>
    <cellStyle name="쉼표 [0] 2 2 16 12" xfId="0"/>
    <cellStyle name="쉼표 [0] 2 2 16 12 2" xfId="0"/>
    <cellStyle name="쉼표 [0] 2 2 16 12 3" xfId="0"/>
    <cellStyle name="쉼표 [0] 2 2 16 12 4" xfId="0"/>
    <cellStyle name="쉼표 [0] 2 2 16 13" xfId="0"/>
    <cellStyle name="쉼표 [0] 2 2 16 13 2" xfId="0"/>
    <cellStyle name="쉼표 [0] 2 2 16 13 3" xfId="0"/>
    <cellStyle name="쉼표 [0] 2 2 16 13 4" xfId="0"/>
    <cellStyle name="쉼표 [0] 2 2 16 14" xfId="0"/>
    <cellStyle name="쉼표 [0] 2 2 16 14 2" xfId="0"/>
    <cellStyle name="쉼표 [0] 2 2 16 14 3" xfId="0"/>
    <cellStyle name="쉼표 [0] 2 2 16 14 4" xfId="0"/>
    <cellStyle name="쉼표 [0] 2 2 16 15" xfId="0"/>
    <cellStyle name="쉼표 [0] 2 2 16 15 2" xfId="0"/>
    <cellStyle name="쉼표 [0] 2 2 16 15 3" xfId="0"/>
    <cellStyle name="쉼표 [0] 2 2 16 15 4" xfId="0"/>
    <cellStyle name="쉼표 [0] 2 2 16 16" xfId="0"/>
    <cellStyle name="쉼표 [0] 2 2 16 16 2" xfId="0"/>
    <cellStyle name="쉼표 [0] 2 2 16 16 3" xfId="0"/>
    <cellStyle name="쉼표 [0] 2 2 16 16 4" xfId="0"/>
    <cellStyle name="쉼표 [0] 2 2 16 17" xfId="0"/>
    <cellStyle name="쉼표 [0] 2 2 16 17 2" xfId="0"/>
    <cellStyle name="쉼표 [0] 2 2 16 17 3" xfId="0"/>
    <cellStyle name="쉼표 [0] 2 2 16 17 4" xfId="0"/>
    <cellStyle name="쉼표 [0] 2 2 16 18" xfId="0"/>
    <cellStyle name="쉼표 [0] 2 2 16 19" xfId="0"/>
    <cellStyle name="쉼표 [0] 2 2 16 2" xfId="0"/>
    <cellStyle name="쉼표 [0] 2 2 16 2 2" xfId="0"/>
    <cellStyle name="쉼표 [0] 2 2 16 2 3" xfId="0"/>
    <cellStyle name="쉼표 [0] 2 2 16 2 4" xfId="0"/>
    <cellStyle name="쉼표 [0] 2 2 16 20" xfId="0"/>
    <cellStyle name="쉼표 [0] 2 2 16 21" xfId="0"/>
    <cellStyle name="쉼표 [0] 2 2 16 3" xfId="0"/>
    <cellStyle name="쉼표 [0] 2 2 16 3 2" xfId="0"/>
    <cellStyle name="쉼표 [0] 2 2 16 3 3" xfId="0"/>
    <cellStyle name="쉼표 [0] 2 2 16 3 4" xfId="0"/>
    <cellStyle name="쉼표 [0] 2 2 16 4" xfId="0"/>
    <cellStyle name="쉼표 [0] 2 2 16 4 2" xfId="0"/>
    <cellStyle name="쉼표 [0] 2 2 16 4 3" xfId="0"/>
    <cellStyle name="쉼표 [0] 2 2 16 4 4" xfId="0"/>
    <cellStyle name="쉼표 [0] 2 2 16 5" xfId="0"/>
    <cellStyle name="쉼표 [0] 2 2 16 5 2" xfId="0"/>
    <cellStyle name="쉼표 [0] 2 2 16 5 3" xfId="0"/>
    <cellStyle name="쉼표 [0] 2 2 16 5 4" xfId="0"/>
    <cellStyle name="쉼표 [0] 2 2 16 6" xfId="0"/>
    <cellStyle name="쉼표 [0] 2 2 16 6 2" xfId="0"/>
    <cellStyle name="쉼표 [0] 2 2 16 6 3" xfId="0"/>
    <cellStyle name="쉼표 [0] 2 2 16 6 4" xfId="0"/>
    <cellStyle name="쉼표 [0] 2 2 16 7" xfId="0"/>
    <cellStyle name="쉼표 [0] 2 2 16 7 2" xfId="0"/>
    <cellStyle name="쉼표 [0] 2 2 16 7 3" xfId="0"/>
    <cellStyle name="쉼표 [0] 2 2 16 7 4" xfId="0"/>
    <cellStyle name="쉼표 [0] 2 2 16 8" xfId="0"/>
    <cellStyle name="쉼표 [0] 2 2 16 8 2" xfId="0"/>
    <cellStyle name="쉼표 [0] 2 2 16 8 3" xfId="0"/>
    <cellStyle name="쉼표 [0] 2 2 16 8 4" xfId="0"/>
    <cellStyle name="쉼표 [0] 2 2 16 9" xfId="0"/>
    <cellStyle name="쉼표 [0] 2 2 16 9 2" xfId="0"/>
    <cellStyle name="쉼표 [0] 2 2 16 9 3" xfId="0"/>
    <cellStyle name="쉼표 [0] 2 2 16 9 4" xfId="0"/>
    <cellStyle name="쉼표 [0] 2 2 17" xfId="0"/>
    <cellStyle name="쉼표 [0] 2 2 17 10" xfId="0"/>
    <cellStyle name="쉼표 [0] 2 2 17 10 2" xfId="0"/>
    <cellStyle name="쉼표 [0] 2 2 17 10 3" xfId="0"/>
    <cellStyle name="쉼표 [0] 2 2 17 10 4" xfId="0"/>
    <cellStyle name="쉼표 [0] 2 2 17 11" xfId="0"/>
    <cellStyle name="쉼표 [0] 2 2 17 11 2" xfId="0"/>
    <cellStyle name="쉼표 [0] 2 2 17 11 3" xfId="0"/>
    <cellStyle name="쉼표 [0] 2 2 17 11 4" xfId="0"/>
    <cellStyle name="쉼표 [0] 2 2 17 12" xfId="0"/>
    <cellStyle name="쉼표 [0] 2 2 17 12 2" xfId="0"/>
    <cellStyle name="쉼표 [0] 2 2 17 12 3" xfId="0"/>
    <cellStyle name="쉼표 [0] 2 2 17 12 4" xfId="0"/>
    <cellStyle name="쉼표 [0] 2 2 17 13" xfId="0"/>
    <cellStyle name="쉼표 [0] 2 2 17 13 2" xfId="0"/>
    <cellStyle name="쉼표 [0] 2 2 17 13 3" xfId="0"/>
    <cellStyle name="쉼표 [0] 2 2 17 13 4" xfId="0"/>
    <cellStyle name="쉼표 [0] 2 2 17 14" xfId="0"/>
    <cellStyle name="쉼표 [0] 2 2 17 14 2" xfId="0"/>
    <cellStyle name="쉼표 [0] 2 2 17 14 3" xfId="0"/>
    <cellStyle name="쉼표 [0] 2 2 17 14 4" xfId="0"/>
    <cellStyle name="쉼표 [0] 2 2 17 15" xfId="0"/>
    <cellStyle name="쉼표 [0] 2 2 17 15 2" xfId="0"/>
    <cellStyle name="쉼표 [0] 2 2 17 15 3" xfId="0"/>
    <cellStyle name="쉼표 [0] 2 2 17 15 4" xfId="0"/>
    <cellStyle name="쉼표 [0] 2 2 17 16" xfId="0"/>
    <cellStyle name="쉼표 [0] 2 2 17 16 2" xfId="0"/>
    <cellStyle name="쉼표 [0] 2 2 17 16 3" xfId="0"/>
    <cellStyle name="쉼표 [0] 2 2 17 16 4" xfId="0"/>
    <cellStyle name="쉼표 [0] 2 2 17 17" xfId="0"/>
    <cellStyle name="쉼표 [0] 2 2 17 17 2" xfId="0"/>
    <cellStyle name="쉼표 [0] 2 2 17 17 3" xfId="0"/>
    <cellStyle name="쉼표 [0] 2 2 17 17 4" xfId="0"/>
    <cellStyle name="쉼표 [0] 2 2 17 18" xfId="0"/>
    <cellStyle name="쉼표 [0] 2 2 17 19" xfId="0"/>
    <cellStyle name="쉼표 [0] 2 2 17 2" xfId="0"/>
    <cellStyle name="쉼표 [0] 2 2 17 2 2" xfId="0"/>
    <cellStyle name="쉼표 [0] 2 2 17 2 3" xfId="0"/>
    <cellStyle name="쉼표 [0] 2 2 17 2 4" xfId="0"/>
    <cellStyle name="쉼표 [0] 2 2 17 20" xfId="0"/>
    <cellStyle name="쉼표 [0] 2 2 17 21" xfId="0"/>
    <cellStyle name="쉼표 [0] 2 2 17 3" xfId="0"/>
    <cellStyle name="쉼표 [0] 2 2 17 3 2" xfId="0"/>
    <cellStyle name="쉼표 [0] 2 2 17 3 3" xfId="0"/>
    <cellStyle name="쉼표 [0] 2 2 17 3 4" xfId="0"/>
    <cellStyle name="쉼표 [0] 2 2 17 4" xfId="0"/>
    <cellStyle name="쉼표 [0] 2 2 17 4 2" xfId="0"/>
    <cellStyle name="쉼표 [0] 2 2 17 4 3" xfId="0"/>
    <cellStyle name="쉼표 [0] 2 2 17 4 4" xfId="0"/>
    <cellStyle name="쉼표 [0] 2 2 17 5" xfId="0"/>
    <cellStyle name="쉼표 [0] 2 2 17 5 2" xfId="0"/>
    <cellStyle name="쉼표 [0] 2 2 17 5 3" xfId="0"/>
    <cellStyle name="쉼표 [0] 2 2 17 5 4" xfId="0"/>
    <cellStyle name="쉼표 [0] 2 2 17 6" xfId="0"/>
    <cellStyle name="쉼표 [0] 2 2 17 6 2" xfId="0"/>
    <cellStyle name="쉼표 [0] 2 2 17 6 3" xfId="0"/>
    <cellStyle name="쉼표 [0] 2 2 17 6 4" xfId="0"/>
    <cellStyle name="쉼표 [0] 2 2 17 7" xfId="0"/>
    <cellStyle name="쉼표 [0] 2 2 17 7 2" xfId="0"/>
    <cellStyle name="쉼표 [0] 2 2 17 7 3" xfId="0"/>
    <cellStyle name="쉼표 [0] 2 2 17 7 4" xfId="0"/>
    <cellStyle name="쉼표 [0] 2 2 17 8" xfId="0"/>
    <cellStyle name="쉼표 [0] 2 2 17 8 2" xfId="0"/>
    <cellStyle name="쉼표 [0] 2 2 17 8 3" xfId="0"/>
    <cellStyle name="쉼표 [0] 2 2 17 8 4" xfId="0"/>
    <cellStyle name="쉼표 [0] 2 2 17 9" xfId="0"/>
    <cellStyle name="쉼표 [0] 2 2 17 9 2" xfId="0"/>
    <cellStyle name="쉼표 [0] 2 2 17 9 3" xfId="0"/>
    <cellStyle name="쉼표 [0] 2 2 17 9 4" xfId="0"/>
    <cellStyle name="쉼표 [0] 2 2 18" xfId="0"/>
    <cellStyle name="쉼표 [0] 2 2 18 10" xfId="0"/>
    <cellStyle name="쉼표 [0] 2 2 18 10 2" xfId="0"/>
    <cellStyle name="쉼표 [0] 2 2 18 10 3" xfId="0"/>
    <cellStyle name="쉼표 [0] 2 2 18 10 4" xfId="0"/>
    <cellStyle name="쉼표 [0] 2 2 18 11" xfId="0"/>
    <cellStyle name="쉼표 [0] 2 2 18 11 2" xfId="0"/>
    <cellStyle name="쉼표 [0] 2 2 18 11 3" xfId="0"/>
    <cellStyle name="쉼표 [0] 2 2 18 11 4" xfId="0"/>
    <cellStyle name="쉼표 [0] 2 2 18 12" xfId="0"/>
    <cellStyle name="쉼표 [0] 2 2 18 12 2" xfId="0"/>
    <cellStyle name="쉼표 [0] 2 2 18 12 3" xfId="0"/>
    <cellStyle name="쉼표 [0] 2 2 18 12 4" xfId="0"/>
    <cellStyle name="쉼표 [0] 2 2 18 13" xfId="0"/>
    <cellStyle name="쉼표 [0] 2 2 18 13 2" xfId="0"/>
    <cellStyle name="쉼표 [0] 2 2 18 13 3" xfId="0"/>
    <cellStyle name="쉼표 [0] 2 2 18 13 4" xfId="0"/>
    <cellStyle name="쉼표 [0] 2 2 18 14" xfId="0"/>
    <cellStyle name="쉼표 [0] 2 2 18 15" xfId="0"/>
    <cellStyle name="쉼표 [0] 2 2 18 16" xfId="0"/>
    <cellStyle name="쉼표 [0] 2 2 18 17" xfId="0"/>
    <cellStyle name="쉼표 [0] 2 2 18 18" xfId="0"/>
    <cellStyle name="쉼표 [0] 2 2 18 2" xfId="0"/>
    <cellStyle name="쉼표 [0] 2 2 18 2 2" xfId="0"/>
    <cellStyle name="쉼표 [0] 2 2 18 2 2 2" xfId="0"/>
    <cellStyle name="쉼표 [0] 2 2 18 2 2 2 2" xfId="0"/>
    <cellStyle name="쉼표 [0] 2 2 18 2 2 2 3" xfId="0"/>
    <cellStyle name="쉼표 [0] 2 2 18 2 2 2 4" xfId="0"/>
    <cellStyle name="쉼표 [0] 2 2 18 2 2 3" xfId="0"/>
    <cellStyle name="쉼표 [0] 2 2 18 2 2 3 2" xfId="0"/>
    <cellStyle name="쉼표 [0] 2 2 18 2 2 3 3" xfId="0"/>
    <cellStyle name="쉼표 [0] 2 2 18 2 2 3 4" xfId="0"/>
    <cellStyle name="쉼표 [0] 2 2 18 2 2 4" xfId="0"/>
    <cellStyle name="쉼표 [0] 2 2 18 2 2 4 2" xfId="0"/>
    <cellStyle name="쉼표 [0] 2 2 18 2 2 4 3" xfId="0"/>
    <cellStyle name="쉼표 [0] 2 2 18 2 2 4 4" xfId="0"/>
    <cellStyle name="쉼표 [0] 2 2 18 2 2 5" xfId="0"/>
    <cellStyle name="쉼표 [0] 2 2 18 2 2 5 2" xfId="0"/>
    <cellStyle name="쉼표 [0] 2 2 18 2 2 5 3" xfId="0"/>
    <cellStyle name="쉼표 [0] 2 2 18 2 2 5 4" xfId="0"/>
    <cellStyle name="쉼표 [0] 2 2 18 2 2 6" xfId="0"/>
    <cellStyle name="쉼표 [0] 2 2 18 2 2 7" xfId="0"/>
    <cellStyle name="쉼표 [0] 2 2 18 2 2 8" xfId="0"/>
    <cellStyle name="쉼표 [0] 2 2 18 2 3" xfId="0"/>
    <cellStyle name="쉼표 [0] 2 2 18 2 3 2" xfId="0"/>
    <cellStyle name="쉼표 [0] 2 2 18 2 3 3" xfId="0"/>
    <cellStyle name="쉼표 [0] 2 2 18 2 3 4" xfId="0"/>
    <cellStyle name="쉼표 [0] 2 2 18 2 4" xfId="0"/>
    <cellStyle name="쉼표 [0] 2 2 18 2 4 2" xfId="0"/>
    <cellStyle name="쉼표 [0] 2 2 18 2 4 3" xfId="0"/>
    <cellStyle name="쉼표 [0] 2 2 18 2 4 4" xfId="0"/>
    <cellStyle name="쉼표 [0] 2 2 18 2 5" xfId="0"/>
    <cellStyle name="쉼표 [0] 2 2 18 2 5 2" xfId="0"/>
    <cellStyle name="쉼표 [0] 2 2 18 2 5 3" xfId="0"/>
    <cellStyle name="쉼표 [0] 2 2 18 2 5 4" xfId="0"/>
    <cellStyle name="쉼표 [0] 2 2 18 2 6" xfId="0"/>
    <cellStyle name="쉼표 [0] 2 2 18 2 7" xfId="0"/>
    <cellStyle name="쉼표 [0] 2 2 18 2 8" xfId="0"/>
    <cellStyle name="쉼표 [0] 2 2 18 3" xfId="0"/>
    <cellStyle name="쉼표 [0] 2 2 18 3 2" xfId="0"/>
    <cellStyle name="쉼표 [0] 2 2 18 3 3" xfId="0"/>
    <cellStyle name="쉼표 [0] 2 2 18 3 4" xfId="0"/>
    <cellStyle name="쉼표 [0] 2 2 18 4" xfId="0"/>
    <cellStyle name="쉼표 [0] 2 2 18 4 2" xfId="0"/>
    <cellStyle name="쉼표 [0] 2 2 18 4 3" xfId="0"/>
    <cellStyle name="쉼표 [0] 2 2 18 4 4" xfId="0"/>
    <cellStyle name="쉼표 [0] 2 2 18 5" xfId="0"/>
    <cellStyle name="쉼표 [0] 2 2 18 5 2" xfId="0"/>
    <cellStyle name="쉼표 [0] 2 2 18 5 3" xfId="0"/>
    <cellStyle name="쉼표 [0] 2 2 18 5 4" xfId="0"/>
    <cellStyle name="쉼표 [0] 2 2 18 6" xfId="0"/>
    <cellStyle name="쉼표 [0] 2 2 18 6 2" xfId="0"/>
    <cellStyle name="쉼표 [0] 2 2 18 6 3" xfId="0"/>
    <cellStyle name="쉼표 [0] 2 2 18 6 4" xfId="0"/>
    <cellStyle name="쉼표 [0] 2 2 18 7" xfId="0"/>
    <cellStyle name="쉼표 [0] 2 2 18 7 2" xfId="0"/>
    <cellStyle name="쉼표 [0] 2 2 18 7 3" xfId="0"/>
    <cellStyle name="쉼표 [0] 2 2 18 7 4" xfId="0"/>
    <cellStyle name="쉼표 [0] 2 2 18 8" xfId="0"/>
    <cellStyle name="쉼표 [0] 2 2 18 8 2" xfId="0"/>
    <cellStyle name="쉼표 [0] 2 2 18 8 3" xfId="0"/>
    <cellStyle name="쉼표 [0] 2 2 18 8 4" xfId="0"/>
    <cellStyle name="쉼표 [0] 2 2 18 9" xfId="0"/>
    <cellStyle name="쉼표 [0] 2 2 18 9 2" xfId="0"/>
    <cellStyle name="쉼표 [0] 2 2 18 9 3" xfId="0"/>
    <cellStyle name="쉼표 [0] 2 2 18 9 4" xfId="0"/>
    <cellStyle name="쉼표 [0] 2 2 19" xfId="0"/>
    <cellStyle name="쉼표 [0] 2 2 19 10" xfId="0"/>
    <cellStyle name="쉼표 [0] 2 2 19 10 2" xfId="0"/>
    <cellStyle name="쉼표 [0] 2 2 19 10 3" xfId="0"/>
    <cellStyle name="쉼표 [0] 2 2 19 10 4" xfId="0"/>
    <cellStyle name="쉼표 [0] 2 2 19 11" xfId="0"/>
    <cellStyle name="쉼표 [0] 2 2 19 11 2" xfId="0"/>
    <cellStyle name="쉼표 [0] 2 2 19 11 3" xfId="0"/>
    <cellStyle name="쉼표 [0] 2 2 19 11 4" xfId="0"/>
    <cellStyle name="쉼표 [0] 2 2 19 12" xfId="0"/>
    <cellStyle name="쉼표 [0] 2 2 19 12 2" xfId="0"/>
    <cellStyle name="쉼표 [0] 2 2 19 12 3" xfId="0"/>
    <cellStyle name="쉼표 [0] 2 2 19 12 4" xfId="0"/>
    <cellStyle name="쉼표 [0] 2 2 19 13" xfId="0"/>
    <cellStyle name="쉼표 [0] 2 2 19 13 2" xfId="0"/>
    <cellStyle name="쉼표 [0] 2 2 19 13 3" xfId="0"/>
    <cellStyle name="쉼표 [0] 2 2 19 13 4" xfId="0"/>
    <cellStyle name="쉼표 [0] 2 2 19 14" xfId="0"/>
    <cellStyle name="쉼표 [0] 2 2 19 15" xfId="0"/>
    <cellStyle name="쉼표 [0] 2 2 19 16" xfId="0"/>
    <cellStyle name="쉼표 [0] 2 2 19 17" xfId="0"/>
    <cellStyle name="쉼표 [0] 2 2 19 2" xfId="0"/>
    <cellStyle name="쉼표 [0] 2 2 19 2 2" xfId="0"/>
    <cellStyle name="쉼표 [0] 2 2 19 2 3" xfId="0"/>
    <cellStyle name="쉼표 [0] 2 2 19 2 4" xfId="0"/>
    <cellStyle name="쉼표 [0] 2 2 19 3" xfId="0"/>
    <cellStyle name="쉼표 [0] 2 2 19 3 2" xfId="0"/>
    <cellStyle name="쉼표 [0] 2 2 19 3 3" xfId="0"/>
    <cellStyle name="쉼표 [0] 2 2 19 3 4" xfId="0"/>
    <cellStyle name="쉼표 [0] 2 2 19 4" xfId="0"/>
    <cellStyle name="쉼표 [0] 2 2 19 4 2" xfId="0"/>
    <cellStyle name="쉼표 [0] 2 2 19 4 3" xfId="0"/>
    <cellStyle name="쉼표 [0] 2 2 19 4 4" xfId="0"/>
    <cellStyle name="쉼표 [0] 2 2 19 5" xfId="0"/>
    <cellStyle name="쉼표 [0] 2 2 19 5 2" xfId="0"/>
    <cellStyle name="쉼표 [0] 2 2 19 5 3" xfId="0"/>
    <cellStyle name="쉼표 [0] 2 2 19 5 4" xfId="0"/>
    <cellStyle name="쉼표 [0] 2 2 19 6" xfId="0"/>
    <cellStyle name="쉼표 [0] 2 2 19 6 2" xfId="0"/>
    <cellStyle name="쉼표 [0] 2 2 19 6 3" xfId="0"/>
    <cellStyle name="쉼표 [0] 2 2 19 6 4" xfId="0"/>
    <cellStyle name="쉼표 [0] 2 2 19 7" xfId="0"/>
    <cellStyle name="쉼표 [0] 2 2 19 7 2" xfId="0"/>
    <cellStyle name="쉼표 [0] 2 2 19 7 3" xfId="0"/>
    <cellStyle name="쉼표 [0] 2 2 19 7 4" xfId="0"/>
    <cellStyle name="쉼표 [0] 2 2 19 8" xfId="0"/>
    <cellStyle name="쉼표 [0] 2 2 19 8 2" xfId="0"/>
    <cellStyle name="쉼표 [0] 2 2 19 8 3" xfId="0"/>
    <cellStyle name="쉼표 [0] 2 2 19 8 4" xfId="0"/>
    <cellStyle name="쉼표 [0] 2 2 19 9" xfId="0"/>
    <cellStyle name="쉼표 [0] 2 2 19 9 2" xfId="0"/>
    <cellStyle name="쉼표 [0] 2 2 19 9 3" xfId="0"/>
    <cellStyle name="쉼표 [0] 2 2 19 9 4" xfId="0"/>
    <cellStyle name="쉼표 [0] 2 2 2" xfId="0"/>
    <cellStyle name="쉼표 [0] 2 2 2 10" xfId="0"/>
    <cellStyle name="쉼표 [0] 2 2 2 10 10" xfId="0"/>
    <cellStyle name="쉼표 [0] 2 2 2 10 10 2" xfId="0"/>
    <cellStyle name="쉼표 [0] 2 2 2 10 10 3" xfId="0"/>
    <cellStyle name="쉼표 [0] 2 2 2 10 10 4" xfId="0"/>
    <cellStyle name="쉼표 [0] 2 2 2 10 11" xfId="0"/>
    <cellStyle name="쉼표 [0] 2 2 2 10 12" xfId="0"/>
    <cellStyle name="쉼표 [0] 2 2 2 10 13" xfId="0"/>
    <cellStyle name="쉼표 [0] 2 2 2 10 2" xfId="0"/>
    <cellStyle name="쉼표 [0] 2 2 2 10 2 2" xfId="0"/>
    <cellStyle name="쉼표 [0] 2 2 2 10 2 3" xfId="0"/>
    <cellStyle name="쉼표 [0] 2 2 2 10 2 4" xfId="0"/>
    <cellStyle name="쉼표 [0] 2 2 2 10 3" xfId="0"/>
    <cellStyle name="쉼표 [0] 2 2 2 10 3 2" xfId="0"/>
    <cellStyle name="쉼표 [0] 2 2 2 10 3 3" xfId="0"/>
    <cellStyle name="쉼표 [0] 2 2 2 10 3 4" xfId="0"/>
    <cellStyle name="쉼표 [0] 2 2 2 10 4" xfId="0"/>
    <cellStyle name="쉼표 [0] 2 2 2 10 4 2" xfId="0"/>
    <cellStyle name="쉼표 [0] 2 2 2 10 4 3" xfId="0"/>
    <cellStyle name="쉼표 [0] 2 2 2 10 4 4" xfId="0"/>
    <cellStyle name="쉼표 [0] 2 2 2 10 5" xfId="0"/>
    <cellStyle name="쉼표 [0] 2 2 2 10 5 2" xfId="0"/>
    <cellStyle name="쉼표 [0] 2 2 2 10 5 3" xfId="0"/>
    <cellStyle name="쉼표 [0] 2 2 2 10 5 4" xfId="0"/>
    <cellStyle name="쉼표 [0] 2 2 2 10 6" xfId="0"/>
    <cellStyle name="쉼표 [0] 2 2 2 10 6 2" xfId="0"/>
    <cellStyle name="쉼표 [0] 2 2 2 10 6 3" xfId="0"/>
    <cellStyle name="쉼표 [0] 2 2 2 10 6 4" xfId="0"/>
    <cellStyle name="쉼표 [0] 2 2 2 10 7" xfId="0"/>
    <cellStyle name="쉼표 [0] 2 2 2 10 7 2" xfId="0"/>
    <cellStyle name="쉼표 [0] 2 2 2 10 7 3" xfId="0"/>
    <cellStyle name="쉼표 [0] 2 2 2 10 7 4" xfId="0"/>
    <cellStyle name="쉼표 [0] 2 2 2 10 8" xfId="0"/>
    <cellStyle name="쉼표 [0] 2 2 2 10 8 2" xfId="0"/>
    <cellStyle name="쉼표 [0] 2 2 2 10 8 3" xfId="0"/>
    <cellStyle name="쉼표 [0] 2 2 2 10 8 4" xfId="0"/>
    <cellStyle name="쉼표 [0] 2 2 2 10 9" xfId="0"/>
    <cellStyle name="쉼표 [0] 2 2 2 10 9 2" xfId="0"/>
    <cellStyle name="쉼표 [0] 2 2 2 10 9 3" xfId="0"/>
    <cellStyle name="쉼표 [0] 2 2 2 10 9 4" xfId="0"/>
    <cellStyle name="쉼표 [0] 2 2 2 11" xfId="0"/>
    <cellStyle name="쉼표 [0] 2 2 2 11 10" xfId="0"/>
    <cellStyle name="쉼표 [0] 2 2 2 11 10 2" xfId="0"/>
    <cellStyle name="쉼표 [0] 2 2 2 11 10 3" xfId="0"/>
    <cellStyle name="쉼표 [0] 2 2 2 11 10 4" xfId="0"/>
    <cellStyle name="쉼표 [0] 2 2 2 11 11" xfId="0"/>
    <cellStyle name="쉼표 [0] 2 2 2 11 12" xfId="0"/>
    <cellStyle name="쉼표 [0] 2 2 2 11 13" xfId="0"/>
    <cellStyle name="쉼표 [0] 2 2 2 11 2" xfId="0"/>
    <cellStyle name="쉼표 [0] 2 2 2 11 2 2" xfId="0"/>
    <cellStyle name="쉼표 [0] 2 2 2 11 2 3" xfId="0"/>
    <cellStyle name="쉼표 [0] 2 2 2 11 2 4" xfId="0"/>
    <cellStyle name="쉼표 [0] 2 2 2 11 3" xfId="0"/>
    <cellStyle name="쉼표 [0] 2 2 2 11 3 2" xfId="0"/>
    <cellStyle name="쉼표 [0] 2 2 2 11 3 3" xfId="0"/>
    <cellStyle name="쉼표 [0] 2 2 2 11 3 4" xfId="0"/>
    <cellStyle name="쉼표 [0] 2 2 2 11 4" xfId="0"/>
    <cellStyle name="쉼표 [0] 2 2 2 11 4 2" xfId="0"/>
    <cellStyle name="쉼표 [0] 2 2 2 11 4 3" xfId="0"/>
    <cellStyle name="쉼표 [0] 2 2 2 11 4 4" xfId="0"/>
    <cellStyle name="쉼표 [0] 2 2 2 11 5" xfId="0"/>
    <cellStyle name="쉼표 [0] 2 2 2 11 5 2" xfId="0"/>
    <cellStyle name="쉼표 [0] 2 2 2 11 5 3" xfId="0"/>
    <cellStyle name="쉼표 [0] 2 2 2 11 5 4" xfId="0"/>
    <cellStyle name="쉼표 [0] 2 2 2 11 6" xfId="0"/>
    <cellStyle name="쉼표 [0] 2 2 2 11 6 2" xfId="0"/>
    <cellStyle name="쉼표 [0] 2 2 2 11 6 3" xfId="0"/>
    <cellStyle name="쉼표 [0] 2 2 2 11 6 4" xfId="0"/>
    <cellStyle name="쉼표 [0] 2 2 2 11 7" xfId="0"/>
    <cellStyle name="쉼표 [0] 2 2 2 11 7 2" xfId="0"/>
    <cellStyle name="쉼표 [0] 2 2 2 11 7 3" xfId="0"/>
    <cellStyle name="쉼표 [0] 2 2 2 11 7 4" xfId="0"/>
    <cellStyle name="쉼표 [0] 2 2 2 11 8" xfId="0"/>
    <cellStyle name="쉼표 [0] 2 2 2 11 8 2" xfId="0"/>
    <cellStyle name="쉼표 [0] 2 2 2 11 8 3" xfId="0"/>
    <cellStyle name="쉼표 [0] 2 2 2 11 8 4" xfId="0"/>
    <cellStyle name="쉼표 [0] 2 2 2 11 9" xfId="0"/>
    <cellStyle name="쉼표 [0] 2 2 2 11 9 2" xfId="0"/>
    <cellStyle name="쉼표 [0] 2 2 2 11 9 3" xfId="0"/>
    <cellStyle name="쉼표 [0] 2 2 2 11 9 4" xfId="0"/>
    <cellStyle name="쉼표 [0] 2 2 2 12" xfId="0"/>
    <cellStyle name="쉼표 [0] 2 2 2 12 10" xfId="0"/>
    <cellStyle name="쉼표 [0] 2 2 2 12 2" xfId="0"/>
    <cellStyle name="쉼표 [0] 2 2 2 12 2 2" xfId="0"/>
    <cellStyle name="쉼표 [0] 2 2 2 12 2 2 2" xfId="0"/>
    <cellStyle name="쉼표 [0] 2 2 2 12 2 2 2 2" xfId="0"/>
    <cellStyle name="쉼표 [0] 2 2 2 12 2 2 2 3" xfId="0"/>
    <cellStyle name="쉼표 [0] 2 2 2 12 2 2 2 4" xfId="0"/>
    <cellStyle name="쉼표 [0] 2 2 2 12 2 2 3" xfId="0"/>
    <cellStyle name="쉼표 [0] 2 2 2 12 2 2 3 2" xfId="0"/>
    <cellStyle name="쉼표 [0] 2 2 2 12 2 2 3 3" xfId="0"/>
    <cellStyle name="쉼표 [0] 2 2 2 12 2 2 3 4" xfId="0"/>
    <cellStyle name="쉼표 [0] 2 2 2 12 2 2 4" xfId="0"/>
    <cellStyle name="쉼표 [0] 2 2 2 12 2 2 4 2" xfId="0"/>
    <cellStyle name="쉼표 [0] 2 2 2 12 2 2 4 3" xfId="0"/>
    <cellStyle name="쉼표 [0] 2 2 2 12 2 2 4 4" xfId="0"/>
    <cellStyle name="쉼표 [0] 2 2 2 12 2 2 5" xfId="0"/>
    <cellStyle name="쉼표 [0] 2 2 2 12 2 2 5 2" xfId="0"/>
    <cellStyle name="쉼표 [0] 2 2 2 12 2 2 5 3" xfId="0"/>
    <cellStyle name="쉼표 [0] 2 2 2 12 2 2 5 4" xfId="0"/>
    <cellStyle name="쉼표 [0] 2 2 2 12 2 2 6" xfId="0"/>
    <cellStyle name="쉼표 [0] 2 2 2 12 2 2 7" xfId="0"/>
    <cellStyle name="쉼표 [0] 2 2 2 12 2 2 8" xfId="0"/>
    <cellStyle name="쉼표 [0] 2 2 2 12 2 3" xfId="0"/>
    <cellStyle name="쉼표 [0] 2 2 2 12 2 3 2" xfId="0"/>
    <cellStyle name="쉼표 [0] 2 2 2 12 2 3 3" xfId="0"/>
    <cellStyle name="쉼표 [0] 2 2 2 12 2 3 4" xfId="0"/>
    <cellStyle name="쉼표 [0] 2 2 2 12 2 4" xfId="0"/>
    <cellStyle name="쉼표 [0] 2 2 2 12 2 4 2" xfId="0"/>
    <cellStyle name="쉼표 [0] 2 2 2 12 2 4 3" xfId="0"/>
    <cellStyle name="쉼표 [0] 2 2 2 12 2 4 4" xfId="0"/>
    <cellStyle name="쉼표 [0] 2 2 2 12 2 5" xfId="0"/>
    <cellStyle name="쉼표 [0] 2 2 2 12 2 5 2" xfId="0"/>
    <cellStyle name="쉼표 [0] 2 2 2 12 2 5 3" xfId="0"/>
    <cellStyle name="쉼표 [0] 2 2 2 12 2 5 4" xfId="0"/>
    <cellStyle name="쉼표 [0] 2 2 2 12 2 6" xfId="0"/>
    <cellStyle name="쉼표 [0] 2 2 2 12 2 7" xfId="0"/>
    <cellStyle name="쉼표 [0] 2 2 2 12 2 8" xfId="0"/>
    <cellStyle name="쉼표 [0] 2 2 2 12 3" xfId="0"/>
    <cellStyle name="쉼표 [0] 2 2 2 12 3 2" xfId="0"/>
    <cellStyle name="쉼표 [0] 2 2 2 12 3 3" xfId="0"/>
    <cellStyle name="쉼표 [0] 2 2 2 12 3 4" xfId="0"/>
    <cellStyle name="쉼표 [0] 2 2 2 12 4" xfId="0"/>
    <cellStyle name="쉼표 [0] 2 2 2 12 4 2" xfId="0"/>
    <cellStyle name="쉼표 [0] 2 2 2 12 4 3" xfId="0"/>
    <cellStyle name="쉼표 [0] 2 2 2 12 4 4" xfId="0"/>
    <cellStyle name="쉼표 [0] 2 2 2 12 5" xfId="0"/>
    <cellStyle name="쉼표 [0] 2 2 2 12 5 2" xfId="0"/>
    <cellStyle name="쉼표 [0] 2 2 2 12 5 3" xfId="0"/>
    <cellStyle name="쉼표 [0] 2 2 2 12 5 4" xfId="0"/>
    <cellStyle name="쉼표 [0] 2 2 2 12 6" xfId="0"/>
    <cellStyle name="쉼표 [0] 2 2 2 12 6 2" xfId="0"/>
    <cellStyle name="쉼표 [0] 2 2 2 12 6 3" xfId="0"/>
    <cellStyle name="쉼표 [0] 2 2 2 12 6 4" xfId="0"/>
    <cellStyle name="쉼표 [0] 2 2 2 12 7" xfId="0"/>
    <cellStyle name="쉼표 [0] 2 2 2 12 8" xfId="0"/>
    <cellStyle name="쉼표 [0] 2 2 2 12 9" xfId="0"/>
    <cellStyle name="쉼표 [0] 2 2 2 13" xfId="0"/>
    <cellStyle name="쉼표 [0] 2 2 2 13 2" xfId="0"/>
    <cellStyle name="쉼표 [0] 2 2 2 13 2 2" xfId="0"/>
    <cellStyle name="쉼표 [0] 2 2 2 13 2 2 2" xfId="0"/>
    <cellStyle name="쉼표 [0] 2 2 2 13 2 2 3" xfId="0"/>
    <cellStyle name="쉼표 [0] 2 2 2 13 2 2 4" xfId="0"/>
    <cellStyle name="쉼표 [0] 2 2 2 13 2 3" xfId="0"/>
    <cellStyle name="쉼표 [0] 2 2 2 13 2 3 2" xfId="0"/>
    <cellStyle name="쉼표 [0] 2 2 2 13 2 3 3" xfId="0"/>
    <cellStyle name="쉼표 [0] 2 2 2 13 2 3 4" xfId="0"/>
    <cellStyle name="쉼표 [0] 2 2 2 13 2 4" xfId="0"/>
    <cellStyle name="쉼표 [0] 2 2 2 13 2 4 2" xfId="0"/>
    <cellStyle name="쉼표 [0] 2 2 2 13 2 4 3" xfId="0"/>
    <cellStyle name="쉼표 [0] 2 2 2 13 2 4 4" xfId="0"/>
    <cellStyle name="쉼표 [0] 2 2 2 13 2 5" xfId="0"/>
    <cellStyle name="쉼표 [0] 2 2 2 13 2 5 2" xfId="0"/>
    <cellStyle name="쉼표 [0] 2 2 2 13 2 5 3" xfId="0"/>
    <cellStyle name="쉼표 [0] 2 2 2 13 2 5 4" xfId="0"/>
    <cellStyle name="쉼표 [0] 2 2 2 13 2 6" xfId="0"/>
    <cellStyle name="쉼표 [0] 2 2 2 13 2 7" xfId="0"/>
    <cellStyle name="쉼표 [0] 2 2 2 13 2 8" xfId="0"/>
    <cellStyle name="쉼표 [0] 2 2 2 13 3" xfId="0"/>
    <cellStyle name="쉼표 [0] 2 2 2 13 3 2" xfId="0"/>
    <cellStyle name="쉼표 [0] 2 2 2 13 3 3" xfId="0"/>
    <cellStyle name="쉼표 [0] 2 2 2 13 3 4" xfId="0"/>
    <cellStyle name="쉼표 [0] 2 2 2 13 4" xfId="0"/>
    <cellStyle name="쉼표 [0] 2 2 2 13 4 2" xfId="0"/>
    <cellStyle name="쉼표 [0] 2 2 2 13 4 3" xfId="0"/>
    <cellStyle name="쉼표 [0] 2 2 2 13 4 4" xfId="0"/>
    <cellStyle name="쉼표 [0] 2 2 2 13 5" xfId="0"/>
    <cellStyle name="쉼표 [0] 2 2 2 13 5 2" xfId="0"/>
    <cellStyle name="쉼표 [0] 2 2 2 13 5 3" xfId="0"/>
    <cellStyle name="쉼표 [0] 2 2 2 13 5 4" xfId="0"/>
    <cellStyle name="쉼표 [0] 2 2 2 13 6" xfId="0"/>
    <cellStyle name="쉼표 [0] 2 2 2 13 7" xfId="0"/>
    <cellStyle name="쉼표 [0] 2 2 2 13 8" xfId="0"/>
    <cellStyle name="쉼표 [0] 2 2 2 13 9" xfId="0"/>
    <cellStyle name="쉼표 [0] 2 2 2 14" xfId="0"/>
    <cellStyle name="쉼표 [0] 2 2 2 14 2" xfId="0"/>
    <cellStyle name="쉼표 [0] 2 2 2 14 2 2" xfId="0"/>
    <cellStyle name="쉼표 [0] 2 2 2 14 2 2 2" xfId="0"/>
    <cellStyle name="쉼표 [0] 2 2 2 14 2 2 3" xfId="0"/>
    <cellStyle name="쉼표 [0] 2 2 2 14 2 2 4" xfId="0"/>
    <cellStyle name="쉼표 [0] 2 2 2 14 2 3" xfId="0"/>
    <cellStyle name="쉼표 [0] 2 2 2 14 2 3 2" xfId="0"/>
    <cellStyle name="쉼표 [0] 2 2 2 14 2 3 3" xfId="0"/>
    <cellStyle name="쉼표 [0] 2 2 2 14 2 3 4" xfId="0"/>
    <cellStyle name="쉼표 [0] 2 2 2 14 2 4" xfId="0"/>
    <cellStyle name="쉼표 [0] 2 2 2 14 2 4 2" xfId="0"/>
    <cellStyle name="쉼표 [0] 2 2 2 14 2 4 3" xfId="0"/>
    <cellStyle name="쉼표 [0] 2 2 2 14 2 4 4" xfId="0"/>
    <cellStyle name="쉼표 [0] 2 2 2 14 2 5" xfId="0"/>
    <cellStyle name="쉼표 [0] 2 2 2 14 2 5 2" xfId="0"/>
    <cellStyle name="쉼표 [0] 2 2 2 14 2 5 3" xfId="0"/>
    <cellStyle name="쉼표 [0] 2 2 2 14 2 5 4" xfId="0"/>
    <cellStyle name="쉼표 [0] 2 2 2 14 2 6" xfId="0"/>
    <cellStyle name="쉼표 [0] 2 2 2 14 2 7" xfId="0"/>
    <cellStyle name="쉼표 [0] 2 2 2 14 2 8" xfId="0"/>
    <cellStyle name="쉼표 [0] 2 2 2 14 3" xfId="0"/>
    <cellStyle name="쉼표 [0] 2 2 2 14 3 2" xfId="0"/>
    <cellStyle name="쉼표 [0] 2 2 2 14 3 3" xfId="0"/>
    <cellStyle name="쉼표 [0] 2 2 2 14 3 4" xfId="0"/>
    <cellStyle name="쉼표 [0] 2 2 2 14 4" xfId="0"/>
    <cellStyle name="쉼표 [0] 2 2 2 14 4 2" xfId="0"/>
    <cellStyle name="쉼표 [0] 2 2 2 14 4 3" xfId="0"/>
    <cellStyle name="쉼표 [0] 2 2 2 14 4 4" xfId="0"/>
    <cellStyle name="쉼표 [0] 2 2 2 14 5" xfId="0"/>
    <cellStyle name="쉼표 [0] 2 2 2 14 5 2" xfId="0"/>
    <cellStyle name="쉼표 [0] 2 2 2 14 5 3" xfId="0"/>
    <cellStyle name="쉼표 [0] 2 2 2 14 5 4" xfId="0"/>
    <cellStyle name="쉼표 [0] 2 2 2 14 6" xfId="0"/>
    <cellStyle name="쉼표 [0] 2 2 2 14 7" xfId="0"/>
    <cellStyle name="쉼표 [0] 2 2 2 14 8" xfId="0"/>
    <cellStyle name="쉼표 [0] 2 2 2 14 9" xfId="0"/>
    <cellStyle name="쉼표 [0] 2 2 2 15" xfId="0"/>
    <cellStyle name="쉼표 [0] 2 2 2 15 2" xfId="0"/>
    <cellStyle name="쉼표 [0] 2 2 2 15 2 2" xfId="0"/>
    <cellStyle name="쉼표 [0] 2 2 2 15 2 2 2" xfId="0"/>
    <cellStyle name="쉼표 [0] 2 2 2 15 2 2 3" xfId="0"/>
    <cellStyle name="쉼표 [0] 2 2 2 15 2 2 4" xfId="0"/>
    <cellStyle name="쉼표 [0] 2 2 2 15 2 3" xfId="0"/>
    <cellStyle name="쉼표 [0] 2 2 2 15 2 3 2" xfId="0"/>
    <cellStyle name="쉼표 [0] 2 2 2 15 2 3 3" xfId="0"/>
    <cellStyle name="쉼표 [0] 2 2 2 15 2 3 4" xfId="0"/>
    <cellStyle name="쉼표 [0] 2 2 2 15 2 4" xfId="0"/>
    <cellStyle name="쉼표 [0] 2 2 2 15 2 4 2" xfId="0"/>
    <cellStyle name="쉼표 [0] 2 2 2 15 2 4 3" xfId="0"/>
    <cellStyle name="쉼표 [0] 2 2 2 15 2 4 4" xfId="0"/>
    <cellStyle name="쉼표 [0] 2 2 2 15 2 5" xfId="0"/>
    <cellStyle name="쉼표 [0] 2 2 2 15 2 5 2" xfId="0"/>
    <cellStyle name="쉼표 [0] 2 2 2 15 2 5 3" xfId="0"/>
    <cellStyle name="쉼표 [0] 2 2 2 15 2 5 4" xfId="0"/>
    <cellStyle name="쉼표 [0] 2 2 2 15 2 6" xfId="0"/>
    <cellStyle name="쉼표 [0] 2 2 2 15 2 7" xfId="0"/>
    <cellStyle name="쉼표 [0] 2 2 2 15 2 8" xfId="0"/>
    <cellStyle name="쉼표 [0] 2 2 2 15 3" xfId="0"/>
    <cellStyle name="쉼표 [0] 2 2 2 15 3 2" xfId="0"/>
    <cellStyle name="쉼표 [0] 2 2 2 15 3 3" xfId="0"/>
    <cellStyle name="쉼표 [0] 2 2 2 15 3 4" xfId="0"/>
    <cellStyle name="쉼표 [0] 2 2 2 15 4" xfId="0"/>
    <cellStyle name="쉼표 [0] 2 2 2 15 4 2" xfId="0"/>
    <cellStyle name="쉼표 [0] 2 2 2 15 4 3" xfId="0"/>
    <cellStyle name="쉼표 [0] 2 2 2 15 4 4" xfId="0"/>
    <cellStyle name="쉼표 [0] 2 2 2 15 5" xfId="0"/>
    <cellStyle name="쉼표 [0] 2 2 2 15 5 2" xfId="0"/>
    <cellStyle name="쉼표 [0] 2 2 2 15 5 3" xfId="0"/>
    <cellStyle name="쉼표 [0] 2 2 2 15 5 4" xfId="0"/>
    <cellStyle name="쉼표 [0] 2 2 2 15 6" xfId="0"/>
    <cellStyle name="쉼표 [0] 2 2 2 15 7" xfId="0"/>
    <cellStyle name="쉼표 [0] 2 2 2 15 8" xfId="0"/>
    <cellStyle name="쉼표 [0] 2 2 2 15 9" xfId="0"/>
    <cellStyle name="쉼표 [0] 2 2 2 16" xfId="0"/>
    <cellStyle name="쉼표 [0] 2 2 2 16 2" xfId="0"/>
    <cellStyle name="쉼표 [0] 2 2 2 16 3" xfId="0"/>
    <cellStyle name="쉼표 [0] 2 2 2 16 4" xfId="0"/>
    <cellStyle name="쉼표 [0] 2 2 2 16 5" xfId="0"/>
    <cellStyle name="쉼표 [0] 2 2 2 17" xfId="0"/>
    <cellStyle name="쉼표 [0] 2 2 2 17 2" xfId="0"/>
    <cellStyle name="쉼표 [0] 2 2 2 17 3" xfId="0"/>
    <cellStyle name="쉼표 [0] 2 2 2 17 4" xfId="0"/>
    <cellStyle name="쉼표 [0] 2 2 2 17 5" xfId="0"/>
    <cellStyle name="쉼표 [0] 2 2 2 18" xfId="0"/>
    <cellStyle name="쉼표 [0] 2 2 2 18 2" xfId="0"/>
    <cellStyle name="쉼표 [0] 2 2 2 18 2 2" xfId="0"/>
    <cellStyle name="쉼표 [0] 2 2 2 18 2 2 2" xfId="0"/>
    <cellStyle name="쉼표 [0] 2 2 2 18 2 2 2 2" xfId="0"/>
    <cellStyle name="쉼표 [0] 2 2 2 18 2 2 2 3" xfId="0"/>
    <cellStyle name="쉼표 [0] 2 2 2 18 2 2 2 4" xfId="0"/>
    <cellStyle name="쉼표 [0] 2 2 2 18 2 2 3" xfId="0"/>
    <cellStyle name="쉼표 [0] 2 2 2 18 2 2 3 2" xfId="0"/>
    <cellStyle name="쉼표 [0] 2 2 2 18 2 2 3 3" xfId="0"/>
    <cellStyle name="쉼표 [0] 2 2 2 18 2 2 3 4" xfId="0"/>
    <cellStyle name="쉼표 [0] 2 2 2 18 2 2 4" xfId="0"/>
    <cellStyle name="쉼표 [0] 2 2 2 18 2 2 4 2" xfId="0"/>
    <cellStyle name="쉼표 [0] 2 2 2 18 2 2 4 3" xfId="0"/>
    <cellStyle name="쉼표 [0] 2 2 2 18 2 2 4 4" xfId="0"/>
    <cellStyle name="쉼표 [0] 2 2 2 18 2 2 5" xfId="0"/>
    <cellStyle name="쉼표 [0] 2 2 2 18 2 2 5 2" xfId="0"/>
    <cellStyle name="쉼표 [0] 2 2 2 18 2 2 5 3" xfId="0"/>
    <cellStyle name="쉼표 [0] 2 2 2 18 2 2 5 4" xfId="0"/>
    <cellStyle name="쉼표 [0] 2 2 2 18 2 2 6" xfId="0"/>
    <cellStyle name="쉼표 [0] 2 2 2 18 2 2 7" xfId="0"/>
    <cellStyle name="쉼표 [0] 2 2 2 18 2 2 8" xfId="0"/>
    <cellStyle name="쉼표 [0] 2 2 2 18 2 3" xfId="0"/>
    <cellStyle name="쉼표 [0] 2 2 2 18 2 3 2" xfId="0"/>
    <cellStyle name="쉼표 [0] 2 2 2 18 2 3 3" xfId="0"/>
    <cellStyle name="쉼표 [0] 2 2 2 18 2 3 4" xfId="0"/>
    <cellStyle name="쉼표 [0] 2 2 2 18 2 4" xfId="0"/>
    <cellStyle name="쉼표 [0] 2 2 2 18 2 4 2" xfId="0"/>
    <cellStyle name="쉼표 [0] 2 2 2 18 2 4 3" xfId="0"/>
    <cellStyle name="쉼표 [0] 2 2 2 18 2 4 4" xfId="0"/>
    <cellStyle name="쉼표 [0] 2 2 2 18 2 5" xfId="0"/>
    <cellStyle name="쉼표 [0] 2 2 2 18 2 5 2" xfId="0"/>
    <cellStyle name="쉼표 [0] 2 2 2 18 2 5 3" xfId="0"/>
    <cellStyle name="쉼표 [0] 2 2 2 18 2 5 4" xfId="0"/>
    <cellStyle name="쉼표 [0] 2 2 2 18 2 6" xfId="0"/>
    <cellStyle name="쉼표 [0] 2 2 2 18 2 7" xfId="0"/>
    <cellStyle name="쉼표 [0] 2 2 2 18 2 8" xfId="0"/>
    <cellStyle name="쉼표 [0] 2 2 2 18 3" xfId="0"/>
    <cellStyle name="쉼표 [0] 2 2 2 18 3 2" xfId="0"/>
    <cellStyle name="쉼표 [0] 2 2 2 18 3 3" xfId="0"/>
    <cellStyle name="쉼표 [0] 2 2 2 18 3 4" xfId="0"/>
    <cellStyle name="쉼표 [0] 2 2 2 18 4" xfId="0"/>
    <cellStyle name="쉼표 [0] 2 2 2 18 4 2" xfId="0"/>
    <cellStyle name="쉼표 [0] 2 2 2 18 4 3" xfId="0"/>
    <cellStyle name="쉼표 [0] 2 2 2 18 4 4" xfId="0"/>
    <cellStyle name="쉼표 [0] 2 2 2 18 5" xfId="0"/>
    <cellStyle name="쉼표 [0] 2 2 2 18 5 2" xfId="0"/>
    <cellStyle name="쉼표 [0] 2 2 2 18 5 3" xfId="0"/>
    <cellStyle name="쉼표 [0] 2 2 2 18 5 4" xfId="0"/>
    <cellStyle name="쉼표 [0] 2 2 2 18 6" xfId="0"/>
    <cellStyle name="쉼표 [0] 2 2 2 18 7" xfId="0"/>
    <cellStyle name="쉼표 [0] 2 2 2 18 8" xfId="0"/>
    <cellStyle name="쉼표 [0] 2 2 2 18 9" xfId="0"/>
    <cellStyle name="쉼표 [0] 2 2 2 19" xfId="0"/>
    <cellStyle name="쉼표 [0] 2 2 2 19 2" xfId="0"/>
    <cellStyle name="쉼표 [0] 2 2 2 19 3" xfId="0"/>
    <cellStyle name="쉼표 [0] 2 2 2 19 4" xfId="0"/>
    <cellStyle name="쉼표 [0] 2 2 2 19 5" xfId="0"/>
    <cellStyle name="쉼표 [0] 2 2 2 2" xfId="0"/>
    <cellStyle name="쉼표 [0] 2 2 2 2 10" xfId="0"/>
    <cellStyle name="쉼표 [0] 2 2 2 2 10 2" xfId="0"/>
    <cellStyle name="쉼표 [0] 2 2 2 2 10 2 2" xfId="0"/>
    <cellStyle name="쉼표 [0] 2 2 2 2 10 2 2 2" xfId="0"/>
    <cellStyle name="쉼표 [0] 2 2 2 2 10 2 2 3" xfId="0"/>
    <cellStyle name="쉼표 [0] 2 2 2 2 10 2 2 4" xfId="0"/>
    <cellStyle name="쉼표 [0] 2 2 2 2 10 2 3" xfId="0"/>
    <cellStyle name="쉼표 [0] 2 2 2 2 10 2 3 2" xfId="0"/>
    <cellStyle name="쉼표 [0] 2 2 2 2 10 2 3 3" xfId="0"/>
    <cellStyle name="쉼표 [0] 2 2 2 2 10 2 3 4" xfId="0"/>
    <cellStyle name="쉼표 [0] 2 2 2 2 10 2 4" xfId="0"/>
    <cellStyle name="쉼표 [0] 2 2 2 2 10 2 4 2" xfId="0"/>
    <cellStyle name="쉼표 [0] 2 2 2 2 10 2 4 3" xfId="0"/>
    <cellStyle name="쉼표 [0] 2 2 2 2 10 2 4 4" xfId="0"/>
    <cellStyle name="쉼표 [0] 2 2 2 2 10 2 5" xfId="0"/>
    <cellStyle name="쉼표 [0] 2 2 2 2 10 2 5 2" xfId="0"/>
    <cellStyle name="쉼표 [0] 2 2 2 2 10 2 5 3" xfId="0"/>
    <cellStyle name="쉼표 [0] 2 2 2 2 10 2 5 4" xfId="0"/>
    <cellStyle name="쉼표 [0] 2 2 2 2 10 2 6" xfId="0"/>
    <cellStyle name="쉼표 [0] 2 2 2 2 10 2 7" xfId="0"/>
    <cellStyle name="쉼표 [0] 2 2 2 2 10 2 8" xfId="0"/>
    <cellStyle name="쉼표 [0] 2 2 2 2 10 3" xfId="0"/>
    <cellStyle name="쉼표 [0] 2 2 2 2 10 3 2" xfId="0"/>
    <cellStyle name="쉼표 [0] 2 2 2 2 10 3 3" xfId="0"/>
    <cellStyle name="쉼표 [0] 2 2 2 2 10 3 4" xfId="0"/>
    <cellStyle name="쉼표 [0] 2 2 2 2 10 4" xfId="0"/>
    <cellStyle name="쉼표 [0] 2 2 2 2 10 4 2" xfId="0"/>
    <cellStyle name="쉼표 [0] 2 2 2 2 10 4 3" xfId="0"/>
    <cellStyle name="쉼표 [0] 2 2 2 2 10 4 4" xfId="0"/>
    <cellStyle name="쉼표 [0] 2 2 2 2 10 5" xfId="0"/>
    <cellStyle name="쉼표 [0] 2 2 2 2 10 5 2" xfId="0"/>
    <cellStyle name="쉼표 [0] 2 2 2 2 10 5 3" xfId="0"/>
    <cellStyle name="쉼표 [0] 2 2 2 2 10 5 4" xfId="0"/>
    <cellStyle name="쉼표 [0] 2 2 2 2 10 6" xfId="0"/>
    <cellStyle name="쉼표 [0] 2 2 2 2 10 7" xfId="0"/>
    <cellStyle name="쉼표 [0] 2 2 2 2 10 8" xfId="0"/>
    <cellStyle name="쉼표 [0] 2 2 2 2 10 9" xfId="0"/>
    <cellStyle name="쉼표 [0] 2 2 2 2 11" xfId="0"/>
    <cellStyle name="쉼표 [0] 2 2 2 2 11 2" xfId="0"/>
    <cellStyle name="쉼표 [0] 2 2 2 2 11 2 2" xfId="0"/>
    <cellStyle name="쉼표 [0] 2 2 2 2 11 2 2 2" xfId="0"/>
    <cellStyle name="쉼표 [0] 2 2 2 2 11 2 2 3" xfId="0"/>
    <cellStyle name="쉼표 [0] 2 2 2 2 11 2 2 4" xfId="0"/>
    <cellStyle name="쉼표 [0] 2 2 2 2 11 2 3" xfId="0"/>
    <cellStyle name="쉼표 [0] 2 2 2 2 11 2 3 2" xfId="0"/>
    <cellStyle name="쉼표 [0] 2 2 2 2 11 2 3 3" xfId="0"/>
    <cellStyle name="쉼표 [0] 2 2 2 2 11 2 3 4" xfId="0"/>
    <cellStyle name="쉼표 [0] 2 2 2 2 11 2 4" xfId="0"/>
    <cellStyle name="쉼표 [0] 2 2 2 2 11 2 4 2" xfId="0"/>
    <cellStyle name="쉼표 [0] 2 2 2 2 11 2 4 3" xfId="0"/>
    <cellStyle name="쉼표 [0] 2 2 2 2 11 2 4 4" xfId="0"/>
    <cellStyle name="쉼표 [0] 2 2 2 2 11 2 5" xfId="0"/>
    <cellStyle name="쉼표 [0] 2 2 2 2 11 2 5 2" xfId="0"/>
    <cellStyle name="쉼표 [0] 2 2 2 2 11 2 5 3" xfId="0"/>
    <cellStyle name="쉼표 [0] 2 2 2 2 11 2 5 4" xfId="0"/>
    <cellStyle name="쉼표 [0] 2 2 2 2 11 2 6" xfId="0"/>
    <cellStyle name="쉼표 [0] 2 2 2 2 11 2 7" xfId="0"/>
    <cellStyle name="쉼표 [0] 2 2 2 2 11 2 8" xfId="0"/>
    <cellStyle name="쉼표 [0] 2 2 2 2 11 3" xfId="0"/>
    <cellStyle name="쉼표 [0] 2 2 2 2 11 3 2" xfId="0"/>
    <cellStyle name="쉼표 [0] 2 2 2 2 11 3 3" xfId="0"/>
    <cellStyle name="쉼표 [0] 2 2 2 2 11 3 4" xfId="0"/>
    <cellStyle name="쉼표 [0] 2 2 2 2 11 4" xfId="0"/>
    <cellStyle name="쉼표 [0] 2 2 2 2 11 4 2" xfId="0"/>
    <cellStyle name="쉼표 [0] 2 2 2 2 11 4 3" xfId="0"/>
    <cellStyle name="쉼표 [0] 2 2 2 2 11 4 4" xfId="0"/>
    <cellStyle name="쉼표 [0] 2 2 2 2 11 5" xfId="0"/>
    <cellStyle name="쉼표 [0] 2 2 2 2 11 5 2" xfId="0"/>
    <cellStyle name="쉼표 [0] 2 2 2 2 11 5 3" xfId="0"/>
    <cellStyle name="쉼표 [0] 2 2 2 2 11 5 4" xfId="0"/>
    <cellStyle name="쉼표 [0] 2 2 2 2 11 6" xfId="0"/>
    <cellStyle name="쉼표 [0] 2 2 2 2 11 7" xfId="0"/>
    <cellStyle name="쉼표 [0] 2 2 2 2 11 8" xfId="0"/>
    <cellStyle name="쉼표 [0] 2 2 2 2 11 9" xfId="0"/>
    <cellStyle name="쉼표 [0] 2 2 2 2 12" xfId="0"/>
    <cellStyle name="쉼표 [0] 2 2 2 2 12 2" xfId="0"/>
    <cellStyle name="쉼표 [0] 2 2 2 2 12 2 2" xfId="0"/>
    <cellStyle name="쉼표 [0] 2 2 2 2 12 2 2 2" xfId="0"/>
    <cellStyle name="쉼표 [0] 2 2 2 2 12 2 2 3" xfId="0"/>
    <cellStyle name="쉼표 [0] 2 2 2 2 12 2 2 4" xfId="0"/>
    <cellStyle name="쉼표 [0] 2 2 2 2 12 2 3" xfId="0"/>
    <cellStyle name="쉼표 [0] 2 2 2 2 12 2 3 2" xfId="0"/>
    <cellStyle name="쉼표 [0] 2 2 2 2 12 2 3 3" xfId="0"/>
    <cellStyle name="쉼표 [0] 2 2 2 2 12 2 3 4" xfId="0"/>
    <cellStyle name="쉼표 [0] 2 2 2 2 12 2 4" xfId="0"/>
    <cellStyle name="쉼표 [0] 2 2 2 2 12 2 4 2" xfId="0"/>
    <cellStyle name="쉼표 [0] 2 2 2 2 12 2 4 3" xfId="0"/>
    <cellStyle name="쉼표 [0] 2 2 2 2 12 2 4 4" xfId="0"/>
    <cellStyle name="쉼표 [0] 2 2 2 2 12 2 5" xfId="0"/>
    <cellStyle name="쉼표 [0] 2 2 2 2 12 2 5 2" xfId="0"/>
    <cellStyle name="쉼표 [0] 2 2 2 2 12 2 5 3" xfId="0"/>
    <cellStyle name="쉼표 [0] 2 2 2 2 12 2 5 4" xfId="0"/>
    <cellStyle name="쉼표 [0] 2 2 2 2 12 2 6" xfId="0"/>
    <cellStyle name="쉼표 [0] 2 2 2 2 12 2 7" xfId="0"/>
    <cellStyle name="쉼표 [0] 2 2 2 2 12 2 8" xfId="0"/>
    <cellStyle name="쉼표 [0] 2 2 2 2 12 3" xfId="0"/>
    <cellStyle name="쉼표 [0] 2 2 2 2 12 3 2" xfId="0"/>
    <cellStyle name="쉼표 [0] 2 2 2 2 12 3 3" xfId="0"/>
    <cellStyle name="쉼표 [0] 2 2 2 2 12 3 4" xfId="0"/>
    <cellStyle name="쉼표 [0] 2 2 2 2 12 4" xfId="0"/>
    <cellStyle name="쉼표 [0] 2 2 2 2 12 4 2" xfId="0"/>
    <cellStyle name="쉼표 [0] 2 2 2 2 12 4 3" xfId="0"/>
    <cellStyle name="쉼표 [0] 2 2 2 2 12 4 4" xfId="0"/>
    <cellStyle name="쉼표 [0] 2 2 2 2 12 5" xfId="0"/>
    <cellStyle name="쉼표 [0] 2 2 2 2 12 5 2" xfId="0"/>
    <cellStyle name="쉼표 [0] 2 2 2 2 12 5 3" xfId="0"/>
    <cellStyle name="쉼표 [0] 2 2 2 2 12 5 4" xfId="0"/>
    <cellStyle name="쉼표 [0] 2 2 2 2 12 6" xfId="0"/>
    <cellStyle name="쉼표 [0] 2 2 2 2 12 7" xfId="0"/>
    <cellStyle name="쉼표 [0] 2 2 2 2 12 8" xfId="0"/>
    <cellStyle name="쉼표 [0] 2 2 2 2 12 9" xfId="0"/>
    <cellStyle name="쉼표 [0] 2 2 2 2 13" xfId="0"/>
    <cellStyle name="쉼표 [0] 2 2 2 2 13 2" xfId="0"/>
    <cellStyle name="쉼표 [0] 2 2 2 2 13 2 2" xfId="0"/>
    <cellStyle name="쉼표 [0] 2 2 2 2 13 2 2 2" xfId="0"/>
    <cellStyle name="쉼표 [0] 2 2 2 2 13 2 2 3" xfId="0"/>
    <cellStyle name="쉼표 [0] 2 2 2 2 13 2 2 4" xfId="0"/>
    <cellStyle name="쉼표 [0] 2 2 2 2 13 2 3" xfId="0"/>
    <cellStyle name="쉼표 [0] 2 2 2 2 13 2 3 2" xfId="0"/>
    <cellStyle name="쉼표 [0] 2 2 2 2 13 2 3 3" xfId="0"/>
    <cellStyle name="쉼표 [0] 2 2 2 2 13 2 3 4" xfId="0"/>
    <cellStyle name="쉼표 [0] 2 2 2 2 13 2 4" xfId="0"/>
    <cellStyle name="쉼표 [0] 2 2 2 2 13 2 4 2" xfId="0"/>
    <cellStyle name="쉼표 [0] 2 2 2 2 13 2 4 3" xfId="0"/>
    <cellStyle name="쉼표 [0] 2 2 2 2 13 2 4 4" xfId="0"/>
    <cellStyle name="쉼표 [0] 2 2 2 2 13 2 5" xfId="0"/>
    <cellStyle name="쉼표 [0] 2 2 2 2 13 2 5 2" xfId="0"/>
    <cellStyle name="쉼표 [0] 2 2 2 2 13 2 5 3" xfId="0"/>
    <cellStyle name="쉼표 [0] 2 2 2 2 13 2 5 4" xfId="0"/>
    <cellStyle name="쉼표 [0] 2 2 2 2 13 2 6" xfId="0"/>
    <cellStyle name="쉼표 [0] 2 2 2 2 13 2 7" xfId="0"/>
    <cellStyle name="쉼표 [0] 2 2 2 2 13 2 8" xfId="0"/>
    <cellStyle name="쉼표 [0] 2 2 2 2 13 3" xfId="0"/>
    <cellStyle name="쉼표 [0] 2 2 2 2 13 3 2" xfId="0"/>
    <cellStyle name="쉼표 [0] 2 2 2 2 13 3 3" xfId="0"/>
    <cellStyle name="쉼표 [0] 2 2 2 2 13 3 4" xfId="0"/>
    <cellStyle name="쉼표 [0] 2 2 2 2 13 4" xfId="0"/>
    <cellStyle name="쉼표 [0] 2 2 2 2 13 4 2" xfId="0"/>
    <cellStyle name="쉼표 [0] 2 2 2 2 13 4 3" xfId="0"/>
    <cellStyle name="쉼표 [0] 2 2 2 2 13 4 4" xfId="0"/>
    <cellStyle name="쉼표 [0] 2 2 2 2 13 5" xfId="0"/>
    <cellStyle name="쉼표 [0] 2 2 2 2 13 5 2" xfId="0"/>
    <cellStyle name="쉼표 [0] 2 2 2 2 13 5 3" xfId="0"/>
    <cellStyle name="쉼표 [0] 2 2 2 2 13 5 4" xfId="0"/>
    <cellStyle name="쉼표 [0] 2 2 2 2 13 6" xfId="0"/>
    <cellStyle name="쉼표 [0] 2 2 2 2 13 7" xfId="0"/>
    <cellStyle name="쉼표 [0] 2 2 2 2 13 8" xfId="0"/>
    <cellStyle name="쉼표 [0] 2 2 2 2 13 9" xfId="0"/>
    <cellStyle name="쉼표 [0] 2 2 2 2 14" xfId="0"/>
    <cellStyle name="쉼표 [0] 2 2 2 2 14 2" xfId="0"/>
    <cellStyle name="쉼표 [0] 2 2 2 2 14 2 2" xfId="0"/>
    <cellStyle name="쉼표 [0] 2 2 2 2 14 2 2 2" xfId="0"/>
    <cellStyle name="쉼표 [0] 2 2 2 2 14 2 2 3" xfId="0"/>
    <cellStyle name="쉼표 [0] 2 2 2 2 14 2 2 4" xfId="0"/>
    <cellStyle name="쉼표 [0] 2 2 2 2 14 2 3" xfId="0"/>
    <cellStyle name="쉼표 [0] 2 2 2 2 14 2 4" xfId="0"/>
    <cellStyle name="쉼표 [0] 2 2 2 2 14 2 5" xfId="0"/>
    <cellStyle name="쉼표 [0] 2 2 2 2 14 3" xfId="0"/>
    <cellStyle name="쉼표 [0] 2 2 2 2 14 4" xfId="0"/>
    <cellStyle name="쉼표 [0] 2 2 2 2 14 5" xfId="0"/>
    <cellStyle name="쉼표 [0] 2 2 2 2 14 6" xfId="0"/>
    <cellStyle name="쉼표 [0] 2 2 2 2 15" xfId="0"/>
    <cellStyle name="쉼표 [0] 2 2 2 2 15 2" xfId="0"/>
    <cellStyle name="쉼표 [0] 2 2 2 2 15 3" xfId="0"/>
    <cellStyle name="쉼표 [0] 2 2 2 2 15 4" xfId="0"/>
    <cellStyle name="쉼표 [0] 2 2 2 2 15 5" xfId="0"/>
    <cellStyle name="쉼표 [0] 2 2 2 2 16" xfId="0"/>
    <cellStyle name="쉼표 [0] 2 2 2 2 16 2" xfId="0"/>
    <cellStyle name="쉼표 [0] 2 2 2 2 16 3" xfId="0"/>
    <cellStyle name="쉼표 [0] 2 2 2 2 16 4" xfId="0"/>
    <cellStyle name="쉼표 [0] 2 2 2 2 16 5" xfId="0"/>
    <cellStyle name="쉼표 [0] 2 2 2 2 17" xfId="0"/>
    <cellStyle name="쉼표 [0] 2 2 2 2 17 2" xfId="0"/>
    <cellStyle name="쉼표 [0] 2 2 2 2 17 3" xfId="0"/>
    <cellStyle name="쉼표 [0] 2 2 2 2 17 4" xfId="0"/>
    <cellStyle name="쉼표 [0] 2 2 2 2 17 5" xfId="0"/>
    <cellStyle name="쉼표 [0] 2 2 2 2 18" xfId="0"/>
    <cellStyle name="쉼표 [0] 2 2 2 2 18 2" xfId="0"/>
    <cellStyle name="쉼표 [0] 2 2 2 2 18 3" xfId="0"/>
    <cellStyle name="쉼표 [0] 2 2 2 2 18 4" xfId="0"/>
    <cellStyle name="쉼표 [0] 2 2 2 2 19" xfId="0"/>
    <cellStyle name="쉼표 [0] 2 2 2 2 19 2" xfId="0"/>
    <cellStyle name="쉼표 [0] 2 2 2 2 19 3" xfId="0"/>
    <cellStyle name="쉼표 [0] 2 2 2 2 19 4" xfId="0"/>
    <cellStyle name="쉼표 [0] 2 2 2 2 2" xfId="0"/>
    <cellStyle name="쉼표 [0] 2 2 2 2 2 10" xfId="0"/>
    <cellStyle name="쉼표 [0] 2 2 2 2 2 10 2" xfId="0"/>
    <cellStyle name="쉼표 [0] 2 2 2 2 2 10 3" xfId="0"/>
    <cellStyle name="쉼표 [0] 2 2 2 2 2 10 4" xfId="0"/>
    <cellStyle name="쉼표 [0] 2 2 2 2 2 11" xfId="0"/>
    <cellStyle name="쉼표 [0] 2 2 2 2 2 11 2" xfId="0"/>
    <cellStyle name="쉼표 [0] 2 2 2 2 2 11 3" xfId="0"/>
    <cellStyle name="쉼표 [0] 2 2 2 2 2 11 4" xfId="0"/>
    <cellStyle name="쉼표 [0] 2 2 2 2 2 12" xfId="0"/>
    <cellStyle name="쉼표 [0] 2 2 2 2 2 12 2" xfId="0"/>
    <cellStyle name="쉼표 [0] 2 2 2 2 2 12 3" xfId="0"/>
    <cellStyle name="쉼표 [0] 2 2 2 2 2 12 4" xfId="0"/>
    <cellStyle name="쉼표 [0] 2 2 2 2 2 13" xfId="0"/>
    <cellStyle name="쉼표 [0] 2 2 2 2 2 13 2" xfId="0"/>
    <cellStyle name="쉼표 [0] 2 2 2 2 2 13 3" xfId="0"/>
    <cellStyle name="쉼표 [0] 2 2 2 2 2 13 4" xfId="0"/>
    <cellStyle name="쉼표 [0] 2 2 2 2 2 14" xfId="0"/>
    <cellStyle name="쉼표 [0] 2 2 2 2 2 14 2" xfId="0"/>
    <cellStyle name="쉼표 [0] 2 2 2 2 2 14 3" xfId="0"/>
    <cellStyle name="쉼표 [0] 2 2 2 2 2 14 4" xfId="0"/>
    <cellStyle name="쉼표 [0] 2 2 2 2 2 15" xfId="0"/>
    <cellStyle name="쉼표 [0] 2 2 2 2 2 15 2" xfId="0"/>
    <cellStyle name="쉼표 [0] 2 2 2 2 2 15 3" xfId="0"/>
    <cellStyle name="쉼표 [0] 2 2 2 2 2 15 4" xfId="0"/>
    <cellStyle name="쉼표 [0] 2 2 2 2 2 16" xfId="0"/>
    <cellStyle name="쉼표 [0] 2 2 2 2 2 16 2" xfId="0"/>
    <cellStyle name="쉼표 [0] 2 2 2 2 2 16 3" xfId="0"/>
    <cellStyle name="쉼표 [0] 2 2 2 2 2 16 4" xfId="0"/>
    <cellStyle name="쉼표 [0] 2 2 2 2 2 17" xfId="0"/>
    <cellStyle name="쉼표 [0] 2 2 2 2 2 17 2" xfId="0"/>
    <cellStyle name="쉼표 [0] 2 2 2 2 2 17 3" xfId="0"/>
    <cellStyle name="쉼표 [0] 2 2 2 2 2 17 4" xfId="0"/>
    <cellStyle name="쉼표 [0] 2 2 2 2 2 18" xfId="0"/>
    <cellStyle name="쉼표 [0] 2 2 2 2 2 18 2" xfId="0"/>
    <cellStyle name="쉼표 [0] 2 2 2 2 2 18 3" xfId="0"/>
    <cellStyle name="쉼표 [0] 2 2 2 2 2 18 4" xfId="0"/>
    <cellStyle name="쉼표 [0] 2 2 2 2 2 19" xfId="0"/>
    <cellStyle name="쉼표 [0] 2 2 2 2 2 19 2" xfId="0"/>
    <cellStyle name="쉼표 [0] 2 2 2 2 2 19 3" xfId="0"/>
    <cellStyle name="쉼표 [0] 2 2 2 2 2 19 4" xfId="0"/>
    <cellStyle name="쉼표 [0] 2 2 2 2 2 2" xfId="0"/>
    <cellStyle name="쉼표 [0] 2 2 2 2 2 2 10" xfId="0"/>
    <cellStyle name="쉼표 [0] 2 2 2 2 2 2 10 2" xfId="0"/>
    <cellStyle name="쉼표 [0] 2 2 2 2 2 2 10 3" xfId="0"/>
    <cellStyle name="쉼표 [0] 2 2 2 2 2 2 10 4" xfId="0"/>
    <cellStyle name="쉼표 [0] 2 2 2 2 2 2 11" xfId="0"/>
    <cellStyle name="쉼표 [0] 2 2 2 2 2 2 11 2" xfId="0"/>
    <cellStyle name="쉼표 [0] 2 2 2 2 2 2 11 3" xfId="0"/>
    <cellStyle name="쉼표 [0] 2 2 2 2 2 2 11 4" xfId="0"/>
    <cellStyle name="쉼표 [0] 2 2 2 2 2 2 12" xfId="0"/>
    <cellStyle name="쉼표 [0] 2 2 2 2 2 2 12 2" xfId="0"/>
    <cellStyle name="쉼표 [0] 2 2 2 2 2 2 12 3" xfId="0"/>
    <cellStyle name="쉼표 [0] 2 2 2 2 2 2 12 4" xfId="0"/>
    <cellStyle name="쉼표 [0] 2 2 2 2 2 2 13" xfId="0"/>
    <cellStyle name="쉼표 [0] 2 2 2 2 2 2 13 2" xfId="0"/>
    <cellStyle name="쉼표 [0] 2 2 2 2 2 2 13 3" xfId="0"/>
    <cellStyle name="쉼표 [0] 2 2 2 2 2 2 13 4" xfId="0"/>
    <cellStyle name="쉼표 [0] 2 2 2 2 2 2 14" xfId="0"/>
    <cellStyle name="쉼표 [0] 2 2 2 2 2 2 14 2" xfId="0"/>
    <cellStyle name="쉼표 [0] 2 2 2 2 2 2 14 3" xfId="0"/>
    <cellStyle name="쉼표 [0] 2 2 2 2 2 2 14 4" xfId="0"/>
    <cellStyle name="쉼표 [0] 2 2 2 2 2 2 15" xfId="0"/>
    <cellStyle name="쉼표 [0] 2 2 2 2 2 2 15 2" xfId="0"/>
    <cellStyle name="쉼표 [0] 2 2 2 2 2 2 15 3" xfId="0"/>
    <cellStyle name="쉼표 [0] 2 2 2 2 2 2 15 4" xfId="0"/>
    <cellStyle name="쉼표 [0] 2 2 2 2 2 2 16" xfId="0"/>
    <cellStyle name="쉼표 [0] 2 2 2 2 2 2 16 2" xfId="0"/>
    <cellStyle name="쉼표 [0] 2 2 2 2 2 2 16 3" xfId="0"/>
    <cellStyle name="쉼표 [0] 2 2 2 2 2 2 16 4" xfId="0"/>
    <cellStyle name="쉼표 [0] 2 2 2 2 2 2 17" xfId="0"/>
    <cellStyle name="쉼표 [0] 2 2 2 2 2 2 17 2" xfId="0"/>
    <cellStyle name="쉼표 [0] 2 2 2 2 2 2 17 3" xfId="0"/>
    <cellStyle name="쉼표 [0] 2 2 2 2 2 2 17 4" xfId="0"/>
    <cellStyle name="쉼표 [0] 2 2 2 2 2 2 18" xfId="0"/>
    <cellStyle name="쉼표 [0] 2 2 2 2 2 2 18 2" xfId="0"/>
    <cellStyle name="쉼표 [0] 2 2 2 2 2 2 18 3" xfId="0"/>
    <cellStyle name="쉼표 [0] 2 2 2 2 2 2 18 4" xfId="0"/>
    <cellStyle name="쉼표 [0] 2 2 2 2 2 2 19" xfId="0"/>
    <cellStyle name="쉼표 [0] 2 2 2 2 2 2 19 2" xfId="0"/>
    <cellStyle name="쉼표 [0] 2 2 2 2 2 2 19 3" xfId="0"/>
    <cellStyle name="쉼표 [0] 2 2 2 2 2 2 19 4" xfId="0"/>
    <cellStyle name="쉼표 [0] 2 2 2 2 2 2 2" xfId="0"/>
    <cellStyle name="쉼표 [0] 2 2 2 2 2 2 2 10" xfId="0"/>
    <cellStyle name="쉼표 [0] 2 2 2 2 2 2 2 10 2" xfId="0"/>
    <cellStyle name="쉼표 [0] 2 2 2 2 2 2 2 10 3" xfId="0"/>
    <cellStyle name="쉼표 [0] 2 2 2 2 2 2 2 10 4" xfId="0"/>
    <cellStyle name="쉼표 [0] 2 2 2 2 2 2 2 11" xfId="0"/>
    <cellStyle name="쉼표 [0] 2 2 2 2 2 2 2 11 2" xfId="0"/>
    <cellStyle name="쉼표 [0] 2 2 2 2 2 2 2 11 3" xfId="0"/>
    <cellStyle name="쉼표 [0] 2 2 2 2 2 2 2 11 4" xfId="0"/>
    <cellStyle name="쉼표 [0] 2 2 2 2 2 2 2 12" xfId="0"/>
    <cellStyle name="쉼표 [0] 2 2 2 2 2 2 2 12 2" xfId="0"/>
    <cellStyle name="쉼표 [0] 2 2 2 2 2 2 2 12 3" xfId="0"/>
    <cellStyle name="쉼표 [0] 2 2 2 2 2 2 2 12 4" xfId="0"/>
    <cellStyle name="쉼표 [0] 2 2 2 2 2 2 2 13" xfId="0"/>
    <cellStyle name="쉼표 [0] 2 2 2 2 2 2 2 13 2" xfId="0"/>
    <cellStyle name="쉼표 [0] 2 2 2 2 2 2 2 13 3" xfId="0"/>
    <cellStyle name="쉼표 [0] 2 2 2 2 2 2 2 13 4" xfId="0"/>
    <cellStyle name="쉼표 [0] 2 2 2 2 2 2 2 14" xfId="0"/>
    <cellStyle name="쉼표 [0] 2 2 2 2 2 2 2 14 2" xfId="0"/>
    <cellStyle name="쉼표 [0] 2 2 2 2 2 2 2 14 3" xfId="0"/>
    <cellStyle name="쉼표 [0] 2 2 2 2 2 2 2 14 4" xfId="0"/>
    <cellStyle name="쉼표 [0] 2 2 2 2 2 2 2 15" xfId="0"/>
    <cellStyle name="쉼표 [0] 2 2 2 2 2 2 2 15 2" xfId="0"/>
    <cellStyle name="쉼표 [0] 2 2 2 2 2 2 2 15 3" xfId="0"/>
    <cellStyle name="쉼표 [0] 2 2 2 2 2 2 2 15 4" xfId="0"/>
    <cellStyle name="쉼표 [0] 2 2 2 2 2 2 2 16" xfId="0"/>
    <cellStyle name="쉼표 [0] 2 2 2 2 2 2 2 16 2" xfId="0"/>
    <cellStyle name="쉼표 [0] 2 2 2 2 2 2 2 16 3" xfId="0"/>
    <cellStyle name="쉼표 [0] 2 2 2 2 2 2 2 16 4" xfId="0"/>
    <cellStyle name="쉼표 [0] 2 2 2 2 2 2 2 17" xfId="0"/>
    <cellStyle name="쉼표 [0] 2 2 2 2 2 2 2 17 2" xfId="0"/>
    <cellStyle name="쉼표 [0] 2 2 2 2 2 2 2 17 3" xfId="0"/>
    <cellStyle name="쉼표 [0] 2 2 2 2 2 2 2 17 4" xfId="0"/>
    <cellStyle name="쉼표 [0] 2 2 2 2 2 2 2 18" xfId="0"/>
    <cellStyle name="쉼표 [0] 2 2 2 2 2 2 2 18 2" xfId="0"/>
    <cellStyle name="쉼표 [0] 2 2 2 2 2 2 2 18 3" xfId="0"/>
    <cellStyle name="쉼표 [0] 2 2 2 2 2 2 2 18 4" xfId="0"/>
    <cellStyle name="쉼표 [0] 2 2 2 2 2 2 2 19" xfId="0"/>
    <cellStyle name="쉼표 [0] 2 2 2 2 2 2 2 19 2" xfId="0"/>
    <cellStyle name="쉼표 [0] 2 2 2 2 2 2 2 19 3" xfId="0"/>
    <cellStyle name="쉼표 [0] 2 2 2 2 2 2 2 19 4" xfId="0"/>
    <cellStyle name="쉼표 [0] 2 2 2 2 2 2 2 2" xfId="0"/>
    <cellStyle name="쉼표 [0] 2 2 2 2 2 2 2 2 10" xfId="0"/>
    <cellStyle name="쉼표 [0] 2 2 2 2 2 2 2 2 10 2" xfId="0"/>
    <cellStyle name="쉼표 [0] 2 2 2 2 2 2 2 2 10 3" xfId="0"/>
    <cellStyle name="쉼표 [0] 2 2 2 2 2 2 2 2 10 4" xfId="0"/>
    <cellStyle name="쉼표 [0] 2 2 2 2 2 2 2 2 11" xfId="0"/>
    <cellStyle name="쉼표 [0] 2 2 2 2 2 2 2 2 11 2" xfId="0"/>
    <cellStyle name="쉼표 [0] 2 2 2 2 2 2 2 2 11 3" xfId="0"/>
    <cellStyle name="쉼표 [0] 2 2 2 2 2 2 2 2 11 4" xfId="0"/>
    <cellStyle name="쉼표 [0] 2 2 2 2 2 2 2 2 12" xfId="0"/>
    <cellStyle name="쉼표 [0] 2 2 2 2 2 2 2 2 12 2" xfId="0"/>
    <cellStyle name="쉼표 [0] 2 2 2 2 2 2 2 2 12 3" xfId="0"/>
    <cellStyle name="쉼표 [0] 2 2 2 2 2 2 2 2 12 4" xfId="0"/>
    <cellStyle name="쉼표 [0] 2 2 2 2 2 2 2 2 13" xfId="0"/>
    <cellStyle name="쉼표 [0] 2 2 2 2 2 2 2 2 13 2" xfId="0"/>
    <cellStyle name="쉼표 [0] 2 2 2 2 2 2 2 2 13 3" xfId="0"/>
    <cellStyle name="쉼표 [0] 2 2 2 2 2 2 2 2 13 4" xfId="0"/>
    <cellStyle name="쉼표 [0] 2 2 2 2 2 2 2 2 14" xfId="0"/>
    <cellStyle name="쉼표 [0] 2 2 2 2 2 2 2 2 14 2" xfId="0"/>
    <cellStyle name="쉼표 [0] 2 2 2 2 2 2 2 2 14 3" xfId="0"/>
    <cellStyle name="쉼표 [0] 2 2 2 2 2 2 2 2 14 4" xfId="0"/>
    <cellStyle name="쉼표 [0] 2 2 2 2 2 2 2 2 15" xfId="0"/>
    <cellStyle name="쉼표 [0] 2 2 2 2 2 2 2 2 16" xfId="0"/>
    <cellStyle name="쉼표 [0] 2 2 2 2 2 2 2 2 17" xfId="0"/>
    <cellStyle name="쉼표 [0] 2 2 2 2 2 2 2 2 2" xfId="0"/>
    <cellStyle name="쉼표 [0] 2 2 2 2 2 2 2 2 2 10" xfId="0"/>
    <cellStyle name="쉼표 [0] 2 2 2 2 2 2 2 2 2 10 2" xfId="0"/>
    <cellStyle name="쉼표 [0] 2 2 2 2 2 2 2 2 2 10 3" xfId="0"/>
    <cellStyle name="쉼표 [0] 2 2 2 2 2 2 2 2 2 10 4" xfId="0"/>
    <cellStyle name="쉼표 [0] 2 2 2 2 2 2 2 2 2 11" xfId="0"/>
    <cellStyle name="쉼표 [0] 2 2 2 2 2 2 2 2 2 12" xfId="0"/>
    <cellStyle name="쉼표 [0] 2 2 2 2 2 2 2 2 2 13" xfId="0"/>
    <cellStyle name="쉼표 [0] 2 2 2 2 2 2 2 2 2 2" xfId="0"/>
    <cellStyle name="쉼표 [0] 2 2 2 2 2 2 2 2 2 2 10" xfId="0"/>
    <cellStyle name="쉼표 [0] 2 2 2 2 2 2 2 2 2 2 10 2" xfId="0"/>
    <cellStyle name="쉼표 [0] 2 2 2 2 2 2 2 2 2 2 10 3" xfId="0"/>
    <cellStyle name="쉼표 [0] 2 2 2 2 2 2 2 2 2 2 10 4" xfId="0"/>
    <cellStyle name="쉼표 [0] 2 2 2 2 2 2 2 2 2 2 11" xfId="0"/>
    <cellStyle name="쉼표 [0] 2 2 2 2 2 2 2 2 2 2 12" xfId="0"/>
    <cellStyle name="쉼표 [0] 2 2 2 2 2 2 2 2 2 2 13" xfId="0"/>
    <cellStyle name="쉼표 [0] 2 2 2 2 2 2 2 2 2 2 2" xfId="0"/>
    <cellStyle name="쉼표 [0] 2 2 2 2 2 2 2 2 2 2 2 10" xfId="0"/>
    <cellStyle name="쉼표 [0] 2 2 2 2 2 2 2 2 2 2 2 10 2" xfId="0"/>
    <cellStyle name="쉼표 [0] 2 2 2 2 2 2 2 2 2 2 2 10 3" xfId="0"/>
    <cellStyle name="쉼표 [0] 2 2 2 2 2 2 2 2 2 2 2 10 4" xfId="0"/>
    <cellStyle name="쉼표 [0] 2 2 2 2 2 2 2 2 2 2 2 11" xfId="0"/>
    <cellStyle name="쉼표 [0] 2 2 2 2 2 2 2 2 2 2 2 12" xfId="0"/>
    <cellStyle name="쉼표 [0] 2 2 2 2 2 2 2 2 2 2 2 13" xfId="0"/>
    <cellStyle name="쉼표 [0] 2 2 2 2 2 2 2 2 2 2 2 2" xfId="0"/>
    <cellStyle name="쉼표 [0] 2 2 2 2 2 2 2 2 2 2 2 2 2" xfId="0"/>
    <cellStyle name="쉼표 [0] 2 2 2 2 2 2 2 2 2 2 2 2 2 2" xfId="0"/>
    <cellStyle name="쉼표 [0] 2 2 2 2 2 2 2 2 2 2 2 2 2 2 2" xfId="0"/>
    <cellStyle name="쉼표 [0] 2 2 2 2 2 2 2 2 2 2 2 2 2 2 3" xfId="0"/>
    <cellStyle name="쉼표 [0] 2 2 2 2 2 2 2 2 2 2 2 2 2 2 4" xfId="0"/>
    <cellStyle name="쉼표 [0] 2 2 2 2 2 2 2 2 2 2 2 2 2 3" xfId="0"/>
    <cellStyle name="쉼표 [0] 2 2 2 2 2 2 2 2 2 2 2 2 2 3 2" xfId="0"/>
    <cellStyle name="쉼표 [0] 2 2 2 2 2 2 2 2 2 2 2 2 2 3 3" xfId="0"/>
    <cellStyle name="쉼표 [0] 2 2 2 2 2 2 2 2 2 2 2 2 2 3 4" xfId="0"/>
    <cellStyle name="쉼표 [0] 2 2 2 2 2 2 2 2 2 2 2 2 2 4" xfId="0"/>
    <cellStyle name="쉼표 [0] 2 2 2 2 2 2 2 2 2 2 2 2 2 4 2" xfId="0"/>
    <cellStyle name="쉼표 [0] 2 2 2 2 2 2 2 2 2 2 2 2 2 4 3" xfId="0"/>
    <cellStyle name="쉼표 [0] 2 2 2 2 2 2 2 2 2 2 2 2 2 4 4" xfId="0"/>
    <cellStyle name="쉼표 [0] 2 2 2 2 2 2 2 2 2 2 2 2 2 5" xfId="0"/>
    <cellStyle name="쉼표 [0] 2 2 2 2 2 2 2 2 2 2 2 2 2 5 2" xfId="0"/>
    <cellStyle name="쉼표 [0] 2 2 2 2 2 2 2 2 2 2 2 2 2 5 3" xfId="0"/>
    <cellStyle name="쉼표 [0] 2 2 2 2 2 2 2 2 2 2 2 2 2 5 4" xfId="0"/>
    <cellStyle name="쉼표 [0] 2 2 2 2 2 2 2 2 2 2 2 2 2 6" xfId="0"/>
    <cellStyle name="쉼표 [0] 2 2 2 2 2 2 2 2 2 2 2 2 2 7" xfId="0"/>
    <cellStyle name="쉼표 [0] 2 2 2 2 2 2 2 2 2 2 2 2 2 8" xfId="0"/>
    <cellStyle name="쉼표 [0] 2 2 2 2 2 2 2 2 2 2 2 2 3" xfId="0"/>
    <cellStyle name="쉼표 [0] 2 2 2 2 2 2 2 2 2 2 2 2 3 2" xfId="0"/>
    <cellStyle name="쉼표 [0] 2 2 2 2 2 2 2 2 2 2 2 2 3 3" xfId="0"/>
    <cellStyle name="쉼표 [0] 2 2 2 2 2 2 2 2 2 2 2 2 3 4" xfId="0"/>
    <cellStyle name="쉼표 [0] 2 2 2 2 2 2 2 2 2 2 2 2 4" xfId="0"/>
    <cellStyle name="쉼표 [0] 2 2 2 2 2 2 2 2 2 2 2 2 4 2" xfId="0"/>
    <cellStyle name="쉼표 [0] 2 2 2 2 2 2 2 2 2 2 2 2 4 3" xfId="0"/>
    <cellStyle name="쉼표 [0] 2 2 2 2 2 2 2 2 2 2 2 2 4 4" xfId="0"/>
    <cellStyle name="쉼표 [0] 2 2 2 2 2 2 2 2 2 2 2 2 5" xfId="0"/>
    <cellStyle name="쉼표 [0] 2 2 2 2 2 2 2 2 2 2 2 2 5 2" xfId="0"/>
    <cellStyle name="쉼표 [0] 2 2 2 2 2 2 2 2 2 2 2 2 5 3" xfId="0"/>
    <cellStyle name="쉼표 [0] 2 2 2 2 2 2 2 2 2 2 2 2 5 4" xfId="0"/>
    <cellStyle name="쉼표 [0] 2 2 2 2 2 2 2 2 2 2 2 2 6" xfId="0"/>
    <cellStyle name="쉼표 [0] 2 2 2 2 2 2 2 2 2 2 2 2 7" xfId="0"/>
    <cellStyle name="쉼표 [0] 2 2 2 2 2 2 2 2 2 2 2 2 8" xfId="0"/>
    <cellStyle name="쉼표 [0] 2 2 2 2 2 2 2 2 2 2 2 3" xfId="0"/>
    <cellStyle name="쉼표 [0] 2 2 2 2 2 2 2 2 2 2 2 3 2" xfId="0"/>
    <cellStyle name="쉼표 [0] 2 2 2 2 2 2 2 2 2 2 2 3 3" xfId="0"/>
    <cellStyle name="쉼표 [0] 2 2 2 2 2 2 2 2 2 2 2 3 4" xfId="0"/>
    <cellStyle name="쉼표 [0] 2 2 2 2 2 2 2 2 2 2 2 4" xfId="0"/>
    <cellStyle name="쉼표 [0] 2 2 2 2 2 2 2 2 2 2 2 4 2" xfId="0"/>
    <cellStyle name="쉼표 [0] 2 2 2 2 2 2 2 2 2 2 2 4 3" xfId="0"/>
    <cellStyle name="쉼표 [0] 2 2 2 2 2 2 2 2 2 2 2 4 4" xfId="0"/>
    <cellStyle name="쉼표 [0] 2 2 2 2 2 2 2 2 2 2 2 5" xfId="0"/>
    <cellStyle name="쉼표 [0] 2 2 2 2 2 2 2 2 2 2 2 5 2" xfId="0"/>
    <cellStyle name="쉼표 [0] 2 2 2 2 2 2 2 2 2 2 2 5 3" xfId="0"/>
    <cellStyle name="쉼표 [0] 2 2 2 2 2 2 2 2 2 2 2 5 4" xfId="0"/>
    <cellStyle name="쉼표 [0] 2 2 2 2 2 2 2 2 2 2 2 6" xfId="0"/>
    <cellStyle name="쉼표 [0] 2 2 2 2 2 2 2 2 2 2 2 6 2" xfId="0"/>
    <cellStyle name="쉼표 [0] 2 2 2 2 2 2 2 2 2 2 2 6 3" xfId="0"/>
    <cellStyle name="쉼표 [0] 2 2 2 2 2 2 2 2 2 2 2 6 4" xfId="0"/>
    <cellStyle name="쉼표 [0] 2 2 2 2 2 2 2 2 2 2 2 7" xfId="0"/>
    <cellStyle name="쉼표 [0] 2 2 2 2 2 2 2 2 2 2 2 7 2" xfId="0"/>
    <cellStyle name="쉼표 [0] 2 2 2 2 2 2 2 2 2 2 2 7 3" xfId="0"/>
    <cellStyle name="쉼표 [0] 2 2 2 2 2 2 2 2 2 2 2 7 4" xfId="0"/>
    <cellStyle name="쉼표 [0] 2 2 2 2 2 2 2 2 2 2 2 8" xfId="0"/>
    <cellStyle name="쉼표 [0] 2 2 2 2 2 2 2 2 2 2 2 8 2" xfId="0"/>
    <cellStyle name="쉼표 [0] 2 2 2 2 2 2 2 2 2 2 2 8 3" xfId="0"/>
    <cellStyle name="쉼표 [0] 2 2 2 2 2 2 2 2 2 2 2 8 4" xfId="0"/>
    <cellStyle name="쉼표 [0] 2 2 2 2 2 2 2 2 2 2 2 9" xfId="0"/>
    <cellStyle name="쉼표 [0] 2 2 2 2 2 2 2 2 2 2 2 9 2" xfId="0"/>
    <cellStyle name="쉼표 [0] 2 2 2 2 2 2 2 2 2 2 2 9 3" xfId="0"/>
    <cellStyle name="쉼표 [0] 2 2 2 2 2 2 2 2 2 2 2 9 4" xfId="0"/>
    <cellStyle name="쉼표 [0] 2 2 2 2 2 2 2 2 2 2 3" xfId="0"/>
    <cellStyle name="쉼표 [0] 2 2 2 2 2 2 2 2 2 2 3 2" xfId="0"/>
    <cellStyle name="쉼표 [0] 2 2 2 2 2 2 2 2 2 2 3 3" xfId="0"/>
    <cellStyle name="쉼표 [0] 2 2 2 2 2 2 2 2 2 2 3 4" xfId="0"/>
    <cellStyle name="쉼표 [0] 2 2 2 2 2 2 2 2 2 2 4" xfId="0"/>
    <cellStyle name="쉼표 [0] 2 2 2 2 2 2 2 2 2 2 4 2" xfId="0"/>
    <cellStyle name="쉼표 [0] 2 2 2 2 2 2 2 2 2 2 4 3" xfId="0"/>
    <cellStyle name="쉼표 [0] 2 2 2 2 2 2 2 2 2 2 4 4" xfId="0"/>
    <cellStyle name="쉼표 [0] 2 2 2 2 2 2 2 2 2 2 5" xfId="0"/>
    <cellStyle name="쉼표 [0] 2 2 2 2 2 2 2 2 2 2 5 2" xfId="0"/>
    <cellStyle name="쉼표 [0] 2 2 2 2 2 2 2 2 2 2 5 3" xfId="0"/>
    <cellStyle name="쉼표 [0] 2 2 2 2 2 2 2 2 2 2 5 4" xfId="0"/>
    <cellStyle name="쉼표 [0] 2 2 2 2 2 2 2 2 2 2 6" xfId="0"/>
    <cellStyle name="쉼표 [0] 2 2 2 2 2 2 2 2 2 2 6 2" xfId="0"/>
    <cellStyle name="쉼표 [0] 2 2 2 2 2 2 2 2 2 2 6 3" xfId="0"/>
    <cellStyle name="쉼표 [0] 2 2 2 2 2 2 2 2 2 2 6 4" xfId="0"/>
    <cellStyle name="쉼표 [0] 2 2 2 2 2 2 2 2 2 2 7" xfId="0"/>
    <cellStyle name="쉼표 [0] 2 2 2 2 2 2 2 2 2 2 7 2" xfId="0"/>
    <cellStyle name="쉼표 [0] 2 2 2 2 2 2 2 2 2 2 7 3" xfId="0"/>
    <cellStyle name="쉼표 [0] 2 2 2 2 2 2 2 2 2 2 7 4" xfId="0"/>
    <cellStyle name="쉼표 [0] 2 2 2 2 2 2 2 2 2 2 8" xfId="0"/>
    <cellStyle name="쉼표 [0] 2 2 2 2 2 2 2 2 2 2 8 2" xfId="0"/>
    <cellStyle name="쉼표 [0] 2 2 2 2 2 2 2 2 2 2 8 3" xfId="0"/>
    <cellStyle name="쉼표 [0] 2 2 2 2 2 2 2 2 2 2 8 4" xfId="0"/>
    <cellStyle name="쉼표 [0] 2 2 2 2 2 2 2 2 2 2 9" xfId="0"/>
    <cellStyle name="쉼표 [0] 2 2 2 2 2 2 2 2 2 2 9 2" xfId="0"/>
    <cellStyle name="쉼표 [0] 2 2 2 2 2 2 2 2 2 2 9 3" xfId="0"/>
    <cellStyle name="쉼표 [0] 2 2 2 2 2 2 2 2 2 2 9 4" xfId="0"/>
    <cellStyle name="쉼표 [0] 2 2 2 2 2 2 2 2 2 3" xfId="0"/>
    <cellStyle name="쉼표 [0] 2 2 2 2 2 2 2 2 2 3 2" xfId="0"/>
    <cellStyle name="쉼표 [0] 2 2 2 2 2 2 2 2 2 3 3" xfId="0"/>
    <cellStyle name="쉼표 [0] 2 2 2 2 2 2 2 2 2 3 4" xfId="0"/>
    <cellStyle name="쉼표 [0] 2 2 2 2 2 2 2 2 2 4" xfId="0"/>
    <cellStyle name="쉼표 [0] 2 2 2 2 2 2 2 2 2 4 2" xfId="0"/>
    <cellStyle name="쉼표 [0] 2 2 2 2 2 2 2 2 2 4 3" xfId="0"/>
    <cellStyle name="쉼표 [0] 2 2 2 2 2 2 2 2 2 4 4" xfId="0"/>
    <cellStyle name="쉼표 [0] 2 2 2 2 2 2 2 2 2 5" xfId="0"/>
    <cellStyle name="쉼표 [0] 2 2 2 2 2 2 2 2 2 5 2" xfId="0"/>
    <cellStyle name="쉼표 [0] 2 2 2 2 2 2 2 2 2 5 3" xfId="0"/>
    <cellStyle name="쉼표 [0] 2 2 2 2 2 2 2 2 2 5 4" xfId="0"/>
    <cellStyle name="쉼표 [0] 2 2 2 2 2 2 2 2 2 6" xfId="0"/>
    <cellStyle name="쉼표 [0] 2 2 2 2 2 2 2 2 2 6 2" xfId="0"/>
    <cellStyle name="쉼표 [0] 2 2 2 2 2 2 2 2 2 6 3" xfId="0"/>
    <cellStyle name="쉼표 [0] 2 2 2 2 2 2 2 2 2 6 4" xfId="0"/>
    <cellStyle name="쉼표 [0] 2 2 2 2 2 2 2 2 2 7" xfId="0"/>
    <cellStyle name="쉼표 [0] 2 2 2 2 2 2 2 2 2 7 2" xfId="0"/>
    <cellStyle name="쉼표 [0] 2 2 2 2 2 2 2 2 2 7 3" xfId="0"/>
    <cellStyle name="쉼표 [0] 2 2 2 2 2 2 2 2 2 7 4" xfId="0"/>
    <cellStyle name="쉼표 [0] 2 2 2 2 2 2 2 2 2 8" xfId="0"/>
    <cellStyle name="쉼표 [0] 2 2 2 2 2 2 2 2 2 8 2" xfId="0"/>
    <cellStyle name="쉼표 [0] 2 2 2 2 2 2 2 2 2 8 3" xfId="0"/>
    <cellStyle name="쉼표 [0] 2 2 2 2 2 2 2 2 2 8 4" xfId="0"/>
    <cellStyle name="쉼표 [0] 2 2 2 2 2 2 2 2 2 9" xfId="0"/>
    <cellStyle name="쉼표 [0] 2 2 2 2 2 2 2 2 2 9 2" xfId="0"/>
    <cellStyle name="쉼표 [0] 2 2 2 2 2 2 2 2 2 9 3" xfId="0"/>
    <cellStyle name="쉼표 [0] 2 2 2 2 2 2 2 2 2 9 4" xfId="0"/>
    <cellStyle name="쉼표 [0] 2 2 2 2 2 2 2 2 3" xfId="0"/>
    <cellStyle name="쉼표 [0] 2 2 2 2 2 2 2 2 3 2" xfId="0"/>
    <cellStyle name="쉼표 [0] 2 2 2 2 2 2 2 2 3 3" xfId="0"/>
    <cellStyle name="쉼표 [0] 2 2 2 2 2 2 2 2 3 4" xfId="0"/>
    <cellStyle name="쉼표 [0] 2 2 2 2 2 2 2 2 4" xfId="0"/>
    <cellStyle name="쉼표 [0] 2 2 2 2 2 2 2 2 4 2" xfId="0"/>
    <cellStyle name="쉼표 [0] 2 2 2 2 2 2 2 2 4 3" xfId="0"/>
    <cellStyle name="쉼표 [0] 2 2 2 2 2 2 2 2 4 4" xfId="0"/>
    <cellStyle name="쉼표 [0] 2 2 2 2 2 2 2 2 5" xfId="0"/>
    <cellStyle name="쉼표 [0] 2 2 2 2 2 2 2 2 5 2" xfId="0"/>
    <cellStyle name="쉼표 [0] 2 2 2 2 2 2 2 2 5 3" xfId="0"/>
    <cellStyle name="쉼표 [0] 2 2 2 2 2 2 2 2 5 4" xfId="0"/>
    <cellStyle name="쉼표 [0] 2 2 2 2 2 2 2 2 6" xfId="0"/>
    <cellStyle name="쉼표 [0] 2 2 2 2 2 2 2 2 6 2" xfId="0"/>
    <cellStyle name="쉼표 [0] 2 2 2 2 2 2 2 2 6 3" xfId="0"/>
    <cellStyle name="쉼표 [0] 2 2 2 2 2 2 2 2 6 4" xfId="0"/>
    <cellStyle name="쉼표 [0] 2 2 2 2 2 2 2 2 7" xfId="0"/>
    <cellStyle name="쉼표 [0] 2 2 2 2 2 2 2 2 7 2" xfId="0"/>
    <cellStyle name="쉼표 [0] 2 2 2 2 2 2 2 2 7 3" xfId="0"/>
    <cellStyle name="쉼표 [0] 2 2 2 2 2 2 2 2 7 4" xfId="0"/>
    <cellStyle name="쉼표 [0] 2 2 2 2 2 2 2 2 8" xfId="0"/>
    <cellStyle name="쉼표 [0] 2 2 2 2 2 2 2 2 8 2" xfId="0"/>
    <cellStyle name="쉼표 [0] 2 2 2 2 2 2 2 2 8 3" xfId="0"/>
    <cellStyle name="쉼표 [0] 2 2 2 2 2 2 2 2 8 4" xfId="0"/>
    <cellStyle name="쉼표 [0] 2 2 2 2 2 2 2 2 9" xfId="0"/>
    <cellStyle name="쉼표 [0] 2 2 2 2 2 2 2 2 9 2" xfId="0"/>
    <cellStyle name="쉼표 [0] 2 2 2 2 2 2 2 2 9 3" xfId="0"/>
    <cellStyle name="쉼표 [0] 2 2 2 2 2 2 2 2 9 4" xfId="0"/>
    <cellStyle name="쉼표 [0] 2 2 2 2 2 2 2 20" xfId="0"/>
    <cellStyle name="쉼표 [0] 2 2 2 2 2 2 2 20 2" xfId="0"/>
    <cellStyle name="쉼표 [0] 2 2 2 2 2 2 2 20 3" xfId="0"/>
    <cellStyle name="쉼표 [0] 2 2 2 2 2 2 2 20 4" xfId="0"/>
    <cellStyle name="쉼표 [0] 2 2 2 2 2 2 2 21" xfId="0"/>
    <cellStyle name="쉼표 [0] 2 2 2 2 2 2 2 21 2" xfId="0"/>
    <cellStyle name="쉼표 [0] 2 2 2 2 2 2 2 21 3" xfId="0"/>
    <cellStyle name="쉼표 [0] 2 2 2 2 2 2 2 21 4" xfId="0"/>
    <cellStyle name="쉼표 [0] 2 2 2 2 2 2 2 22" xfId="0"/>
    <cellStyle name="쉼표 [0] 2 2 2 2 2 2 2 22 2" xfId="0"/>
    <cellStyle name="쉼표 [0] 2 2 2 2 2 2 2 22 3" xfId="0"/>
    <cellStyle name="쉼표 [0] 2 2 2 2 2 2 2 22 4" xfId="0"/>
    <cellStyle name="쉼표 [0] 2 2 2 2 2 2 2 23" xfId="0"/>
    <cellStyle name="쉼표 [0] 2 2 2 2 2 2 2 23 2" xfId="0"/>
    <cellStyle name="쉼표 [0] 2 2 2 2 2 2 2 23 3" xfId="0"/>
    <cellStyle name="쉼표 [0] 2 2 2 2 2 2 2 23 4" xfId="0"/>
    <cellStyle name="쉼표 [0] 2 2 2 2 2 2 2 24" xfId="0"/>
    <cellStyle name="쉼표 [0] 2 2 2 2 2 2 2 24 2" xfId="0"/>
    <cellStyle name="쉼표 [0] 2 2 2 2 2 2 2 24 3" xfId="0"/>
    <cellStyle name="쉼표 [0] 2 2 2 2 2 2 2 24 4" xfId="0"/>
    <cellStyle name="쉼표 [0] 2 2 2 2 2 2 2 25" xfId="0"/>
    <cellStyle name="쉼표 [0] 2 2 2 2 2 2 2 25 2" xfId="0"/>
    <cellStyle name="쉼표 [0] 2 2 2 2 2 2 2 25 3" xfId="0"/>
    <cellStyle name="쉼표 [0] 2 2 2 2 2 2 2 25 4" xfId="0"/>
    <cellStyle name="쉼표 [0] 2 2 2 2 2 2 2 26" xfId="0"/>
    <cellStyle name="쉼표 [0] 2 2 2 2 2 2 2 26 2" xfId="0"/>
    <cellStyle name="쉼표 [0] 2 2 2 2 2 2 2 26 3" xfId="0"/>
    <cellStyle name="쉼표 [0] 2 2 2 2 2 2 2 26 4" xfId="0"/>
    <cellStyle name="쉼표 [0] 2 2 2 2 2 2 2 27" xfId="0"/>
    <cellStyle name="쉼표 [0] 2 2 2 2 2 2 2 27 2" xfId="0"/>
    <cellStyle name="쉼표 [0] 2 2 2 2 2 2 2 27 3" xfId="0"/>
    <cellStyle name="쉼표 [0] 2 2 2 2 2 2 2 27 4" xfId="0"/>
    <cellStyle name="쉼표 [0] 2 2 2 2 2 2 2 28" xfId="0"/>
    <cellStyle name="쉼표 [0] 2 2 2 2 2 2 2 28 2" xfId="0"/>
    <cellStyle name="쉼표 [0] 2 2 2 2 2 2 2 28 3" xfId="0"/>
    <cellStyle name="쉼표 [0] 2 2 2 2 2 2 2 28 4" xfId="0"/>
    <cellStyle name="쉼표 [0] 2 2 2 2 2 2 2 29" xfId="0"/>
    <cellStyle name="쉼표 [0] 2 2 2 2 2 2 2 29 2" xfId="0"/>
    <cellStyle name="쉼표 [0] 2 2 2 2 2 2 2 29 3" xfId="0"/>
    <cellStyle name="쉼표 [0] 2 2 2 2 2 2 2 29 4" xfId="0"/>
    <cellStyle name="쉼표 [0] 2 2 2 2 2 2 2 3" xfId="0"/>
    <cellStyle name="쉼표 [0] 2 2 2 2 2 2 2 3 2" xfId="0"/>
    <cellStyle name="쉼표 [0] 2 2 2 2 2 2 2 3 3" xfId="0"/>
    <cellStyle name="쉼표 [0] 2 2 2 2 2 2 2 3 4" xfId="0"/>
    <cellStyle name="쉼표 [0] 2 2 2 2 2 2 2 30" xfId="0"/>
    <cellStyle name="쉼표 [0] 2 2 2 2 2 2 2 31" xfId="0"/>
    <cellStyle name="쉼표 [0] 2 2 2 2 2 2 2 32" xfId="0"/>
    <cellStyle name="쉼표 [0] 2 2 2 2 2 2 2 4" xfId="0"/>
    <cellStyle name="쉼표 [0] 2 2 2 2 2 2 2 4 2" xfId="0"/>
    <cellStyle name="쉼표 [0] 2 2 2 2 2 2 2 4 3" xfId="0"/>
    <cellStyle name="쉼표 [0] 2 2 2 2 2 2 2 4 4" xfId="0"/>
    <cellStyle name="쉼표 [0] 2 2 2 2 2 2 2 5" xfId="0"/>
    <cellStyle name="쉼표 [0] 2 2 2 2 2 2 2 5 2" xfId="0"/>
    <cellStyle name="쉼표 [0] 2 2 2 2 2 2 2 5 3" xfId="0"/>
    <cellStyle name="쉼표 [0] 2 2 2 2 2 2 2 5 4" xfId="0"/>
    <cellStyle name="쉼표 [0] 2 2 2 2 2 2 2 6" xfId="0"/>
    <cellStyle name="쉼표 [0] 2 2 2 2 2 2 2 6 2" xfId="0"/>
    <cellStyle name="쉼표 [0] 2 2 2 2 2 2 2 6 3" xfId="0"/>
    <cellStyle name="쉼표 [0] 2 2 2 2 2 2 2 6 4" xfId="0"/>
    <cellStyle name="쉼표 [0] 2 2 2 2 2 2 2 7" xfId="0"/>
    <cellStyle name="쉼표 [0] 2 2 2 2 2 2 2 7 2" xfId="0"/>
    <cellStyle name="쉼표 [0] 2 2 2 2 2 2 2 7 3" xfId="0"/>
    <cellStyle name="쉼표 [0] 2 2 2 2 2 2 2 7 4" xfId="0"/>
    <cellStyle name="쉼표 [0] 2 2 2 2 2 2 2 8" xfId="0"/>
    <cellStyle name="쉼표 [0] 2 2 2 2 2 2 2 8 2" xfId="0"/>
    <cellStyle name="쉼표 [0] 2 2 2 2 2 2 2 8 3" xfId="0"/>
    <cellStyle name="쉼표 [0] 2 2 2 2 2 2 2 8 4" xfId="0"/>
    <cellStyle name="쉼표 [0] 2 2 2 2 2 2 2 9" xfId="0"/>
    <cellStyle name="쉼표 [0] 2 2 2 2 2 2 2 9 2" xfId="0"/>
    <cellStyle name="쉼표 [0] 2 2 2 2 2 2 2 9 3" xfId="0"/>
    <cellStyle name="쉼표 [0] 2 2 2 2 2 2 2 9 4" xfId="0"/>
    <cellStyle name="쉼표 [0] 2 2 2 2 2 2 20" xfId="0"/>
    <cellStyle name="쉼표 [0] 2 2 2 2 2 2 20 2" xfId="0"/>
    <cellStyle name="쉼표 [0] 2 2 2 2 2 2 20 3" xfId="0"/>
    <cellStyle name="쉼표 [0] 2 2 2 2 2 2 20 4" xfId="0"/>
    <cellStyle name="쉼표 [0] 2 2 2 2 2 2 21" xfId="0"/>
    <cellStyle name="쉼표 [0] 2 2 2 2 2 2 21 2" xfId="0"/>
    <cellStyle name="쉼표 [0] 2 2 2 2 2 2 21 3" xfId="0"/>
    <cellStyle name="쉼표 [0] 2 2 2 2 2 2 21 4" xfId="0"/>
    <cellStyle name="쉼표 [0] 2 2 2 2 2 2 22" xfId="0"/>
    <cellStyle name="쉼표 [0] 2 2 2 2 2 2 22 2" xfId="0"/>
    <cellStyle name="쉼표 [0] 2 2 2 2 2 2 22 3" xfId="0"/>
    <cellStyle name="쉼표 [0] 2 2 2 2 2 2 22 4" xfId="0"/>
    <cellStyle name="쉼표 [0] 2 2 2 2 2 2 23" xfId="0"/>
    <cellStyle name="쉼표 [0] 2 2 2 2 2 2 23 2" xfId="0"/>
    <cellStyle name="쉼표 [0] 2 2 2 2 2 2 23 3" xfId="0"/>
    <cellStyle name="쉼표 [0] 2 2 2 2 2 2 23 4" xfId="0"/>
    <cellStyle name="쉼표 [0] 2 2 2 2 2 2 24" xfId="0"/>
    <cellStyle name="쉼표 [0] 2 2 2 2 2 2 24 2" xfId="0"/>
    <cellStyle name="쉼표 [0] 2 2 2 2 2 2 24 3" xfId="0"/>
    <cellStyle name="쉼표 [0] 2 2 2 2 2 2 24 4" xfId="0"/>
    <cellStyle name="쉼표 [0] 2 2 2 2 2 2 25" xfId="0"/>
    <cellStyle name="쉼표 [0] 2 2 2 2 2 2 25 2" xfId="0"/>
    <cellStyle name="쉼표 [0] 2 2 2 2 2 2 25 3" xfId="0"/>
    <cellStyle name="쉼표 [0] 2 2 2 2 2 2 25 4" xfId="0"/>
    <cellStyle name="쉼표 [0] 2 2 2 2 2 2 26" xfId="0"/>
    <cellStyle name="쉼표 [0] 2 2 2 2 2 2 26 2" xfId="0"/>
    <cellStyle name="쉼표 [0] 2 2 2 2 2 2 26 3" xfId="0"/>
    <cellStyle name="쉼표 [0] 2 2 2 2 2 2 26 4" xfId="0"/>
    <cellStyle name="쉼표 [0] 2 2 2 2 2 2 27" xfId="0"/>
    <cellStyle name="쉼표 [0] 2 2 2 2 2 2 27 2" xfId="0"/>
    <cellStyle name="쉼표 [0] 2 2 2 2 2 2 27 3" xfId="0"/>
    <cellStyle name="쉼표 [0] 2 2 2 2 2 2 27 4" xfId="0"/>
    <cellStyle name="쉼표 [0] 2 2 2 2 2 2 28" xfId="0"/>
    <cellStyle name="쉼표 [0] 2 2 2 2 2 2 28 2" xfId="0"/>
    <cellStyle name="쉼표 [0] 2 2 2 2 2 2 28 3" xfId="0"/>
    <cellStyle name="쉼표 [0] 2 2 2 2 2 2 28 4" xfId="0"/>
    <cellStyle name="쉼표 [0] 2 2 2 2 2 2 29" xfId="0"/>
    <cellStyle name="쉼표 [0] 2 2 2 2 2 2 3" xfId="0"/>
    <cellStyle name="쉼표 [0] 2 2 2 2 2 2 3 10" xfId="0"/>
    <cellStyle name="쉼표 [0] 2 2 2 2 2 2 3 10 2" xfId="0"/>
    <cellStyle name="쉼표 [0] 2 2 2 2 2 2 3 10 3" xfId="0"/>
    <cellStyle name="쉼표 [0] 2 2 2 2 2 2 3 10 4" xfId="0"/>
    <cellStyle name="쉼표 [0] 2 2 2 2 2 2 3 11" xfId="0"/>
    <cellStyle name="쉼표 [0] 2 2 2 2 2 2 3 11 2" xfId="0"/>
    <cellStyle name="쉼표 [0] 2 2 2 2 2 2 3 11 3" xfId="0"/>
    <cellStyle name="쉼표 [0] 2 2 2 2 2 2 3 11 4" xfId="0"/>
    <cellStyle name="쉼표 [0] 2 2 2 2 2 2 3 12" xfId="0"/>
    <cellStyle name="쉼표 [0] 2 2 2 2 2 2 3 12 2" xfId="0"/>
    <cellStyle name="쉼표 [0] 2 2 2 2 2 2 3 12 3" xfId="0"/>
    <cellStyle name="쉼표 [0] 2 2 2 2 2 2 3 12 4" xfId="0"/>
    <cellStyle name="쉼표 [0] 2 2 2 2 2 2 3 13" xfId="0"/>
    <cellStyle name="쉼표 [0] 2 2 2 2 2 2 3 13 2" xfId="0"/>
    <cellStyle name="쉼표 [0] 2 2 2 2 2 2 3 13 3" xfId="0"/>
    <cellStyle name="쉼표 [0] 2 2 2 2 2 2 3 13 4" xfId="0"/>
    <cellStyle name="쉼표 [0] 2 2 2 2 2 2 3 14" xfId="0"/>
    <cellStyle name="쉼표 [0] 2 2 2 2 2 2 3 14 2" xfId="0"/>
    <cellStyle name="쉼표 [0] 2 2 2 2 2 2 3 14 3" xfId="0"/>
    <cellStyle name="쉼표 [0] 2 2 2 2 2 2 3 14 4" xfId="0"/>
    <cellStyle name="쉼표 [0] 2 2 2 2 2 2 3 15" xfId="0"/>
    <cellStyle name="쉼표 [0] 2 2 2 2 2 2 3 15 2" xfId="0"/>
    <cellStyle name="쉼표 [0] 2 2 2 2 2 2 3 15 3" xfId="0"/>
    <cellStyle name="쉼표 [0] 2 2 2 2 2 2 3 15 4" xfId="0"/>
    <cellStyle name="쉼표 [0] 2 2 2 2 2 2 3 16" xfId="0"/>
    <cellStyle name="쉼표 [0] 2 2 2 2 2 2 3 16 2" xfId="0"/>
    <cellStyle name="쉼표 [0] 2 2 2 2 2 2 3 16 3" xfId="0"/>
    <cellStyle name="쉼표 [0] 2 2 2 2 2 2 3 16 4" xfId="0"/>
    <cellStyle name="쉼표 [0] 2 2 2 2 2 2 3 17" xfId="0"/>
    <cellStyle name="쉼표 [0] 2 2 2 2 2 2 3 17 2" xfId="0"/>
    <cellStyle name="쉼표 [0] 2 2 2 2 2 2 3 17 3" xfId="0"/>
    <cellStyle name="쉼표 [0] 2 2 2 2 2 2 3 17 4" xfId="0"/>
    <cellStyle name="쉼표 [0] 2 2 2 2 2 2 3 18" xfId="0"/>
    <cellStyle name="쉼표 [0] 2 2 2 2 2 2 3 19" xfId="0"/>
    <cellStyle name="쉼표 [0] 2 2 2 2 2 2 3 2" xfId="0"/>
    <cellStyle name="쉼표 [0] 2 2 2 2 2 2 3 2 2" xfId="0"/>
    <cellStyle name="쉼표 [0] 2 2 2 2 2 2 3 2 3" xfId="0"/>
    <cellStyle name="쉼표 [0] 2 2 2 2 2 2 3 2 4" xfId="0"/>
    <cellStyle name="쉼표 [0] 2 2 2 2 2 2 3 20" xfId="0"/>
    <cellStyle name="쉼표 [0] 2 2 2 2 2 2 3 3" xfId="0"/>
    <cellStyle name="쉼표 [0] 2 2 2 2 2 2 3 3 2" xfId="0"/>
    <cellStyle name="쉼표 [0] 2 2 2 2 2 2 3 3 3" xfId="0"/>
    <cellStyle name="쉼표 [0] 2 2 2 2 2 2 3 3 4" xfId="0"/>
    <cellStyle name="쉼표 [0] 2 2 2 2 2 2 3 4" xfId="0"/>
    <cellStyle name="쉼표 [0] 2 2 2 2 2 2 3 4 2" xfId="0"/>
    <cellStyle name="쉼표 [0] 2 2 2 2 2 2 3 4 3" xfId="0"/>
    <cellStyle name="쉼표 [0] 2 2 2 2 2 2 3 4 4" xfId="0"/>
    <cellStyle name="쉼표 [0] 2 2 2 2 2 2 3 5" xfId="0"/>
    <cellStyle name="쉼표 [0] 2 2 2 2 2 2 3 5 2" xfId="0"/>
    <cellStyle name="쉼표 [0] 2 2 2 2 2 2 3 5 3" xfId="0"/>
    <cellStyle name="쉼표 [0] 2 2 2 2 2 2 3 5 4" xfId="0"/>
    <cellStyle name="쉼표 [0] 2 2 2 2 2 2 3 6" xfId="0"/>
    <cellStyle name="쉼표 [0] 2 2 2 2 2 2 3 6 2" xfId="0"/>
    <cellStyle name="쉼표 [0] 2 2 2 2 2 2 3 6 3" xfId="0"/>
    <cellStyle name="쉼표 [0] 2 2 2 2 2 2 3 6 4" xfId="0"/>
    <cellStyle name="쉼표 [0] 2 2 2 2 2 2 3 7" xfId="0"/>
    <cellStyle name="쉼표 [0] 2 2 2 2 2 2 3 7 2" xfId="0"/>
    <cellStyle name="쉼표 [0] 2 2 2 2 2 2 3 7 3" xfId="0"/>
    <cellStyle name="쉼표 [0] 2 2 2 2 2 2 3 7 4" xfId="0"/>
    <cellStyle name="쉼표 [0] 2 2 2 2 2 2 3 8" xfId="0"/>
    <cellStyle name="쉼표 [0] 2 2 2 2 2 2 3 8 2" xfId="0"/>
    <cellStyle name="쉼표 [0] 2 2 2 2 2 2 3 8 3" xfId="0"/>
    <cellStyle name="쉼표 [0] 2 2 2 2 2 2 3 8 4" xfId="0"/>
    <cellStyle name="쉼표 [0] 2 2 2 2 2 2 3 9" xfId="0"/>
    <cellStyle name="쉼표 [0] 2 2 2 2 2 2 3 9 2" xfId="0"/>
    <cellStyle name="쉼표 [0] 2 2 2 2 2 2 3 9 3" xfId="0"/>
    <cellStyle name="쉼표 [0] 2 2 2 2 2 2 3 9 4" xfId="0"/>
    <cellStyle name="쉼표 [0] 2 2 2 2 2 2 30" xfId="0"/>
    <cellStyle name="쉼표 [0] 2 2 2 2 2 2 31" xfId="0"/>
    <cellStyle name="쉼표 [0] 2 2 2 2 2 2 4" xfId="0"/>
    <cellStyle name="쉼표 [0] 2 2 2 2 2 2 4 10" xfId="0"/>
    <cellStyle name="쉼표 [0] 2 2 2 2 2 2 4 10 2" xfId="0"/>
    <cellStyle name="쉼표 [0] 2 2 2 2 2 2 4 10 3" xfId="0"/>
    <cellStyle name="쉼표 [0] 2 2 2 2 2 2 4 10 4" xfId="0"/>
    <cellStyle name="쉼표 [0] 2 2 2 2 2 2 4 11" xfId="0"/>
    <cellStyle name="쉼표 [0] 2 2 2 2 2 2 4 11 2" xfId="0"/>
    <cellStyle name="쉼표 [0] 2 2 2 2 2 2 4 11 3" xfId="0"/>
    <cellStyle name="쉼표 [0] 2 2 2 2 2 2 4 11 4" xfId="0"/>
    <cellStyle name="쉼표 [0] 2 2 2 2 2 2 4 12" xfId="0"/>
    <cellStyle name="쉼표 [0] 2 2 2 2 2 2 4 12 2" xfId="0"/>
    <cellStyle name="쉼표 [0] 2 2 2 2 2 2 4 12 3" xfId="0"/>
    <cellStyle name="쉼표 [0] 2 2 2 2 2 2 4 12 4" xfId="0"/>
    <cellStyle name="쉼표 [0] 2 2 2 2 2 2 4 13" xfId="0"/>
    <cellStyle name="쉼표 [0] 2 2 2 2 2 2 4 13 2" xfId="0"/>
    <cellStyle name="쉼표 [0] 2 2 2 2 2 2 4 13 3" xfId="0"/>
    <cellStyle name="쉼표 [0] 2 2 2 2 2 2 4 13 4" xfId="0"/>
    <cellStyle name="쉼표 [0] 2 2 2 2 2 2 4 14" xfId="0"/>
    <cellStyle name="쉼표 [0] 2 2 2 2 2 2 4 15" xfId="0"/>
    <cellStyle name="쉼표 [0] 2 2 2 2 2 2 4 16" xfId="0"/>
    <cellStyle name="쉼표 [0] 2 2 2 2 2 2 4 2" xfId="0"/>
    <cellStyle name="쉼표 [0] 2 2 2 2 2 2 4 2 2" xfId="0"/>
    <cellStyle name="쉼표 [0] 2 2 2 2 2 2 4 2 3" xfId="0"/>
    <cellStyle name="쉼표 [0] 2 2 2 2 2 2 4 2 4" xfId="0"/>
    <cellStyle name="쉼표 [0] 2 2 2 2 2 2 4 3" xfId="0"/>
    <cellStyle name="쉼표 [0] 2 2 2 2 2 2 4 3 2" xfId="0"/>
    <cellStyle name="쉼표 [0] 2 2 2 2 2 2 4 3 3" xfId="0"/>
    <cellStyle name="쉼표 [0] 2 2 2 2 2 2 4 3 4" xfId="0"/>
    <cellStyle name="쉼표 [0] 2 2 2 2 2 2 4 4" xfId="0"/>
    <cellStyle name="쉼표 [0] 2 2 2 2 2 2 4 4 2" xfId="0"/>
    <cellStyle name="쉼표 [0] 2 2 2 2 2 2 4 4 3" xfId="0"/>
    <cellStyle name="쉼표 [0] 2 2 2 2 2 2 4 4 4" xfId="0"/>
    <cellStyle name="쉼표 [0] 2 2 2 2 2 2 4 5" xfId="0"/>
    <cellStyle name="쉼표 [0] 2 2 2 2 2 2 4 5 2" xfId="0"/>
    <cellStyle name="쉼표 [0] 2 2 2 2 2 2 4 5 3" xfId="0"/>
    <cellStyle name="쉼표 [0] 2 2 2 2 2 2 4 5 4" xfId="0"/>
    <cellStyle name="쉼표 [0] 2 2 2 2 2 2 4 6" xfId="0"/>
    <cellStyle name="쉼표 [0] 2 2 2 2 2 2 4 6 2" xfId="0"/>
    <cellStyle name="쉼표 [0] 2 2 2 2 2 2 4 6 3" xfId="0"/>
    <cellStyle name="쉼표 [0] 2 2 2 2 2 2 4 6 4" xfId="0"/>
    <cellStyle name="쉼표 [0] 2 2 2 2 2 2 4 7" xfId="0"/>
    <cellStyle name="쉼표 [0] 2 2 2 2 2 2 4 7 2" xfId="0"/>
    <cellStyle name="쉼표 [0] 2 2 2 2 2 2 4 7 3" xfId="0"/>
    <cellStyle name="쉼표 [0] 2 2 2 2 2 2 4 7 4" xfId="0"/>
    <cellStyle name="쉼표 [0] 2 2 2 2 2 2 4 8" xfId="0"/>
    <cellStyle name="쉼표 [0] 2 2 2 2 2 2 4 8 2" xfId="0"/>
    <cellStyle name="쉼표 [0] 2 2 2 2 2 2 4 8 3" xfId="0"/>
    <cellStyle name="쉼표 [0] 2 2 2 2 2 2 4 8 4" xfId="0"/>
    <cellStyle name="쉼표 [0] 2 2 2 2 2 2 4 9" xfId="0"/>
    <cellStyle name="쉼표 [0] 2 2 2 2 2 2 4 9 2" xfId="0"/>
    <cellStyle name="쉼표 [0] 2 2 2 2 2 2 4 9 3" xfId="0"/>
    <cellStyle name="쉼표 [0] 2 2 2 2 2 2 4 9 4" xfId="0"/>
    <cellStyle name="쉼표 [0] 2 2 2 2 2 2 5" xfId="0"/>
    <cellStyle name="쉼표 [0] 2 2 2 2 2 2 5 10" xfId="0"/>
    <cellStyle name="쉼표 [0] 2 2 2 2 2 2 5 10 2" xfId="0"/>
    <cellStyle name="쉼표 [0] 2 2 2 2 2 2 5 10 3" xfId="0"/>
    <cellStyle name="쉼표 [0] 2 2 2 2 2 2 5 10 4" xfId="0"/>
    <cellStyle name="쉼표 [0] 2 2 2 2 2 2 5 11" xfId="0"/>
    <cellStyle name="쉼표 [0] 2 2 2 2 2 2 5 11 2" xfId="0"/>
    <cellStyle name="쉼표 [0] 2 2 2 2 2 2 5 11 3" xfId="0"/>
    <cellStyle name="쉼표 [0] 2 2 2 2 2 2 5 11 4" xfId="0"/>
    <cellStyle name="쉼표 [0] 2 2 2 2 2 2 5 12" xfId="0"/>
    <cellStyle name="쉼표 [0] 2 2 2 2 2 2 5 12 2" xfId="0"/>
    <cellStyle name="쉼표 [0] 2 2 2 2 2 2 5 12 3" xfId="0"/>
    <cellStyle name="쉼표 [0] 2 2 2 2 2 2 5 12 4" xfId="0"/>
    <cellStyle name="쉼표 [0] 2 2 2 2 2 2 5 13" xfId="0"/>
    <cellStyle name="쉼표 [0] 2 2 2 2 2 2 5 13 2" xfId="0"/>
    <cellStyle name="쉼표 [0] 2 2 2 2 2 2 5 13 3" xfId="0"/>
    <cellStyle name="쉼표 [0] 2 2 2 2 2 2 5 13 4" xfId="0"/>
    <cellStyle name="쉼표 [0] 2 2 2 2 2 2 5 14" xfId="0"/>
    <cellStyle name="쉼표 [0] 2 2 2 2 2 2 5 15" xfId="0"/>
    <cellStyle name="쉼표 [0] 2 2 2 2 2 2 5 16" xfId="0"/>
    <cellStyle name="쉼표 [0] 2 2 2 2 2 2 5 2" xfId="0"/>
    <cellStyle name="쉼표 [0] 2 2 2 2 2 2 5 2 2" xfId="0"/>
    <cellStyle name="쉼표 [0] 2 2 2 2 2 2 5 2 3" xfId="0"/>
    <cellStyle name="쉼표 [0] 2 2 2 2 2 2 5 2 4" xfId="0"/>
    <cellStyle name="쉼표 [0] 2 2 2 2 2 2 5 3" xfId="0"/>
    <cellStyle name="쉼표 [0] 2 2 2 2 2 2 5 3 2" xfId="0"/>
    <cellStyle name="쉼표 [0] 2 2 2 2 2 2 5 3 3" xfId="0"/>
    <cellStyle name="쉼표 [0] 2 2 2 2 2 2 5 3 4" xfId="0"/>
    <cellStyle name="쉼표 [0] 2 2 2 2 2 2 5 4" xfId="0"/>
    <cellStyle name="쉼표 [0] 2 2 2 2 2 2 5 4 2" xfId="0"/>
    <cellStyle name="쉼표 [0] 2 2 2 2 2 2 5 4 3" xfId="0"/>
    <cellStyle name="쉼표 [0] 2 2 2 2 2 2 5 4 4" xfId="0"/>
    <cellStyle name="쉼표 [0] 2 2 2 2 2 2 5 5" xfId="0"/>
    <cellStyle name="쉼표 [0] 2 2 2 2 2 2 5 5 2" xfId="0"/>
    <cellStyle name="쉼표 [0] 2 2 2 2 2 2 5 5 3" xfId="0"/>
    <cellStyle name="쉼표 [0] 2 2 2 2 2 2 5 5 4" xfId="0"/>
    <cellStyle name="쉼표 [0] 2 2 2 2 2 2 5 6" xfId="0"/>
    <cellStyle name="쉼표 [0] 2 2 2 2 2 2 5 6 2" xfId="0"/>
    <cellStyle name="쉼표 [0] 2 2 2 2 2 2 5 6 3" xfId="0"/>
    <cellStyle name="쉼표 [0] 2 2 2 2 2 2 5 6 4" xfId="0"/>
    <cellStyle name="쉼표 [0] 2 2 2 2 2 2 5 7" xfId="0"/>
    <cellStyle name="쉼표 [0] 2 2 2 2 2 2 5 7 2" xfId="0"/>
    <cellStyle name="쉼표 [0] 2 2 2 2 2 2 5 7 3" xfId="0"/>
    <cellStyle name="쉼표 [0] 2 2 2 2 2 2 5 7 4" xfId="0"/>
    <cellStyle name="쉼표 [0] 2 2 2 2 2 2 5 8" xfId="0"/>
    <cellStyle name="쉼표 [0] 2 2 2 2 2 2 5 8 2" xfId="0"/>
    <cellStyle name="쉼표 [0] 2 2 2 2 2 2 5 8 3" xfId="0"/>
    <cellStyle name="쉼표 [0] 2 2 2 2 2 2 5 8 4" xfId="0"/>
    <cellStyle name="쉼표 [0] 2 2 2 2 2 2 5 9" xfId="0"/>
    <cellStyle name="쉼표 [0] 2 2 2 2 2 2 5 9 2" xfId="0"/>
    <cellStyle name="쉼표 [0] 2 2 2 2 2 2 5 9 3" xfId="0"/>
    <cellStyle name="쉼표 [0] 2 2 2 2 2 2 5 9 4" xfId="0"/>
    <cellStyle name="쉼표 [0] 2 2 2 2 2 2 6" xfId="0"/>
    <cellStyle name="쉼표 [0] 2 2 2 2 2 2 6 2" xfId="0"/>
    <cellStyle name="쉼표 [0] 2 2 2 2 2 2 6 2 2" xfId="0"/>
    <cellStyle name="쉼표 [0] 2 2 2 2 2 2 6 2 3" xfId="0"/>
    <cellStyle name="쉼표 [0] 2 2 2 2 2 2 6 2 4" xfId="0"/>
    <cellStyle name="쉼표 [0] 2 2 2 2 2 2 6 3" xfId="0"/>
    <cellStyle name="쉼표 [0] 2 2 2 2 2 2 6 3 2" xfId="0"/>
    <cellStyle name="쉼표 [0] 2 2 2 2 2 2 6 3 3" xfId="0"/>
    <cellStyle name="쉼표 [0] 2 2 2 2 2 2 6 3 4" xfId="0"/>
    <cellStyle name="쉼표 [0] 2 2 2 2 2 2 6 4" xfId="0"/>
    <cellStyle name="쉼표 [0] 2 2 2 2 2 2 6 4 2" xfId="0"/>
    <cellStyle name="쉼표 [0] 2 2 2 2 2 2 6 4 3" xfId="0"/>
    <cellStyle name="쉼표 [0] 2 2 2 2 2 2 6 4 4" xfId="0"/>
    <cellStyle name="쉼표 [0] 2 2 2 2 2 2 6 5" xfId="0"/>
    <cellStyle name="쉼표 [0] 2 2 2 2 2 2 6 5 2" xfId="0"/>
    <cellStyle name="쉼표 [0] 2 2 2 2 2 2 6 5 3" xfId="0"/>
    <cellStyle name="쉼표 [0] 2 2 2 2 2 2 6 5 4" xfId="0"/>
    <cellStyle name="쉼표 [0] 2 2 2 2 2 2 6 6" xfId="0"/>
    <cellStyle name="쉼표 [0] 2 2 2 2 2 2 6 7" xfId="0"/>
    <cellStyle name="쉼표 [0] 2 2 2 2 2 2 6 8" xfId="0"/>
    <cellStyle name="쉼표 [0] 2 2 2 2 2 2 7" xfId="0"/>
    <cellStyle name="쉼표 [0] 2 2 2 2 2 2 7 2" xfId="0"/>
    <cellStyle name="쉼표 [0] 2 2 2 2 2 2 7 3" xfId="0"/>
    <cellStyle name="쉼표 [0] 2 2 2 2 2 2 7 4" xfId="0"/>
    <cellStyle name="쉼표 [0] 2 2 2 2 2 2 8" xfId="0"/>
    <cellStyle name="쉼표 [0] 2 2 2 2 2 2 8 2" xfId="0"/>
    <cellStyle name="쉼표 [0] 2 2 2 2 2 2 8 3" xfId="0"/>
    <cellStyle name="쉼표 [0] 2 2 2 2 2 2 8 4" xfId="0"/>
    <cellStyle name="쉼표 [0] 2 2 2 2 2 2 9" xfId="0"/>
    <cellStyle name="쉼표 [0] 2 2 2 2 2 2 9 2" xfId="0"/>
    <cellStyle name="쉼표 [0] 2 2 2 2 2 2 9 3" xfId="0"/>
    <cellStyle name="쉼표 [0] 2 2 2 2 2 2 9 4" xfId="0"/>
    <cellStyle name="쉼표 [0] 2 2 2 2 2 20" xfId="0"/>
    <cellStyle name="쉼표 [0] 2 2 2 2 2 20 2" xfId="0"/>
    <cellStyle name="쉼표 [0] 2 2 2 2 2 20 3" xfId="0"/>
    <cellStyle name="쉼표 [0] 2 2 2 2 2 20 4" xfId="0"/>
    <cellStyle name="쉼표 [0] 2 2 2 2 2 21" xfId="0"/>
    <cellStyle name="쉼표 [0] 2 2 2 2 2 21 2" xfId="0"/>
    <cellStyle name="쉼표 [0] 2 2 2 2 2 21 3" xfId="0"/>
    <cellStyle name="쉼표 [0] 2 2 2 2 2 21 4" xfId="0"/>
    <cellStyle name="쉼표 [0] 2 2 2 2 2 22" xfId="0"/>
    <cellStyle name="쉼표 [0] 2 2 2 2 2 22 2" xfId="0"/>
    <cellStyle name="쉼표 [0] 2 2 2 2 2 22 3" xfId="0"/>
    <cellStyle name="쉼표 [0] 2 2 2 2 2 22 4" xfId="0"/>
    <cellStyle name="쉼표 [0] 2 2 2 2 2 23" xfId="0"/>
    <cellStyle name="쉼표 [0] 2 2 2 2 2 23 2" xfId="0"/>
    <cellStyle name="쉼표 [0] 2 2 2 2 2 23 3" xfId="0"/>
    <cellStyle name="쉼표 [0] 2 2 2 2 2 23 4" xfId="0"/>
    <cellStyle name="쉼표 [0] 2 2 2 2 2 24" xfId="0"/>
    <cellStyle name="쉼표 [0] 2 2 2 2 2 24 2" xfId="0"/>
    <cellStyle name="쉼표 [0] 2 2 2 2 2 24 3" xfId="0"/>
    <cellStyle name="쉼표 [0] 2 2 2 2 2 24 4" xfId="0"/>
    <cellStyle name="쉼표 [0] 2 2 2 2 2 25" xfId="0"/>
    <cellStyle name="쉼표 [0] 2 2 2 2 2 25 2" xfId="0"/>
    <cellStyle name="쉼표 [0] 2 2 2 2 2 25 3" xfId="0"/>
    <cellStyle name="쉼표 [0] 2 2 2 2 2 25 4" xfId="0"/>
    <cellStyle name="쉼표 [0] 2 2 2 2 2 26" xfId="0"/>
    <cellStyle name="쉼표 [0] 2 2 2 2 2 26 2" xfId="0"/>
    <cellStyle name="쉼표 [0] 2 2 2 2 2 26 3" xfId="0"/>
    <cellStyle name="쉼표 [0] 2 2 2 2 2 26 4" xfId="0"/>
    <cellStyle name="쉼표 [0] 2 2 2 2 2 27" xfId="0"/>
    <cellStyle name="쉼표 [0] 2 2 2 2 2 27 2" xfId="0"/>
    <cellStyle name="쉼표 [0] 2 2 2 2 2 27 3" xfId="0"/>
    <cellStyle name="쉼표 [0] 2 2 2 2 2 27 4" xfId="0"/>
    <cellStyle name="쉼표 [0] 2 2 2 2 2 28" xfId="0"/>
    <cellStyle name="쉼표 [0] 2 2 2 2 2 28 2" xfId="0"/>
    <cellStyle name="쉼표 [0] 2 2 2 2 2 28 3" xfId="0"/>
    <cellStyle name="쉼표 [0] 2 2 2 2 2 28 4" xfId="0"/>
    <cellStyle name="쉼표 [0] 2 2 2 2 2 29" xfId="0"/>
    <cellStyle name="쉼표 [0] 2 2 2 2 2 3" xfId="0"/>
    <cellStyle name="쉼표 [0] 2 2 2 2 2 3 2" xfId="0"/>
    <cellStyle name="쉼표 [0] 2 2 2 2 2 3 2 2" xfId="0"/>
    <cellStyle name="쉼표 [0] 2 2 2 2 2 3 2 2 2" xfId="0"/>
    <cellStyle name="쉼표 [0] 2 2 2 2 2 3 2 2 3" xfId="0"/>
    <cellStyle name="쉼표 [0] 2 2 2 2 2 3 2 2 4" xfId="0"/>
    <cellStyle name="쉼표 [0] 2 2 2 2 2 3 2 3" xfId="0"/>
    <cellStyle name="쉼표 [0] 2 2 2 2 2 3 2 3 2" xfId="0"/>
    <cellStyle name="쉼표 [0] 2 2 2 2 2 3 2 3 3" xfId="0"/>
    <cellStyle name="쉼표 [0] 2 2 2 2 2 3 2 3 4" xfId="0"/>
    <cellStyle name="쉼표 [0] 2 2 2 2 2 3 2 4" xfId="0"/>
    <cellStyle name="쉼표 [0] 2 2 2 2 2 3 2 4 2" xfId="0"/>
    <cellStyle name="쉼표 [0] 2 2 2 2 2 3 2 4 3" xfId="0"/>
    <cellStyle name="쉼표 [0] 2 2 2 2 2 3 2 4 4" xfId="0"/>
    <cellStyle name="쉼표 [0] 2 2 2 2 2 3 2 5" xfId="0"/>
    <cellStyle name="쉼표 [0] 2 2 2 2 2 3 2 5 2" xfId="0"/>
    <cellStyle name="쉼표 [0] 2 2 2 2 2 3 2 5 3" xfId="0"/>
    <cellStyle name="쉼표 [0] 2 2 2 2 2 3 2 5 4" xfId="0"/>
    <cellStyle name="쉼표 [0] 2 2 2 2 2 3 2 6" xfId="0"/>
    <cellStyle name="쉼표 [0] 2 2 2 2 2 3 2 7" xfId="0"/>
    <cellStyle name="쉼표 [0] 2 2 2 2 2 3 2 8" xfId="0"/>
    <cellStyle name="쉼표 [0] 2 2 2 2 2 3 3" xfId="0"/>
    <cellStyle name="쉼표 [0] 2 2 2 2 2 3 3 2" xfId="0"/>
    <cellStyle name="쉼표 [0] 2 2 2 2 2 3 3 3" xfId="0"/>
    <cellStyle name="쉼표 [0] 2 2 2 2 2 3 3 4" xfId="0"/>
    <cellStyle name="쉼표 [0] 2 2 2 2 2 3 4" xfId="0"/>
    <cellStyle name="쉼표 [0] 2 2 2 2 2 3 4 2" xfId="0"/>
    <cellStyle name="쉼표 [0] 2 2 2 2 2 3 4 3" xfId="0"/>
    <cellStyle name="쉼표 [0] 2 2 2 2 2 3 4 4" xfId="0"/>
    <cellStyle name="쉼표 [0] 2 2 2 2 2 3 5" xfId="0"/>
    <cellStyle name="쉼표 [0] 2 2 2 2 2 3 5 2" xfId="0"/>
    <cellStyle name="쉼표 [0] 2 2 2 2 2 3 5 3" xfId="0"/>
    <cellStyle name="쉼표 [0] 2 2 2 2 2 3 5 4" xfId="0"/>
    <cellStyle name="쉼표 [0] 2 2 2 2 2 3 6" xfId="0"/>
    <cellStyle name="쉼표 [0] 2 2 2 2 2 3 7" xfId="0"/>
    <cellStyle name="쉼표 [0] 2 2 2 2 2 3 8" xfId="0"/>
    <cellStyle name="쉼표 [0] 2 2 2 2 2 30" xfId="0"/>
    <cellStyle name="쉼표 [0] 2 2 2 2 2 31" xfId="0"/>
    <cellStyle name="쉼표 [0] 2 2 2 2 2 4" xfId="0"/>
    <cellStyle name="쉼표 [0] 2 2 2 2 2 4 2" xfId="0"/>
    <cellStyle name="쉼표 [0] 2 2 2 2 2 4 2 2" xfId="0"/>
    <cellStyle name="쉼표 [0] 2 2 2 2 2 4 2 2 2" xfId="0"/>
    <cellStyle name="쉼표 [0] 2 2 2 2 2 4 2 2 3" xfId="0"/>
    <cellStyle name="쉼표 [0] 2 2 2 2 2 4 2 2 4" xfId="0"/>
    <cellStyle name="쉼표 [0] 2 2 2 2 2 4 2 3" xfId="0"/>
    <cellStyle name="쉼표 [0] 2 2 2 2 2 4 2 3 2" xfId="0"/>
    <cellStyle name="쉼표 [0] 2 2 2 2 2 4 2 3 3" xfId="0"/>
    <cellStyle name="쉼표 [0] 2 2 2 2 2 4 2 3 4" xfId="0"/>
    <cellStyle name="쉼표 [0] 2 2 2 2 2 4 2 4" xfId="0"/>
    <cellStyle name="쉼표 [0] 2 2 2 2 2 4 2 4 2" xfId="0"/>
    <cellStyle name="쉼표 [0] 2 2 2 2 2 4 2 4 3" xfId="0"/>
    <cellStyle name="쉼표 [0] 2 2 2 2 2 4 2 4 4" xfId="0"/>
    <cellStyle name="쉼표 [0] 2 2 2 2 2 4 2 5" xfId="0"/>
    <cellStyle name="쉼표 [0] 2 2 2 2 2 4 2 5 2" xfId="0"/>
    <cellStyle name="쉼표 [0] 2 2 2 2 2 4 2 5 3" xfId="0"/>
    <cellStyle name="쉼표 [0] 2 2 2 2 2 4 2 5 4" xfId="0"/>
    <cellStyle name="쉼표 [0] 2 2 2 2 2 4 2 6" xfId="0"/>
    <cellStyle name="쉼표 [0] 2 2 2 2 2 4 2 7" xfId="0"/>
    <cellStyle name="쉼표 [0] 2 2 2 2 2 4 2 8" xfId="0"/>
    <cellStyle name="쉼표 [0] 2 2 2 2 2 4 3" xfId="0"/>
    <cellStyle name="쉼표 [0] 2 2 2 2 2 4 3 2" xfId="0"/>
    <cellStyle name="쉼표 [0] 2 2 2 2 2 4 3 3" xfId="0"/>
    <cellStyle name="쉼표 [0] 2 2 2 2 2 4 3 4" xfId="0"/>
    <cellStyle name="쉼표 [0] 2 2 2 2 2 4 4" xfId="0"/>
    <cellStyle name="쉼표 [0] 2 2 2 2 2 4 4 2" xfId="0"/>
    <cellStyle name="쉼표 [0] 2 2 2 2 2 4 4 3" xfId="0"/>
    <cellStyle name="쉼표 [0] 2 2 2 2 2 4 4 4" xfId="0"/>
    <cellStyle name="쉼표 [0] 2 2 2 2 2 4 5" xfId="0"/>
    <cellStyle name="쉼표 [0] 2 2 2 2 2 4 5 2" xfId="0"/>
    <cellStyle name="쉼표 [0] 2 2 2 2 2 4 5 3" xfId="0"/>
    <cellStyle name="쉼표 [0] 2 2 2 2 2 4 5 4" xfId="0"/>
    <cellStyle name="쉼표 [0] 2 2 2 2 2 4 6" xfId="0"/>
    <cellStyle name="쉼표 [0] 2 2 2 2 2 4 7" xfId="0"/>
    <cellStyle name="쉼표 [0] 2 2 2 2 2 4 8" xfId="0"/>
    <cellStyle name="쉼표 [0] 2 2 2 2 2 5" xfId="0"/>
    <cellStyle name="쉼표 [0] 2 2 2 2 2 5 2" xfId="0"/>
    <cellStyle name="쉼표 [0] 2 2 2 2 2 5 2 2" xfId="0"/>
    <cellStyle name="쉼표 [0] 2 2 2 2 2 5 2 2 2" xfId="0"/>
    <cellStyle name="쉼표 [0] 2 2 2 2 2 5 2 2 3" xfId="0"/>
    <cellStyle name="쉼표 [0] 2 2 2 2 2 5 2 2 4" xfId="0"/>
    <cellStyle name="쉼표 [0] 2 2 2 2 2 5 2 3" xfId="0"/>
    <cellStyle name="쉼표 [0] 2 2 2 2 2 5 2 3 2" xfId="0"/>
    <cellStyle name="쉼표 [0] 2 2 2 2 2 5 2 3 3" xfId="0"/>
    <cellStyle name="쉼표 [0] 2 2 2 2 2 5 2 3 4" xfId="0"/>
    <cellStyle name="쉼표 [0] 2 2 2 2 2 5 2 4" xfId="0"/>
    <cellStyle name="쉼표 [0] 2 2 2 2 2 5 2 4 2" xfId="0"/>
    <cellStyle name="쉼표 [0] 2 2 2 2 2 5 2 4 3" xfId="0"/>
    <cellStyle name="쉼표 [0] 2 2 2 2 2 5 2 4 4" xfId="0"/>
    <cellStyle name="쉼표 [0] 2 2 2 2 2 5 2 5" xfId="0"/>
    <cellStyle name="쉼표 [0] 2 2 2 2 2 5 2 5 2" xfId="0"/>
    <cellStyle name="쉼표 [0] 2 2 2 2 2 5 2 5 3" xfId="0"/>
    <cellStyle name="쉼표 [0] 2 2 2 2 2 5 2 5 4" xfId="0"/>
    <cellStyle name="쉼표 [0] 2 2 2 2 2 5 2 6" xfId="0"/>
    <cellStyle name="쉼표 [0] 2 2 2 2 2 5 2 7" xfId="0"/>
    <cellStyle name="쉼표 [0] 2 2 2 2 2 5 2 8" xfId="0"/>
    <cellStyle name="쉼표 [0] 2 2 2 2 2 5 3" xfId="0"/>
    <cellStyle name="쉼표 [0] 2 2 2 2 2 5 3 2" xfId="0"/>
    <cellStyle name="쉼표 [0] 2 2 2 2 2 5 3 3" xfId="0"/>
    <cellStyle name="쉼표 [0] 2 2 2 2 2 5 3 4" xfId="0"/>
    <cellStyle name="쉼표 [0] 2 2 2 2 2 5 4" xfId="0"/>
    <cellStyle name="쉼표 [0] 2 2 2 2 2 5 4 2" xfId="0"/>
    <cellStyle name="쉼표 [0] 2 2 2 2 2 5 4 3" xfId="0"/>
    <cellStyle name="쉼표 [0] 2 2 2 2 2 5 4 4" xfId="0"/>
    <cellStyle name="쉼표 [0] 2 2 2 2 2 5 5" xfId="0"/>
    <cellStyle name="쉼표 [0] 2 2 2 2 2 5 5 2" xfId="0"/>
    <cellStyle name="쉼표 [0] 2 2 2 2 2 5 5 3" xfId="0"/>
    <cellStyle name="쉼표 [0] 2 2 2 2 2 5 5 4" xfId="0"/>
    <cellStyle name="쉼표 [0] 2 2 2 2 2 5 6" xfId="0"/>
    <cellStyle name="쉼표 [0] 2 2 2 2 2 5 7" xfId="0"/>
    <cellStyle name="쉼표 [0] 2 2 2 2 2 5 8" xfId="0"/>
    <cellStyle name="쉼표 [0] 2 2 2 2 2 6" xfId="0"/>
    <cellStyle name="쉼표 [0] 2 2 2 2 2 6 10" xfId="0"/>
    <cellStyle name="쉼표 [0] 2 2 2 2 2 6 10 2" xfId="0"/>
    <cellStyle name="쉼표 [0] 2 2 2 2 2 6 10 3" xfId="0"/>
    <cellStyle name="쉼표 [0] 2 2 2 2 2 6 10 4" xfId="0"/>
    <cellStyle name="쉼표 [0] 2 2 2 2 2 6 11" xfId="0"/>
    <cellStyle name="쉼표 [0] 2 2 2 2 2 6 11 2" xfId="0"/>
    <cellStyle name="쉼표 [0] 2 2 2 2 2 6 11 3" xfId="0"/>
    <cellStyle name="쉼표 [0] 2 2 2 2 2 6 11 4" xfId="0"/>
    <cellStyle name="쉼표 [0] 2 2 2 2 2 6 12" xfId="0"/>
    <cellStyle name="쉼표 [0] 2 2 2 2 2 6 12 2" xfId="0"/>
    <cellStyle name="쉼표 [0] 2 2 2 2 2 6 12 3" xfId="0"/>
    <cellStyle name="쉼표 [0] 2 2 2 2 2 6 12 4" xfId="0"/>
    <cellStyle name="쉼표 [0] 2 2 2 2 2 6 13" xfId="0"/>
    <cellStyle name="쉼표 [0] 2 2 2 2 2 6 13 2" xfId="0"/>
    <cellStyle name="쉼표 [0] 2 2 2 2 2 6 13 3" xfId="0"/>
    <cellStyle name="쉼표 [0] 2 2 2 2 2 6 13 4" xfId="0"/>
    <cellStyle name="쉼표 [0] 2 2 2 2 2 6 14" xfId="0"/>
    <cellStyle name="쉼표 [0] 2 2 2 2 2 6 15" xfId="0"/>
    <cellStyle name="쉼표 [0] 2 2 2 2 2 6 16" xfId="0"/>
    <cellStyle name="쉼표 [0] 2 2 2 2 2 6 2" xfId="0"/>
    <cellStyle name="쉼표 [0] 2 2 2 2 2 6 2 10" xfId="0"/>
    <cellStyle name="쉼표 [0] 2 2 2 2 2 6 2 10 2" xfId="0"/>
    <cellStyle name="쉼표 [0] 2 2 2 2 2 6 2 10 3" xfId="0"/>
    <cellStyle name="쉼표 [0] 2 2 2 2 2 6 2 10 4" xfId="0"/>
    <cellStyle name="쉼표 [0] 2 2 2 2 2 6 2 11" xfId="0"/>
    <cellStyle name="쉼표 [0] 2 2 2 2 2 6 2 12" xfId="0"/>
    <cellStyle name="쉼표 [0] 2 2 2 2 2 6 2 13" xfId="0"/>
    <cellStyle name="쉼표 [0] 2 2 2 2 2 6 2 2" xfId="0"/>
    <cellStyle name="쉼표 [0] 2 2 2 2 2 6 2 2 2" xfId="0"/>
    <cellStyle name="쉼표 [0] 2 2 2 2 2 6 2 2 2 2" xfId="0"/>
    <cellStyle name="쉼표 [0] 2 2 2 2 2 6 2 2 2 2 2" xfId="0"/>
    <cellStyle name="쉼표 [0] 2 2 2 2 2 6 2 2 2 2 3" xfId="0"/>
    <cellStyle name="쉼표 [0] 2 2 2 2 2 6 2 2 2 2 4" xfId="0"/>
    <cellStyle name="쉼표 [0] 2 2 2 2 2 6 2 2 2 3" xfId="0"/>
    <cellStyle name="쉼표 [0] 2 2 2 2 2 6 2 2 2 3 2" xfId="0"/>
    <cellStyle name="쉼표 [0] 2 2 2 2 2 6 2 2 2 3 3" xfId="0"/>
    <cellStyle name="쉼표 [0] 2 2 2 2 2 6 2 2 2 3 4" xfId="0"/>
    <cellStyle name="쉼표 [0] 2 2 2 2 2 6 2 2 2 4" xfId="0"/>
    <cellStyle name="쉼표 [0] 2 2 2 2 2 6 2 2 2 4 2" xfId="0"/>
    <cellStyle name="쉼표 [0] 2 2 2 2 2 6 2 2 2 4 3" xfId="0"/>
    <cellStyle name="쉼표 [0] 2 2 2 2 2 6 2 2 2 4 4" xfId="0"/>
    <cellStyle name="쉼표 [0] 2 2 2 2 2 6 2 2 2 5" xfId="0"/>
    <cellStyle name="쉼표 [0] 2 2 2 2 2 6 2 2 2 5 2" xfId="0"/>
    <cellStyle name="쉼표 [0] 2 2 2 2 2 6 2 2 2 5 3" xfId="0"/>
    <cellStyle name="쉼표 [0] 2 2 2 2 2 6 2 2 2 5 4" xfId="0"/>
    <cellStyle name="쉼표 [0] 2 2 2 2 2 6 2 2 2 6" xfId="0"/>
    <cellStyle name="쉼표 [0] 2 2 2 2 2 6 2 2 2 7" xfId="0"/>
    <cellStyle name="쉼표 [0] 2 2 2 2 2 6 2 2 2 8" xfId="0"/>
    <cellStyle name="쉼표 [0] 2 2 2 2 2 6 2 2 3" xfId="0"/>
    <cellStyle name="쉼표 [0] 2 2 2 2 2 6 2 2 3 2" xfId="0"/>
    <cellStyle name="쉼표 [0] 2 2 2 2 2 6 2 2 3 3" xfId="0"/>
    <cellStyle name="쉼표 [0] 2 2 2 2 2 6 2 2 3 4" xfId="0"/>
    <cellStyle name="쉼표 [0] 2 2 2 2 2 6 2 2 4" xfId="0"/>
    <cellStyle name="쉼표 [0] 2 2 2 2 2 6 2 2 4 2" xfId="0"/>
    <cellStyle name="쉼표 [0] 2 2 2 2 2 6 2 2 4 3" xfId="0"/>
    <cellStyle name="쉼표 [0] 2 2 2 2 2 6 2 2 4 4" xfId="0"/>
    <cellStyle name="쉼표 [0] 2 2 2 2 2 6 2 2 5" xfId="0"/>
    <cellStyle name="쉼표 [0] 2 2 2 2 2 6 2 2 5 2" xfId="0"/>
    <cellStyle name="쉼표 [0] 2 2 2 2 2 6 2 2 5 3" xfId="0"/>
    <cellStyle name="쉼표 [0] 2 2 2 2 2 6 2 2 5 4" xfId="0"/>
    <cellStyle name="쉼표 [0] 2 2 2 2 2 6 2 2 6" xfId="0"/>
    <cellStyle name="쉼표 [0] 2 2 2 2 2 6 2 2 7" xfId="0"/>
    <cellStyle name="쉼표 [0] 2 2 2 2 2 6 2 2 8" xfId="0"/>
    <cellStyle name="쉼표 [0] 2 2 2 2 2 6 2 3" xfId="0"/>
    <cellStyle name="쉼표 [0] 2 2 2 2 2 6 2 3 2" xfId="0"/>
    <cellStyle name="쉼표 [0] 2 2 2 2 2 6 2 3 3" xfId="0"/>
    <cellStyle name="쉼표 [0] 2 2 2 2 2 6 2 3 4" xfId="0"/>
    <cellStyle name="쉼표 [0] 2 2 2 2 2 6 2 4" xfId="0"/>
    <cellStyle name="쉼표 [0] 2 2 2 2 2 6 2 4 2" xfId="0"/>
    <cellStyle name="쉼표 [0] 2 2 2 2 2 6 2 4 3" xfId="0"/>
    <cellStyle name="쉼표 [0] 2 2 2 2 2 6 2 4 4" xfId="0"/>
    <cellStyle name="쉼표 [0] 2 2 2 2 2 6 2 5" xfId="0"/>
    <cellStyle name="쉼표 [0] 2 2 2 2 2 6 2 5 2" xfId="0"/>
    <cellStyle name="쉼표 [0] 2 2 2 2 2 6 2 5 3" xfId="0"/>
    <cellStyle name="쉼표 [0] 2 2 2 2 2 6 2 5 4" xfId="0"/>
    <cellStyle name="쉼표 [0] 2 2 2 2 2 6 2 6" xfId="0"/>
    <cellStyle name="쉼표 [0] 2 2 2 2 2 6 2 6 2" xfId="0"/>
    <cellStyle name="쉼표 [0] 2 2 2 2 2 6 2 6 3" xfId="0"/>
    <cellStyle name="쉼표 [0] 2 2 2 2 2 6 2 6 4" xfId="0"/>
    <cellStyle name="쉼표 [0] 2 2 2 2 2 6 2 7" xfId="0"/>
    <cellStyle name="쉼표 [0] 2 2 2 2 2 6 2 7 2" xfId="0"/>
    <cellStyle name="쉼표 [0] 2 2 2 2 2 6 2 7 3" xfId="0"/>
    <cellStyle name="쉼표 [0] 2 2 2 2 2 6 2 7 4" xfId="0"/>
    <cellStyle name="쉼표 [0] 2 2 2 2 2 6 2 8" xfId="0"/>
    <cellStyle name="쉼표 [0] 2 2 2 2 2 6 2 8 2" xfId="0"/>
    <cellStyle name="쉼표 [0] 2 2 2 2 2 6 2 8 3" xfId="0"/>
    <cellStyle name="쉼표 [0] 2 2 2 2 2 6 2 8 4" xfId="0"/>
    <cellStyle name="쉼표 [0] 2 2 2 2 2 6 2 9" xfId="0"/>
    <cellStyle name="쉼표 [0] 2 2 2 2 2 6 2 9 2" xfId="0"/>
    <cellStyle name="쉼표 [0] 2 2 2 2 2 6 2 9 3" xfId="0"/>
    <cellStyle name="쉼표 [0] 2 2 2 2 2 6 2 9 4" xfId="0"/>
    <cellStyle name="쉼표 [0] 2 2 2 2 2 6 3" xfId="0"/>
    <cellStyle name="쉼표 [0] 2 2 2 2 2 6 3 2" xfId="0"/>
    <cellStyle name="쉼표 [0] 2 2 2 2 2 6 3 3" xfId="0"/>
    <cellStyle name="쉼표 [0] 2 2 2 2 2 6 3 4" xfId="0"/>
    <cellStyle name="쉼표 [0] 2 2 2 2 2 6 4" xfId="0"/>
    <cellStyle name="쉼표 [0] 2 2 2 2 2 6 4 2" xfId="0"/>
    <cellStyle name="쉼표 [0] 2 2 2 2 2 6 4 3" xfId="0"/>
    <cellStyle name="쉼표 [0] 2 2 2 2 2 6 4 4" xfId="0"/>
    <cellStyle name="쉼표 [0] 2 2 2 2 2 6 5" xfId="0"/>
    <cellStyle name="쉼표 [0] 2 2 2 2 2 6 5 2" xfId="0"/>
    <cellStyle name="쉼표 [0] 2 2 2 2 2 6 5 3" xfId="0"/>
    <cellStyle name="쉼표 [0] 2 2 2 2 2 6 5 4" xfId="0"/>
    <cellStyle name="쉼표 [0] 2 2 2 2 2 6 6" xfId="0"/>
    <cellStyle name="쉼표 [0] 2 2 2 2 2 6 6 2" xfId="0"/>
    <cellStyle name="쉼표 [0] 2 2 2 2 2 6 6 3" xfId="0"/>
    <cellStyle name="쉼표 [0] 2 2 2 2 2 6 6 4" xfId="0"/>
    <cellStyle name="쉼표 [0] 2 2 2 2 2 6 7" xfId="0"/>
    <cellStyle name="쉼표 [0] 2 2 2 2 2 6 7 2" xfId="0"/>
    <cellStyle name="쉼표 [0] 2 2 2 2 2 6 7 3" xfId="0"/>
    <cellStyle name="쉼표 [0] 2 2 2 2 2 6 7 4" xfId="0"/>
    <cellStyle name="쉼표 [0] 2 2 2 2 2 6 8" xfId="0"/>
    <cellStyle name="쉼표 [0] 2 2 2 2 2 6 8 2" xfId="0"/>
    <cellStyle name="쉼표 [0] 2 2 2 2 2 6 8 3" xfId="0"/>
    <cellStyle name="쉼표 [0] 2 2 2 2 2 6 8 4" xfId="0"/>
    <cellStyle name="쉼표 [0] 2 2 2 2 2 6 9" xfId="0"/>
    <cellStyle name="쉼표 [0] 2 2 2 2 2 6 9 2" xfId="0"/>
    <cellStyle name="쉼표 [0] 2 2 2 2 2 6 9 3" xfId="0"/>
    <cellStyle name="쉼표 [0] 2 2 2 2 2 6 9 4" xfId="0"/>
    <cellStyle name="쉼표 [0] 2 2 2 2 2 7" xfId="0"/>
    <cellStyle name="쉼표 [0] 2 2 2 2 2 7 2" xfId="0"/>
    <cellStyle name="쉼표 [0] 2 2 2 2 2 7 2 2" xfId="0"/>
    <cellStyle name="쉼표 [0] 2 2 2 2 2 7 2 2 2" xfId="0"/>
    <cellStyle name="쉼표 [0] 2 2 2 2 2 7 2 2 3" xfId="0"/>
    <cellStyle name="쉼표 [0] 2 2 2 2 2 7 2 2 4" xfId="0"/>
    <cellStyle name="쉼표 [0] 2 2 2 2 2 7 2 3" xfId="0"/>
    <cellStyle name="쉼표 [0] 2 2 2 2 2 7 2 3 2" xfId="0"/>
    <cellStyle name="쉼표 [0] 2 2 2 2 2 7 2 3 3" xfId="0"/>
    <cellStyle name="쉼표 [0] 2 2 2 2 2 7 2 3 4" xfId="0"/>
    <cellStyle name="쉼표 [0] 2 2 2 2 2 7 2 4" xfId="0"/>
    <cellStyle name="쉼표 [0] 2 2 2 2 2 7 2 4 2" xfId="0"/>
    <cellStyle name="쉼표 [0] 2 2 2 2 2 7 2 4 3" xfId="0"/>
    <cellStyle name="쉼표 [0] 2 2 2 2 2 7 2 4 4" xfId="0"/>
    <cellStyle name="쉼표 [0] 2 2 2 2 2 7 2 5" xfId="0"/>
    <cellStyle name="쉼표 [0] 2 2 2 2 2 7 2 5 2" xfId="0"/>
    <cellStyle name="쉼표 [0] 2 2 2 2 2 7 2 5 3" xfId="0"/>
    <cellStyle name="쉼표 [0] 2 2 2 2 2 7 2 5 4" xfId="0"/>
    <cellStyle name="쉼표 [0] 2 2 2 2 2 7 2 6" xfId="0"/>
    <cellStyle name="쉼표 [0] 2 2 2 2 2 7 2 7" xfId="0"/>
    <cellStyle name="쉼표 [0] 2 2 2 2 2 7 2 8" xfId="0"/>
    <cellStyle name="쉼표 [0] 2 2 2 2 2 7 3" xfId="0"/>
    <cellStyle name="쉼표 [0] 2 2 2 2 2 7 3 2" xfId="0"/>
    <cellStyle name="쉼표 [0] 2 2 2 2 2 7 3 3" xfId="0"/>
    <cellStyle name="쉼표 [0] 2 2 2 2 2 7 3 4" xfId="0"/>
    <cellStyle name="쉼표 [0] 2 2 2 2 2 7 4" xfId="0"/>
    <cellStyle name="쉼표 [0] 2 2 2 2 2 7 4 2" xfId="0"/>
    <cellStyle name="쉼표 [0] 2 2 2 2 2 7 4 3" xfId="0"/>
    <cellStyle name="쉼표 [0] 2 2 2 2 2 7 4 4" xfId="0"/>
    <cellStyle name="쉼표 [0] 2 2 2 2 2 7 5" xfId="0"/>
    <cellStyle name="쉼표 [0] 2 2 2 2 2 7 5 2" xfId="0"/>
    <cellStyle name="쉼표 [0] 2 2 2 2 2 7 5 3" xfId="0"/>
    <cellStyle name="쉼표 [0] 2 2 2 2 2 7 5 4" xfId="0"/>
    <cellStyle name="쉼표 [0] 2 2 2 2 2 7 6" xfId="0"/>
    <cellStyle name="쉼표 [0] 2 2 2 2 2 7 7" xfId="0"/>
    <cellStyle name="쉼표 [0] 2 2 2 2 2 7 8" xfId="0"/>
    <cellStyle name="쉼표 [0] 2 2 2 2 2 8" xfId="0"/>
    <cellStyle name="쉼표 [0] 2 2 2 2 2 8 2" xfId="0"/>
    <cellStyle name="쉼표 [0] 2 2 2 2 2 8 2 2" xfId="0"/>
    <cellStyle name="쉼표 [0] 2 2 2 2 2 8 2 2 2" xfId="0"/>
    <cellStyle name="쉼표 [0] 2 2 2 2 2 8 2 2 3" xfId="0"/>
    <cellStyle name="쉼표 [0] 2 2 2 2 2 8 2 2 4" xfId="0"/>
    <cellStyle name="쉼표 [0] 2 2 2 2 2 8 2 3" xfId="0"/>
    <cellStyle name="쉼표 [0] 2 2 2 2 2 8 2 3 2" xfId="0"/>
    <cellStyle name="쉼표 [0] 2 2 2 2 2 8 2 3 3" xfId="0"/>
    <cellStyle name="쉼표 [0] 2 2 2 2 2 8 2 3 4" xfId="0"/>
    <cellStyle name="쉼표 [0] 2 2 2 2 2 8 2 4" xfId="0"/>
    <cellStyle name="쉼표 [0] 2 2 2 2 2 8 2 4 2" xfId="0"/>
    <cellStyle name="쉼표 [0] 2 2 2 2 2 8 2 4 3" xfId="0"/>
    <cellStyle name="쉼표 [0] 2 2 2 2 2 8 2 4 4" xfId="0"/>
    <cellStyle name="쉼표 [0] 2 2 2 2 2 8 2 5" xfId="0"/>
    <cellStyle name="쉼표 [0] 2 2 2 2 2 8 2 5 2" xfId="0"/>
    <cellStyle name="쉼표 [0] 2 2 2 2 2 8 2 5 3" xfId="0"/>
    <cellStyle name="쉼표 [0] 2 2 2 2 2 8 2 5 4" xfId="0"/>
    <cellStyle name="쉼표 [0] 2 2 2 2 2 8 2 6" xfId="0"/>
    <cellStyle name="쉼표 [0] 2 2 2 2 2 8 2 7" xfId="0"/>
    <cellStyle name="쉼표 [0] 2 2 2 2 2 8 2 8" xfId="0"/>
    <cellStyle name="쉼표 [0] 2 2 2 2 2 8 3" xfId="0"/>
    <cellStyle name="쉼표 [0] 2 2 2 2 2 8 3 2" xfId="0"/>
    <cellStyle name="쉼표 [0] 2 2 2 2 2 8 3 3" xfId="0"/>
    <cellStyle name="쉼표 [0] 2 2 2 2 2 8 3 4" xfId="0"/>
    <cellStyle name="쉼표 [0] 2 2 2 2 2 8 4" xfId="0"/>
    <cellStyle name="쉼표 [0] 2 2 2 2 2 8 4 2" xfId="0"/>
    <cellStyle name="쉼표 [0] 2 2 2 2 2 8 4 3" xfId="0"/>
    <cellStyle name="쉼표 [0] 2 2 2 2 2 8 4 4" xfId="0"/>
    <cellStyle name="쉼표 [0] 2 2 2 2 2 8 5" xfId="0"/>
    <cellStyle name="쉼표 [0] 2 2 2 2 2 8 5 2" xfId="0"/>
    <cellStyle name="쉼표 [0] 2 2 2 2 2 8 5 3" xfId="0"/>
    <cellStyle name="쉼표 [0] 2 2 2 2 2 8 5 4" xfId="0"/>
    <cellStyle name="쉼표 [0] 2 2 2 2 2 8 6" xfId="0"/>
    <cellStyle name="쉼표 [0] 2 2 2 2 2 8 7" xfId="0"/>
    <cellStyle name="쉼표 [0] 2 2 2 2 2 8 8" xfId="0"/>
    <cellStyle name="쉼표 [0] 2 2 2 2 2 9" xfId="0"/>
    <cellStyle name="쉼표 [0] 2 2 2 2 2 9 2" xfId="0"/>
    <cellStyle name="쉼표 [0] 2 2 2 2 2 9 2 2" xfId="0"/>
    <cellStyle name="쉼표 [0] 2 2 2 2 2 9 2 2 2" xfId="0"/>
    <cellStyle name="쉼표 [0] 2 2 2 2 2 9 2 2 3" xfId="0"/>
    <cellStyle name="쉼표 [0] 2 2 2 2 2 9 2 2 4" xfId="0"/>
    <cellStyle name="쉼표 [0] 2 2 2 2 2 9 2 3" xfId="0"/>
    <cellStyle name="쉼표 [0] 2 2 2 2 2 9 2 3 2" xfId="0"/>
    <cellStyle name="쉼표 [0] 2 2 2 2 2 9 2 3 3" xfId="0"/>
    <cellStyle name="쉼표 [0] 2 2 2 2 2 9 2 3 4" xfId="0"/>
    <cellStyle name="쉼표 [0] 2 2 2 2 2 9 2 4" xfId="0"/>
    <cellStyle name="쉼표 [0] 2 2 2 2 2 9 2 4 2" xfId="0"/>
    <cellStyle name="쉼표 [0] 2 2 2 2 2 9 2 4 3" xfId="0"/>
    <cellStyle name="쉼표 [0] 2 2 2 2 2 9 2 4 4" xfId="0"/>
    <cellStyle name="쉼표 [0] 2 2 2 2 2 9 2 5" xfId="0"/>
    <cellStyle name="쉼표 [0] 2 2 2 2 2 9 2 5 2" xfId="0"/>
    <cellStyle name="쉼표 [0] 2 2 2 2 2 9 2 5 3" xfId="0"/>
    <cellStyle name="쉼표 [0] 2 2 2 2 2 9 2 5 4" xfId="0"/>
    <cellStyle name="쉼표 [0] 2 2 2 2 2 9 2 6" xfId="0"/>
    <cellStyle name="쉼표 [0] 2 2 2 2 2 9 2 7" xfId="0"/>
    <cellStyle name="쉼표 [0] 2 2 2 2 2 9 2 8" xfId="0"/>
    <cellStyle name="쉼표 [0] 2 2 2 2 2 9 3" xfId="0"/>
    <cellStyle name="쉼표 [0] 2 2 2 2 2 9 3 2" xfId="0"/>
    <cellStyle name="쉼표 [0] 2 2 2 2 2 9 3 3" xfId="0"/>
    <cellStyle name="쉼표 [0] 2 2 2 2 2 9 3 4" xfId="0"/>
    <cellStyle name="쉼표 [0] 2 2 2 2 2 9 4" xfId="0"/>
    <cellStyle name="쉼표 [0] 2 2 2 2 2 9 4 2" xfId="0"/>
    <cellStyle name="쉼표 [0] 2 2 2 2 2 9 4 3" xfId="0"/>
    <cellStyle name="쉼표 [0] 2 2 2 2 2 9 4 4" xfId="0"/>
    <cellStyle name="쉼표 [0] 2 2 2 2 2 9 5" xfId="0"/>
    <cellStyle name="쉼표 [0] 2 2 2 2 2 9 5 2" xfId="0"/>
    <cellStyle name="쉼표 [0] 2 2 2 2 2 9 5 3" xfId="0"/>
    <cellStyle name="쉼표 [0] 2 2 2 2 2 9 5 4" xfId="0"/>
    <cellStyle name="쉼표 [0] 2 2 2 2 2 9 6" xfId="0"/>
    <cellStyle name="쉼표 [0] 2 2 2 2 2 9 7" xfId="0"/>
    <cellStyle name="쉼표 [0] 2 2 2 2 2 9 8" xfId="0"/>
    <cellStyle name="쉼표 [0] 2 2 2 2 20" xfId="0"/>
    <cellStyle name="쉼표 [0] 2 2 2 2 20 2" xfId="0"/>
    <cellStyle name="쉼표 [0] 2 2 2 2 20 3" xfId="0"/>
    <cellStyle name="쉼표 [0] 2 2 2 2 20 4" xfId="0"/>
    <cellStyle name="쉼표 [0] 2 2 2 2 21" xfId="0"/>
    <cellStyle name="쉼표 [0] 2 2 2 2 21 2" xfId="0"/>
    <cellStyle name="쉼표 [0] 2 2 2 2 21 3" xfId="0"/>
    <cellStyle name="쉼표 [0] 2 2 2 2 21 4" xfId="0"/>
    <cellStyle name="쉼표 [0] 2 2 2 2 22" xfId="0"/>
    <cellStyle name="쉼표 [0] 2 2 2 2 22 2" xfId="0"/>
    <cellStyle name="쉼표 [0] 2 2 2 2 22 3" xfId="0"/>
    <cellStyle name="쉼표 [0] 2 2 2 2 22 4" xfId="0"/>
    <cellStyle name="쉼표 [0] 2 2 2 2 23" xfId="0"/>
    <cellStyle name="쉼표 [0] 2 2 2 2 23 2" xfId="0"/>
    <cellStyle name="쉼표 [0] 2 2 2 2 23 3" xfId="0"/>
    <cellStyle name="쉼표 [0] 2 2 2 2 23 4" xfId="0"/>
    <cellStyle name="쉼표 [0] 2 2 2 2 24" xfId="0"/>
    <cellStyle name="쉼표 [0] 2 2 2 2 24 2" xfId="0"/>
    <cellStyle name="쉼표 [0] 2 2 2 2 24 3" xfId="0"/>
    <cellStyle name="쉼표 [0] 2 2 2 2 24 4" xfId="0"/>
    <cellStyle name="쉼표 [0] 2 2 2 2 25" xfId="0"/>
    <cellStyle name="쉼표 [0] 2 2 2 2 25 2" xfId="0"/>
    <cellStyle name="쉼표 [0] 2 2 2 2 25 3" xfId="0"/>
    <cellStyle name="쉼표 [0] 2 2 2 2 25 4" xfId="0"/>
    <cellStyle name="쉼표 [0] 2 2 2 2 26" xfId="0"/>
    <cellStyle name="쉼표 [0] 2 2 2 2 27" xfId="0"/>
    <cellStyle name="쉼표 [0] 2 2 2 2 28" xfId="0"/>
    <cellStyle name="쉼표 [0] 2 2 2 2 3" xfId="0"/>
    <cellStyle name="쉼표 [0] 2 2 2 2 3 10" xfId="0"/>
    <cellStyle name="쉼표 [0] 2 2 2 2 3 10 2" xfId="0"/>
    <cellStyle name="쉼표 [0] 2 2 2 2 3 10 3" xfId="0"/>
    <cellStyle name="쉼표 [0] 2 2 2 2 3 10 4" xfId="0"/>
    <cellStyle name="쉼표 [0] 2 2 2 2 3 11" xfId="0"/>
    <cellStyle name="쉼표 [0] 2 2 2 2 3 11 2" xfId="0"/>
    <cellStyle name="쉼표 [0] 2 2 2 2 3 11 3" xfId="0"/>
    <cellStyle name="쉼표 [0] 2 2 2 2 3 11 4" xfId="0"/>
    <cellStyle name="쉼표 [0] 2 2 2 2 3 12" xfId="0"/>
    <cellStyle name="쉼표 [0] 2 2 2 2 3 12 2" xfId="0"/>
    <cellStyle name="쉼표 [0] 2 2 2 2 3 12 3" xfId="0"/>
    <cellStyle name="쉼표 [0] 2 2 2 2 3 12 4" xfId="0"/>
    <cellStyle name="쉼표 [0] 2 2 2 2 3 13" xfId="0"/>
    <cellStyle name="쉼표 [0] 2 2 2 2 3 13 2" xfId="0"/>
    <cellStyle name="쉼표 [0] 2 2 2 2 3 13 3" xfId="0"/>
    <cellStyle name="쉼표 [0] 2 2 2 2 3 13 4" xfId="0"/>
    <cellStyle name="쉼표 [0] 2 2 2 2 3 14" xfId="0"/>
    <cellStyle name="쉼표 [0] 2 2 2 2 3 14 2" xfId="0"/>
    <cellStyle name="쉼표 [0] 2 2 2 2 3 14 3" xfId="0"/>
    <cellStyle name="쉼표 [0] 2 2 2 2 3 14 4" xfId="0"/>
    <cellStyle name="쉼표 [0] 2 2 2 2 3 15" xfId="0"/>
    <cellStyle name="쉼표 [0] 2 2 2 2 3 15 2" xfId="0"/>
    <cellStyle name="쉼표 [0] 2 2 2 2 3 15 3" xfId="0"/>
    <cellStyle name="쉼표 [0] 2 2 2 2 3 15 4" xfId="0"/>
    <cellStyle name="쉼표 [0] 2 2 2 2 3 16" xfId="0"/>
    <cellStyle name="쉼표 [0] 2 2 2 2 3 16 2" xfId="0"/>
    <cellStyle name="쉼표 [0] 2 2 2 2 3 16 3" xfId="0"/>
    <cellStyle name="쉼표 [0] 2 2 2 2 3 16 4" xfId="0"/>
    <cellStyle name="쉼표 [0] 2 2 2 2 3 17" xfId="0"/>
    <cellStyle name="쉼표 [0] 2 2 2 2 3 17 2" xfId="0"/>
    <cellStyle name="쉼표 [0] 2 2 2 2 3 17 3" xfId="0"/>
    <cellStyle name="쉼표 [0] 2 2 2 2 3 17 4" xfId="0"/>
    <cellStyle name="쉼표 [0] 2 2 2 2 3 18" xfId="0"/>
    <cellStyle name="쉼표 [0] 2 2 2 2 3 18 2" xfId="0"/>
    <cellStyle name="쉼표 [0] 2 2 2 2 3 18 3" xfId="0"/>
    <cellStyle name="쉼표 [0] 2 2 2 2 3 18 4" xfId="0"/>
    <cellStyle name="쉼표 [0] 2 2 2 2 3 19" xfId="0"/>
    <cellStyle name="쉼표 [0] 2 2 2 2 3 19 2" xfId="0"/>
    <cellStyle name="쉼표 [0] 2 2 2 2 3 19 3" xfId="0"/>
    <cellStyle name="쉼표 [0] 2 2 2 2 3 19 4" xfId="0"/>
    <cellStyle name="쉼표 [0] 2 2 2 2 3 2" xfId="0"/>
    <cellStyle name="쉼표 [0] 2 2 2 2 3 2 2" xfId="0"/>
    <cellStyle name="쉼표 [0] 2 2 2 2 3 2 3" xfId="0"/>
    <cellStyle name="쉼표 [0] 2 2 2 2 3 2 4" xfId="0"/>
    <cellStyle name="쉼표 [0] 2 2 2 2 3 20" xfId="0"/>
    <cellStyle name="쉼표 [0] 2 2 2 2 3 20 2" xfId="0"/>
    <cellStyle name="쉼표 [0] 2 2 2 2 3 20 3" xfId="0"/>
    <cellStyle name="쉼표 [0] 2 2 2 2 3 20 4" xfId="0"/>
    <cellStyle name="쉼표 [0] 2 2 2 2 3 21" xfId="0"/>
    <cellStyle name="쉼표 [0] 2 2 2 2 3 21 2" xfId="0"/>
    <cellStyle name="쉼표 [0] 2 2 2 2 3 21 3" xfId="0"/>
    <cellStyle name="쉼표 [0] 2 2 2 2 3 21 4" xfId="0"/>
    <cellStyle name="쉼표 [0] 2 2 2 2 3 22" xfId="0"/>
    <cellStyle name="쉼표 [0] 2 2 2 2 3 23" xfId="0"/>
    <cellStyle name="쉼표 [0] 2 2 2 2 3 24" xfId="0"/>
    <cellStyle name="쉼표 [0] 2 2 2 2 3 3" xfId="0"/>
    <cellStyle name="쉼표 [0] 2 2 2 2 3 3 2" xfId="0"/>
    <cellStyle name="쉼표 [0] 2 2 2 2 3 3 3" xfId="0"/>
    <cellStyle name="쉼표 [0] 2 2 2 2 3 3 4" xfId="0"/>
    <cellStyle name="쉼표 [0] 2 2 2 2 3 4" xfId="0"/>
    <cellStyle name="쉼표 [0] 2 2 2 2 3 4 2" xfId="0"/>
    <cellStyle name="쉼표 [0] 2 2 2 2 3 4 3" xfId="0"/>
    <cellStyle name="쉼표 [0] 2 2 2 2 3 4 4" xfId="0"/>
    <cellStyle name="쉼표 [0] 2 2 2 2 3 5" xfId="0"/>
    <cellStyle name="쉼표 [0] 2 2 2 2 3 5 2" xfId="0"/>
    <cellStyle name="쉼표 [0] 2 2 2 2 3 5 3" xfId="0"/>
    <cellStyle name="쉼표 [0] 2 2 2 2 3 5 4" xfId="0"/>
    <cellStyle name="쉼표 [0] 2 2 2 2 3 6" xfId="0"/>
    <cellStyle name="쉼표 [0] 2 2 2 2 3 6 2" xfId="0"/>
    <cellStyle name="쉼표 [0] 2 2 2 2 3 6 3" xfId="0"/>
    <cellStyle name="쉼표 [0] 2 2 2 2 3 6 4" xfId="0"/>
    <cellStyle name="쉼표 [0] 2 2 2 2 3 7" xfId="0"/>
    <cellStyle name="쉼표 [0] 2 2 2 2 3 7 2" xfId="0"/>
    <cellStyle name="쉼표 [0] 2 2 2 2 3 7 3" xfId="0"/>
    <cellStyle name="쉼표 [0] 2 2 2 2 3 7 4" xfId="0"/>
    <cellStyle name="쉼표 [0] 2 2 2 2 3 8" xfId="0"/>
    <cellStyle name="쉼표 [0] 2 2 2 2 3 8 2" xfId="0"/>
    <cellStyle name="쉼표 [0] 2 2 2 2 3 8 3" xfId="0"/>
    <cellStyle name="쉼표 [0] 2 2 2 2 3 8 4" xfId="0"/>
    <cellStyle name="쉼표 [0] 2 2 2 2 3 9" xfId="0"/>
    <cellStyle name="쉼표 [0] 2 2 2 2 3 9 2" xfId="0"/>
    <cellStyle name="쉼표 [0] 2 2 2 2 3 9 3" xfId="0"/>
    <cellStyle name="쉼표 [0] 2 2 2 2 3 9 4" xfId="0"/>
    <cellStyle name="쉼표 [0] 2 2 2 2 4" xfId="0"/>
    <cellStyle name="쉼표 [0] 2 2 2 2 4 10" xfId="0"/>
    <cellStyle name="쉼표 [0] 2 2 2 2 4 10 2" xfId="0"/>
    <cellStyle name="쉼표 [0] 2 2 2 2 4 10 3" xfId="0"/>
    <cellStyle name="쉼표 [0] 2 2 2 2 4 10 4" xfId="0"/>
    <cellStyle name="쉼표 [0] 2 2 2 2 4 11" xfId="0"/>
    <cellStyle name="쉼표 [0] 2 2 2 2 4 11 2" xfId="0"/>
    <cellStyle name="쉼표 [0] 2 2 2 2 4 11 3" xfId="0"/>
    <cellStyle name="쉼표 [0] 2 2 2 2 4 11 4" xfId="0"/>
    <cellStyle name="쉼표 [0] 2 2 2 2 4 12" xfId="0"/>
    <cellStyle name="쉼표 [0] 2 2 2 2 4 12 2" xfId="0"/>
    <cellStyle name="쉼표 [0] 2 2 2 2 4 12 3" xfId="0"/>
    <cellStyle name="쉼표 [0] 2 2 2 2 4 12 4" xfId="0"/>
    <cellStyle name="쉼표 [0] 2 2 2 2 4 13" xfId="0"/>
    <cellStyle name="쉼표 [0] 2 2 2 2 4 13 2" xfId="0"/>
    <cellStyle name="쉼표 [0] 2 2 2 2 4 13 3" xfId="0"/>
    <cellStyle name="쉼표 [0] 2 2 2 2 4 13 4" xfId="0"/>
    <cellStyle name="쉼표 [0] 2 2 2 2 4 14" xfId="0"/>
    <cellStyle name="쉼표 [0] 2 2 2 2 4 14 2" xfId="0"/>
    <cellStyle name="쉼표 [0] 2 2 2 2 4 14 3" xfId="0"/>
    <cellStyle name="쉼표 [0] 2 2 2 2 4 14 4" xfId="0"/>
    <cellStyle name="쉼표 [0] 2 2 2 2 4 15" xfId="0"/>
    <cellStyle name="쉼표 [0] 2 2 2 2 4 15 2" xfId="0"/>
    <cellStyle name="쉼표 [0] 2 2 2 2 4 15 3" xfId="0"/>
    <cellStyle name="쉼표 [0] 2 2 2 2 4 15 4" xfId="0"/>
    <cellStyle name="쉼표 [0] 2 2 2 2 4 16" xfId="0"/>
    <cellStyle name="쉼표 [0] 2 2 2 2 4 16 2" xfId="0"/>
    <cellStyle name="쉼표 [0] 2 2 2 2 4 16 3" xfId="0"/>
    <cellStyle name="쉼표 [0] 2 2 2 2 4 16 4" xfId="0"/>
    <cellStyle name="쉼표 [0] 2 2 2 2 4 17" xfId="0"/>
    <cellStyle name="쉼표 [0] 2 2 2 2 4 17 2" xfId="0"/>
    <cellStyle name="쉼표 [0] 2 2 2 2 4 17 3" xfId="0"/>
    <cellStyle name="쉼표 [0] 2 2 2 2 4 17 4" xfId="0"/>
    <cellStyle name="쉼표 [0] 2 2 2 2 4 18" xfId="0"/>
    <cellStyle name="쉼표 [0] 2 2 2 2 4 18 2" xfId="0"/>
    <cellStyle name="쉼표 [0] 2 2 2 2 4 18 3" xfId="0"/>
    <cellStyle name="쉼표 [0] 2 2 2 2 4 18 4" xfId="0"/>
    <cellStyle name="쉼표 [0] 2 2 2 2 4 19" xfId="0"/>
    <cellStyle name="쉼표 [0] 2 2 2 2 4 19 2" xfId="0"/>
    <cellStyle name="쉼표 [0] 2 2 2 2 4 19 3" xfId="0"/>
    <cellStyle name="쉼표 [0] 2 2 2 2 4 19 4" xfId="0"/>
    <cellStyle name="쉼표 [0] 2 2 2 2 4 2" xfId="0"/>
    <cellStyle name="쉼표 [0] 2 2 2 2 4 2 2" xfId="0"/>
    <cellStyle name="쉼표 [0] 2 2 2 2 4 2 3" xfId="0"/>
    <cellStyle name="쉼표 [0] 2 2 2 2 4 2 4" xfId="0"/>
    <cellStyle name="쉼표 [0] 2 2 2 2 4 20" xfId="0"/>
    <cellStyle name="쉼표 [0] 2 2 2 2 4 20 2" xfId="0"/>
    <cellStyle name="쉼표 [0] 2 2 2 2 4 20 3" xfId="0"/>
    <cellStyle name="쉼표 [0] 2 2 2 2 4 20 4" xfId="0"/>
    <cellStyle name="쉼표 [0] 2 2 2 2 4 21" xfId="0"/>
    <cellStyle name="쉼표 [0] 2 2 2 2 4 21 2" xfId="0"/>
    <cellStyle name="쉼표 [0] 2 2 2 2 4 21 3" xfId="0"/>
    <cellStyle name="쉼표 [0] 2 2 2 2 4 21 4" xfId="0"/>
    <cellStyle name="쉼표 [0] 2 2 2 2 4 22" xfId="0"/>
    <cellStyle name="쉼표 [0] 2 2 2 2 4 23" xfId="0"/>
    <cellStyle name="쉼표 [0] 2 2 2 2 4 24" xfId="0"/>
    <cellStyle name="쉼표 [0] 2 2 2 2 4 3" xfId="0"/>
    <cellStyle name="쉼표 [0] 2 2 2 2 4 3 2" xfId="0"/>
    <cellStyle name="쉼표 [0] 2 2 2 2 4 3 3" xfId="0"/>
    <cellStyle name="쉼표 [0] 2 2 2 2 4 3 4" xfId="0"/>
    <cellStyle name="쉼표 [0] 2 2 2 2 4 4" xfId="0"/>
    <cellStyle name="쉼표 [0] 2 2 2 2 4 4 2" xfId="0"/>
    <cellStyle name="쉼표 [0] 2 2 2 2 4 4 3" xfId="0"/>
    <cellStyle name="쉼표 [0] 2 2 2 2 4 4 4" xfId="0"/>
    <cellStyle name="쉼표 [0] 2 2 2 2 4 5" xfId="0"/>
    <cellStyle name="쉼표 [0] 2 2 2 2 4 5 2" xfId="0"/>
    <cellStyle name="쉼표 [0] 2 2 2 2 4 5 3" xfId="0"/>
    <cellStyle name="쉼표 [0] 2 2 2 2 4 5 4" xfId="0"/>
    <cellStyle name="쉼표 [0] 2 2 2 2 4 6" xfId="0"/>
    <cellStyle name="쉼표 [0] 2 2 2 2 4 6 2" xfId="0"/>
    <cellStyle name="쉼표 [0] 2 2 2 2 4 6 3" xfId="0"/>
    <cellStyle name="쉼표 [0] 2 2 2 2 4 6 4" xfId="0"/>
    <cellStyle name="쉼표 [0] 2 2 2 2 4 7" xfId="0"/>
    <cellStyle name="쉼표 [0] 2 2 2 2 4 7 2" xfId="0"/>
    <cellStyle name="쉼표 [0] 2 2 2 2 4 7 3" xfId="0"/>
    <cellStyle name="쉼표 [0] 2 2 2 2 4 7 4" xfId="0"/>
    <cellStyle name="쉼표 [0] 2 2 2 2 4 8" xfId="0"/>
    <cellStyle name="쉼표 [0] 2 2 2 2 4 8 2" xfId="0"/>
    <cellStyle name="쉼표 [0] 2 2 2 2 4 8 3" xfId="0"/>
    <cellStyle name="쉼표 [0] 2 2 2 2 4 8 4" xfId="0"/>
    <cellStyle name="쉼표 [0] 2 2 2 2 4 9" xfId="0"/>
    <cellStyle name="쉼표 [0] 2 2 2 2 4 9 2" xfId="0"/>
    <cellStyle name="쉼표 [0] 2 2 2 2 4 9 3" xfId="0"/>
    <cellStyle name="쉼표 [0] 2 2 2 2 4 9 4" xfId="0"/>
    <cellStyle name="쉼표 [0] 2 2 2 2 5" xfId="0"/>
    <cellStyle name="쉼표 [0] 2 2 2 2 5 10" xfId="0"/>
    <cellStyle name="쉼표 [0] 2 2 2 2 5 10 2" xfId="0"/>
    <cellStyle name="쉼표 [0] 2 2 2 2 5 10 3" xfId="0"/>
    <cellStyle name="쉼표 [0] 2 2 2 2 5 10 4" xfId="0"/>
    <cellStyle name="쉼표 [0] 2 2 2 2 5 11" xfId="0"/>
    <cellStyle name="쉼표 [0] 2 2 2 2 5 11 2" xfId="0"/>
    <cellStyle name="쉼표 [0] 2 2 2 2 5 11 3" xfId="0"/>
    <cellStyle name="쉼표 [0] 2 2 2 2 5 11 4" xfId="0"/>
    <cellStyle name="쉼표 [0] 2 2 2 2 5 12" xfId="0"/>
    <cellStyle name="쉼표 [0] 2 2 2 2 5 12 2" xfId="0"/>
    <cellStyle name="쉼표 [0] 2 2 2 2 5 12 3" xfId="0"/>
    <cellStyle name="쉼표 [0] 2 2 2 2 5 12 4" xfId="0"/>
    <cellStyle name="쉼표 [0] 2 2 2 2 5 13" xfId="0"/>
    <cellStyle name="쉼표 [0] 2 2 2 2 5 13 2" xfId="0"/>
    <cellStyle name="쉼표 [0] 2 2 2 2 5 13 3" xfId="0"/>
    <cellStyle name="쉼표 [0] 2 2 2 2 5 13 4" xfId="0"/>
    <cellStyle name="쉼표 [0] 2 2 2 2 5 14" xfId="0"/>
    <cellStyle name="쉼표 [0] 2 2 2 2 5 14 2" xfId="0"/>
    <cellStyle name="쉼표 [0] 2 2 2 2 5 14 3" xfId="0"/>
    <cellStyle name="쉼표 [0] 2 2 2 2 5 14 4" xfId="0"/>
    <cellStyle name="쉼표 [0] 2 2 2 2 5 15" xfId="0"/>
    <cellStyle name="쉼표 [0] 2 2 2 2 5 15 2" xfId="0"/>
    <cellStyle name="쉼표 [0] 2 2 2 2 5 15 3" xfId="0"/>
    <cellStyle name="쉼표 [0] 2 2 2 2 5 15 4" xfId="0"/>
    <cellStyle name="쉼표 [0] 2 2 2 2 5 16" xfId="0"/>
    <cellStyle name="쉼표 [0] 2 2 2 2 5 16 2" xfId="0"/>
    <cellStyle name="쉼표 [0] 2 2 2 2 5 16 3" xfId="0"/>
    <cellStyle name="쉼표 [0] 2 2 2 2 5 16 4" xfId="0"/>
    <cellStyle name="쉼표 [0] 2 2 2 2 5 17" xfId="0"/>
    <cellStyle name="쉼표 [0] 2 2 2 2 5 17 2" xfId="0"/>
    <cellStyle name="쉼표 [0] 2 2 2 2 5 17 3" xfId="0"/>
    <cellStyle name="쉼표 [0] 2 2 2 2 5 17 4" xfId="0"/>
    <cellStyle name="쉼표 [0] 2 2 2 2 5 18" xfId="0"/>
    <cellStyle name="쉼표 [0] 2 2 2 2 5 18 2" xfId="0"/>
    <cellStyle name="쉼표 [0] 2 2 2 2 5 18 3" xfId="0"/>
    <cellStyle name="쉼표 [0] 2 2 2 2 5 18 4" xfId="0"/>
    <cellStyle name="쉼표 [0] 2 2 2 2 5 19" xfId="0"/>
    <cellStyle name="쉼표 [0] 2 2 2 2 5 19 2" xfId="0"/>
    <cellStyle name="쉼표 [0] 2 2 2 2 5 19 3" xfId="0"/>
    <cellStyle name="쉼표 [0] 2 2 2 2 5 19 4" xfId="0"/>
    <cellStyle name="쉼표 [0] 2 2 2 2 5 2" xfId="0"/>
    <cellStyle name="쉼표 [0] 2 2 2 2 5 2 2" xfId="0"/>
    <cellStyle name="쉼표 [0] 2 2 2 2 5 2 3" xfId="0"/>
    <cellStyle name="쉼표 [0] 2 2 2 2 5 2 4" xfId="0"/>
    <cellStyle name="쉼표 [0] 2 2 2 2 5 20" xfId="0"/>
    <cellStyle name="쉼표 [0] 2 2 2 2 5 20 2" xfId="0"/>
    <cellStyle name="쉼표 [0] 2 2 2 2 5 20 3" xfId="0"/>
    <cellStyle name="쉼표 [0] 2 2 2 2 5 20 4" xfId="0"/>
    <cellStyle name="쉼표 [0] 2 2 2 2 5 21" xfId="0"/>
    <cellStyle name="쉼표 [0] 2 2 2 2 5 21 2" xfId="0"/>
    <cellStyle name="쉼표 [0] 2 2 2 2 5 21 3" xfId="0"/>
    <cellStyle name="쉼표 [0] 2 2 2 2 5 21 4" xfId="0"/>
    <cellStyle name="쉼표 [0] 2 2 2 2 5 22" xfId="0"/>
    <cellStyle name="쉼표 [0] 2 2 2 2 5 23" xfId="0"/>
    <cellStyle name="쉼표 [0] 2 2 2 2 5 24" xfId="0"/>
    <cellStyle name="쉼표 [0] 2 2 2 2 5 3" xfId="0"/>
    <cellStyle name="쉼표 [0] 2 2 2 2 5 3 2" xfId="0"/>
    <cellStyle name="쉼표 [0] 2 2 2 2 5 3 3" xfId="0"/>
    <cellStyle name="쉼표 [0] 2 2 2 2 5 3 4" xfId="0"/>
    <cellStyle name="쉼표 [0] 2 2 2 2 5 4" xfId="0"/>
    <cellStyle name="쉼표 [0] 2 2 2 2 5 4 2" xfId="0"/>
    <cellStyle name="쉼표 [0] 2 2 2 2 5 4 3" xfId="0"/>
    <cellStyle name="쉼표 [0] 2 2 2 2 5 4 4" xfId="0"/>
    <cellStyle name="쉼표 [0] 2 2 2 2 5 5" xfId="0"/>
    <cellStyle name="쉼표 [0] 2 2 2 2 5 5 2" xfId="0"/>
    <cellStyle name="쉼표 [0] 2 2 2 2 5 5 3" xfId="0"/>
    <cellStyle name="쉼표 [0] 2 2 2 2 5 5 4" xfId="0"/>
    <cellStyle name="쉼표 [0] 2 2 2 2 5 6" xfId="0"/>
    <cellStyle name="쉼표 [0] 2 2 2 2 5 6 2" xfId="0"/>
    <cellStyle name="쉼표 [0] 2 2 2 2 5 6 3" xfId="0"/>
    <cellStyle name="쉼표 [0] 2 2 2 2 5 6 4" xfId="0"/>
    <cellStyle name="쉼표 [0] 2 2 2 2 5 7" xfId="0"/>
    <cellStyle name="쉼표 [0] 2 2 2 2 5 7 2" xfId="0"/>
    <cellStyle name="쉼표 [0] 2 2 2 2 5 7 3" xfId="0"/>
    <cellStyle name="쉼표 [0] 2 2 2 2 5 7 4" xfId="0"/>
    <cellStyle name="쉼표 [0] 2 2 2 2 5 8" xfId="0"/>
    <cellStyle name="쉼표 [0] 2 2 2 2 5 8 2" xfId="0"/>
    <cellStyle name="쉼표 [0] 2 2 2 2 5 8 3" xfId="0"/>
    <cellStyle name="쉼표 [0] 2 2 2 2 5 8 4" xfId="0"/>
    <cellStyle name="쉼표 [0] 2 2 2 2 5 9" xfId="0"/>
    <cellStyle name="쉼표 [0] 2 2 2 2 5 9 2" xfId="0"/>
    <cellStyle name="쉼표 [0] 2 2 2 2 5 9 3" xfId="0"/>
    <cellStyle name="쉼표 [0] 2 2 2 2 5 9 4" xfId="0"/>
    <cellStyle name="쉼표 [0] 2 2 2 2 6" xfId="0"/>
    <cellStyle name="쉼표 [0] 2 2 2 2 6 10" xfId="0"/>
    <cellStyle name="쉼표 [0] 2 2 2 2 6 10 2" xfId="0"/>
    <cellStyle name="쉼표 [0] 2 2 2 2 6 10 3" xfId="0"/>
    <cellStyle name="쉼표 [0] 2 2 2 2 6 10 4" xfId="0"/>
    <cellStyle name="쉼표 [0] 2 2 2 2 6 11" xfId="0"/>
    <cellStyle name="쉼표 [0] 2 2 2 2 6 11 2" xfId="0"/>
    <cellStyle name="쉼표 [0] 2 2 2 2 6 11 3" xfId="0"/>
    <cellStyle name="쉼표 [0] 2 2 2 2 6 11 4" xfId="0"/>
    <cellStyle name="쉼표 [0] 2 2 2 2 6 12" xfId="0"/>
    <cellStyle name="쉼표 [0] 2 2 2 2 6 12 2" xfId="0"/>
    <cellStyle name="쉼표 [0] 2 2 2 2 6 12 3" xfId="0"/>
    <cellStyle name="쉼표 [0] 2 2 2 2 6 12 4" xfId="0"/>
    <cellStyle name="쉼표 [0] 2 2 2 2 6 13" xfId="0"/>
    <cellStyle name="쉼표 [0] 2 2 2 2 6 13 2" xfId="0"/>
    <cellStyle name="쉼표 [0] 2 2 2 2 6 13 3" xfId="0"/>
    <cellStyle name="쉼표 [0] 2 2 2 2 6 13 4" xfId="0"/>
    <cellStyle name="쉼표 [0] 2 2 2 2 6 14" xfId="0"/>
    <cellStyle name="쉼표 [0] 2 2 2 2 6 14 2" xfId="0"/>
    <cellStyle name="쉼표 [0] 2 2 2 2 6 14 3" xfId="0"/>
    <cellStyle name="쉼표 [0] 2 2 2 2 6 14 4" xfId="0"/>
    <cellStyle name="쉼표 [0] 2 2 2 2 6 15" xfId="0"/>
    <cellStyle name="쉼표 [0] 2 2 2 2 6 15 2" xfId="0"/>
    <cellStyle name="쉼표 [0] 2 2 2 2 6 15 3" xfId="0"/>
    <cellStyle name="쉼표 [0] 2 2 2 2 6 15 4" xfId="0"/>
    <cellStyle name="쉼표 [0] 2 2 2 2 6 16" xfId="0"/>
    <cellStyle name="쉼표 [0] 2 2 2 2 6 16 2" xfId="0"/>
    <cellStyle name="쉼표 [0] 2 2 2 2 6 16 3" xfId="0"/>
    <cellStyle name="쉼표 [0] 2 2 2 2 6 16 4" xfId="0"/>
    <cellStyle name="쉼표 [0] 2 2 2 2 6 17" xfId="0"/>
    <cellStyle name="쉼표 [0] 2 2 2 2 6 17 2" xfId="0"/>
    <cellStyle name="쉼표 [0] 2 2 2 2 6 17 3" xfId="0"/>
    <cellStyle name="쉼표 [0] 2 2 2 2 6 17 4" xfId="0"/>
    <cellStyle name="쉼표 [0] 2 2 2 2 6 18" xfId="0"/>
    <cellStyle name="쉼표 [0] 2 2 2 2 6 18 2" xfId="0"/>
    <cellStyle name="쉼표 [0] 2 2 2 2 6 18 3" xfId="0"/>
    <cellStyle name="쉼표 [0] 2 2 2 2 6 18 4" xfId="0"/>
    <cellStyle name="쉼표 [0] 2 2 2 2 6 19" xfId="0"/>
    <cellStyle name="쉼표 [0] 2 2 2 2 6 19 2" xfId="0"/>
    <cellStyle name="쉼표 [0] 2 2 2 2 6 19 3" xfId="0"/>
    <cellStyle name="쉼표 [0] 2 2 2 2 6 19 4" xfId="0"/>
    <cellStyle name="쉼표 [0] 2 2 2 2 6 2" xfId="0"/>
    <cellStyle name="쉼표 [0] 2 2 2 2 6 2 2" xfId="0"/>
    <cellStyle name="쉼표 [0] 2 2 2 2 6 2 3" xfId="0"/>
    <cellStyle name="쉼표 [0] 2 2 2 2 6 2 4" xfId="0"/>
    <cellStyle name="쉼표 [0] 2 2 2 2 6 20" xfId="0"/>
    <cellStyle name="쉼표 [0] 2 2 2 2 6 20 2" xfId="0"/>
    <cellStyle name="쉼표 [0] 2 2 2 2 6 20 3" xfId="0"/>
    <cellStyle name="쉼표 [0] 2 2 2 2 6 20 4" xfId="0"/>
    <cellStyle name="쉼표 [0] 2 2 2 2 6 21" xfId="0"/>
    <cellStyle name="쉼표 [0] 2 2 2 2 6 21 2" xfId="0"/>
    <cellStyle name="쉼표 [0] 2 2 2 2 6 21 3" xfId="0"/>
    <cellStyle name="쉼표 [0] 2 2 2 2 6 21 4" xfId="0"/>
    <cellStyle name="쉼표 [0] 2 2 2 2 6 22" xfId="0"/>
    <cellStyle name="쉼표 [0] 2 2 2 2 6 23" xfId="0"/>
    <cellStyle name="쉼표 [0] 2 2 2 2 6 24" xfId="0"/>
    <cellStyle name="쉼표 [0] 2 2 2 2 6 3" xfId="0"/>
    <cellStyle name="쉼표 [0] 2 2 2 2 6 3 2" xfId="0"/>
    <cellStyle name="쉼표 [0] 2 2 2 2 6 3 3" xfId="0"/>
    <cellStyle name="쉼표 [0] 2 2 2 2 6 3 4" xfId="0"/>
    <cellStyle name="쉼표 [0] 2 2 2 2 6 4" xfId="0"/>
    <cellStyle name="쉼표 [0] 2 2 2 2 6 4 2" xfId="0"/>
    <cellStyle name="쉼표 [0] 2 2 2 2 6 4 3" xfId="0"/>
    <cellStyle name="쉼표 [0] 2 2 2 2 6 4 4" xfId="0"/>
    <cellStyle name="쉼표 [0] 2 2 2 2 6 5" xfId="0"/>
    <cellStyle name="쉼표 [0] 2 2 2 2 6 5 2" xfId="0"/>
    <cellStyle name="쉼표 [0] 2 2 2 2 6 5 3" xfId="0"/>
    <cellStyle name="쉼표 [0] 2 2 2 2 6 5 4" xfId="0"/>
    <cellStyle name="쉼표 [0] 2 2 2 2 6 6" xfId="0"/>
    <cellStyle name="쉼표 [0] 2 2 2 2 6 6 2" xfId="0"/>
    <cellStyle name="쉼표 [0] 2 2 2 2 6 6 3" xfId="0"/>
    <cellStyle name="쉼표 [0] 2 2 2 2 6 6 4" xfId="0"/>
    <cellStyle name="쉼표 [0] 2 2 2 2 6 7" xfId="0"/>
    <cellStyle name="쉼표 [0] 2 2 2 2 6 7 2" xfId="0"/>
    <cellStyle name="쉼표 [0] 2 2 2 2 6 7 3" xfId="0"/>
    <cellStyle name="쉼표 [0] 2 2 2 2 6 7 4" xfId="0"/>
    <cellStyle name="쉼표 [0] 2 2 2 2 6 8" xfId="0"/>
    <cellStyle name="쉼표 [0] 2 2 2 2 6 8 2" xfId="0"/>
    <cellStyle name="쉼표 [0] 2 2 2 2 6 8 3" xfId="0"/>
    <cellStyle name="쉼표 [0] 2 2 2 2 6 8 4" xfId="0"/>
    <cellStyle name="쉼표 [0] 2 2 2 2 6 9" xfId="0"/>
    <cellStyle name="쉼표 [0] 2 2 2 2 6 9 2" xfId="0"/>
    <cellStyle name="쉼표 [0] 2 2 2 2 6 9 3" xfId="0"/>
    <cellStyle name="쉼표 [0] 2 2 2 2 6 9 4" xfId="0"/>
    <cellStyle name="쉼표 [0] 2 2 2 2 7" xfId="0"/>
    <cellStyle name="쉼표 [0] 2 2 2 2 7 10" xfId="0"/>
    <cellStyle name="쉼표 [0] 2 2 2 2 7 10 2" xfId="0"/>
    <cellStyle name="쉼표 [0] 2 2 2 2 7 10 3" xfId="0"/>
    <cellStyle name="쉼표 [0] 2 2 2 2 7 10 4" xfId="0"/>
    <cellStyle name="쉼표 [0] 2 2 2 2 7 11" xfId="0"/>
    <cellStyle name="쉼표 [0] 2 2 2 2 7 11 2" xfId="0"/>
    <cellStyle name="쉼표 [0] 2 2 2 2 7 11 3" xfId="0"/>
    <cellStyle name="쉼표 [0] 2 2 2 2 7 11 4" xfId="0"/>
    <cellStyle name="쉼표 [0] 2 2 2 2 7 12" xfId="0"/>
    <cellStyle name="쉼표 [0] 2 2 2 2 7 12 2" xfId="0"/>
    <cellStyle name="쉼표 [0] 2 2 2 2 7 12 3" xfId="0"/>
    <cellStyle name="쉼표 [0] 2 2 2 2 7 12 4" xfId="0"/>
    <cellStyle name="쉼표 [0] 2 2 2 2 7 13" xfId="0"/>
    <cellStyle name="쉼표 [0] 2 2 2 2 7 13 2" xfId="0"/>
    <cellStyle name="쉼표 [0] 2 2 2 2 7 13 3" xfId="0"/>
    <cellStyle name="쉼표 [0] 2 2 2 2 7 13 4" xfId="0"/>
    <cellStyle name="쉼표 [0] 2 2 2 2 7 14" xfId="0"/>
    <cellStyle name="쉼표 [0] 2 2 2 2 7 15" xfId="0"/>
    <cellStyle name="쉼표 [0] 2 2 2 2 7 16" xfId="0"/>
    <cellStyle name="쉼표 [0] 2 2 2 2 7 2" xfId="0"/>
    <cellStyle name="쉼표 [0] 2 2 2 2 7 2 10" xfId="0"/>
    <cellStyle name="쉼표 [0] 2 2 2 2 7 2 11" xfId="0"/>
    <cellStyle name="쉼표 [0] 2 2 2 2 7 2 12" xfId="0"/>
    <cellStyle name="쉼표 [0] 2 2 2 2 7 2 13" xfId="0"/>
    <cellStyle name="쉼표 [0] 2 2 2 2 7 2 2" xfId="0"/>
    <cellStyle name="쉼표 [0] 2 2 2 2 7 2 3" xfId="0"/>
    <cellStyle name="쉼표 [0] 2 2 2 2 7 2 4" xfId="0"/>
    <cellStyle name="쉼표 [0] 2 2 2 2 7 2 5" xfId="0"/>
    <cellStyle name="쉼표 [0] 2 2 2 2 7 2 6" xfId="0"/>
    <cellStyle name="쉼표 [0] 2 2 2 2 7 2 7" xfId="0"/>
    <cellStyle name="쉼표 [0] 2 2 2 2 7 2 8" xfId="0"/>
    <cellStyle name="쉼표 [0] 2 2 2 2 7 2 9" xfId="0"/>
    <cellStyle name="쉼표 [0] 2 2 2 2 7 3" xfId="0"/>
    <cellStyle name="쉼표 [0] 2 2 2 2 7 4" xfId="0"/>
    <cellStyle name="쉼표 [0] 2 2 2 2 7 5" xfId="0"/>
    <cellStyle name="쉼표 [0] 2 2 2 2 7 6" xfId="0"/>
    <cellStyle name="쉼표 [0] 2 2 2 2 7 6 2" xfId="0"/>
    <cellStyle name="쉼표 [0] 2 2 2 2 7 6 3" xfId="0"/>
    <cellStyle name="쉼표 [0] 2 2 2 2 7 6 4" xfId="0"/>
    <cellStyle name="쉼표 [0] 2 2 2 2 7 7" xfId="0"/>
    <cellStyle name="쉼표 [0] 2 2 2 2 7 7 2" xfId="0"/>
    <cellStyle name="쉼표 [0] 2 2 2 2 7 7 3" xfId="0"/>
    <cellStyle name="쉼표 [0] 2 2 2 2 7 7 4" xfId="0"/>
    <cellStyle name="쉼표 [0] 2 2 2 2 7 8" xfId="0"/>
    <cellStyle name="쉼표 [0] 2 2 2 2 7 8 2" xfId="0"/>
    <cellStyle name="쉼표 [0] 2 2 2 2 7 8 3" xfId="0"/>
    <cellStyle name="쉼표 [0] 2 2 2 2 7 8 4" xfId="0"/>
    <cellStyle name="쉼표 [0] 2 2 2 2 7 9" xfId="0"/>
    <cellStyle name="쉼표 [0] 2 2 2 2 7 9 2" xfId="0"/>
    <cellStyle name="쉼표 [0] 2 2 2 2 7 9 3" xfId="0"/>
    <cellStyle name="쉼표 [0] 2 2 2 2 7 9 4" xfId="0"/>
    <cellStyle name="쉼표 [0] 2 2 2 2 8" xfId="0"/>
    <cellStyle name="쉼표 [0] 2 2 2 2 8 10" xfId="0"/>
    <cellStyle name="쉼표 [0] 2 2 2 2 8 11" xfId="0"/>
    <cellStyle name="쉼표 [0] 2 2 2 2 8 11 2" xfId="0"/>
    <cellStyle name="쉼표 [0] 2 2 2 2 8 11 3" xfId="0"/>
    <cellStyle name="쉼표 [0] 2 2 2 2 8 11 4" xfId="0"/>
    <cellStyle name="쉼표 [0] 2 2 2 2 8 12" xfId="0"/>
    <cellStyle name="쉼표 [0] 2 2 2 2 8 12 2" xfId="0"/>
    <cellStyle name="쉼표 [0] 2 2 2 2 8 12 3" xfId="0"/>
    <cellStyle name="쉼표 [0] 2 2 2 2 8 12 4" xfId="0"/>
    <cellStyle name="쉼표 [0] 2 2 2 2 8 13" xfId="0"/>
    <cellStyle name="쉼표 [0] 2 2 2 2 8 13 2" xfId="0"/>
    <cellStyle name="쉼표 [0] 2 2 2 2 8 13 3" xfId="0"/>
    <cellStyle name="쉼표 [0] 2 2 2 2 8 13 4" xfId="0"/>
    <cellStyle name="쉼표 [0] 2 2 2 2 8 14" xfId="0"/>
    <cellStyle name="쉼표 [0] 2 2 2 2 8 14 2" xfId="0"/>
    <cellStyle name="쉼표 [0] 2 2 2 2 8 14 3" xfId="0"/>
    <cellStyle name="쉼표 [0] 2 2 2 2 8 14 4" xfId="0"/>
    <cellStyle name="쉼표 [0] 2 2 2 2 8 15" xfId="0"/>
    <cellStyle name="쉼표 [0] 2 2 2 2 8 16" xfId="0"/>
    <cellStyle name="쉼표 [0] 2 2 2 2 8 17" xfId="0"/>
    <cellStyle name="쉼표 [0] 2 2 2 2 8 18" xfId="0"/>
    <cellStyle name="쉼표 [0] 2 2 2 2 8 2" xfId="0"/>
    <cellStyle name="쉼표 [0] 2 2 2 2 8 2 2" xfId="0"/>
    <cellStyle name="쉼표 [0] 2 2 2 2 8 2 2 2" xfId="0"/>
    <cellStyle name="쉼표 [0] 2 2 2 2 8 2 2 3" xfId="0"/>
    <cellStyle name="쉼표 [0] 2 2 2 2 8 2 2 4" xfId="0"/>
    <cellStyle name="쉼표 [0] 2 2 2 2 8 2 2 5" xfId="0"/>
    <cellStyle name="쉼표 [0] 2 2 2 2 8 2 3" xfId="0"/>
    <cellStyle name="쉼표 [0] 2 2 2 2 8 2 3 2" xfId="0"/>
    <cellStyle name="쉼표 [0] 2 2 2 2 8 2 3 3" xfId="0"/>
    <cellStyle name="쉼표 [0] 2 2 2 2 8 2 3 4" xfId="0"/>
    <cellStyle name="쉼표 [0] 2 2 2 2 8 2 4" xfId="0"/>
    <cellStyle name="쉼표 [0] 2 2 2 2 8 2 4 2" xfId="0"/>
    <cellStyle name="쉼표 [0] 2 2 2 2 8 2 4 3" xfId="0"/>
    <cellStyle name="쉼표 [0] 2 2 2 2 8 2 4 4" xfId="0"/>
    <cellStyle name="쉼표 [0] 2 2 2 2 8 2 5" xfId="0"/>
    <cellStyle name="쉼표 [0] 2 2 2 2 8 2 5 2" xfId="0"/>
    <cellStyle name="쉼표 [0] 2 2 2 2 8 2 5 3" xfId="0"/>
    <cellStyle name="쉼표 [0] 2 2 2 2 8 2 5 4" xfId="0"/>
    <cellStyle name="쉼표 [0] 2 2 2 2 8 2 6" xfId="0"/>
    <cellStyle name="쉼표 [0] 2 2 2 2 8 2 7" xfId="0"/>
    <cellStyle name="쉼표 [0] 2 2 2 2 8 2 8" xfId="0"/>
    <cellStyle name="쉼표 [0] 2 2 2 2 8 3" xfId="0"/>
    <cellStyle name="쉼표 [0] 2 2 2 2 8 3 2" xfId="0"/>
    <cellStyle name="쉼표 [0] 2 2 2 2 8 3 2 2" xfId="0"/>
    <cellStyle name="쉼표 [0] 2 2 2 2 8 3 2 3" xfId="0"/>
    <cellStyle name="쉼표 [0] 2 2 2 2 8 3 2 4" xfId="0"/>
    <cellStyle name="쉼표 [0] 2 2 2 2 8 3 3" xfId="0"/>
    <cellStyle name="쉼표 [0] 2 2 2 2 8 3 3 2" xfId="0"/>
    <cellStyle name="쉼표 [0] 2 2 2 2 8 3 3 3" xfId="0"/>
    <cellStyle name="쉼표 [0] 2 2 2 2 8 3 3 4" xfId="0"/>
    <cellStyle name="쉼표 [0] 2 2 2 2 8 3 4" xfId="0"/>
    <cellStyle name="쉼표 [0] 2 2 2 2 8 3 4 2" xfId="0"/>
    <cellStyle name="쉼표 [0] 2 2 2 2 8 3 4 3" xfId="0"/>
    <cellStyle name="쉼표 [0] 2 2 2 2 8 3 4 4" xfId="0"/>
    <cellStyle name="쉼표 [0] 2 2 2 2 8 3 5" xfId="0"/>
    <cellStyle name="쉼표 [0] 2 2 2 2 8 3 5 2" xfId="0"/>
    <cellStyle name="쉼표 [0] 2 2 2 2 8 3 5 3" xfId="0"/>
    <cellStyle name="쉼표 [0] 2 2 2 2 8 3 5 4" xfId="0"/>
    <cellStyle name="쉼표 [0] 2 2 2 2 8 3 6" xfId="0"/>
    <cellStyle name="쉼표 [0] 2 2 2 2 8 3 7" xfId="0"/>
    <cellStyle name="쉼표 [0] 2 2 2 2 8 3 8" xfId="0"/>
    <cellStyle name="쉼표 [0] 2 2 2 2 8 4" xfId="0"/>
    <cellStyle name="쉼표 [0] 2 2 2 2 8 5" xfId="0"/>
    <cellStyle name="쉼표 [0] 2 2 2 2 8 6" xfId="0"/>
    <cellStyle name="쉼표 [0] 2 2 2 2 8 7" xfId="0"/>
    <cellStyle name="쉼표 [0] 2 2 2 2 8 8" xfId="0"/>
    <cellStyle name="쉼표 [0] 2 2 2 2 8 9" xfId="0"/>
    <cellStyle name="쉼표 [0] 2 2 2 2 9" xfId="0"/>
    <cellStyle name="쉼표 [0] 2 2 2 2 9 2" xfId="0"/>
    <cellStyle name="쉼표 [0] 2 2 2 2 9 2 2" xfId="0"/>
    <cellStyle name="쉼표 [0] 2 2 2 2 9 2 3" xfId="0"/>
    <cellStyle name="쉼표 [0] 2 2 2 2 9 2 4" xfId="0"/>
    <cellStyle name="쉼표 [0] 2 2 2 2 9 2 5" xfId="0"/>
    <cellStyle name="쉼표 [0] 2 2 2 2 9 3" xfId="0"/>
    <cellStyle name="쉼표 [0] 2 2 2 2 9 3 2" xfId="0"/>
    <cellStyle name="쉼표 [0] 2 2 2 2 9 3 3" xfId="0"/>
    <cellStyle name="쉼표 [0] 2 2 2 2 9 3 4" xfId="0"/>
    <cellStyle name="쉼표 [0] 2 2 2 2 9 4" xfId="0"/>
    <cellStyle name="쉼표 [0] 2 2 2 2 9 4 2" xfId="0"/>
    <cellStyle name="쉼표 [0] 2 2 2 2 9 4 3" xfId="0"/>
    <cellStyle name="쉼표 [0] 2 2 2 2 9 4 4" xfId="0"/>
    <cellStyle name="쉼표 [0] 2 2 2 2 9 5" xfId="0"/>
    <cellStyle name="쉼표 [0] 2 2 2 2 9 5 2" xfId="0"/>
    <cellStyle name="쉼표 [0] 2 2 2 2 9 5 3" xfId="0"/>
    <cellStyle name="쉼표 [0] 2 2 2 2 9 5 4" xfId="0"/>
    <cellStyle name="쉼표 [0] 2 2 2 2 9 6" xfId="0"/>
    <cellStyle name="쉼표 [0] 2 2 2 2 9 7" xfId="0"/>
    <cellStyle name="쉼표 [0] 2 2 2 2 9 8" xfId="0"/>
    <cellStyle name="쉼표 [0] 2 2 2 2 9 9" xfId="0"/>
    <cellStyle name="쉼표 [0] 2 2 2 20" xfId="0"/>
    <cellStyle name="쉼표 [0] 2 2 2 20 2" xfId="0"/>
    <cellStyle name="쉼표 [0] 2 2 2 21" xfId="0"/>
    <cellStyle name="쉼표 [0] 2 2 2 21 2" xfId="0"/>
    <cellStyle name="쉼표 [0] 2 2 2 22" xfId="0"/>
    <cellStyle name="쉼표 [0] 2 2 2 23" xfId="0"/>
    <cellStyle name="쉼표 [0] 2 2 2 24" xfId="0"/>
    <cellStyle name="쉼표 [0] 2 2 2 25" xfId="0"/>
    <cellStyle name="쉼표 [0] 2 2 2 26" xfId="0"/>
    <cellStyle name="쉼표 [0] 2 2 2 3" xfId="0"/>
    <cellStyle name="쉼표 [0] 2 2 2 3 10" xfId="0"/>
    <cellStyle name="쉼표 [0] 2 2 2 3 10 2" xfId="0"/>
    <cellStyle name="쉼표 [0] 2 2 2 3 11" xfId="0"/>
    <cellStyle name="쉼표 [0] 2 2 2 3 11 2" xfId="0"/>
    <cellStyle name="쉼표 [0] 2 2 2 3 12" xfId="0"/>
    <cellStyle name="쉼표 [0] 2 2 2 3 12 2" xfId="0"/>
    <cellStyle name="쉼표 [0] 2 2 2 3 13" xfId="0"/>
    <cellStyle name="쉼표 [0] 2 2 2 3 13 2" xfId="0"/>
    <cellStyle name="쉼표 [0] 2 2 2 3 14" xfId="0"/>
    <cellStyle name="쉼표 [0] 2 2 2 3 14 2" xfId="0"/>
    <cellStyle name="쉼표 [0] 2 2 2 3 15" xfId="0"/>
    <cellStyle name="쉼표 [0] 2 2 2 3 15 2" xfId="0"/>
    <cellStyle name="쉼표 [0] 2 2 2 3 16" xfId="0"/>
    <cellStyle name="쉼표 [0] 2 2 2 3 16 2" xfId="0"/>
    <cellStyle name="쉼표 [0] 2 2 2 3 17" xfId="0"/>
    <cellStyle name="쉼표 [0] 2 2 2 3 18" xfId="0"/>
    <cellStyle name="쉼표 [0] 2 2 2 3 19" xfId="0"/>
    <cellStyle name="쉼표 [0] 2 2 2 3 2" xfId="0"/>
    <cellStyle name="쉼표 [0] 2 2 2 3 2 10" xfId="0"/>
    <cellStyle name="쉼표 [0] 2 2 2 3 2 11" xfId="0"/>
    <cellStyle name="쉼표 [0] 2 2 2 3 2 12" xfId="0"/>
    <cellStyle name="쉼표 [0] 2 2 2 3 2 13" xfId="0"/>
    <cellStyle name="쉼표 [0] 2 2 2 3 2 2" xfId="0"/>
    <cellStyle name="쉼표 [0] 2 2 2 3 2 3" xfId="0"/>
    <cellStyle name="쉼표 [0] 2 2 2 3 2 4" xfId="0"/>
    <cellStyle name="쉼표 [0] 2 2 2 3 2 5" xfId="0"/>
    <cellStyle name="쉼표 [0] 2 2 2 3 2 6" xfId="0"/>
    <cellStyle name="쉼표 [0] 2 2 2 3 2 7" xfId="0"/>
    <cellStyle name="쉼표 [0] 2 2 2 3 2 8" xfId="0"/>
    <cellStyle name="쉼표 [0] 2 2 2 3 2 9" xfId="0"/>
    <cellStyle name="쉼표 [0] 2 2 2 3 20" xfId="0"/>
    <cellStyle name="쉼표 [0] 2 2 2 3 21" xfId="0"/>
    <cellStyle name="쉼표 [0] 2 2 2 3 22" xfId="0"/>
    <cellStyle name="쉼표 [0] 2 2 2 3 23" xfId="0"/>
    <cellStyle name="쉼표 [0] 2 2 2 3 24" xfId="0"/>
    <cellStyle name="쉼표 [0] 2 2 2 3 3" xfId="0"/>
    <cellStyle name="쉼표 [0] 2 2 2 3 3 10" xfId="0"/>
    <cellStyle name="쉼표 [0] 2 2 2 3 3 11" xfId="0"/>
    <cellStyle name="쉼표 [0] 2 2 2 3 3 12" xfId="0"/>
    <cellStyle name="쉼표 [0] 2 2 2 3 3 13" xfId="0"/>
    <cellStyle name="쉼표 [0] 2 2 2 3 3 2" xfId="0"/>
    <cellStyle name="쉼표 [0] 2 2 2 3 3 3" xfId="0"/>
    <cellStyle name="쉼표 [0] 2 2 2 3 3 4" xfId="0"/>
    <cellStyle name="쉼표 [0] 2 2 2 3 3 5" xfId="0"/>
    <cellStyle name="쉼표 [0] 2 2 2 3 3 6" xfId="0"/>
    <cellStyle name="쉼표 [0] 2 2 2 3 3 7" xfId="0"/>
    <cellStyle name="쉼표 [0] 2 2 2 3 3 8" xfId="0"/>
    <cellStyle name="쉼표 [0] 2 2 2 3 3 9" xfId="0"/>
    <cellStyle name="쉼표 [0] 2 2 2 3 4" xfId="0"/>
    <cellStyle name="쉼표 [0] 2 2 2 3 4 10" xfId="0"/>
    <cellStyle name="쉼표 [0] 2 2 2 3 4 11" xfId="0"/>
    <cellStyle name="쉼표 [0] 2 2 2 3 4 12" xfId="0"/>
    <cellStyle name="쉼표 [0] 2 2 2 3 4 13" xfId="0"/>
    <cellStyle name="쉼표 [0] 2 2 2 3 4 2" xfId="0"/>
    <cellStyle name="쉼표 [0] 2 2 2 3 4 3" xfId="0"/>
    <cellStyle name="쉼표 [0] 2 2 2 3 4 4" xfId="0"/>
    <cellStyle name="쉼표 [0] 2 2 2 3 4 5" xfId="0"/>
    <cellStyle name="쉼표 [0] 2 2 2 3 4 6" xfId="0"/>
    <cellStyle name="쉼표 [0] 2 2 2 3 4 7" xfId="0"/>
    <cellStyle name="쉼표 [0] 2 2 2 3 4 8" xfId="0"/>
    <cellStyle name="쉼표 [0] 2 2 2 3 4 9" xfId="0"/>
    <cellStyle name="쉼표 [0] 2 2 2 3 5" xfId="0"/>
    <cellStyle name="쉼표 [0] 2 2 2 3 5 10" xfId="0"/>
    <cellStyle name="쉼표 [0] 2 2 2 3 5 11" xfId="0"/>
    <cellStyle name="쉼표 [0] 2 2 2 3 5 12" xfId="0"/>
    <cellStyle name="쉼표 [0] 2 2 2 3 5 13" xfId="0"/>
    <cellStyle name="쉼표 [0] 2 2 2 3 5 2" xfId="0"/>
    <cellStyle name="쉼표 [0] 2 2 2 3 5 3" xfId="0"/>
    <cellStyle name="쉼표 [0] 2 2 2 3 5 4" xfId="0"/>
    <cellStyle name="쉼표 [0] 2 2 2 3 5 5" xfId="0"/>
    <cellStyle name="쉼표 [0] 2 2 2 3 5 6" xfId="0"/>
    <cellStyle name="쉼표 [0] 2 2 2 3 5 7" xfId="0"/>
    <cellStyle name="쉼표 [0] 2 2 2 3 5 8" xfId="0"/>
    <cellStyle name="쉼표 [0] 2 2 2 3 5 9" xfId="0"/>
    <cellStyle name="쉼표 [0] 2 2 2 3 6" xfId="0"/>
    <cellStyle name="쉼표 [0] 2 2 2 3 6 10" xfId="0"/>
    <cellStyle name="쉼표 [0] 2 2 2 3 6 11" xfId="0"/>
    <cellStyle name="쉼표 [0] 2 2 2 3 6 12" xfId="0"/>
    <cellStyle name="쉼표 [0] 2 2 2 3 6 13" xfId="0"/>
    <cellStyle name="쉼표 [0] 2 2 2 3 6 2" xfId="0"/>
    <cellStyle name="쉼표 [0] 2 2 2 3 6 3" xfId="0"/>
    <cellStyle name="쉼표 [0] 2 2 2 3 6 4" xfId="0"/>
    <cellStyle name="쉼표 [0] 2 2 2 3 6 5" xfId="0"/>
    <cellStyle name="쉼표 [0] 2 2 2 3 6 6" xfId="0"/>
    <cellStyle name="쉼표 [0] 2 2 2 3 6 7" xfId="0"/>
    <cellStyle name="쉼표 [0] 2 2 2 3 6 8" xfId="0"/>
    <cellStyle name="쉼표 [0] 2 2 2 3 6 9" xfId="0"/>
    <cellStyle name="쉼표 [0] 2 2 2 3 7" xfId="0"/>
    <cellStyle name="쉼표 [0] 2 2 2 3 7 2" xfId="0"/>
    <cellStyle name="쉼표 [0] 2 2 2 3 8" xfId="0"/>
    <cellStyle name="쉼표 [0] 2 2 2 3 8 2" xfId="0"/>
    <cellStyle name="쉼표 [0] 2 2 2 3 9" xfId="0"/>
    <cellStyle name="쉼표 [0] 2 2 2 3 9 2" xfId="0"/>
    <cellStyle name="쉼표 [0] 2 2 2 4" xfId="0"/>
    <cellStyle name="쉼표 [0] 2 2 2 4 10" xfId="0"/>
    <cellStyle name="쉼표 [0] 2 2 2 4 11" xfId="0"/>
    <cellStyle name="쉼표 [0] 2 2 2 4 12" xfId="0"/>
    <cellStyle name="쉼표 [0] 2 2 2 4 13" xfId="0"/>
    <cellStyle name="쉼표 [0] 2 2 2 4 14" xfId="0"/>
    <cellStyle name="쉼표 [0] 2 2 2 4 15" xfId="0"/>
    <cellStyle name="쉼표 [0] 2 2 2 4 16" xfId="0"/>
    <cellStyle name="쉼표 [0] 2 2 2 4 2" xfId="0"/>
    <cellStyle name="쉼표 [0] 2 2 2 4 2 10" xfId="0"/>
    <cellStyle name="쉼표 [0] 2 2 2 4 2 11" xfId="0"/>
    <cellStyle name="쉼표 [0] 2 2 2 4 2 12" xfId="0"/>
    <cellStyle name="쉼표 [0] 2 2 2 4 2 13" xfId="0"/>
    <cellStyle name="쉼표 [0] 2 2 2 4 2 2" xfId="0"/>
    <cellStyle name="쉼표 [0] 2 2 2 4 2 3" xfId="0"/>
    <cellStyle name="쉼표 [0] 2 2 2 4 2 4" xfId="0"/>
    <cellStyle name="쉼표 [0] 2 2 2 4 2 5" xfId="0"/>
    <cellStyle name="쉼표 [0] 2 2 2 4 2 6" xfId="0"/>
    <cellStyle name="쉼표 [0] 2 2 2 4 2 7" xfId="0"/>
    <cellStyle name="쉼표 [0] 2 2 2 4 2 8" xfId="0"/>
    <cellStyle name="쉼표 [0] 2 2 2 4 2 9" xfId="0"/>
    <cellStyle name="쉼표 [0] 2 2 2 4 3" xfId="0"/>
    <cellStyle name="쉼표 [0] 2 2 2 4 3 10" xfId="0"/>
    <cellStyle name="쉼표 [0] 2 2 2 4 3 11" xfId="0"/>
    <cellStyle name="쉼표 [0] 2 2 2 4 3 12" xfId="0"/>
    <cellStyle name="쉼표 [0] 2 2 2 4 3 13" xfId="0"/>
    <cellStyle name="쉼표 [0] 2 2 2 4 3 2" xfId="0"/>
    <cellStyle name="쉼표 [0] 2 2 2 4 3 3" xfId="0"/>
    <cellStyle name="쉼표 [0] 2 2 2 4 3 4" xfId="0"/>
    <cellStyle name="쉼표 [0] 2 2 2 4 3 5" xfId="0"/>
    <cellStyle name="쉼표 [0] 2 2 2 4 3 6" xfId="0"/>
    <cellStyle name="쉼표 [0] 2 2 2 4 3 7" xfId="0"/>
    <cellStyle name="쉼표 [0] 2 2 2 4 3 8" xfId="0"/>
    <cellStyle name="쉼표 [0] 2 2 2 4 3 9" xfId="0"/>
    <cellStyle name="쉼표 [0] 2 2 2 4 4" xfId="0"/>
    <cellStyle name="쉼표 [0] 2 2 2 4 4 10" xfId="0"/>
    <cellStyle name="쉼표 [0] 2 2 2 4 4 11" xfId="0"/>
    <cellStyle name="쉼표 [0] 2 2 2 4 4 12" xfId="0"/>
    <cellStyle name="쉼표 [0] 2 2 2 4 4 13" xfId="0"/>
    <cellStyle name="쉼표 [0] 2 2 2 4 4 2" xfId="0"/>
    <cellStyle name="쉼표 [0] 2 2 2 4 4 3" xfId="0"/>
    <cellStyle name="쉼표 [0] 2 2 2 4 4 4" xfId="0"/>
    <cellStyle name="쉼표 [0] 2 2 2 4 4 5" xfId="0"/>
    <cellStyle name="쉼표 [0] 2 2 2 4 4 6" xfId="0"/>
    <cellStyle name="쉼표 [0] 2 2 2 4 4 7" xfId="0"/>
    <cellStyle name="쉼표 [0] 2 2 2 4 4 8" xfId="0"/>
    <cellStyle name="쉼표 [0] 2 2 2 4 4 9" xfId="0"/>
    <cellStyle name="쉼표 [0] 2 2 2 4 5" xfId="0"/>
    <cellStyle name="쉼표 [0] 2 2 2 4 5 10" xfId="0"/>
    <cellStyle name="쉼표 [0] 2 2 2 4 5 11" xfId="0"/>
    <cellStyle name="쉼표 [0] 2 2 2 4 5 12" xfId="0"/>
    <cellStyle name="쉼표 [0] 2 2 2 4 5 13" xfId="0"/>
    <cellStyle name="쉼표 [0] 2 2 2 4 5 2" xfId="0"/>
    <cellStyle name="쉼표 [0] 2 2 2 4 5 3" xfId="0"/>
    <cellStyle name="쉼표 [0] 2 2 2 4 5 4" xfId="0"/>
    <cellStyle name="쉼표 [0] 2 2 2 4 5 5" xfId="0"/>
    <cellStyle name="쉼표 [0] 2 2 2 4 5 6" xfId="0"/>
    <cellStyle name="쉼표 [0] 2 2 2 4 5 7" xfId="0"/>
    <cellStyle name="쉼표 [0] 2 2 2 4 5 8" xfId="0"/>
    <cellStyle name="쉼표 [0] 2 2 2 4 5 9" xfId="0"/>
    <cellStyle name="쉼표 [0] 2 2 2 4 6" xfId="0"/>
    <cellStyle name="쉼표 [0] 2 2 2 4 7" xfId="0"/>
    <cellStyle name="쉼표 [0] 2 2 2 4 8" xfId="0"/>
    <cellStyle name="쉼표 [0] 2 2 2 4 9" xfId="0"/>
    <cellStyle name="쉼표 [0] 2 2 2 5" xfId="0"/>
    <cellStyle name="쉼표 [0] 2 2 2 5 10" xfId="0"/>
    <cellStyle name="쉼표 [0] 2 2 2 5 11" xfId="0"/>
    <cellStyle name="쉼표 [0] 2 2 2 5 12" xfId="0"/>
    <cellStyle name="쉼표 [0] 2 2 2 5 13" xfId="0"/>
    <cellStyle name="쉼표 [0] 2 2 2 5 2" xfId="0"/>
    <cellStyle name="쉼표 [0] 2 2 2 5 3" xfId="0"/>
    <cellStyle name="쉼표 [0] 2 2 2 5 4" xfId="0"/>
    <cellStyle name="쉼표 [0] 2 2 2 5 5" xfId="0"/>
    <cellStyle name="쉼표 [0] 2 2 2 5 6" xfId="0"/>
    <cellStyle name="쉼표 [0] 2 2 2 5 7" xfId="0"/>
    <cellStyle name="쉼표 [0] 2 2 2 5 8" xfId="0"/>
    <cellStyle name="쉼표 [0] 2 2 2 5 9" xfId="0"/>
    <cellStyle name="쉼표 [0] 2 2 2 6" xfId="0"/>
    <cellStyle name="쉼표 [0] 2 2 2 6 10" xfId="0"/>
    <cellStyle name="쉼표 [0] 2 2 2 6 11" xfId="0"/>
    <cellStyle name="쉼표 [0] 2 2 2 6 12" xfId="0"/>
    <cellStyle name="쉼표 [0] 2 2 2 6 13" xfId="0"/>
    <cellStyle name="쉼표 [0] 2 2 2 6 2" xfId="0"/>
    <cellStyle name="쉼표 [0] 2 2 2 6 3" xfId="0"/>
    <cellStyle name="쉼표 [0] 2 2 2 6 4" xfId="0"/>
    <cellStyle name="쉼표 [0] 2 2 2 6 5" xfId="0"/>
    <cellStyle name="쉼표 [0] 2 2 2 6 6" xfId="0"/>
    <cellStyle name="쉼표 [0] 2 2 2 6 7" xfId="0"/>
    <cellStyle name="쉼표 [0] 2 2 2 6 8" xfId="0"/>
    <cellStyle name="쉼표 [0] 2 2 2 6 9" xfId="0"/>
    <cellStyle name="쉼표 [0] 2 2 2 7" xfId="0"/>
    <cellStyle name="쉼표 [0] 2 2 2 7 10" xfId="0"/>
    <cellStyle name="쉼표 [0] 2 2 2 7 11" xfId="0"/>
    <cellStyle name="쉼표 [0] 2 2 2 7 12" xfId="0"/>
    <cellStyle name="쉼표 [0] 2 2 2 7 13" xfId="0"/>
    <cellStyle name="쉼표 [0] 2 2 2 7 2" xfId="0"/>
    <cellStyle name="쉼표 [0] 2 2 2 7 3" xfId="0"/>
    <cellStyle name="쉼표 [0] 2 2 2 7 4" xfId="0"/>
    <cellStyle name="쉼표 [0] 2 2 2 7 5" xfId="0"/>
    <cellStyle name="쉼표 [0] 2 2 2 7 6" xfId="0"/>
    <cellStyle name="쉼표 [0] 2 2 2 7 7" xfId="0"/>
    <cellStyle name="쉼표 [0] 2 2 2 7 8" xfId="0"/>
    <cellStyle name="쉼표 [0] 2 2 2 7 9" xfId="0"/>
    <cellStyle name="쉼표 [0] 2 2 2 8" xfId="0"/>
    <cellStyle name="쉼표 [0] 2 2 2 8 10" xfId="0"/>
    <cellStyle name="쉼표 [0] 2 2 2 8 11" xfId="0"/>
    <cellStyle name="쉼표 [0] 2 2 2 8 12" xfId="0"/>
    <cellStyle name="쉼표 [0] 2 2 2 8 13" xfId="0"/>
    <cellStyle name="쉼표 [0] 2 2 2 8 14" xfId="0"/>
    <cellStyle name="쉼표 [0] 2 2 2 8 15" xfId="0"/>
    <cellStyle name="쉼표 [0] 2 2 2 8 16" xfId="0"/>
    <cellStyle name="쉼표 [0] 2 2 2 8 17" xfId="0"/>
    <cellStyle name="쉼표 [0] 2 2 2 8 18" xfId="0"/>
    <cellStyle name="쉼표 [0] 2 2 2 8 19" xfId="0"/>
    <cellStyle name="쉼표 [0] 2 2 2 8 2" xfId="0"/>
    <cellStyle name="쉼표 [0] 2 2 2 8 2 2" xfId="0"/>
    <cellStyle name="쉼표 [0] 2 2 2 8 2 3" xfId="0"/>
    <cellStyle name="쉼표 [0] 2 2 2 8 2 4" xfId="0"/>
    <cellStyle name="쉼표 [0] 2 2 2 8 2 5" xfId="0"/>
    <cellStyle name="쉼표 [0] 2 2 2 8 2 6" xfId="0"/>
    <cellStyle name="쉼표 [0] 2 2 2 8 20" xfId="0"/>
    <cellStyle name="쉼표 [0] 2 2 2 8 3" xfId="0"/>
    <cellStyle name="쉼표 [0] 2 2 2 8 4" xfId="0"/>
    <cellStyle name="쉼표 [0] 2 2 2 8 5" xfId="0"/>
    <cellStyle name="쉼표 [0] 2 2 2 8 6" xfId="0"/>
    <cellStyle name="쉼표 [0] 2 2 2 8 7" xfId="0"/>
    <cellStyle name="쉼표 [0] 2 2 2 8 8" xfId="0"/>
    <cellStyle name="쉼표 [0] 2 2 2 8 9" xfId="0"/>
    <cellStyle name="쉼표 [0] 2 2 2 9" xfId="0"/>
    <cellStyle name="쉼표 [0] 2 2 2 9 10" xfId="0"/>
    <cellStyle name="쉼표 [0] 2 2 2 9 11" xfId="0"/>
    <cellStyle name="쉼표 [0] 2 2 2 9 12" xfId="0"/>
    <cellStyle name="쉼표 [0] 2 2 2 9 13" xfId="0"/>
    <cellStyle name="쉼표 [0] 2 2 2 9 2" xfId="0"/>
    <cellStyle name="쉼표 [0] 2 2 2 9 3" xfId="0"/>
    <cellStyle name="쉼표 [0] 2 2 2 9 4" xfId="0"/>
    <cellStyle name="쉼표 [0] 2 2 2 9 5" xfId="0"/>
    <cellStyle name="쉼표 [0] 2 2 2 9 6" xfId="0"/>
    <cellStyle name="쉼표 [0] 2 2 2 9 7" xfId="0"/>
    <cellStyle name="쉼표 [0] 2 2 2 9 8" xfId="0"/>
    <cellStyle name="쉼표 [0] 2 2 2 9 9" xfId="0"/>
    <cellStyle name="쉼표 [0] 2 2 20" xfId="0"/>
    <cellStyle name="쉼표 [0] 2 2 20 10" xfId="0"/>
    <cellStyle name="쉼표 [0] 2 2 20 11" xfId="0"/>
    <cellStyle name="쉼표 [0] 2 2 20 12" xfId="0"/>
    <cellStyle name="쉼표 [0] 2 2 20 13" xfId="0"/>
    <cellStyle name="쉼표 [0] 2 2 20 14" xfId="0"/>
    <cellStyle name="쉼표 [0] 2 2 20 2" xfId="0"/>
    <cellStyle name="쉼표 [0] 2 2 20 3" xfId="0"/>
    <cellStyle name="쉼표 [0] 2 2 20 4" xfId="0"/>
    <cellStyle name="쉼표 [0] 2 2 20 5" xfId="0"/>
    <cellStyle name="쉼표 [0] 2 2 20 6" xfId="0"/>
    <cellStyle name="쉼표 [0] 2 2 20 7" xfId="0"/>
    <cellStyle name="쉼표 [0] 2 2 20 8" xfId="0"/>
    <cellStyle name="쉼표 [0] 2 2 20 9" xfId="0"/>
    <cellStyle name="쉼표 [0] 2 2 21" xfId="0"/>
    <cellStyle name="쉼표 [0] 2 2 21 10" xfId="0"/>
    <cellStyle name="쉼표 [0] 2 2 21 11" xfId="0"/>
    <cellStyle name="쉼표 [0] 2 2 21 12" xfId="0"/>
    <cellStyle name="쉼표 [0] 2 2 21 13" xfId="0"/>
    <cellStyle name="쉼표 [0] 2 2 21 14" xfId="0"/>
    <cellStyle name="쉼표 [0] 2 2 21 2" xfId="0"/>
    <cellStyle name="쉼표 [0] 2 2 21 3" xfId="0"/>
    <cellStyle name="쉼표 [0] 2 2 21 4" xfId="0"/>
    <cellStyle name="쉼표 [0] 2 2 21 5" xfId="0"/>
    <cellStyle name="쉼표 [0] 2 2 21 6" xfId="0"/>
    <cellStyle name="쉼표 [0] 2 2 21 7" xfId="0"/>
    <cellStyle name="쉼표 [0] 2 2 21 8" xfId="0"/>
    <cellStyle name="쉼표 [0] 2 2 21 9" xfId="0"/>
    <cellStyle name="쉼표 [0] 2 2 22" xfId="0"/>
    <cellStyle name="쉼표 [0] 2 2 22 10" xfId="0"/>
    <cellStyle name="쉼표 [0] 2 2 22 11" xfId="0"/>
    <cellStyle name="쉼표 [0] 2 2 22 12" xfId="0"/>
    <cellStyle name="쉼표 [0] 2 2 22 13" xfId="0"/>
    <cellStyle name="쉼표 [0] 2 2 22 2" xfId="0"/>
    <cellStyle name="쉼표 [0] 2 2 22 3" xfId="0"/>
    <cellStyle name="쉼표 [0] 2 2 22 4" xfId="0"/>
    <cellStyle name="쉼표 [0] 2 2 22 5" xfId="0"/>
    <cellStyle name="쉼표 [0] 2 2 22 6" xfId="0"/>
    <cellStyle name="쉼표 [0] 2 2 22 7" xfId="0"/>
    <cellStyle name="쉼표 [0] 2 2 22 8" xfId="0"/>
    <cellStyle name="쉼표 [0] 2 2 22 9" xfId="0"/>
    <cellStyle name="쉼표 [0] 2 2 23" xfId="0"/>
    <cellStyle name="쉼표 [0] 2 2 23 10" xfId="0"/>
    <cellStyle name="쉼표 [0] 2 2 23 11" xfId="0"/>
    <cellStyle name="쉼표 [0] 2 2 23 12" xfId="0"/>
    <cellStyle name="쉼표 [0] 2 2 23 13" xfId="0"/>
    <cellStyle name="쉼표 [0] 2 2 23 2" xfId="0"/>
    <cellStyle name="쉼표 [0] 2 2 23 3" xfId="0"/>
    <cellStyle name="쉼표 [0] 2 2 23 4" xfId="0"/>
    <cellStyle name="쉼표 [0] 2 2 23 5" xfId="0"/>
    <cellStyle name="쉼표 [0] 2 2 23 6" xfId="0"/>
    <cellStyle name="쉼표 [0] 2 2 23 7" xfId="0"/>
    <cellStyle name="쉼표 [0] 2 2 23 8" xfId="0"/>
    <cellStyle name="쉼표 [0] 2 2 23 9" xfId="0"/>
    <cellStyle name="쉼표 [0] 2 2 24" xfId="0"/>
    <cellStyle name="쉼표 [0] 2 2 24 10" xfId="0"/>
    <cellStyle name="쉼표 [0] 2 2 24 11" xfId="0"/>
    <cellStyle name="쉼표 [0] 2 2 24 12" xfId="0"/>
    <cellStyle name="쉼표 [0] 2 2 24 13" xfId="0"/>
    <cellStyle name="쉼표 [0] 2 2 24 2" xfId="0"/>
    <cellStyle name="쉼표 [0] 2 2 24 3" xfId="0"/>
    <cellStyle name="쉼표 [0] 2 2 24 4" xfId="0"/>
    <cellStyle name="쉼표 [0] 2 2 24 5" xfId="0"/>
    <cellStyle name="쉼표 [0] 2 2 24 6" xfId="0"/>
    <cellStyle name="쉼표 [0] 2 2 24 7" xfId="0"/>
    <cellStyle name="쉼표 [0] 2 2 24 8" xfId="0"/>
    <cellStyle name="쉼표 [0] 2 2 24 9" xfId="0"/>
    <cellStyle name="쉼표 [0] 2 2 25" xfId="0"/>
    <cellStyle name="쉼표 [0] 2 2 25 10" xfId="0"/>
    <cellStyle name="쉼표 [0] 2 2 25 11" xfId="0"/>
    <cellStyle name="쉼표 [0] 2 2 25 12" xfId="0"/>
    <cellStyle name="쉼표 [0] 2 2 25 13" xfId="0"/>
    <cellStyle name="쉼표 [0] 2 2 25 2" xfId="0"/>
    <cellStyle name="쉼표 [0] 2 2 25 3" xfId="0"/>
    <cellStyle name="쉼표 [0] 2 2 25 4" xfId="0"/>
    <cellStyle name="쉼표 [0] 2 2 25 5" xfId="0"/>
    <cellStyle name="쉼표 [0] 2 2 25 6" xfId="0"/>
    <cellStyle name="쉼표 [0] 2 2 25 7" xfId="0"/>
    <cellStyle name="쉼표 [0] 2 2 25 8" xfId="0"/>
    <cellStyle name="쉼표 [0] 2 2 25 9" xfId="0"/>
    <cellStyle name="쉼표 [0] 2 2 26" xfId="0"/>
    <cellStyle name="쉼표 [0] 2 2 26 10" xfId="0"/>
    <cellStyle name="쉼표 [0] 2 2 26 11" xfId="0"/>
    <cellStyle name="쉼표 [0] 2 2 26 12" xfId="0"/>
    <cellStyle name="쉼표 [0] 2 2 26 13" xfId="0"/>
    <cellStyle name="쉼표 [0] 2 2 26 14" xfId="0"/>
    <cellStyle name="쉼표 [0] 2 2 26 15" xfId="0"/>
    <cellStyle name="쉼표 [0] 2 2 26 16" xfId="0"/>
    <cellStyle name="쉼표 [0] 2 2 26 17" xfId="0"/>
    <cellStyle name="쉼표 [0] 2 2 26 18" xfId="0"/>
    <cellStyle name="쉼표 [0] 2 2 26 2" xfId="0"/>
    <cellStyle name="쉼표 [0] 2 2 26 2 2" xfId="0"/>
    <cellStyle name="쉼표 [0] 2 2 26 2 2 10" xfId="0"/>
    <cellStyle name="쉼표 [0] 2 2 26 2 2 11" xfId="0"/>
    <cellStyle name="쉼표 [0] 2 2 26 2 2 12" xfId="0"/>
    <cellStyle name="쉼표 [0] 2 2 26 2 2 13" xfId="0"/>
    <cellStyle name="쉼표 [0] 2 2 26 2 2 14" xfId="0"/>
    <cellStyle name="쉼표 [0] 2 2 26 2 2 15" xfId="0"/>
    <cellStyle name="쉼표 [0] 2 2 26 2 2 16" xfId="0"/>
    <cellStyle name="쉼표 [0] 2 2 26 2 2 17" xfId="0"/>
    <cellStyle name="쉼표 [0] 2 2 26 2 2 2" xfId="0"/>
    <cellStyle name="쉼표 [0] 2 2 26 2 2 3" xfId="0"/>
    <cellStyle name="쉼표 [0] 2 2 26 2 2 4" xfId="0"/>
    <cellStyle name="쉼표 [0] 2 2 26 2 2 5" xfId="0"/>
    <cellStyle name="쉼표 [0] 2 2 26 2 2 6" xfId="0"/>
    <cellStyle name="쉼표 [0] 2 2 26 2 2 7" xfId="0"/>
    <cellStyle name="쉼표 [0] 2 2 26 2 2 8" xfId="0"/>
    <cellStyle name="쉼표 [0] 2 2 26 2 2 9" xfId="0"/>
    <cellStyle name="쉼표 [0] 2 2 26 2 3" xfId="0"/>
    <cellStyle name="쉼표 [0] 2 2 26 2 3 10" xfId="0"/>
    <cellStyle name="쉼표 [0] 2 2 26 2 3 11" xfId="0"/>
    <cellStyle name="쉼표 [0] 2 2 26 2 3 12" xfId="0"/>
    <cellStyle name="쉼표 [0] 2 2 26 2 3 13" xfId="0"/>
    <cellStyle name="쉼표 [0] 2 2 26 2 3 2" xfId="0"/>
    <cellStyle name="쉼표 [0] 2 2 26 2 3 3" xfId="0"/>
    <cellStyle name="쉼표 [0] 2 2 26 2 3 4" xfId="0"/>
    <cellStyle name="쉼표 [0] 2 2 26 2 3 5" xfId="0"/>
    <cellStyle name="쉼표 [0] 2 2 26 2 3 6" xfId="0"/>
    <cellStyle name="쉼표 [0] 2 2 26 2 3 7" xfId="0"/>
    <cellStyle name="쉼표 [0] 2 2 26 2 3 8" xfId="0"/>
    <cellStyle name="쉼표 [0] 2 2 26 2 3 9" xfId="0"/>
    <cellStyle name="쉼표 [0] 2 2 26 2 4" xfId="0"/>
    <cellStyle name="쉼표 [0] 2 2 26 2 4 10" xfId="0"/>
    <cellStyle name="쉼표 [0] 2 2 26 2 4 11" xfId="0"/>
    <cellStyle name="쉼표 [0] 2 2 26 2 4 12" xfId="0"/>
    <cellStyle name="쉼표 [0] 2 2 26 2 4 13" xfId="0"/>
    <cellStyle name="쉼표 [0] 2 2 26 2 4 2" xfId="0"/>
    <cellStyle name="쉼표 [0] 2 2 26 2 4 3" xfId="0"/>
    <cellStyle name="쉼표 [0] 2 2 26 2 4 4" xfId="0"/>
    <cellStyle name="쉼표 [0] 2 2 26 2 4 5" xfId="0"/>
    <cellStyle name="쉼표 [0] 2 2 26 2 4 6" xfId="0"/>
    <cellStyle name="쉼표 [0] 2 2 26 2 4 7" xfId="0"/>
    <cellStyle name="쉼표 [0] 2 2 26 2 4 8" xfId="0"/>
    <cellStyle name="쉼표 [0] 2 2 26 2 4 9" xfId="0"/>
    <cellStyle name="쉼표 [0] 2 2 26 2 5" xfId="0"/>
    <cellStyle name="쉼표 [0] 2 2 26 2 5 10" xfId="0"/>
    <cellStyle name="쉼표 [0] 2 2 26 2 5 11" xfId="0"/>
    <cellStyle name="쉼표 [0] 2 2 26 2 5 12" xfId="0"/>
    <cellStyle name="쉼표 [0] 2 2 26 2 5 13" xfId="0"/>
    <cellStyle name="쉼표 [0] 2 2 26 2 5 2" xfId="0"/>
    <cellStyle name="쉼표 [0] 2 2 26 2 5 3" xfId="0"/>
    <cellStyle name="쉼표 [0] 2 2 26 2 5 4" xfId="0"/>
    <cellStyle name="쉼표 [0] 2 2 26 2 5 5" xfId="0"/>
    <cellStyle name="쉼표 [0] 2 2 26 2 5 6" xfId="0"/>
    <cellStyle name="쉼표 [0] 2 2 26 2 5 7" xfId="0"/>
    <cellStyle name="쉼표 [0] 2 2 26 2 5 8" xfId="0"/>
    <cellStyle name="쉼표 [0] 2 2 26 2 5 9" xfId="0"/>
    <cellStyle name="쉼표 [0] 2 2 26 3" xfId="0"/>
    <cellStyle name="쉼표 [0] 2 2 26 4" xfId="0"/>
    <cellStyle name="쉼표 [0] 2 2 26 5" xfId="0"/>
    <cellStyle name="쉼표 [0] 2 2 26 6" xfId="0"/>
    <cellStyle name="쉼표 [0] 2 2 26 7" xfId="0"/>
    <cellStyle name="쉼표 [0] 2 2 26 8" xfId="0"/>
    <cellStyle name="쉼표 [0] 2 2 26 9" xfId="0"/>
    <cellStyle name="쉼표 [0] 2 2 27" xfId="0"/>
    <cellStyle name="쉼표 [0] 2 2 27 10" xfId="0"/>
    <cellStyle name="쉼표 [0] 2 2 27 11" xfId="0"/>
    <cellStyle name="쉼표 [0] 2 2 27 12" xfId="0"/>
    <cellStyle name="쉼표 [0] 2 2 27 13" xfId="0"/>
    <cellStyle name="쉼표 [0] 2 2 27 14" xfId="0"/>
    <cellStyle name="쉼표 [0] 2 2 27 15" xfId="0"/>
    <cellStyle name="쉼표 [0] 2 2 27 16" xfId="0"/>
    <cellStyle name="쉼표 [0] 2 2 27 17" xfId="0"/>
    <cellStyle name="쉼표 [0] 2 2 27 2" xfId="0"/>
    <cellStyle name="쉼표 [0] 2 2 27 3" xfId="0"/>
    <cellStyle name="쉼표 [0] 2 2 27 4" xfId="0"/>
    <cellStyle name="쉼표 [0] 2 2 27 5" xfId="0"/>
    <cellStyle name="쉼표 [0] 2 2 27 6" xfId="0"/>
    <cellStyle name="쉼표 [0] 2 2 27 7" xfId="0"/>
    <cellStyle name="쉼표 [0] 2 2 27 8" xfId="0"/>
    <cellStyle name="쉼표 [0] 2 2 27 9" xfId="0"/>
    <cellStyle name="쉼표 [0] 2 2 28" xfId="0"/>
    <cellStyle name="쉼표 [0] 2 2 28 10" xfId="0"/>
    <cellStyle name="쉼표 [0] 2 2 28 11" xfId="0"/>
    <cellStyle name="쉼표 [0] 2 2 28 12" xfId="0"/>
    <cellStyle name="쉼표 [0] 2 2 28 13" xfId="0"/>
    <cellStyle name="쉼표 [0] 2 2 28 2" xfId="0"/>
    <cellStyle name="쉼표 [0] 2 2 28 3" xfId="0"/>
    <cellStyle name="쉼표 [0] 2 2 28 4" xfId="0"/>
    <cellStyle name="쉼표 [0] 2 2 28 5" xfId="0"/>
    <cellStyle name="쉼표 [0] 2 2 28 6" xfId="0"/>
    <cellStyle name="쉼표 [0] 2 2 28 7" xfId="0"/>
    <cellStyle name="쉼표 [0] 2 2 28 8" xfId="0"/>
    <cellStyle name="쉼표 [0] 2 2 28 9" xfId="0"/>
    <cellStyle name="쉼표 [0] 2 2 29" xfId="0"/>
    <cellStyle name="쉼표 [0] 2 2 29 10" xfId="0"/>
    <cellStyle name="쉼표 [0] 2 2 29 11" xfId="0"/>
    <cellStyle name="쉼표 [0] 2 2 29 12" xfId="0"/>
    <cellStyle name="쉼표 [0] 2 2 29 13" xfId="0"/>
    <cellStyle name="쉼표 [0] 2 2 29 2" xfId="0"/>
    <cellStyle name="쉼표 [0] 2 2 29 3" xfId="0"/>
    <cellStyle name="쉼표 [0] 2 2 29 4" xfId="0"/>
    <cellStyle name="쉼표 [0] 2 2 29 5" xfId="0"/>
    <cellStyle name="쉼표 [0] 2 2 29 6" xfId="0"/>
    <cellStyle name="쉼표 [0] 2 2 29 7" xfId="0"/>
    <cellStyle name="쉼표 [0] 2 2 29 8" xfId="0"/>
    <cellStyle name="쉼표 [0] 2 2 29 9" xfId="0"/>
    <cellStyle name="쉼표 [0] 2 2 3" xfId="0"/>
    <cellStyle name="쉼표 [0] 2 2 3 10" xfId="0"/>
    <cellStyle name="쉼표 [0] 2 2 3 10 2" xfId="0"/>
    <cellStyle name="쉼표 [0] 2 2 3 11" xfId="0"/>
    <cellStyle name="쉼표 [0] 2 2 3 11 2" xfId="0"/>
    <cellStyle name="쉼표 [0] 2 2 3 12" xfId="0"/>
    <cellStyle name="쉼표 [0] 2 2 3 12 2" xfId="0"/>
    <cellStyle name="쉼표 [0] 2 2 3 13" xfId="0"/>
    <cellStyle name="쉼표 [0] 2 2 3 13 2" xfId="0"/>
    <cellStyle name="쉼표 [0] 2 2 3 14" xfId="0"/>
    <cellStyle name="쉼표 [0] 2 2 3 14 2" xfId="0"/>
    <cellStyle name="쉼표 [0] 2 2 3 15" xfId="0"/>
    <cellStyle name="쉼표 [0] 2 2 3 15 2" xfId="0"/>
    <cellStyle name="쉼표 [0] 2 2 3 16" xfId="0"/>
    <cellStyle name="쉼표 [0] 2 2 3 16 2" xfId="0"/>
    <cellStyle name="쉼표 [0] 2 2 3 17" xfId="0"/>
    <cellStyle name="쉼표 [0] 2 2 3 18" xfId="0"/>
    <cellStyle name="쉼표 [0] 2 2 3 19" xfId="0"/>
    <cellStyle name="쉼표 [0] 2 2 3 2" xfId="0"/>
    <cellStyle name="쉼표 [0] 2 2 3 2 10" xfId="0"/>
    <cellStyle name="쉼표 [0] 2 2 3 2 11" xfId="0"/>
    <cellStyle name="쉼표 [0] 2 2 3 2 12" xfId="0"/>
    <cellStyle name="쉼표 [0] 2 2 3 2 13" xfId="0"/>
    <cellStyle name="쉼표 [0] 2 2 3 2 2" xfId="0"/>
    <cellStyle name="쉼표 [0] 2 2 3 2 3" xfId="0"/>
    <cellStyle name="쉼표 [0] 2 2 3 2 4" xfId="0"/>
    <cellStyle name="쉼표 [0] 2 2 3 2 5" xfId="0"/>
    <cellStyle name="쉼표 [0] 2 2 3 2 6" xfId="0"/>
    <cellStyle name="쉼표 [0] 2 2 3 2 7" xfId="0"/>
    <cellStyle name="쉼표 [0] 2 2 3 2 8" xfId="0"/>
    <cellStyle name="쉼표 [0] 2 2 3 2 9" xfId="0"/>
    <cellStyle name="쉼표 [0] 2 2 3 20" xfId="0"/>
    <cellStyle name="쉼표 [0] 2 2 3 21" xfId="0"/>
    <cellStyle name="쉼표 [0] 2 2 3 22" xfId="0"/>
    <cellStyle name="쉼표 [0] 2 2 3 23" xfId="0"/>
    <cellStyle name="쉼표 [0] 2 2 3 24" xfId="0"/>
    <cellStyle name="쉼표 [0] 2 2 3 25" xfId="0"/>
    <cellStyle name="쉼표 [0] 2 2 3 3" xfId="0"/>
    <cellStyle name="쉼표 [0] 2 2 3 3 10" xfId="0"/>
    <cellStyle name="쉼표 [0] 2 2 3 3 11" xfId="0"/>
    <cellStyle name="쉼표 [0] 2 2 3 3 12" xfId="0"/>
    <cellStyle name="쉼표 [0] 2 2 3 3 13" xfId="0"/>
    <cellStyle name="쉼표 [0] 2 2 3 3 2" xfId="0"/>
    <cellStyle name="쉼표 [0] 2 2 3 3 3" xfId="0"/>
    <cellStyle name="쉼표 [0] 2 2 3 3 4" xfId="0"/>
    <cellStyle name="쉼표 [0] 2 2 3 3 5" xfId="0"/>
    <cellStyle name="쉼표 [0] 2 2 3 3 6" xfId="0"/>
    <cellStyle name="쉼표 [0] 2 2 3 3 7" xfId="0"/>
    <cellStyle name="쉼표 [0] 2 2 3 3 8" xfId="0"/>
    <cellStyle name="쉼표 [0] 2 2 3 3 9" xfId="0"/>
    <cellStyle name="쉼표 [0] 2 2 3 4" xfId="0"/>
    <cellStyle name="쉼표 [0] 2 2 3 4 10" xfId="0"/>
    <cellStyle name="쉼표 [0] 2 2 3 4 11" xfId="0"/>
    <cellStyle name="쉼표 [0] 2 2 3 4 12" xfId="0"/>
    <cellStyle name="쉼표 [0] 2 2 3 4 13" xfId="0"/>
    <cellStyle name="쉼표 [0] 2 2 3 4 2" xfId="0"/>
    <cellStyle name="쉼표 [0] 2 2 3 4 3" xfId="0"/>
    <cellStyle name="쉼표 [0] 2 2 3 4 4" xfId="0"/>
    <cellStyle name="쉼표 [0] 2 2 3 4 5" xfId="0"/>
    <cellStyle name="쉼표 [0] 2 2 3 4 6" xfId="0"/>
    <cellStyle name="쉼표 [0] 2 2 3 4 7" xfId="0"/>
    <cellStyle name="쉼표 [0] 2 2 3 4 8" xfId="0"/>
    <cellStyle name="쉼표 [0] 2 2 3 4 9" xfId="0"/>
    <cellStyle name="쉼표 [0] 2 2 3 5" xfId="0"/>
    <cellStyle name="쉼표 [0] 2 2 3 5 10" xfId="0"/>
    <cellStyle name="쉼표 [0] 2 2 3 5 11" xfId="0"/>
    <cellStyle name="쉼표 [0] 2 2 3 5 12" xfId="0"/>
    <cellStyle name="쉼표 [0] 2 2 3 5 13" xfId="0"/>
    <cellStyle name="쉼표 [0] 2 2 3 5 2" xfId="0"/>
    <cellStyle name="쉼표 [0] 2 2 3 5 3" xfId="0"/>
    <cellStyle name="쉼표 [0] 2 2 3 5 4" xfId="0"/>
    <cellStyle name="쉼표 [0] 2 2 3 5 5" xfId="0"/>
    <cellStyle name="쉼표 [0] 2 2 3 5 6" xfId="0"/>
    <cellStyle name="쉼표 [0] 2 2 3 5 7" xfId="0"/>
    <cellStyle name="쉼표 [0] 2 2 3 5 8" xfId="0"/>
    <cellStyle name="쉼표 [0] 2 2 3 5 9" xfId="0"/>
    <cellStyle name="쉼표 [0] 2 2 3 6" xfId="0"/>
    <cellStyle name="쉼표 [0] 2 2 3 6 10" xfId="0"/>
    <cellStyle name="쉼표 [0] 2 2 3 6 11" xfId="0"/>
    <cellStyle name="쉼표 [0] 2 2 3 6 12" xfId="0"/>
    <cellStyle name="쉼표 [0] 2 2 3 6 13" xfId="0"/>
    <cellStyle name="쉼표 [0] 2 2 3 6 2" xfId="0"/>
    <cellStyle name="쉼표 [0] 2 2 3 6 3" xfId="0"/>
    <cellStyle name="쉼표 [0] 2 2 3 6 4" xfId="0"/>
    <cellStyle name="쉼표 [0] 2 2 3 6 5" xfId="0"/>
    <cellStyle name="쉼표 [0] 2 2 3 6 6" xfId="0"/>
    <cellStyle name="쉼표 [0] 2 2 3 6 7" xfId="0"/>
    <cellStyle name="쉼표 [0] 2 2 3 6 8" xfId="0"/>
    <cellStyle name="쉼표 [0] 2 2 3 6 9" xfId="0"/>
    <cellStyle name="쉼표 [0] 2 2 3 7" xfId="0"/>
    <cellStyle name="쉼표 [0] 2 2 3 7 2" xfId="0"/>
    <cellStyle name="쉼표 [0] 2 2 3 8" xfId="0"/>
    <cellStyle name="쉼표 [0] 2 2 3 8 2" xfId="0"/>
    <cellStyle name="쉼표 [0] 2 2 3 9" xfId="0"/>
    <cellStyle name="쉼표 [0] 2 2 3 9 2" xfId="0"/>
    <cellStyle name="쉼표 [0] 2 2 30" xfId="0"/>
    <cellStyle name="쉼표 [0] 2 2 30 10" xfId="0"/>
    <cellStyle name="쉼표 [0] 2 2 30 11" xfId="0"/>
    <cellStyle name="쉼표 [0] 2 2 30 12" xfId="0"/>
    <cellStyle name="쉼표 [0] 2 2 30 13" xfId="0"/>
    <cellStyle name="쉼표 [0] 2 2 30 2" xfId="0"/>
    <cellStyle name="쉼표 [0] 2 2 30 3" xfId="0"/>
    <cellStyle name="쉼표 [0] 2 2 30 4" xfId="0"/>
    <cellStyle name="쉼표 [0] 2 2 30 5" xfId="0"/>
    <cellStyle name="쉼표 [0] 2 2 30 6" xfId="0"/>
    <cellStyle name="쉼표 [0] 2 2 30 7" xfId="0"/>
    <cellStyle name="쉼표 [0] 2 2 30 8" xfId="0"/>
    <cellStyle name="쉼표 [0] 2 2 30 9" xfId="0"/>
    <cellStyle name="쉼표 [0] 2 2 31" xfId="0"/>
    <cellStyle name="쉼표 [0] 2 2 31 10" xfId="0"/>
    <cellStyle name="쉼표 [0] 2 2 31 11" xfId="0"/>
    <cellStyle name="쉼표 [0] 2 2 31 12" xfId="0"/>
    <cellStyle name="쉼표 [0] 2 2 31 13" xfId="0"/>
    <cellStyle name="쉼표 [0] 2 2 31 2" xfId="0"/>
    <cellStyle name="쉼표 [0] 2 2 31 3" xfId="0"/>
    <cellStyle name="쉼표 [0] 2 2 31 4" xfId="0"/>
    <cellStyle name="쉼표 [0] 2 2 31 5" xfId="0"/>
    <cellStyle name="쉼표 [0] 2 2 31 6" xfId="0"/>
    <cellStyle name="쉼표 [0] 2 2 31 7" xfId="0"/>
    <cellStyle name="쉼표 [0] 2 2 31 8" xfId="0"/>
    <cellStyle name="쉼표 [0] 2 2 31 9" xfId="0"/>
    <cellStyle name="쉼표 [0] 2 2 32" xfId="0"/>
    <cellStyle name="쉼표 [0] 2 2 32 10" xfId="0"/>
    <cellStyle name="쉼표 [0] 2 2 32 11" xfId="0"/>
    <cellStyle name="쉼표 [0] 2 2 32 12" xfId="0"/>
    <cellStyle name="쉼표 [0] 2 2 32 13" xfId="0"/>
    <cellStyle name="쉼표 [0] 2 2 32 2" xfId="0"/>
    <cellStyle name="쉼표 [0] 2 2 32 3" xfId="0"/>
    <cellStyle name="쉼표 [0] 2 2 32 4" xfId="0"/>
    <cellStyle name="쉼표 [0] 2 2 32 5" xfId="0"/>
    <cellStyle name="쉼표 [0] 2 2 32 6" xfId="0"/>
    <cellStyle name="쉼표 [0] 2 2 32 7" xfId="0"/>
    <cellStyle name="쉼표 [0] 2 2 32 8" xfId="0"/>
    <cellStyle name="쉼표 [0] 2 2 32 9" xfId="0"/>
    <cellStyle name="쉼표 [0] 2 2 33" xfId="0"/>
    <cellStyle name="쉼표 [0] 2 2 33 10" xfId="0"/>
    <cellStyle name="쉼표 [0] 2 2 33 11" xfId="0"/>
    <cellStyle name="쉼표 [0] 2 2 33 12" xfId="0"/>
    <cellStyle name="쉼표 [0] 2 2 33 13" xfId="0"/>
    <cellStyle name="쉼표 [0] 2 2 33 2" xfId="0"/>
    <cellStyle name="쉼표 [0] 2 2 33 3" xfId="0"/>
    <cellStyle name="쉼표 [0] 2 2 33 4" xfId="0"/>
    <cellStyle name="쉼표 [0] 2 2 33 5" xfId="0"/>
    <cellStyle name="쉼표 [0] 2 2 33 6" xfId="0"/>
    <cellStyle name="쉼표 [0] 2 2 33 7" xfId="0"/>
    <cellStyle name="쉼표 [0] 2 2 33 8" xfId="0"/>
    <cellStyle name="쉼표 [0] 2 2 33 9" xfId="0"/>
    <cellStyle name="쉼표 [0] 2 2 34" xfId="0"/>
    <cellStyle name="쉼표 [0] 2 2 34 10" xfId="0"/>
    <cellStyle name="쉼표 [0] 2 2 34 11" xfId="0"/>
    <cellStyle name="쉼표 [0] 2 2 34 12" xfId="0"/>
    <cellStyle name="쉼표 [0] 2 2 34 13" xfId="0"/>
    <cellStyle name="쉼표 [0] 2 2 34 2" xfId="0"/>
    <cellStyle name="쉼표 [0] 2 2 34 3" xfId="0"/>
    <cellStyle name="쉼표 [0] 2 2 34 4" xfId="0"/>
    <cellStyle name="쉼표 [0] 2 2 34 5" xfId="0"/>
    <cellStyle name="쉼표 [0] 2 2 34 6" xfId="0"/>
    <cellStyle name="쉼표 [0] 2 2 34 7" xfId="0"/>
    <cellStyle name="쉼표 [0] 2 2 34 8" xfId="0"/>
    <cellStyle name="쉼표 [0] 2 2 34 9" xfId="0"/>
    <cellStyle name="쉼표 [0] 2 2 35" xfId="0"/>
    <cellStyle name="쉼표 [0] 2 2 35 2" xfId="0"/>
    <cellStyle name="쉼표 [0] 2 2 35 3" xfId="0"/>
    <cellStyle name="쉼표 [0] 2 2 35 4" xfId="0"/>
    <cellStyle name="쉼표 [0] 2 2 35 5" xfId="0"/>
    <cellStyle name="쉼표 [0] 2 2 36" xfId="0"/>
    <cellStyle name="쉼표 [0] 2 2 37" xfId="0"/>
    <cellStyle name="쉼표 [0] 2 2 38" xfId="0"/>
    <cellStyle name="쉼표 [0] 2 2 39" xfId="0"/>
    <cellStyle name="쉼표 [0] 2 2 4" xfId="0"/>
    <cellStyle name="쉼표 [0] 2 2 4 10" xfId="0"/>
    <cellStyle name="쉼표 [0] 2 2 4 10 2" xfId="0"/>
    <cellStyle name="쉼표 [0] 2 2 4 11" xfId="0"/>
    <cellStyle name="쉼표 [0] 2 2 4 11 2" xfId="0"/>
    <cellStyle name="쉼표 [0] 2 2 4 12" xfId="0"/>
    <cellStyle name="쉼표 [0] 2 2 4 12 2" xfId="0"/>
    <cellStyle name="쉼표 [0] 2 2 4 13" xfId="0"/>
    <cellStyle name="쉼표 [0] 2 2 4 13 2" xfId="0"/>
    <cellStyle name="쉼표 [0] 2 2 4 14" xfId="0"/>
    <cellStyle name="쉼표 [0] 2 2 4 14 2" xfId="0"/>
    <cellStyle name="쉼표 [0] 2 2 4 15" xfId="0"/>
    <cellStyle name="쉼표 [0] 2 2 4 15 2" xfId="0"/>
    <cellStyle name="쉼표 [0] 2 2 4 16" xfId="0"/>
    <cellStyle name="쉼표 [0] 2 2 4 16 2" xfId="0"/>
    <cellStyle name="쉼표 [0] 2 2 4 17" xfId="0"/>
    <cellStyle name="쉼표 [0] 2 2 4 18" xfId="0"/>
    <cellStyle name="쉼표 [0] 2 2 4 19" xfId="0"/>
    <cellStyle name="쉼표 [0] 2 2 4 2" xfId="0"/>
    <cellStyle name="쉼표 [0] 2 2 4 2 10" xfId="0"/>
    <cellStyle name="쉼표 [0] 2 2 4 2 11" xfId="0"/>
    <cellStyle name="쉼표 [0] 2 2 4 2 12" xfId="0"/>
    <cellStyle name="쉼표 [0] 2 2 4 2 13" xfId="0"/>
    <cellStyle name="쉼표 [0] 2 2 4 2 2" xfId="0"/>
    <cellStyle name="쉼표 [0] 2 2 4 2 3" xfId="0"/>
    <cellStyle name="쉼표 [0] 2 2 4 2 4" xfId="0"/>
    <cellStyle name="쉼표 [0] 2 2 4 2 5" xfId="0"/>
    <cellStyle name="쉼표 [0] 2 2 4 2 6" xfId="0"/>
    <cellStyle name="쉼표 [0] 2 2 4 2 7" xfId="0"/>
    <cellStyle name="쉼표 [0] 2 2 4 2 8" xfId="0"/>
    <cellStyle name="쉼표 [0] 2 2 4 2 9" xfId="0"/>
    <cellStyle name="쉼표 [0] 2 2 4 20" xfId="0"/>
    <cellStyle name="쉼표 [0] 2 2 4 21" xfId="0"/>
    <cellStyle name="쉼표 [0] 2 2 4 22" xfId="0"/>
    <cellStyle name="쉼표 [0] 2 2 4 23" xfId="0"/>
    <cellStyle name="쉼표 [0] 2 2 4 24" xfId="0"/>
    <cellStyle name="쉼표 [0] 2 2 4 25" xfId="0"/>
    <cellStyle name="쉼표 [0] 2 2 4 3" xfId="0"/>
    <cellStyle name="쉼표 [0] 2 2 4 3 10" xfId="0"/>
    <cellStyle name="쉼표 [0] 2 2 4 3 11" xfId="0"/>
    <cellStyle name="쉼표 [0] 2 2 4 3 12" xfId="0"/>
    <cellStyle name="쉼표 [0] 2 2 4 3 13" xfId="0"/>
    <cellStyle name="쉼표 [0] 2 2 4 3 2" xfId="0"/>
    <cellStyle name="쉼표 [0] 2 2 4 3 3" xfId="0"/>
    <cellStyle name="쉼표 [0] 2 2 4 3 4" xfId="0"/>
    <cellStyle name="쉼표 [0] 2 2 4 3 5" xfId="0"/>
    <cellStyle name="쉼표 [0] 2 2 4 3 6" xfId="0"/>
    <cellStyle name="쉼표 [0] 2 2 4 3 7" xfId="0"/>
    <cellStyle name="쉼표 [0] 2 2 4 3 8" xfId="0"/>
    <cellStyle name="쉼표 [0] 2 2 4 3 9" xfId="0"/>
    <cellStyle name="쉼표 [0] 2 2 4 4" xfId="0"/>
    <cellStyle name="쉼표 [0] 2 2 4 4 10" xfId="0"/>
    <cellStyle name="쉼표 [0] 2 2 4 4 11" xfId="0"/>
    <cellStyle name="쉼표 [0] 2 2 4 4 12" xfId="0"/>
    <cellStyle name="쉼표 [0] 2 2 4 4 13" xfId="0"/>
    <cellStyle name="쉼표 [0] 2 2 4 4 2" xfId="0"/>
    <cellStyle name="쉼표 [0] 2 2 4 4 3" xfId="0"/>
    <cellStyle name="쉼표 [0] 2 2 4 4 4" xfId="0"/>
    <cellStyle name="쉼표 [0] 2 2 4 4 5" xfId="0"/>
    <cellStyle name="쉼표 [0] 2 2 4 4 6" xfId="0"/>
    <cellStyle name="쉼표 [0] 2 2 4 4 7" xfId="0"/>
    <cellStyle name="쉼표 [0] 2 2 4 4 8" xfId="0"/>
    <cellStyle name="쉼표 [0] 2 2 4 4 9" xfId="0"/>
    <cellStyle name="쉼표 [0] 2 2 4 5" xfId="0"/>
    <cellStyle name="쉼표 [0] 2 2 4 5 10" xfId="0"/>
    <cellStyle name="쉼표 [0] 2 2 4 5 11" xfId="0"/>
    <cellStyle name="쉼표 [0] 2 2 4 5 12" xfId="0"/>
    <cellStyle name="쉼표 [0] 2 2 4 5 13" xfId="0"/>
    <cellStyle name="쉼표 [0] 2 2 4 5 2" xfId="0"/>
    <cellStyle name="쉼표 [0] 2 2 4 5 3" xfId="0"/>
    <cellStyle name="쉼표 [0] 2 2 4 5 4" xfId="0"/>
    <cellStyle name="쉼표 [0] 2 2 4 5 5" xfId="0"/>
    <cellStyle name="쉼표 [0] 2 2 4 5 6" xfId="0"/>
    <cellStyle name="쉼표 [0] 2 2 4 5 7" xfId="0"/>
    <cellStyle name="쉼표 [0] 2 2 4 5 8" xfId="0"/>
    <cellStyle name="쉼표 [0] 2 2 4 5 9" xfId="0"/>
    <cellStyle name="쉼표 [0] 2 2 4 6" xfId="0"/>
    <cellStyle name="쉼표 [0] 2 2 4 6 10" xfId="0"/>
    <cellStyle name="쉼표 [0] 2 2 4 6 11" xfId="0"/>
    <cellStyle name="쉼표 [0] 2 2 4 6 12" xfId="0"/>
    <cellStyle name="쉼표 [0] 2 2 4 6 13" xfId="0"/>
    <cellStyle name="쉼표 [0] 2 2 4 6 2" xfId="0"/>
    <cellStyle name="쉼표 [0] 2 2 4 6 3" xfId="0"/>
    <cellStyle name="쉼표 [0] 2 2 4 6 4" xfId="0"/>
    <cellStyle name="쉼표 [0] 2 2 4 6 5" xfId="0"/>
    <cellStyle name="쉼표 [0] 2 2 4 6 6" xfId="0"/>
    <cellStyle name="쉼표 [0] 2 2 4 6 7" xfId="0"/>
    <cellStyle name="쉼표 [0] 2 2 4 6 8" xfId="0"/>
    <cellStyle name="쉼표 [0] 2 2 4 6 9" xfId="0"/>
    <cellStyle name="쉼표 [0] 2 2 4 7" xfId="0"/>
    <cellStyle name="쉼표 [0] 2 2 4 7 2" xfId="0"/>
    <cellStyle name="쉼표 [0] 2 2 4 8" xfId="0"/>
    <cellStyle name="쉼표 [0] 2 2 4 8 2" xfId="0"/>
    <cellStyle name="쉼표 [0] 2 2 4 9" xfId="0"/>
    <cellStyle name="쉼표 [0] 2 2 4 9 2" xfId="0"/>
    <cellStyle name="쉼표 [0] 2 2 40" xfId="0"/>
    <cellStyle name="쉼표 [0] 2 2 41" xfId="0"/>
    <cellStyle name="쉼표 [0] 2 2 42" xfId="0"/>
    <cellStyle name="쉼표 [0] 2 2 43" xfId="0"/>
    <cellStyle name="쉼표 [0] 2 2 44" xfId="0"/>
    <cellStyle name="쉼표 [0] 2 2 44 2" xfId="0"/>
    <cellStyle name="쉼표 [0] 2 2 44 2 2" xfId="0"/>
    <cellStyle name="쉼표 [0] 2 2 44 2 3" xfId="0"/>
    <cellStyle name="쉼표 [0] 2 2 44 2 4" xfId="0"/>
    <cellStyle name="쉼표 [0] 2 2 44 3" xfId="0"/>
    <cellStyle name="쉼표 [0] 2 2 44 4" xfId="0"/>
    <cellStyle name="쉼표 [0] 2 2 44 5" xfId="0"/>
    <cellStyle name="쉼표 [0] 2 2 44 6" xfId="0"/>
    <cellStyle name="쉼표 [0] 2 2 44 7" xfId="0"/>
    <cellStyle name="쉼표 [0] 2 2 45" xfId="0"/>
    <cellStyle name="쉼표 [0] 2 2 46" xfId="0"/>
    <cellStyle name="쉼표 [0] 2 2 46 2" xfId="0"/>
    <cellStyle name="쉼표 [0] 2 2 46 3" xfId="0"/>
    <cellStyle name="쉼표 [0] 2 2 46 4" xfId="0"/>
    <cellStyle name="쉼표 [0] 2 2 47" xfId="0"/>
    <cellStyle name="쉼표 [0] 2 2 47 2" xfId="0"/>
    <cellStyle name="쉼표 [0] 2 2 47 3" xfId="0"/>
    <cellStyle name="쉼표 [0] 2 2 47 4" xfId="0"/>
    <cellStyle name="쉼표 [0] 2 2 48" xfId="0"/>
    <cellStyle name="쉼표 [0] 2 2 48 2" xfId="0"/>
    <cellStyle name="쉼표 [0] 2 2 48 3" xfId="0"/>
    <cellStyle name="쉼표 [0] 2 2 48 4" xfId="0"/>
    <cellStyle name="쉼표 [0] 2 2 49" xfId="0"/>
    <cellStyle name="쉼표 [0] 2 2 49 2" xfId="0"/>
    <cellStyle name="쉼표 [0] 2 2 49 3" xfId="0"/>
    <cellStyle name="쉼표 [0] 2 2 49 4" xfId="0"/>
    <cellStyle name="쉼표 [0] 2 2 5" xfId="0"/>
    <cellStyle name="쉼표 [0] 2 2 5 10" xfId="0"/>
    <cellStyle name="쉼표 [0] 2 2 5 11" xfId="0"/>
    <cellStyle name="쉼표 [0] 2 2 5 12" xfId="0"/>
    <cellStyle name="쉼표 [0] 2 2 5 13" xfId="0"/>
    <cellStyle name="쉼표 [0] 2 2 5 14" xfId="0"/>
    <cellStyle name="쉼표 [0] 2 2 5 15" xfId="0"/>
    <cellStyle name="쉼표 [0] 2 2 5 16" xfId="0"/>
    <cellStyle name="쉼표 [0] 2 2 5 17" xfId="0"/>
    <cellStyle name="쉼표 [0] 2 2 5 18" xfId="0"/>
    <cellStyle name="쉼표 [0] 2 2 5 19" xfId="0"/>
    <cellStyle name="쉼표 [0] 2 2 5 2" xfId="0"/>
    <cellStyle name="쉼표 [0] 2 2 5 20" xfId="0"/>
    <cellStyle name="쉼표 [0] 2 2 5 21" xfId="0"/>
    <cellStyle name="쉼표 [0] 2 2 5 22" xfId="0"/>
    <cellStyle name="쉼표 [0] 2 2 5 23" xfId="0"/>
    <cellStyle name="쉼표 [0] 2 2 5 24" xfId="0"/>
    <cellStyle name="쉼표 [0] 2 2 5 3" xfId="0"/>
    <cellStyle name="쉼표 [0] 2 2 5 4" xfId="0"/>
    <cellStyle name="쉼표 [0] 2 2 5 5" xfId="0"/>
    <cellStyle name="쉼표 [0] 2 2 5 6" xfId="0"/>
    <cellStyle name="쉼표 [0] 2 2 5 7" xfId="0"/>
    <cellStyle name="쉼표 [0] 2 2 5 8" xfId="0"/>
    <cellStyle name="쉼표 [0] 2 2 5 9" xfId="0"/>
    <cellStyle name="쉼표 [0] 2 2 50" xfId="0"/>
    <cellStyle name="쉼표 [0] 2 2 50 2" xfId="0"/>
    <cellStyle name="쉼표 [0] 2 2 50 3" xfId="0"/>
    <cellStyle name="쉼표 [0] 2 2 50 4" xfId="0"/>
    <cellStyle name="쉼표 [0] 2 2 51" xfId="0"/>
    <cellStyle name="쉼표 [0] 2 2 51 2" xfId="0"/>
    <cellStyle name="쉼표 [0] 2 2 51 3" xfId="0"/>
    <cellStyle name="쉼표 [0] 2 2 51 4" xfId="0"/>
    <cellStyle name="쉼표 [0] 2 2 52" xfId="0"/>
    <cellStyle name="쉼표 [0] 2 2 52 2" xfId="0"/>
    <cellStyle name="쉼표 [0] 2 2 52 3" xfId="0"/>
    <cellStyle name="쉼표 [0] 2 2 52 4" xfId="0"/>
    <cellStyle name="쉼표 [0] 2 2 53" xfId="0"/>
    <cellStyle name="쉼표 [0] 2 2 53 2" xfId="0"/>
    <cellStyle name="쉼표 [0] 2 2 53 3" xfId="0"/>
    <cellStyle name="쉼표 [0] 2 2 53 4" xfId="0"/>
    <cellStyle name="쉼표 [0] 2 2 54" xfId="0"/>
    <cellStyle name="쉼표 [0] 2 2 54 2" xfId="0"/>
    <cellStyle name="쉼표 [0] 2 2 54 3" xfId="0"/>
    <cellStyle name="쉼표 [0] 2 2 54 4" xfId="0"/>
    <cellStyle name="쉼표 [0] 2 2 55" xfId="0"/>
    <cellStyle name="쉼표 [0] 2 2 56" xfId="0"/>
    <cellStyle name="쉼표 [0] 2 2 57" xfId="0"/>
    <cellStyle name="쉼표 [0] 2 2 58" xfId="0"/>
    <cellStyle name="쉼표 [0] 2 2 59" xfId="0"/>
    <cellStyle name="쉼표 [0] 2 2 6" xfId="0"/>
    <cellStyle name="쉼표 [0] 2 2 6 10" xfId="0"/>
    <cellStyle name="쉼표 [0] 2 2 6 11" xfId="0"/>
    <cellStyle name="쉼표 [0] 2 2 6 12" xfId="0"/>
    <cellStyle name="쉼표 [0] 2 2 6 13" xfId="0"/>
    <cellStyle name="쉼표 [0] 2 2 6 14" xfId="0"/>
    <cellStyle name="쉼표 [0] 2 2 6 15" xfId="0"/>
    <cellStyle name="쉼표 [0] 2 2 6 16" xfId="0"/>
    <cellStyle name="쉼표 [0] 2 2 6 17" xfId="0"/>
    <cellStyle name="쉼표 [0] 2 2 6 18" xfId="0"/>
    <cellStyle name="쉼표 [0] 2 2 6 19" xfId="0"/>
    <cellStyle name="쉼표 [0] 2 2 6 2" xfId="0"/>
    <cellStyle name="쉼표 [0] 2 2 6 20" xfId="0"/>
    <cellStyle name="쉼표 [0] 2 2 6 21" xfId="0"/>
    <cellStyle name="쉼표 [0] 2 2 6 22" xfId="0"/>
    <cellStyle name="쉼표 [0] 2 2 6 23" xfId="0"/>
    <cellStyle name="쉼표 [0] 2 2 6 24" xfId="0"/>
    <cellStyle name="쉼표 [0] 2 2 6 25" xfId="0"/>
    <cellStyle name="쉼표 [0] 2 2 6 3" xfId="0"/>
    <cellStyle name="쉼표 [0] 2 2 6 4" xfId="0"/>
    <cellStyle name="쉼표 [0] 2 2 6 5" xfId="0"/>
    <cellStyle name="쉼표 [0] 2 2 6 6" xfId="0"/>
    <cellStyle name="쉼표 [0] 2 2 6 7" xfId="0"/>
    <cellStyle name="쉼표 [0] 2 2 6 8" xfId="0"/>
    <cellStyle name="쉼표 [0] 2 2 6 9" xfId="0"/>
    <cellStyle name="쉼표 [0] 2 2 60" xfId="0"/>
    <cellStyle name="쉼표 [0] 2 2 61" xfId="0"/>
    <cellStyle name="쉼표 [0] 2 2 62" xfId="0"/>
    <cellStyle name="쉼표 [0] 2 2 62 2" xfId="0"/>
    <cellStyle name="쉼표 [0] 2 2 62 2 2" xfId="0"/>
    <cellStyle name="쉼표 [0] 2 2 63" xfId="0"/>
    <cellStyle name="쉼표 [0] 2 2 7" xfId="0"/>
    <cellStyle name="쉼표 [0] 2 2 7 10" xfId="0"/>
    <cellStyle name="쉼표 [0] 2 2 7 11" xfId="0"/>
    <cellStyle name="쉼표 [0] 2 2 7 12" xfId="0"/>
    <cellStyle name="쉼표 [0] 2 2 7 13" xfId="0"/>
    <cellStyle name="쉼표 [0] 2 2 7 14" xfId="0"/>
    <cellStyle name="쉼표 [0] 2 2 7 15" xfId="0"/>
    <cellStyle name="쉼표 [0] 2 2 7 16" xfId="0"/>
    <cellStyle name="쉼표 [0] 2 2 7 17" xfId="0"/>
    <cellStyle name="쉼표 [0] 2 2 7 18" xfId="0"/>
    <cellStyle name="쉼표 [0] 2 2 7 19" xfId="0"/>
    <cellStyle name="쉼표 [0] 2 2 7 2" xfId="0"/>
    <cellStyle name="쉼표 [0] 2 2 7 20" xfId="0"/>
    <cellStyle name="쉼표 [0] 2 2 7 21" xfId="0"/>
    <cellStyle name="쉼표 [0] 2 2 7 22" xfId="0"/>
    <cellStyle name="쉼표 [0] 2 2 7 23" xfId="0"/>
    <cellStyle name="쉼표 [0] 2 2 7 24" xfId="0"/>
    <cellStyle name="쉼표 [0] 2 2 7 3" xfId="0"/>
    <cellStyle name="쉼표 [0] 2 2 7 4" xfId="0"/>
    <cellStyle name="쉼표 [0] 2 2 7 5" xfId="0"/>
    <cellStyle name="쉼표 [0] 2 2 7 6" xfId="0"/>
    <cellStyle name="쉼표 [0] 2 2 7 7" xfId="0"/>
    <cellStyle name="쉼표 [0] 2 2 7 8" xfId="0"/>
    <cellStyle name="쉼표 [0] 2 2 7 9" xfId="0"/>
    <cellStyle name="쉼표 [0] 2 2 8" xfId="0"/>
    <cellStyle name="쉼표 [0] 2 2 8 10" xfId="0"/>
    <cellStyle name="쉼표 [0] 2 2 8 11" xfId="0"/>
    <cellStyle name="쉼표 [0] 2 2 8 12" xfId="0"/>
    <cellStyle name="쉼표 [0] 2 2 8 13" xfId="0"/>
    <cellStyle name="쉼표 [0] 2 2 8 14" xfId="0"/>
    <cellStyle name="쉼표 [0] 2 2 8 15" xfId="0"/>
    <cellStyle name="쉼표 [0] 2 2 8 16" xfId="0"/>
    <cellStyle name="쉼표 [0] 2 2 8 17" xfId="0"/>
    <cellStyle name="쉼표 [0] 2 2 8 18" xfId="0"/>
    <cellStyle name="쉼표 [0] 2 2 8 19" xfId="0"/>
    <cellStyle name="쉼표 [0] 2 2 8 2" xfId="0"/>
    <cellStyle name="쉼표 [0] 2 2 8 20" xfId="0"/>
    <cellStyle name="쉼표 [0] 2 2 8 21" xfId="0"/>
    <cellStyle name="쉼표 [0] 2 2 8 22" xfId="0"/>
    <cellStyle name="쉼표 [0] 2 2 8 23" xfId="0"/>
    <cellStyle name="쉼표 [0] 2 2 8 24" xfId="0"/>
    <cellStyle name="쉼표 [0] 2 2 8 3" xfId="0"/>
    <cellStyle name="쉼표 [0] 2 2 8 4" xfId="0"/>
    <cellStyle name="쉼표 [0] 2 2 8 5" xfId="0"/>
    <cellStyle name="쉼표 [0] 2 2 8 6" xfId="0"/>
    <cellStyle name="쉼표 [0] 2 2 8 7" xfId="0"/>
    <cellStyle name="쉼표 [0] 2 2 8 8" xfId="0"/>
    <cellStyle name="쉼표 [0] 2 2 8 9" xfId="0"/>
    <cellStyle name="쉼표 [0] 2 2 9" xfId="0"/>
    <cellStyle name="쉼표 [0] 2 2 9 10" xfId="0"/>
    <cellStyle name="쉼표 [0] 2 2 9 11" xfId="0"/>
    <cellStyle name="쉼표 [0] 2 2 9 12" xfId="0"/>
    <cellStyle name="쉼표 [0] 2 2 9 13" xfId="0"/>
    <cellStyle name="쉼표 [0] 2 2 9 14" xfId="0"/>
    <cellStyle name="쉼표 [0] 2 2 9 15" xfId="0"/>
    <cellStyle name="쉼표 [0] 2 2 9 16" xfId="0"/>
    <cellStyle name="쉼표 [0] 2 2 9 17" xfId="0"/>
    <cellStyle name="쉼표 [0] 2 2 9 18" xfId="0"/>
    <cellStyle name="쉼표 [0] 2 2 9 19" xfId="0"/>
    <cellStyle name="쉼표 [0] 2 2 9 2" xfId="0"/>
    <cellStyle name="쉼표 [0] 2 2 9 20" xfId="0"/>
    <cellStyle name="쉼표 [0] 2 2 9 21" xfId="0"/>
    <cellStyle name="쉼표 [0] 2 2 9 22" xfId="0"/>
    <cellStyle name="쉼표 [0] 2 2 9 23" xfId="0"/>
    <cellStyle name="쉼표 [0] 2 2 9 24" xfId="0"/>
    <cellStyle name="쉼표 [0] 2 2 9 3" xfId="0"/>
    <cellStyle name="쉼표 [0] 2 2 9 4" xfId="0"/>
    <cellStyle name="쉼표 [0] 2 2 9 5" xfId="0"/>
    <cellStyle name="쉼표 [0] 2 2 9 6" xfId="0"/>
    <cellStyle name="쉼표 [0] 2 2 9 7" xfId="0"/>
    <cellStyle name="쉼표 [0] 2 2 9 8" xfId="0"/>
    <cellStyle name="쉼표 [0] 2 2 9 9" xfId="0"/>
    <cellStyle name="쉼표 [0] 2 20" xfId="0"/>
    <cellStyle name="쉼표 [0] 2 21" xfId="0"/>
    <cellStyle name="쉼표 [0] 2 22" xfId="0"/>
    <cellStyle name="쉼표 [0] 2 23" xfId="0"/>
    <cellStyle name="쉼표 [0] 2 24" xfId="0"/>
    <cellStyle name="쉼표 [0] 2 25" xfId="0"/>
    <cellStyle name="쉼표 [0] 2 26" xfId="0"/>
    <cellStyle name="쉼표 [0] 2 26 2" xfId="0"/>
    <cellStyle name="쉼표 [0] 2 26 2 10" xfId="0"/>
    <cellStyle name="쉼표 [0] 2 26 2 11" xfId="0"/>
    <cellStyle name="쉼표 [0] 2 26 2 12" xfId="0"/>
    <cellStyle name="쉼표 [0] 2 26 2 13" xfId="0"/>
    <cellStyle name="쉼표 [0] 2 26 2 14" xfId="0"/>
    <cellStyle name="쉼표 [0] 2 26 2 15" xfId="0"/>
    <cellStyle name="쉼표 [0] 2 26 2 16" xfId="0"/>
    <cellStyle name="쉼표 [0] 2 26 2 17" xfId="0"/>
    <cellStyle name="쉼표 [0] 2 26 2 2" xfId="0"/>
    <cellStyle name="쉼표 [0] 2 26 2 2 2" xfId="0"/>
    <cellStyle name="쉼표 [0] 2 26 2 2 2 10" xfId="0"/>
    <cellStyle name="쉼표 [0] 2 26 2 2 2 11" xfId="0"/>
    <cellStyle name="쉼표 [0] 2 26 2 2 2 12" xfId="0"/>
    <cellStyle name="쉼표 [0] 2 26 2 2 2 13" xfId="0"/>
    <cellStyle name="쉼표 [0] 2 26 2 2 2 2" xfId="0"/>
    <cellStyle name="쉼표 [0] 2 26 2 2 2 3" xfId="0"/>
    <cellStyle name="쉼표 [0] 2 26 2 2 2 4" xfId="0"/>
    <cellStyle name="쉼표 [0] 2 26 2 2 2 5" xfId="0"/>
    <cellStyle name="쉼표 [0] 2 26 2 2 2 6" xfId="0"/>
    <cellStyle name="쉼표 [0] 2 26 2 2 2 7" xfId="0"/>
    <cellStyle name="쉼표 [0] 2 26 2 2 2 8" xfId="0"/>
    <cellStyle name="쉼표 [0] 2 26 2 2 2 9" xfId="0"/>
    <cellStyle name="쉼표 [0] 2 26 2 2 3" xfId="0"/>
    <cellStyle name="쉼표 [0] 2 26 2 2 3 10" xfId="0"/>
    <cellStyle name="쉼표 [0] 2 26 2 2 3 11" xfId="0"/>
    <cellStyle name="쉼표 [0] 2 26 2 2 3 12" xfId="0"/>
    <cellStyle name="쉼표 [0] 2 26 2 2 3 13" xfId="0"/>
    <cellStyle name="쉼표 [0] 2 26 2 2 3 2" xfId="0"/>
    <cellStyle name="쉼표 [0] 2 26 2 2 3 3" xfId="0"/>
    <cellStyle name="쉼표 [0] 2 26 2 2 3 4" xfId="0"/>
    <cellStyle name="쉼표 [0] 2 26 2 2 3 5" xfId="0"/>
    <cellStyle name="쉼표 [0] 2 26 2 2 3 6" xfId="0"/>
    <cellStyle name="쉼표 [0] 2 26 2 2 3 7" xfId="0"/>
    <cellStyle name="쉼표 [0] 2 26 2 2 3 8" xfId="0"/>
    <cellStyle name="쉼표 [0] 2 26 2 2 3 9" xfId="0"/>
    <cellStyle name="쉼표 [0] 2 26 2 2 4" xfId="0"/>
    <cellStyle name="쉼표 [0] 2 26 2 2 4 10" xfId="0"/>
    <cellStyle name="쉼표 [0] 2 26 2 2 4 11" xfId="0"/>
    <cellStyle name="쉼표 [0] 2 26 2 2 4 12" xfId="0"/>
    <cellStyle name="쉼표 [0] 2 26 2 2 4 13" xfId="0"/>
    <cellStyle name="쉼표 [0] 2 26 2 2 4 2" xfId="0"/>
    <cellStyle name="쉼표 [0] 2 26 2 2 4 3" xfId="0"/>
    <cellStyle name="쉼표 [0] 2 26 2 2 4 4" xfId="0"/>
    <cellStyle name="쉼표 [0] 2 26 2 2 4 5" xfId="0"/>
    <cellStyle name="쉼표 [0] 2 26 2 2 4 6" xfId="0"/>
    <cellStyle name="쉼표 [0] 2 26 2 2 4 7" xfId="0"/>
    <cellStyle name="쉼표 [0] 2 26 2 2 4 8" xfId="0"/>
    <cellStyle name="쉼표 [0] 2 26 2 2 4 9" xfId="0"/>
    <cellStyle name="쉼표 [0] 2 26 2 2 5" xfId="0"/>
    <cellStyle name="쉼표 [0] 2 26 2 2 5 10" xfId="0"/>
    <cellStyle name="쉼표 [0] 2 26 2 2 5 11" xfId="0"/>
    <cellStyle name="쉼표 [0] 2 26 2 2 5 12" xfId="0"/>
    <cellStyle name="쉼표 [0] 2 26 2 2 5 13" xfId="0"/>
    <cellStyle name="쉼표 [0] 2 26 2 2 5 2" xfId="0"/>
    <cellStyle name="쉼표 [0] 2 26 2 2 5 3" xfId="0"/>
    <cellStyle name="쉼표 [0] 2 26 2 2 5 4" xfId="0"/>
    <cellStyle name="쉼표 [0] 2 26 2 2 5 5" xfId="0"/>
    <cellStyle name="쉼표 [0] 2 26 2 2 5 6" xfId="0"/>
    <cellStyle name="쉼표 [0] 2 26 2 2 5 7" xfId="0"/>
    <cellStyle name="쉼표 [0] 2 26 2 2 5 8" xfId="0"/>
    <cellStyle name="쉼표 [0] 2 26 2 2 5 9" xfId="0"/>
    <cellStyle name="쉼표 [0] 2 26 2 3" xfId="0"/>
    <cellStyle name="쉼표 [0] 2 26 2 4" xfId="0"/>
    <cellStyle name="쉼표 [0] 2 26 2 5" xfId="0"/>
    <cellStyle name="쉼표 [0] 2 26 2 6" xfId="0"/>
    <cellStyle name="쉼표 [0] 2 26 2 7" xfId="0"/>
    <cellStyle name="쉼표 [0] 2 26 2 8" xfId="0"/>
    <cellStyle name="쉼표 [0] 2 26 2 9" xfId="0"/>
    <cellStyle name="쉼표 [0] 2 26 3" xfId="0"/>
    <cellStyle name="쉼표 [0] 2 26 3 10" xfId="0"/>
    <cellStyle name="쉼표 [0] 2 26 3 11" xfId="0"/>
    <cellStyle name="쉼표 [0] 2 26 3 12" xfId="0"/>
    <cellStyle name="쉼표 [0] 2 26 3 13" xfId="0"/>
    <cellStyle name="쉼표 [0] 2 26 3 2" xfId="0"/>
    <cellStyle name="쉼표 [0] 2 26 3 3" xfId="0"/>
    <cellStyle name="쉼표 [0] 2 26 3 4" xfId="0"/>
    <cellStyle name="쉼표 [0] 2 26 3 5" xfId="0"/>
    <cellStyle name="쉼표 [0] 2 26 3 6" xfId="0"/>
    <cellStyle name="쉼표 [0] 2 26 3 7" xfId="0"/>
    <cellStyle name="쉼표 [0] 2 26 3 8" xfId="0"/>
    <cellStyle name="쉼표 [0] 2 26 3 9" xfId="0"/>
    <cellStyle name="쉼표 [0] 2 26 4" xfId="0"/>
    <cellStyle name="쉼표 [0] 2 26 4 10" xfId="0"/>
    <cellStyle name="쉼표 [0] 2 26 4 11" xfId="0"/>
    <cellStyle name="쉼표 [0] 2 26 4 12" xfId="0"/>
    <cellStyle name="쉼표 [0] 2 26 4 13" xfId="0"/>
    <cellStyle name="쉼표 [0] 2 26 4 2" xfId="0"/>
    <cellStyle name="쉼표 [0] 2 26 4 3" xfId="0"/>
    <cellStyle name="쉼표 [0] 2 26 4 4" xfId="0"/>
    <cellStyle name="쉼표 [0] 2 26 4 5" xfId="0"/>
    <cellStyle name="쉼표 [0] 2 26 4 6" xfId="0"/>
    <cellStyle name="쉼표 [0] 2 26 4 7" xfId="0"/>
    <cellStyle name="쉼표 [0] 2 26 4 8" xfId="0"/>
    <cellStyle name="쉼표 [0] 2 26 4 9" xfId="0"/>
    <cellStyle name="쉼표 [0] 2 26 5" xfId="0"/>
    <cellStyle name="쉼표 [0] 2 26 5 10" xfId="0"/>
    <cellStyle name="쉼표 [0] 2 26 5 11" xfId="0"/>
    <cellStyle name="쉼표 [0] 2 26 5 12" xfId="0"/>
    <cellStyle name="쉼표 [0] 2 26 5 13" xfId="0"/>
    <cellStyle name="쉼표 [0] 2 26 5 2" xfId="0"/>
    <cellStyle name="쉼표 [0] 2 26 5 3" xfId="0"/>
    <cellStyle name="쉼표 [0] 2 26 5 4" xfId="0"/>
    <cellStyle name="쉼표 [0] 2 26 5 5" xfId="0"/>
    <cellStyle name="쉼표 [0] 2 26 5 6" xfId="0"/>
    <cellStyle name="쉼표 [0] 2 26 5 7" xfId="0"/>
    <cellStyle name="쉼표 [0] 2 26 5 8" xfId="0"/>
    <cellStyle name="쉼표 [0] 2 26 5 9" xfId="0"/>
    <cellStyle name="쉼표 [0] 2 26 6" xfId="0"/>
    <cellStyle name="쉼표 [0] 2 26 6 10" xfId="0"/>
    <cellStyle name="쉼표 [0] 2 26 6 11" xfId="0"/>
    <cellStyle name="쉼표 [0] 2 26 6 12" xfId="0"/>
    <cellStyle name="쉼표 [0] 2 26 6 13" xfId="0"/>
    <cellStyle name="쉼표 [0] 2 26 6 2" xfId="0"/>
    <cellStyle name="쉼표 [0] 2 26 6 3" xfId="0"/>
    <cellStyle name="쉼표 [0] 2 26 6 4" xfId="0"/>
    <cellStyle name="쉼표 [0] 2 26 6 5" xfId="0"/>
    <cellStyle name="쉼표 [0] 2 26 6 6" xfId="0"/>
    <cellStyle name="쉼표 [0] 2 26 6 7" xfId="0"/>
    <cellStyle name="쉼표 [0] 2 26 6 8" xfId="0"/>
    <cellStyle name="쉼표 [0] 2 26 6 9" xfId="0"/>
    <cellStyle name="쉼표 [0] 2 27" xfId="0"/>
    <cellStyle name="쉼표 [0] 2 27 2" xfId="0"/>
    <cellStyle name="쉼표 [0] 2 27 2 10" xfId="0"/>
    <cellStyle name="쉼표 [0] 2 27 2 11" xfId="0"/>
    <cellStyle name="쉼표 [0] 2 27 2 12" xfId="0"/>
    <cellStyle name="쉼표 [0] 2 27 2 13" xfId="0"/>
    <cellStyle name="쉼표 [0] 2 27 2 2" xfId="0"/>
    <cellStyle name="쉼표 [0] 2 27 2 3" xfId="0"/>
    <cellStyle name="쉼표 [0] 2 27 2 4" xfId="0"/>
    <cellStyle name="쉼표 [0] 2 27 2 5" xfId="0"/>
    <cellStyle name="쉼표 [0] 2 27 2 6" xfId="0"/>
    <cellStyle name="쉼표 [0] 2 27 2 7" xfId="0"/>
    <cellStyle name="쉼표 [0] 2 27 2 8" xfId="0"/>
    <cellStyle name="쉼표 [0] 2 27 2 9" xfId="0"/>
    <cellStyle name="쉼표 [0] 2 27 3" xfId="0"/>
    <cellStyle name="쉼표 [0] 2 27 3 10" xfId="0"/>
    <cellStyle name="쉼표 [0] 2 27 3 11" xfId="0"/>
    <cellStyle name="쉼표 [0] 2 27 3 12" xfId="0"/>
    <cellStyle name="쉼표 [0] 2 27 3 13" xfId="0"/>
    <cellStyle name="쉼표 [0] 2 27 3 2" xfId="0"/>
    <cellStyle name="쉼표 [0] 2 27 3 3" xfId="0"/>
    <cellStyle name="쉼표 [0] 2 27 3 4" xfId="0"/>
    <cellStyle name="쉼표 [0] 2 27 3 5" xfId="0"/>
    <cellStyle name="쉼표 [0] 2 27 3 6" xfId="0"/>
    <cellStyle name="쉼표 [0] 2 27 3 7" xfId="0"/>
    <cellStyle name="쉼표 [0] 2 27 3 8" xfId="0"/>
    <cellStyle name="쉼표 [0] 2 27 3 9" xfId="0"/>
    <cellStyle name="쉼표 [0] 2 27 4" xfId="0"/>
    <cellStyle name="쉼표 [0] 2 27 4 10" xfId="0"/>
    <cellStyle name="쉼표 [0] 2 27 4 11" xfId="0"/>
    <cellStyle name="쉼표 [0] 2 27 4 12" xfId="0"/>
    <cellStyle name="쉼표 [0] 2 27 4 13" xfId="0"/>
    <cellStyle name="쉼표 [0] 2 27 4 2" xfId="0"/>
    <cellStyle name="쉼표 [0] 2 27 4 3" xfId="0"/>
    <cellStyle name="쉼표 [0] 2 27 4 4" xfId="0"/>
    <cellStyle name="쉼표 [0] 2 27 4 5" xfId="0"/>
    <cellStyle name="쉼표 [0] 2 27 4 6" xfId="0"/>
    <cellStyle name="쉼표 [0] 2 27 4 7" xfId="0"/>
    <cellStyle name="쉼표 [0] 2 27 4 8" xfId="0"/>
    <cellStyle name="쉼표 [0] 2 27 4 9" xfId="0"/>
    <cellStyle name="쉼표 [0] 2 27 5" xfId="0"/>
    <cellStyle name="쉼표 [0] 2 27 5 10" xfId="0"/>
    <cellStyle name="쉼표 [0] 2 27 5 11" xfId="0"/>
    <cellStyle name="쉼표 [0] 2 27 5 12" xfId="0"/>
    <cellStyle name="쉼표 [0] 2 27 5 13" xfId="0"/>
    <cellStyle name="쉼표 [0] 2 27 5 2" xfId="0"/>
    <cellStyle name="쉼표 [0] 2 27 5 3" xfId="0"/>
    <cellStyle name="쉼표 [0] 2 27 5 4" xfId="0"/>
    <cellStyle name="쉼표 [0] 2 27 5 5" xfId="0"/>
    <cellStyle name="쉼표 [0] 2 27 5 6" xfId="0"/>
    <cellStyle name="쉼표 [0] 2 27 5 7" xfId="0"/>
    <cellStyle name="쉼표 [0] 2 27 5 8" xfId="0"/>
    <cellStyle name="쉼표 [0] 2 27 5 9" xfId="0"/>
    <cellStyle name="쉼표 [0] 2 28" xfId="0"/>
    <cellStyle name="쉼표 [0] 2 29" xfId="0"/>
    <cellStyle name="쉼표 [0] 2 3" xfId="0"/>
    <cellStyle name="쉼표 [0] 2 3 10" xfId="0"/>
    <cellStyle name="쉼표 [0] 2 3 11" xfId="0"/>
    <cellStyle name="쉼표 [0] 2 3 12" xfId="0"/>
    <cellStyle name="쉼표 [0] 2 3 13" xfId="0"/>
    <cellStyle name="쉼표 [0] 2 3 2" xfId="0"/>
    <cellStyle name="쉼표 [0] 2 3 2 10" xfId="0"/>
    <cellStyle name="쉼표 [0] 2 3 2 10 2" xfId="0"/>
    <cellStyle name="쉼표 [0] 2 3 2 10 3" xfId="0"/>
    <cellStyle name="쉼표 [0] 2 3 2 10 4" xfId="0"/>
    <cellStyle name="쉼표 [0] 2 3 2 11" xfId="0"/>
    <cellStyle name="쉼표 [0] 2 3 2 2" xfId="0"/>
    <cellStyle name="쉼표 [0] 2 3 2 2 2" xfId="0"/>
    <cellStyle name="쉼표 [0] 2 3 2 2 3" xfId="0"/>
    <cellStyle name="쉼표 [0] 2 3 2 2 4" xfId="0"/>
    <cellStyle name="쉼표 [0] 2 3 2 3" xfId="0"/>
    <cellStyle name="쉼표 [0] 2 3 2 3 2" xfId="0"/>
    <cellStyle name="쉼표 [0] 2 3 2 3 3" xfId="0"/>
    <cellStyle name="쉼표 [0] 2 3 2 3 4" xfId="0"/>
    <cellStyle name="쉼표 [0] 2 3 2 4" xfId="0"/>
    <cellStyle name="쉼표 [0] 2 3 2 4 2" xfId="0"/>
    <cellStyle name="쉼표 [0] 2 3 2 4 3" xfId="0"/>
    <cellStyle name="쉼표 [0] 2 3 2 4 4" xfId="0"/>
    <cellStyle name="쉼표 [0] 2 3 2 5" xfId="0"/>
    <cellStyle name="쉼표 [0] 2 3 2 5 2" xfId="0"/>
    <cellStyle name="쉼표 [0] 2 3 2 5 3" xfId="0"/>
    <cellStyle name="쉼표 [0] 2 3 2 5 4" xfId="0"/>
    <cellStyle name="쉼표 [0] 2 3 2 6" xfId="0"/>
    <cellStyle name="쉼표 [0] 2 3 2 6 2" xfId="0"/>
    <cellStyle name="쉼표 [0] 2 3 2 6 3" xfId="0"/>
    <cellStyle name="쉼표 [0] 2 3 2 6 4" xfId="0"/>
    <cellStyle name="쉼표 [0] 2 3 2 7" xfId="0"/>
    <cellStyle name="쉼표 [0] 2 3 2 7 2" xfId="0"/>
    <cellStyle name="쉼표 [0] 2 3 2 7 3" xfId="0"/>
    <cellStyle name="쉼표 [0] 2 3 2 7 4" xfId="0"/>
    <cellStyle name="쉼표 [0] 2 3 2 8" xfId="0"/>
    <cellStyle name="쉼표 [0] 2 3 2 8 2" xfId="0"/>
    <cellStyle name="쉼표 [0] 2 3 2 8 3" xfId="0"/>
    <cellStyle name="쉼표 [0] 2 3 2 8 4" xfId="0"/>
    <cellStyle name="쉼표 [0] 2 3 2 9" xfId="0"/>
    <cellStyle name="쉼표 [0] 2 3 2 9 2" xfId="0"/>
    <cellStyle name="쉼표 [0] 2 3 2 9 3" xfId="0"/>
    <cellStyle name="쉼표 [0] 2 3 2 9 4" xfId="0"/>
    <cellStyle name="쉼표 [0] 2 3 3" xfId="0"/>
    <cellStyle name="쉼표 [0] 2 3 4" xfId="0"/>
    <cellStyle name="쉼표 [0] 2 3 5" xfId="0"/>
    <cellStyle name="쉼표 [0] 2 3 6" xfId="0"/>
    <cellStyle name="쉼표 [0] 2 3 7" xfId="0"/>
    <cellStyle name="쉼표 [0] 2 3 8" xfId="0"/>
    <cellStyle name="쉼표 [0] 2 3 9" xfId="0"/>
    <cellStyle name="쉼표 [0] 2 30" xfId="0"/>
    <cellStyle name="쉼표 [0] 2 31" xfId="0"/>
    <cellStyle name="쉼표 [0] 2 31 10" xfId="0"/>
    <cellStyle name="쉼표 [0] 2 31 10 2" xfId="0"/>
    <cellStyle name="쉼표 [0] 2 31 10 3" xfId="0"/>
    <cellStyle name="쉼표 [0] 2 31 10 4" xfId="0"/>
    <cellStyle name="쉼표 [0] 2 31 10 5" xfId="0"/>
    <cellStyle name="쉼표 [0] 2 31 10 6" xfId="0"/>
    <cellStyle name="쉼표 [0] 2 31 10 7" xfId="0"/>
    <cellStyle name="쉼표 [0] 2 31 11" xfId="0"/>
    <cellStyle name="쉼표 [0] 2 31 11 2" xfId="0"/>
    <cellStyle name="쉼표 [0] 2 31 11 3" xfId="0"/>
    <cellStyle name="쉼표 [0] 2 31 11 4" xfId="0"/>
    <cellStyle name="쉼표 [0] 2 31 11 5" xfId="0"/>
    <cellStyle name="쉼표 [0] 2 31 11 6" xfId="0"/>
    <cellStyle name="쉼표 [0] 2 31 11 7" xfId="0"/>
    <cellStyle name="쉼표 [0] 2 31 12" xfId="0"/>
    <cellStyle name="쉼표 [0] 2 31 12 2" xfId="0"/>
    <cellStyle name="쉼표 [0] 2 31 12 3" xfId="0"/>
    <cellStyle name="쉼표 [0] 2 31 12 4" xfId="0"/>
    <cellStyle name="쉼표 [0] 2 31 12 5" xfId="0"/>
    <cellStyle name="쉼표 [0] 2 31 12 6" xfId="0"/>
    <cellStyle name="쉼표 [0] 2 31 12 7" xfId="0"/>
    <cellStyle name="쉼표 [0] 2 31 13" xfId="0"/>
    <cellStyle name="쉼표 [0] 2 31 13 2" xfId="0"/>
    <cellStyle name="쉼표 [0] 2 31 13 3" xfId="0"/>
    <cellStyle name="쉼표 [0] 2 31 13 4" xfId="0"/>
    <cellStyle name="쉼표 [0] 2 31 13 5" xfId="0"/>
    <cellStyle name="쉼표 [0] 2 31 13 6" xfId="0"/>
    <cellStyle name="쉼표 [0] 2 31 13 7" xfId="0"/>
    <cellStyle name="쉼표 [0] 2 31 14" xfId="0"/>
    <cellStyle name="쉼표 [0] 2 31 14 2" xfId="0"/>
    <cellStyle name="쉼표 [0] 2 31 14 3" xfId="0"/>
    <cellStyle name="쉼표 [0] 2 31 14 4" xfId="0"/>
    <cellStyle name="쉼표 [0] 2 31 14 5" xfId="0"/>
    <cellStyle name="쉼표 [0] 2 31 14 6" xfId="0"/>
    <cellStyle name="쉼표 [0] 2 31 14 7" xfId="0"/>
    <cellStyle name="쉼표 [0] 2 31 15" xfId="0"/>
    <cellStyle name="쉼표 [0] 2 31 16" xfId="0"/>
    <cellStyle name="쉼표 [0] 2 31 17" xfId="0"/>
    <cellStyle name="쉼표 [0] 2 31 18" xfId="0"/>
    <cellStyle name="쉼표 [0] 2 31 19" xfId="0"/>
    <cellStyle name="쉼표 [0] 2 31 2" xfId="0"/>
    <cellStyle name="쉼표 [0] 2 31 2 2" xfId="0"/>
    <cellStyle name="쉼표 [0] 2 31 2 3" xfId="0"/>
    <cellStyle name="쉼표 [0] 2 31 2 4" xfId="0"/>
    <cellStyle name="쉼표 [0] 2 31 2 5" xfId="0"/>
    <cellStyle name="쉼표 [0] 2 31 2 6" xfId="0"/>
    <cellStyle name="쉼표 [0] 2 31 2 7" xfId="0"/>
    <cellStyle name="쉼표 [0] 2 31 20" xfId="0"/>
    <cellStyle name="쉼표 [0] 2 31 21" xfId="0"/>
    <cellStyle name="쉼표 [0] 2 31 22" xfId="0"/>
    <cellStyle name="쉼표 [0] 2 31 23" xfId="0"/>
    <cellStyle name="쉼표 [0] 2 31 24" xfId="0"/>
    <cellStyle name="쉼표 [0] 2 31 24 2" xfId="0"/>
    <cellStyle name="쉼표 [0] 2 31 24 3" xfId="0"/>
    <cellStyle name="쉼표 [0] 2 31 25" xfId="0"/>
    <cellStyle name="쉼표 [0] 2 31 25 2" xfId="0"/>
    <cellStyle name="쉼표 [0] 2 31 25 3" xfId="0"/>
    <cellStyle name="쉼표 [0] 2 31 26" xfId="0"/>
    <cellStyle name="쉼표 [0] 2 31 27" xfId="0"/>
    <cellStyle name="쉼표 [0] 2 31 28" xfId="0"/>
    <cellStyle name="쉼표 [0] 2 31 29" xfId="0"/>
    <cellStyle name="쉼표 [0] 2 31 3" xfId="0"/>
    <cellStyle name="쉼표 [0] 2 31 3 2" xfId="0"/>
    <cellStyle name="쉼표 [0] 2 31 3 3" xfId="0"/>
    <cellStyle name="쉼표 [0] 2 31 3 4" xfId="0"/>
    <cellStyle name="쉼표 [0] 2 31 3 5" xfId="0"/>
    <cellStyle name="쉼표 [0] 2 31 3 6" xfId="0"/>
    <cellStyle name="쉼표 [0] 2 31 3 7" xfId="0"/>
    <cellStyle name="쉼표 [0] 2 31 30" xfId="0"/>
    <cellStyle name="쉼표 [0] 2 31 4" xfId="0"/>
    <cellStyle name="쉼표 [0] 2 31 4 2" xfId="0"/>
    <cellStyle name="쉼표 [0] 2 31 4 3" xfId="0"/>
    <cellStyle name="쉼표 [0] 2 31 4 4" xfId="0"/>
    <cellStyle name="쉼표 [0] 2 31 4 5" xfId="0"/>
    <cellStyle name="쉼표 [0] 2 31 4 6" xfId="0"/>
    <cellStyle name="쉼표 [0] 2 31 4 7" xfId="0"/>
    <cellStyle name="쉼표 [0] 2 31 5" xfId="0"/>
    <cellStyle name="쉼표 [0] 2 31 5 2" xfId="0"/>
    <cellStyle name="쉼표 [0] 2 31 5 3" xfId="0"/>
    <cellStyle name="쉼표 [0] 2 31 5 4" xfId="0"/>
    <cellStyle name="쉼표 [0] 2 31 5 5" xfId="0"/>
    <cellStyle name="쉼표 [0] 2 31 5 6" xfId="0"/>
    <cellStyle name="쉼표 [0] 2 31 5 7" xfId="0"/>
    <cellStyle name="쉼표 [0] 2 31 6" xfId="0"/>
    <cellStyle name="쉼표 [0] 2 31 6 2" xfId="0"/>
    <cellStyle name="쉼표 [0] 2 31 6 3" xfId="0"/>
    <cellStyle name="쉼표 [0] 2 31 6 4" xfId="0"/>
    <cellStyle name="쉼표 [0] 2 31 6 5" xfId="0"/>
    <cellStyle name="쉼표 [0] 2 31 6 6" xfId="0"/>
    <cellStyle name="쉼표 [0] 2 31 6 7" xfId="0"/>
    <cellStyle name="쉼표 [0] 2 31 7" xfId="0"/>
    <cellStyle name="쉼표 [0] 2 31 7 2" xfId="0"/>
    <cellStyle name="쉼표 [0] 2 31 7 3" xfId="0"/>
    <cellStyle name="쉼표 [0] 2 31 7 4" xfId="0"/>
    <cellStyle name="쉼표 [0] 2 31 7 5" xfId="0"/>
    <cellStyle name="쉼표 [0] 2 31 7 6" xfId="0"/>
    <cellStyle name="쉼표 [0] 2 31 7 7" xfId="0"/>
    <cellStyle name="쉼표 [0] 2 31 8" xfId="0"/>
    <cellStyle name="쉼표 [0] 2 31 8 2" xfId="0"/>
    <cellStyle name="쉼표 [0] 2 31 8 3" xfId="0"/>
    <cellStyle name="쉼표 [0] 2 31 8 4" xfId="0"/>
    <cellStyle name="쉼표 [0] 2 31 8 5" xfId="0"/>
    <cellStyle name="쉼표 [0] 2 31 8 6" xfId="0"/>
    <cellStyle name="쉼표 [0] 2 31 8 7" xfId="0"/>
    <cellStyle name="쉼표 [0] 2 31 9" xfId="0"/>
    <cellStyle name="쉼표 [0] 2 31 9 2" xfId="0"/>
    <cellStyle name="쉼표 [0] 2 31 9 3" xfId="0"/>
    <cellStyle name="쉼표 [0] 2 31 9 4" xfId="0"/>
    <cellStyle name="쉼표 [0] 2 31 9 5" xfId="0"/>
    <cellStyle name="쉼표 [0] 2 31 9 6" xfId="0"/>
    <cellStyle name="쉼표 [0] 2 31 9 7" xfId="0"/>
    <cellStyle name="쉼표 [0] 2 32" xfId="0"/>
    <cellStyle name="쉼표 [0] 2 32 10" xfId="0"/>
    <cellStyle name="쉼표 [0] 2 32 10 2" xfId="0"/>
    <cellStyle name="쉼표 [0] 2 32 10 3" xfId="0"/>
    <cellStyle name="쉼표 [0] 2 32 10 4" xfId="0"/>
    <cellStyle name="쉼표 [0] 2 32 10 5" xfId="0"/>
    <cellStyle name="쉼표 [0] 2 32 10 6" xfId="0"/>
    <cellStyle name="쉼표 [0] 2 32 10 7" xfId="0"/>
    <cellStyle name="쉼표 [0] 2 32 11" xfId="0"/>
    <cellStyle name="쉼표 [0] 2 32 11 2" xfId="0"/>
    <cellStyle name="쉼표 [0] 2 32 11 3" xfId="0"/>
    <cellStyle name="쉼표 [0] 2 32 11 4" xfId="0"/>
    <cellStyle name="쉼표 [0] 2 32 11 5" xfId="0"/>
    <cellStyle name="쉼표 [0] 2 32 11 6" xfId="0"/>
    <cellStyle name="쉼표 [0] 2 32 11 7" xfId="0"/>
    <cellStyle name="쉼표 [0] 2 32 12" xfId="0"/>
    <cellStyle name="쉼표 [0] 2 32 12 2" xfId="0"/>
    <cellStyle name="쉼표 [0] 2 32 12 3" xfId="0"/>
    <cellStyle name="쉼표 [0] 2 32 12 4" xfId="0"/>
    <cellStyle name="쉼표 [0] 2 32 12 5" xfId="0"/>
    <cellStyle name="쉼표 [0] 2 32 12 6" xfId="0"/>
    <cellStyle name="쉼표 [0] 2 32 12 7" xfId="0"/>
    <cellStyle name="쉼표 [0] 2 32 13" xfId="0"/>
    <cellStyle name="쉼표 [0] 2 32 13 2" xfId="0"/>
    <cellStyle name="쉼표 [0] 2 32 13 3" xfId="0"/>
    <cellStyle name="쉼표 [0] 2 32 13 4" xfId="0"/>
    <cellStyle name="쉼표 [0] 2 32 13 5" xfId="0"/>
    <cellStyle name="쉼표 [0] 2 32 13 6" xfId="0"/>
    <cellStyle name="쉼표 [0] 2 32 13 7" xfId="0"/>
    <cellStyle name="쉼표 [0] 2 32 14" xfId="0"/>
    <cellStyle name="쉼표 [0] 2 32 14 2" xfId="0"/>
    <cellStyle name="쉼표 [0] 2 32 14 3" xfId="0"/>
    <cellStyle name="쉼표 [0] 2 32 14 4" xfId="0"/>
    <cellStyle name="쉼표 [0] 2 32 14 5" xfId="0"/>
    <cellStyle name="쉼표 [0] 2 32 14 6" xfId="0"/>
    <cellStyle name="쉼표 [0] 2 32 14 7" xfId="0"/>
    <cellStyle name="쉼표 [0] 2 32 15" xfId="0"/>
    <cellStyle name="쉼표 [0] 2 32 16" xfId="0"/>
    <cellStyle name="쉼표 [0] 2 32 17" xfId="0"/>
    <cellStyle name="쉼표 [0] 2 32 18" xfId="0"/>
    <cellStyle name="쉼표 [0] 2 32 19" xfId="0"/>
    <cellStyle name="쉼표 [0] 2 32 2" xfId="0"/>
    <cellStyle name="쉼표 [0] 2 32 2 2" xfId="0"/>
    <cellStyle name="쉼표 [0] 2 32 2 3" xfId="0"/>
    <cellStyle name="쉼표 [0] 2 32 2 4" xfId="0"/>
    <cellStyle name="쉼표 [0] 2 32 2 5" xfId="0"/>
    <cellStyle name="쉼표 [0] 2 32 2 6" xfId="0"/>
    <cellStyle name="쉼표 [0] 2 32 2 7" xfId="0"/>
    <cellStyle name="쉼표 [0] 2 32 20" xfId="0"/>
    <cellStyle name="쉼표 [0] 2 32 21" xfId="0"/>
    <cellStyle name="쉼표 [0] 2 32 22" xfId="0"/>
    <cellStyle name="쉼표 [0] 2 32 23" xfId="0"/>
    <cellStyle name="쉼표 [0] 2 32 24" xfId="0"/>
    <cellStyle name="쉼표 [0] 2 32 24 2" xfId="0"/>
    <cellStyle name="쉼표 [0] 2 32 24 3" xfId="0"/>
    <cellStyle name="쉼표 [0] 2 32 25" xfId="0"/>
    <cellStyle name="쉼표 [0] 2 32 25 2" xfId="0"/>
    <cellStyle name="쉼표 [0] 2 32 25 3" xfId="0"/>
    <cellStyle name="쉼표 [0] 2 32 26" xfId="0"/>
    <cellStyle name="쉼표 [0] 2 32 27" xfId="0"/>
    <cellStyle name="쉼표 [0] 2 32 28" xfId="0"/>
    <cellStyle name="쉼표 [0] 2 32 29" xfId="0"/>
    <cellStyle name="쉼표 [0] 2 32 3" xfId="0"/>
    <cellStyle name="쉼표 [0] 2 32 3 2" xfId="0"/>
    <cellStyle name="쉼표 [0] 2 32 3 3" xfId="0"/>
    <cellStyle name="쉼표 [0] 2 32 3 4" xfId="0"/>
    <cellStyle name="쉼표 [0] 2 32 3 5" xfId="0"/>
    <cellStyle name="쉼표 [0] 2 32 3 6" xfId="0"/>
    <cellStyle name="쉼표 [0] 2 32 3 7" xfId="0"/>
    <cellStyle name="쉼표 [0] 2 32 30" xfId="0"/>
    <cellStyle name="쉼표 [0] 2 32 4" xfId="0"/>
    <cellStyle name="쉼표 [0] 2 32 4 2" xfId="0"/>
    <cellStyle name="쉼표 [0] 2 32 4 3" xfId="0"/>
    <cellStyle name="쉼표 [0] 2 32 4 4" xfId="0"/>
    <cellStyle name="쉼표 [0] 2 32 4 5" xfId="0"/>
    <cellStyle name="쉼표 [0] 2 32 4 6" xfId="0"/>
    <cellStyle name="쉼표 [0] 2 32 4 7" xfId="0"/>
    <cellStyle name="쉼표 [0] 2 32 5" xfId="0"/>
    <cellStyle name="쉼표 [0] 2 32 5 2" xfId="0"/>
    <cellStyle name="쉼표 [0] 2 32 5 3" xfId="0"/>
    <cellStyle name="쉼표 [0] 2 32 5 4" xfId="0"/>
    <cellStyle name="쉼표 [0] 2 32 5 5" xfId="0"/>
    <cellStyle name="쉼표 [0] 2 32 5 6" xfId="0"/>
    <cellStyle name="쉼표 [0] 2 32 5 7" xfId="0"/>
    <cellStyle name="쉼표 [0] 2 32 6" xfId="0"/>
    <cellStyle name="쉼표 [0] 2 32 6 2" xfId="0"/>
    <cellStyle name="쉼표 [0] 2 32 6 3" xfId="0"/>
    <cellStyle name="쉼표 [0] 2 32 6 4" xfId="0"/>
    <cellStyle name="쉼표 [0] 2 32 6 5" xfId="0"/>
    <cellStyle name="쉼표 [0] 2 32 6 6" xfId="0"/>
    <cellStyle name="쉼표 [0] 2 32 6 7" xfId="0"/>
    <cellStyle name="쉼표 [0] 2 32 7" xfId="0"/>
    <cellStyle name="쉼표 [0] 2 32 7 2" xfId="0"/>
    <cellStyle name="쉼표 [0] 2 32 7 3" xfId="0"/>
    <cellStyle name="쉼표 [0] 2 32 7 4" xfId="0"/>
    <cellStyle name="쉼표 [0] 2 32 7 5" xfId="0"/>
    <cellStyle name="쉼표 [0] 2 32 7 6" xfId="0"/>
    <cellStyle name="쉼표 [0] 2 32 7 7" xfId="0"/>
    <cellStyle name="쉼표 [0] 2 32 8" xfId="0"/>
    <cellStyle name="쉼표 [0] 2 32 8 2" xfId="0"/>
    <cellStyle name="쉼표 [0] 2 32 8 3" xfId="0"/>
    <cellStyle name="쉼표 [0] 2 32 8 4" xfId="0"/>
    <cellStyle name="쉼표 [0] 2 32 8 5" xfId="0"/>
    <cellStyle name="쉼표 [0] 2 32 8 6" xfId="0"/>
    <cellStyle name="쉼표 [0] 2 32 8 7" xfId="0"/>
    <cellStyle name="쉼표 [0] 2 32 9" xfId="0"/>
    <cellStyle name="쉼표 [0] 2 32 9 2" xfId="0"/>
    <cellStyle name="쉼표 [0] 2 32 9 3" xfId="0"/>
    <cellStyle name="쉼표 [0] 2 32 9 4" xfId="0"/>
    <cellStyle name="쉼표 [0] 2 32 9 5" xfId="0"/>
    <cellStyle name="쉼표 [0] 2 32 9 6" xfId="0"/>
    <cellStyle name="쉼표 [0] 2 32 9 7" xfId="0"/>
    <cellStyle name="쉼표 [0] 2 33" xfId="0"/>
    <cellStyle name="쉼표 [0] 2 33 10" xfId="0"/>
    <cellStyle name="쉼표 [0] 2 33 10 2" xfId="0"/>
    <cellStyle name="쉼표 [0] 2 33 10 3" xfId="0"/>
    <cellStyle name="쉼표 [0] 2 33 10 4" xfId="0"/>
    <cellStyle name="쉼표 [0] 2 33 10 5" xfId="0"/>
    <cellStyle name="쉼표 [0] 2 33 10 6" xfId="0"/>
    <cellStyle name="쉼표 [0] 2 33 10 7" xfId="0"/>
    <cellStyle name="쉼표 [0] 2 33 11" xfId="0"/>
    <cellStyle name="쉼표 [0] 2 33 11 2" xfId="0"/>
    <cellStyle name="쉼표 [0] 2 33 11 3" xfId="0"/>
    <cellStyle name="쉼표 [0] 2 33 11 4" xfId="0"/>
    <cellStyle name="쉼표 [0] 2 33 11 5" xfId="0"/>
    <cellStyle name="쉼표 [0] 2 33 11 6" xfId="0"/>
    <cellStyle name="쉼표 [0] 2 33 11 7" xfId="0"/>
    <cellStyle name="쉼표 [0] 2 33 12" xfId="0"/>
    <cellStyle name="쉼표 [0] 2 33 12 2" xfId="0"/>
    <cellStyle name="쉼표 [0] 2 33 12 3" xfId="0"/>
    <cellStyle name="쉼표 [0] 2 33 12 4" xfId="0"/>
    <cellStyle name="쉼표 [0] 2 33 12 5" xfId="0"/>
    <cellStyle name="쉼표 [0] 2 33 12 6" xfId="0"/>
    <cellStyle name="쉼표 [0] 2 33 12 7" xfId="0"/>
    <cellStyle name="쉼표 [0] 2 33 13" xfId="0"/>
    <cellStyle name="쉼표 [0] 2 33 13 2" xfId="0"/>
    <cellStyle name="쉼표 [0] 2 33 13 3" xfId="0"/>
    <cellStyle name="쉼표 [0] 2 33 13 4" xfId="0"/>
    <cellStyle name="쉼표 [0] 2 33 13 5" xfId="0"/>
    <cellStyle name="쉼표 [0] 2 33 13 6" xfId="0"/>
    <cellStyle name="쉼표 [0] 2 33 13 7" xfId="0"/>
    <cellStyle name="쉼표 [0] 2 33 14" xfId="0"/>
    <cellStyle name="쉼표 [0] 2 33 14 2" xfId="0"/>
    <cellStyle name="쉼표 [0] 2 33 14 3" xfId="0"/>
    <cellStyle name="쉼표 [0] 2 33 14 4" xfId="0"/>
    <cellStyle name="쉼표 [0] 2 33 14 5" xfId="0"/>
    <cellStyle name="쉼표 [0] 2 33 14 6" xfId="0"/>
    <cellStyle name="쉼표 [0] 2 33 14 7" xfId="0"/>
    <cellStyle name="쉼표 [0] 2 33 15" xfId="0"/>
    <cellStyle name="쉼표 [0] 2 33 16" xfId="0"/>
    <cellStyle name="쉼표 [0] 2 33 17" xfId="0"/>
    <cellStyle name="쉼표 [0] 2 33 18" xfId="0"/>
    <cellStyle name="쉼표 [0] 2 33 19" xfId="0"/>
    <cellStyle name="쉼표 [0] 2 33 2" xfId="0"/>
    <cellStyle name="쉼표 [0] 2 33 2 2" xfId="0"/>
    <cellStyle name="쉼표 [0] 2 33 2 3" xfId="0"/>
    <cellStyle name="쉼표 [0] 2 33 2 4" xfId="0"/>
    <cellStyle name="쉼표 [0] 2 33 2 5" xfId="0"/>
    <cellStyle name="쉼표 [0] 2 33 2 6" xfId="0"/>
    <cellStyle name="쉼표 [0] 2 33 2 7" xfId="0"/>
    <cellStyle name="쉼표 [0] 2 33 20" xfId="0"/>
    <cellStyle name="쉼표 [0] 2 33 21" xfId="0"/>
    <cellStyle name="쉼표 [0] 2 33 22" xfId="0"/>
    <cellStyle name="쉼표 [0] 2 33 23" xfId="0"/>
    <cellStyle name="쉼표 [0] 2 33 24" xfId="0"/>
    <cellStyle name="쉼표 [0] 2 33 24 2" xfId="0"/>
    <cellStyle name="쉼표 [0] 2 33 24 3" xfId="0"/>
    <cellStyle name="쉼표 [0] 2 33 25" xfId="0"/>
    <cellStyle name="쉼표 [0] 2 33 25 2" xfId="0"/>
    <cellStyle name="쉼표 [0] 2 33 25 3" xfId="0"/>
    <cellStyle name="쉼표 [0] 2 33 26" xfId="0"/>
    <cellStyle name="쉼표 [0] 2 33 27" xfId="0"/>
    <cellStyle name="쉼표 [0] 2 33 28" xfId="0"/>
    <cellStyle name="쉼표 [0] 2 33 29" xfId="0"/>
    <cellStyle name="쉼표 [0] 2 33 3" xfId="0"/>
    <cellStyle name="쉼표 [0] 2 33 3 2" xfId="0"/>
    <cellStyle name="쉼표 [0] 2 33 3 3" xfId="0"/>
    <cellStyle name="쉼표 [0] 2 33 3 4" xfId="0"/>
    <cellStyle name="쉼표 [0] 2 33 3 5" xfId="0"/>
    <cellStyle name="쉼표 [0] 2 33 3 6" xfId="0"/>
    <cellStyle name="쉼표 [0] 2 33 3 7" xfId="0"/>
    <cellStyle name="쉼표 [0] 2 33 30" xfId="0"/>
    <cellStyle name="쉼표 [0] 2 33 4" xfId="0"/>
    <cellStyle name="쉼표 [0] 2 33 4 2" xfId="0"/>
    <cellStyle name="쉼표 [0] 2 33 4 3" xfId="0"/>
    <cellStyle name="쉼표 [0] 2 33 4 4" xfId="0"/>
    <cellStyle name="쉼표 [0] 2 33 4 5" xfId="0"/>
    <cellStyle name="쉼표 [0] 2 33 4 6" xfId="0"/>
    <cellStyle name="쉼표 [0] 2 33 4 7" xfId="0"/>
    <cellStyle name="쉼표 [0] 2 33 5" xfId="0"/>
    <cellStyle name="쉼표 [0] 2 33 5 2" xfId="0"/>
    <cellStyle name="쉼표 [0] 2 33 5 3" xfId="0"/>
    <cellStyle name="쉼표 [0] 2 33 5 4" xfId="0"/>
    <cellStyle name="쉼표 [0] 2 33 5 5" xfId="0"/>
    <cellStyle name="쉼표 [0] 2 33 5 6" xfId="0"/>
    <cellStyle name="쉼표 [0] 2 33 5 7" xfId="0"/>
    <cellStyle name="쉼표 [0] 2 33 6" xfId="0"/>
    <cellStyle name="쉼표 [0] 2 33 6 2" xfId="0"/>
    <cellStyle name="쉼표 [0] 2 33 6 3" xfId="0"/>
    <cellStyle name="쉼표 [0] 2 33 6 4" xfId="0"/>
    <cellStyle name="쉼표 [0] 2 33 6 5" xfId="0"/>
    <cellStyle name="쉼표 [0] 2 33 6 6" xfId="0"/>
    <cellStyle name="쉼표 [0] 2 33 6 7" xfId="0"/>
    <cellStyle name="쉼표 [0] 2 33 7" xfId="0"/>
    <cellStyle name="쉼표 [0] 2 33 7 2" xfId="0"/>
    <cellStyle name="쉼표 [0] 2 33 7 3" xfId="0"/>
    <cellStyle name="쉼표 [0] 2 33 7 4" xfId="0"/>
    <cellStyle name="쉼표 [0] 2 33 7 5" xfId="0"/>
    <cellStyle name="쉼표 [0] 2 33 7 6" xfId="0"/>
    <cellStyle name="쉼표 [0] 2 33 7 7" xfId="0"/>
    <cellStyle name="쉼표 [0] 2 33 8" xfId="0"/>
    <cellStyle name="쉼표 [0] 2 33 8 2" xfId="0"/>
    <cellStyle name="쉼표 [0] 2 33 8 3" xfId="0"/>
    <cellStyle name="쉼표 [0] 2 33 8 4" xfId="0"/>
    <cellStyle name="쉼표 [0] 2 33 8 5" xfId="0"/>
    <cellStyle name="쉼표 [0] 2 33 8 6" xfId="0"/>
    <cellStyle name="쉼표 [0] 2 33 8 7" xfId="0"/>
    <cellStyle name="쉼표 [0] 2 33 9" xfId="0"/>
    <cellStyle name="쉼표 [0] 2 33 9 2" xfId="0"/>
    <cellStyle name="쉼표 [0] 2 33 9 3" xfId="0"/>
    <cellStyle name="쉼표 [0] 2 33 9 4" xfId="0"/>
    <cellStyle name="쉼표 [0] 2 33 9 5" xfId="0"/>
    <cellStyle name="쉼표 [0] 2 33 9 6" xfId="0"/>
    <cellStyle name="쉼표 [0] 2 33 9 7" xfId="0"/>
    <cellStyle name="쉼표 [0] 2 34" xfId="0"/>
    <cellStyle name="쉼표 [0] 2 34 10" xfId="0"/>
    <cellStyle name="쉼표 [0] 2 34 10 2" xfId="0"/>
    <cellStyle name="쉼표 [0] 2 34 10 3" xfId="0"/>
    <cellStyle name="쉼표 [0] 2 34 10 4" xfId="0"/>
    <cellStyle name="쉼표 [0] 2 34 10 5" xfId="0"/>
    <cellStyle name="쉼표 [0] 2 34 10 6" xfId="0"/>
    <cellStyle name="쉼표 [0] 2 34 10 7" xfId="0"/>
    <cellStyle name="쉼표 [0] 2 34 11" xfId="0"/>
    <cellStyle name="쉼표 [0] 2 34 11 2" xfId="0"/>
    <cellStyle name="쉼표 [0] 2 34 11 3" xfId="0"/>
    <cellStyle name="쉼표 [0] 2 34 11 4" xfId="0"/>
    <cellStyle name="쉼표 [0] 2 34 11 5" xfId="0"/>
    <cellStyle name="쉼표 [0] 2 34 11 6" xfId="0"/>
    <cellStyle name="쉼표 [0] 2 34 11 7" xfId="0"/>
    <cellStyle name="쉼표 [0] 2 34 12" xfId="0"/>
    <cellStyle name="쉼표 [0] 2 34 12 2" xfId="0"/>
    <cellStyle name="쉼표 [0] 2 34 12 3" xfId="0"/>
    <cellStyle name="쉼표 [0] 2 34 12 4" xfId="0"/>
    <cellStyle name="쉼표 [0] 2 34 12 5" xfId="0"/>
    <cellStyle name="쉼표 [0] 2 34 12 6" xfId="0"/>
    <cellStyle name="쉼표 [0] 2 34 12 7" xfId="0"/>
    <cellStyle name="쉼표 [0] 2 34 13" xfId="0"/>
    <cellStyle name="쉼표 [0] 2 34 13 2" xfId="0"/>
    <cellStyle name="쉼표 [0] 2 34 13 3" xfId="0"/>
    <cellStyle name="쉼표 [0] 2 34 13 4" xfId="0"/>
    <cellStyle name="쉼표 [0] 2 34 13 5" xfId="0"/>
    <cellStyle name="쉼표 [0] 2 34 13 6" xfId="0"/>
    <cellStyle name="쉼표 [0] 2 34 13 7" xfId="0"/>
    <cellStyle name="쉼표 [0] 2 34 14" xfId="0"/>
    <cellStyle name="쉼표 [0] 2 34 14 2" xfId="0"/>
    <cellStyle name="쉼표 [0] 2 34 14 3" xfId="0"/>
    <cellStyle name="쉼표 [0] 2 34 14 4" xfId="0"/>
    <cellStyle name="쉼표 [0] 2 34 14 5" xfId="0"/>
    <cellStyle name="쉼표 [0] 2 34 14 6" xfId="0"/>
    <cellStyle name="쉼표 [0] 2 34 14 7" xfId="0"/>
    <cellStyle name="쉼표 [0] 2 34 15" xfId="0"/>
    <cellStyle name="쉼표 [0] 2 34 16" xfId="0"/>
    <cellStyle name="쉼표 [0] 2 34 17" xfId="0"/>
    <cellStyle name="쉼표 [0] 2 34 18" xfId="0"/>
    <cellStyle name="쉼표 [0] 2 34 19" xfId="0"/>
    <cellStyle name="쉼표 [0] 2 34 2" xfId="0"/>
    <cellStyle name="쉼표 [0] 2 34 2 2" xfId="0"/>
    <cellStyle name="쉼표 [0] 2 34 2 3" xfId="0"/>
    <cellStyle name="쉼표 [0] 2 34 2 4" xfId="0"/>
    <cellStyle name="쉼표 [0] 2 34 2 5" xfId="0"/>
    <cellStyle name="쉼표 [0] 2 34 2 6" xfId="0"/>
    <cellStyle name="쉼표 [0] 2 34 2 7" xfId="0"/>
    <cellStyle name="쉼표 [0] 2 34 20" xfId="0"/>
    <cellStyle name="쉼표 [0] 2 34 21" xfId="0"/>
    <cellStyle name="쉼표 [0] 2 34 22" xfId="0"/>
    <cellStyle name="쉼표 [0] 2 34 23" xfId="0"/>
    <cellStyle name="쉼표 [0] 2 34 24" xfId="0"/>
    <cellStyle name="쉼표 [0] 2 34 24 2" xfId="0"/>
    <cellStyle name="쉼표 [0] 2 34 24 3" xfId="0"/>
    <cellStyle name="쉼표 [0] 2 34 25" xfId="0"/>
    <cellStyle name="쉼표 [0] 2 34 25 2" xfId="0"/>
    <cellStyle name="쉼표 [0] 2 34 25 3" xfId="0"/>
    <cellStyle name="쉼표 [0] 2 34 26" xfId="0"/>
    <cellStyle name="쉼표 [0] 2 34 27" xfId="0"/>
    <cellStyle name="쉼표 [0] 2 34 3" xfId="0"/>
    <cellStyle name="쉼표 [0] 2 34 3 2" xfId="0"/>
    <cellStyle name="쉼표 [0] 2 34 3 3" xfId="0"/>
    <cellStyle name="쉼표 [0] 2 34 3 4" xfId="0"/>
    <cellStyle name="쉼표 [0] 2 34 3 5" xfId="0"/>
    <cellStyle name="쉼표 [0] 2 34 3 6" xfId="0"/>
    <cellStyle name="쉼표 [0] 2 34 3 7" xfId="0"/>
    <cellStyle name="쉼표 [0] 2 34 4" xfId="0"/>
    <cellStyle name="쉼표 [0] 2 34 4 2" xfId="0"/>
    <cellStyle name="쉼표 [0] 2 34 4 3" xfId="0"/>
    <cellStyle name="쉼표 [0] 2 34 4 4" xfId="0"/>
    <cellStyle name="쉼표 [0] 2 34 4 5" xfId="0"/>
    <cellStyle name="쉼표 [0] 2 34 4 6" xfId="0"/>
    <cellStyle name="쉼표 [0] 2 34 4 7" xfId="0"/>
    <cellStyle name="쉼표 [0] 2 34 5" xfId="0"/>
    <cellStyle name="쉼표 [0] 2 34 5 2" xfId="0"/>
    <cellStyle name="쉼표 [0] 2 34 5 3" xfId="0"/>
    <cellStyle name="쉼표 [0] 2 34 5 4" xfId="0"/>
    <cellStyle name="쉼표 [0] 2 34 5 5" xfId="0"/>
    <cellStyle name="쉼표 [0] 2 34 5 6" xfId="0"/>
    <cellStyle name="쉼표 [0] 2 34 5 7" xfId="0"/>
    <cellStyle name="쉼표 [0] 2 34 6" xfId="0"/>
    <cellStyle name="쉼표 [0] 2 34 6 2" xfId="0"/>
    <cellStyle name="쉼표 [0] 2 34 6 3" xfId="0"/>
    <cellStyle name="쉼표 [0] 2 34 6 4" xfId="0"/>
    <cellStyle name="쉼표 [0] 2 34 6 5" xfId="0"/>
    <cellStyle name="쉼표 [0] 2 34 6 6" xfId="0"/>
    <cellStyle name="쉼표 [0] 2 34 6 7" xfId="0"/>
    <cellStyle name="쉼표 [0] 2 34 7" xfId="0"/>
    <cellStyle name="쉼표 [0] 2 34 7 2" xfId="0"/>
    <cellStyle name="쉼표 [0] 2 34 7 3" xfId="0"/>
    <cellStyle name="쉼표 [0] 2 34 7 4" xfId="0"/>
    <cellStyle name="쉼표 [0] 2 34 7 5" xfId="0"/>
    <cellStyle name="쉼표 [0] 2 34 7 6" xfId="0"/>
    <cellStyle name="쉼표 [0] 2 34 7 7" xfId="0"/>
    <cellStyle name="쉼표 [0] 2 34 8" xfId="0"/>
    <cellStyle name="쉼표 [0] 2 34 8 2" xfId="0"/>
    <cellStyle name="쉼표 [0] 2 34 8 3" xfId="0"/>
    <cellStyle name="쉼표 [0] 2 34 8 4" xfId="0"/>
    <cellStyle name="쉼표 [0] 2 34 8 5" xfId="0"/>
    <cellStyle name="쉼표 [0] 2 34 8 6" xfId="0"/>
    <cellStyle name="쉼표 [0] 2 34 8 7" xfId="0"/>
    <cellStyle name="쉼표 [0] 2 34 9" xfId="0"/>
    <cellStyle name="쉼표 [0] 2 34 9 2" xfId="0"/>
    <cellStyle name="쉼표 [0] 2 34 9 3" xfId="0"/>
    <cellStyle name="쉼표 [0] 2 34 9 4" xfId="0"/>
    <cellStyle name="쉼표 [0] 2 34 9 5" xfId="0"/>
    <cellStyle name="쉼표 [0] 2 34 9 6" xfId="0"/>
    <cellStyle name="쉼표 [0] 2 34 9 7" xfId="0"/>
    <cellStyle name="쉼표 [0] 2 35" xfId="0"/>
    <cellStyle name="쉼표 [0] 2 35 10" xfId="0"/>
    <cellStyle name="쉼표 [0] 2 35 10 2" xfId="0"/>
    <cellStyle name="쉼표 [0] 2 35 10 3" xfId="0"/>
    <cellStyle name="쉼표 [0] 2 35 10 4" xfId="0"/>
    <cellStyle name="쉼표 [0] 2 35 10 5" xfId="0"/>
    <cellStyle name="쉼표 [0] 2 35 10 6" xfId="0"/>
    <cellStyle name="쉼표 [0] 2 35 10 7" xfId="0"/>
    <cellStyle name="쉼표 [0] 2 35 11" xfId="0"/>
    <cellStyle name="쉼표 [0] 2 35 11 2" xfId="0"/>
    <cellStyle name="쉼표 [0] 2 35 11 3" xfId="0"/>
    <cellStyle name="쉼표 [0] 2 35 11 4" xfId="0"/>
    <cellStyle name="쉼표 [0] 2 35 11 5" xfId="0"/>
    <cellStyle name="쉼표 [0] 2 35 11 6" xfId="0"/>
    <cellStyle name="쉼표 [0] 2 35 11 7" xfId="0"/>
    <cellStyle name="쉼표 [0] 2 35 12" xfId="0"/>
    <cellStyle name="쉼표 [0] 2 35 12 2" xfId="0"/>
    <cellStyle name="쉼표 [0] 2 35 12 3" xfId="0"/>
    <cellStyle name="쉼표 [0] 2 35 12 4" xfId="0"/>
    <cellStyle name="쉼표 [0] 2 35 12 5" xfId="0"/>
    <cellStyle name="쉼표 [0] 2 35 12 6" xfId="0"/>
    <cellStyle name="쉼표 [0] 2 35 12 7" xfId="0"/>
    <cellStyle name="쉼표 [0] 2 35 13" xfId="0"/>
    <cellStyle name="쉼표 [0] 2 35 13 2" xfId="0"/>
    <cellStyle name="쉼표 [0] 2 35 13 3" xfId="0"/>
    <cellStyle name="쉼표 [0] 2 35 13 4" xfId="0"/>
    <cellStyle name="쉼표 [0] 2 35 13 5" xfId="0"/>
    <cellStyle name="쉼표 [0] 2 35 13 6" xfId="0"/>
    <cellStyle name="쉼표 [0] 2 35 13 7" xfId="0"/>
    <cellStyle name="쉼표 [0] 2 35 14" xfId="0"/>
    <cellStyle name="쉼표 [0] 2 35 14 2" xfId="0"/>
    <cellStyle name="쉼표 [0] 2 35 14 3" xfId="0"/>
    <cellStyle name="쉼표 [0] 2 35 14 4" xfId="0"/>
    <cellStyle name="쉼표 [0] 2 35 14 5" xfId="0"/>
    <cellStyle name="쉼표 [0] 2 35 14 6" xfId="0"/>
    <cellStyle name="쉼표 [0] 2 35 14 7" xfId="0"/>
    <cellStyle name="쉼표 [0] 2 35 15" xfId="0"/>
    <cellStyle name="쉼표 [0] 2 35 16" xfId="0"/>
    <cellStyle name="쉼표 [0] 2 35 17" xfId="0"/>
    <cellStyle name="쉼표 [0] 2 35 18" xfId="0"/>
    <cellStyle name="쉼표 [0] 2 35 19" xfId="0"/>
    <cellStyle name="쉼표 [0] 2 35 2" xfId="0"/>
    <cellStyle name="쉼표 [0] 2 35 2 2" xfId="0"/>
    <cellStyle name="쉼표 [0] 2 35 2 3" xfId="0"/>
    <cellStyle name="쉼표 [0] 2 35 2 4" xfId="0"/>
    <cellStyle name="쉼표 [0] 2 35 2 5" xfId="0"/>
    <cellStyle name="쉼표 [0] 2 35 2 6" xfId="0"/>
    <cellStyle name="쉼표 [0] 2 35 2 7" xfId="0"/>
    <cellStyle name="쉼표 [0] 2 35 20" xfId="0"/>
    <cellStyle name="쉼표 [0] 2 35 21" xfId="0"/>
    <cellStyle name="쉼표 [0] 2 35 22" xfId="0"/>
    <cellStyle name="쉼표 [0] 2 35 23" xfId="0"/>
    <cellStyle name="쉼표 [0] 2 35 24" xfId="0"/>
    <cellStyle name="쉼표 [0] 2 35 24 2" xfId="0"/>
    <cellStyle name="쉼표 [0] 2 35 24 3" xfId="0"/>
    <cellStyle name="쉼표 [0] 2 35 25" xfId="0"/>
    <cellStyle name="쉼표 [0] 2 35 25 2" xfId="0"/>
    <cellStyle name="쉼표 [0] 2 35 25 3" xfId="0"/>
    <cellStyle name="쉼표 [0] 2 35 26" xfId="0"/>
    <cellStyle name="쉼표 [0] 2 35 27" xfId="0"/>
    <cellStyle name="쉼표 [0] 2 35 3" xfId="0"/>
    <cellStyle name="쉼표 [0] 2 35 3 2" xfId="0"/>
    <cellStyle name="쉼표 [0] 2 35 3 3" xfId="0"/>
    <cellStyle name="쉼표 [0] 2 35 3 4" xfId="0"/>
    <cellStyle name="쉼표 [0] 2 35 3 5" xfId="0"/>
    <cellStyle name="쉼표 [0] 2 35 3 6" xfId="0"/>
    <cellStyle name="쉼표 [0] 2 35 3 7" xfId="0"/>
    <cellStyle name="쉼표 [0] 2 35 4" xfId="0"/>
    <cellStyle name="쉼표 [0] 2 35 4 2" xfId="0"/>
    <cellStyle name="쉼표 [0] 2 35 4 3" xfId="0"/>
    <cellStyle name="쉼표 [0] 2 35 4 4" xfId="0"/>
    <cellStyle name="쉼표 [0] 2 35 4 5" xfId="0"/>
    <cellStyle name="쉼표 [0] 2 35 4 6" xfId="0"/>
    <cellStyle name="쉼표 [0] 2 35 4 7" xfId="0"/>
    <cellStyle name="쉼표 [0] 2 35 5" xfId="0"/>
    <cellStyle name="쉼표 [0] 2 35 5 2" xfId="0"/>
    <cellStyle name="쉼표 [0] 2 35 5 3" xfId="0"/>
    <cellStyle name="쉼표 [0] 2 35 5 4" xfId="0"/>
    <cellStyle name="쉼표 [0] 2 35 5 5" xfId="0"/>
    <cellStyle name="쉼표 [0] 2 35 5 6" xfId="0"/>
    <cellStyle name="쉼표 [0] 2 35 5 7" xfId="0"/>
    <cellStyle name="쉼표 [0] 2 35 6" xfId="0"/>
    <cellStyle name="쉼표 [0] 2 35 6 2" xfId="0"/>
    <cellStyle name="쉼표 [0] 2 35 6 3" xfId="0"/>
    <cellStyle name="쉼표 [0] 2 35 6 4" xfId="0"/>
    <cellStyle name="쉼표 [0] 2 35 6 5" xfId="0"/>
    <cellStyle name="쉼표 [0] 2 35 6 6" xfId="0"/>
    <cellStyle name="쉼표 [0] 2 35 6 7" xfId="0"/>
    <cellStyle name="쉼표 [0] 2 35 7" xfId="0"/>
    <cellStyle name="쉼표 [0] 2 35 7 2" xfId="0"/>
    <cellStyle name="쉼표 [0] 2 35 7 3" xfId="0"/>
    <cellStyle name="쉼표 [0] 2 35 7 4" xfId="0"/>
    <cellStyle name="쉼표 [0] 2 35 7 5" xfId="0"/>
    <cellStyle name="쉼표 [0] 2 35 7 6" xfId="0"/>
    <cellStyle name="쉼표 [0] 2 35 7 7" xfId="0"/>
    <cellStyle name="쉼표 [0] 2 35 8" xfId="0"/>
    <cellStyle name="쉼표 [0] 2 35 8 2" xfId="0"/>
    <cellStyle name="쉼표 [0] 2 35 8 3" xfId="0"/>
    <cellStyle name="쉼표 [0] 2 35 8 4" xfId="0"/>
    <cellStyle name="쉼표 [0] 2 35 8 5" xfId="0"/>
    <cellStyle name="쉼표 [0] 2 35 8 6" xfId="0"/>
    <cellStyle name="쉼표 [0] 2 35 8 7" xfId="0"/>
    <cellStyle name="쉼표 [0] 2 35 9" xfId="0"/>
    <cellStyle name="쉼표 [0] 2 35 9 2" xfId="0"/>
    <cellStyle name="쉼표 [0] 2 35 9 3" xfId="0"/>
    <cellStyle name="쉼표 [0] 2 35 9 4" xfId="0"/>
    <cellStyle name="쉼표 [0] 2 35 9 5" xfId="0"/>
    <cellStyle name="쉼표 [0] 2 35 9 6" xfId="0"/>
    <cellStyle name="쉼표 [0] 2 35 9 7" xfId="0"/>
    <cellStyle name="쉼표 [0] 2 36" xfId="0"/>
    <cellStyle name="쉼표 [0] 2 36 10" xfId="0"/>
    <cellStyle name="쉼표 [0] 2 36 10 2" xfId="0"/>
    <cellStyle name="쉼표 [0] 2 36 10 3" xfId="0"/>
    <cellStyle name="쉼표 [0] 2 36 10 4" xfId="0"/>
    <cellStyle name="쉼표 [0] 2 36 10 5" xfId="0"/>
    <cellStyle name="쉼표 [0] 2 36 10 6" xfId="0"/>
    <cellStyle name="쉼표 [0] 2 36 10 7" xfId="0"/>
    <cellStyle name="쉼표 [0] 2 36 11" xfId="0"/>
    <cellStyle name="쉼표 [0] 2 36 11 2" xfId="0"/>
    <cellStyle name="쉼표 [0] 2 36 11 3" xfId="0"/>
    <cellStyle name="쉼표 [0] 2 36 11 4" xfId="0"/>
    <cellStyle name="쉼표 [0] 2 36 11 5" xfId="0"/>
    <cellStyle name="쉼표 [0] 2 36 11 6" xfId="0"/>
    <cellStyle name="쉼표 [0] 2 36 11 7" xfId="0"/>
    <cellStyle name="쉼표 [0] 2 36 12" xfId="0"/>
    <cellStyle name="쉼표 [0] 2 36 12 2" xfId="0"/>
    <cellStyle name="쉼표 [0] 2 36 12 3" xfId="0"/>
    <cellStyle name="쉼표 [0] 2 36 12 4" xfId="0"/>
    <cellStyle name="쉼표 [0] 2 36 12 5" xfId="0"/>
    <cellStyle name="쉼표 [0] 2 36 12 6" xfId="0"/>
    <cellStyle name="쉼표 [0] 2 36 12 7" xfId="0"/>
    <cellStyle name="쉼표 [0] 2 36 13" xfId="0"/>
    <cellStyle name="쉼표 [0] 2 36 13 2" xfId="0"/>
    <cellStyle name="쉼표 [0] 2 36 13 3" xfId="0"/>
    <cellStyle name="쉼표 [0] 2 36 13 4" xfId="0"/>
    <cellStyle name="쉼표 [0] 2 36 13 5" xfId="0"/>
    <cellStyle name="쉼표 [0] 2 36 13 6" xfId="0"/>
    <cellStyle name="쉼표 [0] 2 36 13 7" xfId="0"/>
    <cellStyle name="쉼표 [0] 2 36 14" xfId="0"/>
    <cellStyle name="쉼표 [0] 2 36 14 2" xfId="0"/>
    <cellStyle name="쉼표 [0] 2 36 14 3" xfId="0"/>
    <cellStyle name="쉼표 [0] 2 36 14 4" xfId="0"/>
    <cellStyle name="쉼표 [0] 2 36 14 5" xfId="0"/>
    <cellStyle name="쉼표 [0] 2 36 14 6" xfId="0"/>
    <cellStyle name="쉼표 [0] 2 36 14 7" xfId="0"/>
    <cellStyle name="쉼표 [0] 2 36 15" xfId="0"/>
    <cellStyle name="쉼표 [0] 2 36 16" xfId="0"/>
    <cellStyle name="쉼표 [0] 2 36 17" xfId="0"/>
    <cellStyle name="쉼표 [0] 2 36 18" xfId="0"/>
    <cellStyle name="쉼표 [0] 2 36 19" xfId="0"/>
    <cellStyle name="쉼표 [0] 2 36 2" xfId="0"/>
    <cellStyle name="쉼표 [0] 2 36 2 2" xfId="0"/>
    <cellStyle name="쉼표 [0] 2 36 2 3" xfId="0"/>
    <cellStyle name="쉼표 [0] 2 36 2 4" xfId="0"/>
    <cellStyle name="쉼표 [0] 2 36 2 5" xfId="0"/>
    <cellStyle name="쉼표 [0] 2 36 2 6" xfId="0"/>
    <cellStyle name="쉼표 [0] 2 36 2 7" xfId="0"/>
    <cellStyle name="쉼표 [0] 2 36 20" xfId="0"/>
    <cellStyle name="쉼표 [0] 2 36 21" xfId="0"/>
    <cellStyle name="쉼표 [0] 2 36 22" xfId="0"/>
    <cellStyle name="쉼표 [0] 2 36 23" xfId="0"/>
    <cellStyle name="쉼표 [0] 2 36 24" xfId="0"/>
    <cellStyle name="쉼표 [0] 2 36 24 2" xfId="0"/>
    <cellStyle name="쉼표 [0] 2 36 24 3" xfId="0"/>
    <cellStyle name="쉼표 [0] 2 36 25" xfId="0"/>
    <cellStyle name="쉼표 [0] 2 36 25 2" xfId="0"/>
    <cellStyle name="쉼표 [0] 2 36 25 3" xfId="0"/>
    <cellStyle name="쉼표 [0] 2 36 26" xfId="0"/>
    <cellStyle name="쉼표 [0] 2 36 27" xfId="0"/>
    <cellStyle name="쉼표 [0] 2 36 3" xfId="0"/>
    <cellStyle name="쉼표 [0] 2 36 3 2" xfId="0"/>
    <cellStyle name="쉼표 [0] 2 36 3 3" xfId="0"/>
    <cellStyle name="쉼표 [0] 2 36 3 4" xfId="0"/>
    <cellStyle name="쉼표 [0] 2 36 3 5" xfId="0"/>
    <cellStyle name="쉼표 [0] 2 36 3 6" xfId="0"/>
    <cellStyle name="쉼표 [0] 2 36 3 7" xfId="0"/>
    <cellStyle name="쉼표 [0] 2 36 4" xfId="0"/>
    <cellStyle name="쉼표 [0] 2 36 4 2" xfId="0"/>
    <cellStyle name="쉼표 [0] 2 36 4 3" xfId="0"/>
    <cellStyle name="쉼표 [0] 2 36 4 4" xfId="0"/>
    <cellStyle name="쉼표 [0] 2 36 4 5" xfId="0"/>
    <cellStyle name="쉼표 [0] 2 36 4 6" xfId="0"/>
    <cellStyle name="쉼표 [0] 2 36 4 7" xfId="0"/>
    <cellStyle name="쉼표 [0] 2 36 5" xfId="0"/>
    <cellStyle name="쉼표 [0] 2 36 5 2" xfId="0"/>
    <cellStyle name="쉼표 [0] 2 36 5 3" xfId="0"/>
    <cellStyle name="쉼표 [0] 2 36 5 4" xfId="0"/>
    <cellStyle name="쉼표 [0] 2 36 5 5" xfId="0"/>
    <cellStyle name="쉼표 [0] 2 36 5 6" xfId="0"/>
    <cellStyle name="쉼표 [0] 2 36 5 7" xfId="0"/>
    <cellStyle name="쉼표 [0] 2 36 6" xfId="0"/>
    <cellStyle name="쉼표 [0] 2 36 6 2" xfId="0"/>
    <cellStyle name="쉼표 [0] 2 36 6 3" xfId="0"/>
    <cellStyle name="쉼표 [0] 2 36 6 4" xfId="0"/>
    <cellStyle name="쉼표 [0] 2 36 6 5" xfId="0"/>
    <cellStyle name="쉼표 [0] 2 36 6 6" xfId="0"/>
    <cellStyle name="쉼표 [0] 2 36 6 7" xfId="0"/>
    <cellStyle name="쉼표 [0] 2 36 7" xfId="0"/>
    <cellStyle name="쉼표 [0] 2 36 7 2" xfId="0"/>
    <cellStyle name="쉼표 [0] 2 36 7 3" xfId="0"/>
    <cellStyle name="쉼표 [0] 2 36 7 4" xfId="0"/>
    <cellStyle name="쉼표 [0] 2 36 7 5" xfId="0"/>
    <cellStyle name="쉼표 [0] 2 36 7 6" xfId="0"/>
    <cellStyle name="쉼표 [0] 2 36 7 7" xfId="0"/>
    <cellStyle name="쉼표 [0] 2 36 8" xfId="0"/>
    <cellStyle name="쉼표 [0] 2 36 8 2" xfId="0"/>
    <cellStyle name="쉼표 [0] 2 36 8 3" xfId="0"/>
    <cellStyle name="쉼표 [0] 2 36 8 4" xfId="0"/>
    <cellStyle name="쉼표 [0] 2 36 8 5" xfId="0"/>
    <cellStyle name="쉼표 [0] 2 36 8 6" xfId="0"/>
    <cellStyle name="쉼표 [0] 2 36 8 7" xfId="0"/>
    <cellStyle name="쉼표 [0] 2 36 9" xfId="0"/>
    <cellStyle name="쉼표 [0] 2 36 9 2" xfId="0"/>
    <cellStyle name="쉼표 [0] 2 36 9 3" xfId="0"/>
    <cellStyle name="쉼표 [0] 2 36 9 4" xfId="0"/>
    <cellStyle name="쉼표 [0] 2 36 9 5" xfId="0"/>
    <cellStyle name="쉼표 [0] 2 36 9 6" xfId="0"/>
    <cellStyle name="쉼표 [0] 2 36 9 7" xfId="0"/>
    <cellStyle name="쉼표 [0] 2 37" xfId="0"/>
    <cellStyle name="쉼표 [0] 2 38" xfId="0"/>
    <cellStyle name="쉼표 [0] 2 39" xfId="0"/>
    <cellStyle name="쉼표 [0] 2 4" xfId="0"/>
    <cellStyle name="쉼표 [0] 2 4 10" xfId="0"/>
    <cellStyle name="쉼표 [0] 2 4 11" xfId="0"/>
    <cellStyle name="쉼표 [0] 2 4 12" xfId="0"/>
    <cellStyle name="쉼표 [0] 2 4 13" xfId="0"/>
    <cellStyle name="쉼표 [0] 2 4 14" xfId="0"/>
    <cellStyle name="쉼표 [0] 2 4 2" xfId="0"/>
    <cellStyle name="쉼표 [0] 2 4 2 2" xfId="0"/>
    <cellStyle name="쉼표 [0] 2 4 3" xfId="0"/>
    <cellStyle name="쉼표 [0] 2 4 3 2" xfId="0"/>
    <cellStyle name="쉼표 [0] 2 4 4" xfId="0"/>
    <cellStyle name="쉼표 [0] 2 4 5" xfId="0"/>
    <cellStyle name="쉼표 [0] 2 4 6" xfId="0"/>
    <cellStyle name="쉼표 [0] 2 4 7" xfId="0"/>
    <cellStyle name="쉼표 [0] 2 4 8" xfId="0"/>
    <cellStyle name="쉼표 [0] 2 4 9" xfId="0"/>
    <cellStyle name="쉼표 [0] 2 40" xfId="0"/>
    <cellStyle name="쉼표 [0] 2 41" xfId="0"/>
    <cellStyle name="쉼표 [0] 2 42" xfId="0"/>
    <cellStyle name="쉼표 [0] 2 43" xfId="0"/>
    <cellStyle name="쉼표 [0] 2 44" xfId="0"/>
    <cellStyle name="쉼표 [0] 2 45" xfId="0"/>
    <cellStyle name="쉼표 [0] 2 45 2" xfId="0"/>
    <cellStyle name="쉼표 [0] 2 45 3" xfId="0"/>
    <cellStyle name="쉼표 [0] 2 45 4" xfId="0"/>
    <cellStyle name="쉼표 [0] 2 46" xfId="0"/>
    <cellStyle name="쉼표 [0] 2 46 2" xfId="0"/>
    <cellStyle name="쉼표 [0] 2 46 3" xfId="0"/>
    <cellStyle name="쉼표 [0] 2 46 4" xfId="0"/>
    <cellStyle name="쉼표 [0] 2 47" xfId="0"/>
    <cellStyle name="쉼표 [0] 2 47 2" xfId="0"/>
    <cellStyle name="쉼표 [0] 2 47 3" xfId="0"/>
    <cellStyle name="쉼표 [0] 2 47 4" xfId="0"/>
    <cellStyle name="쉼표 [0] 2 48" xfId="0"/>
    <cellStyle name="쉼표 [0] 2 48 2" xfId="0"/>
    <cellStyle name="쉼표 [0] 2 48 3" xfId="0"/>
    <cellStyle name="쉼표 [0] 2 48 4" xfId="0"/>
    <cellStyle name="쉼표 [0] 2 49" xfId="0"/>
    <cellStyle name="쉼표 [0] 2 49 2" xfId="0"/>
    <cellStyle name="쉼표 [0] 2 49 3" xfId="0"/>
    <cellStyle name="쉼표 [0] 2 49 4" xfId="0"/>
    <cellStyle name="쉼표 [0] 2 5" xfId="0"/>
    <cellStyle name="쉼표 [0] 2 5 10" xfId="0"/>
    <cellStyle name="쉼표 [0] 2 5 11" xfId="0"/>
    <cellStyle name="쉼표 [0] 2 5 12" xfId="0"/>
    <cellStyle name="쉼표 [0] 2 5 13" xfId="0"/>
    <cellStyle name="쉼표 [0] 2 5 14" xfId="0"/>
    <cellStyle name="쉼표 [0] 2 5 2" xfId="0"/>
    <cellStyle name="쉼표 [0] 2 5 3" xfId="0"/>
    <cellStyle name="쉼표 [0] 2 5 4" xfId="0"/>
    <cellStyle name="쉼표 [0] 2 5 5" xfId="0"/>
    <cellStyle name="쉼표 [0] 2 5 6" xfId="0"/>
    <cellStyle name="쉼표 [0] 2 5 7" xfId="0"/>
    <cellStyle name="쉼표 [0] 2 5 8" xfId="0"/>
    <cellStyle name="쉼표 [0] 2 5 9" xfId="0"/>
    <cellStyle name="쉼표 [0] 2 50" xfId="0"/>
    <cellStyle name="쉼표 [0] 2 50 2" xfId="0"/>
    <cellStyle name="쉼표 [0] 2 50 3" xfId="0"/>
    <cellStyle name="쉼표 [0] 2 50 4" xfId="0"/>
    <cellStyle name="쉼표 [0] 2 51" xfId="0"/>
    <cellStyle name="쉼표 [0] 2 51 2" xfId="0"/>
    <cellStyle name="쉼표 [0] 2 51 3" xfId="0"/>
    <cellStyle name="쉼표 [0] 2 51 4" xfId="0"/>
    <cellStyle name="쉼표 [0] 2 52" xfId="0"/>
    <cellStyle name="쉼표 [0] 2 52 2" xfId="0"/>
    <cellStyle name="쉼표 [0] 2 52 3" xfId="0"/>
    <cellStyle name="쉼표 [0] 2 52 4" xfId="0"/>
    <cellStyle name="쉼표 [0] 2 53" xfId="0"/>
    <cellStyle name="쉼표 [0] 2 54" xfId="0"/>
    <cellStyle name="쉼표 [0] 2 55" xfId="0"/>
    <cellStyle name="쉼표 [0] 2 56" xfId="0"/>
    <cellStyle name="쉼표 [0] 2 57" xfId="0"/>
    <cellStyle name="쉼표 [0] 2 58" xfId="0"/>
    <cellStyle name="쉼표 [0] 2 59" xfId="0"/>
    <cellStyle name="쉼표 [0] 2 6" xfId="0"/>
    <cellStyle name="쉼표 [0] 2 6 10" xfId="0"/>
    <cellStyle name="쉼표 [0] 2 6 11" xfId="0"/>
    <cellStyle name="쉼표 [0] 2 6 12" xfId="0"/>
    <cellStyle name="쉼표 [0] 2 6 13" xfId="0"/>
    <cellStyle name="쉼표 [0] 2 6 14" xfId="0"/>
    <cellStyle name="쉼표 [0] 2 6 2" xfId="0"/>
    <cellStyle name="쉼표 [0] 2 6 3" xfId="0"/>
    <cellStyle name="쉼표 [0] 2 6 4" xfId="0"/>
    <cellStyle name="쉼표 [0] 2 6 5" xfId="0"/>
    <cellStyle name="쉼표 [0] 2 6 6" xfId="0"/>
    <cellStyle name="쉼표 [0] 2 6 7" xfId="0"/>
    <cellStyle name="쉼표 [0] 2 6 8" xfId="0"/>
    <cellStyle name="쉼표 [0] 2 6 9" xfId="0"/>
    <cellStyle name="쉼표 [0] 2 60" xfId="0"/>
    <cellStyle name="쉼표 [0] 2 61" xfId="0"/>
    <cellStyle name="쉼표 [0] 2 62" xfId="0"/>
    <cellStyle name="쉼표 [0] 2 63" xfId="0"/>
    <cellStyle name="쉼표 [0] 2 64" xfId="0"/>
    <cellStyle name="쉼표 [0] 2 65" xfId="0"/>
    <cellStyle name="쉼표 [0] 2 66" xfId="0"/>
    <cellStyle name="쉼표 [0] 2 67" xfId="0"/>
    <cellStyle name="쉼표 [0] 2 68" xfId="0"/>
    <cellStyle name="쉼표 [0] 2 69" xfId="0"/>
    <cellStyle name="쉼표 [0] 2 7" xfId="0"/>
    <cellStyle name="쉼표 [0] 2 7 10" xfId="0"/>
    <cellStyle name="쉼표 [0] 2 7 11" xfId="0"/>
    <cellStyle name="쉼표 [0] 2 7 2" xfId="0"/>
    <cellStyle name="쉼표 [0] 2 7 2 2" xfId="0"/>
    <cellStyle name="쉼표 [0] 2 7 2 2 2" xfId="0"/>
    <cellStyle name="쉼표 [0] 2 7 2 2 3" xfId="0"/>
    <cellStyle name="쉼표 [0] 2 7 2 2 4" xfId="0"/>
    <cellStyle name="쉼표 [0] 2 7 2 3" xfId="0"/>
    <cellStyle name="쉼표 [0] 2 7 2 3 2" xfId="0"/>
    <cellStyle name="쉼표 [0] 2 7 2 3 3" xfId="0"/>
    <cellStyle name="쉼표 [0] 2 7 2 3 4" xfId="0"/>
    <cellStyle name="쉼표 [0] 2 7 2 4" xfId="0"/>
    <cellStyle name="쉼표 [0] 2 7 2 4 2" xfId="0"/>
    <cellStyle name="쉼표 [0] 2 7 2 4 3" xfId="0"/>
    <cellStyle name="쉼표 [0] 2 7 2 4 4" xfId="0"/>
    <cellStyle name="쉼표 [0] 2 7 2 5" xfId="0"/>
    <cellStyle name="쉼표 [0] 2 7 2 6" xfId="0"/>
    <cellStyle name="쉼표 [0] 2 7 2 7" xfId="0"/>
    <cellStyle name="쉼표 [0] 2 7 3" xfId="0"/>
    <cellStyle name="쉼표 [0] 2 7 3 2" xfId="0"/>
    <cellStyle name="쉼표 [0] 2 7 3 2 2" xfId="0"/>
    <cellStyle name="쉼표 [0] 2 7 3 2 3" xfId="0"/>
    <cellStyle name="쉼표 [0] 2 7 3 2 4" xfId="0"/>
    <cellStyle name="쉼표 [0] 2 7 3 2 5" xfId="0"/>
    <cellStyle name="쉼표 [0] 2 7 3 3" xfId="0"/>
    <cellStyle name="쉼표 [0] 2 7 3 4" xfId="0"/>
    <cellStyle name="쉼표 [0] 2 7 3 5" xfId="0"/>
    <cellStyle name="쉼표 [0] 2 7 4" xfId="0"/>
    <cellStyle name="쉼표 [0] 2 7 4 2" xfId="0"/>
    <cellStyle name="쉼표 [0] 2 7 4 3" xfId="0"/>
    <cellStyle name="쉼표 [0] 2 7 4 4" xfId="0"/>
    <cellStyle name="쉼표 [0] 2 7 4 5" xfId="0"/>
    <cellStyle name="쉼표 [0] 2 7 5" xfId="0"/>
    <cellStyle name="쉼표 [0] 2 7 6" xfId="0"/>
    <cellStyle name="쉼표 [0] 2 7 7" xfId="0"/>
    <cellStyle name="쉼표 [0] 2 7 8" xfId="0"/>
    <cellStyle name="쉼표 [0] 2 7 9" xfId="0"/>
    <cellStyle name="쉼표 [0] 2 70" xfId="0"/>
    <cellStyle name="쉼표 [0] 2 71" xfId="0"/>
    <cellStyle name="쉼표 [0] 2 72" xfId="0"/>
    <cellStyle name="쉼표 [0] 2 73" xfId="0"/>
    <cellStyle name="쉼표 [0] 2 74" xfId="0"/>
    <cellStyle name="쉼표 [0] 2 75" xfId="0"/>
    <cellStyle name="쉼표 [0] 2 76" xfId="0"/>
    <cellStyle name="쉼표 [0] 2 77" xfId="0"/>
    <cellStyle name="쉼표 [0] 2 78" xfId="0"/>
    <cellStyle name="쉼표 [0] 2 79" xfId="0"/>
    <cellStyle name="쉼표 [0] 2 8" xfId="0"/>
    <cellStyle name="쉼표 [0] 2 8 10" xfId="0"/>
    <cellStyle name="쉼표 [0] 2 8 11" xfId="0"/>
    <cellStyle name="쉼표 [0] 2 8 12" xfId="0"/>
    <cellStyle name="쉼표 [0] 2 8 13" xfId="0"/>
    <cellStyle name="쉼표 [0] 2 8 14" xfId="0"/>
    <cellStyle name="쉼표 [0] 2 8 15" xfId="0"/>
    <cellStyle name="쉼표 [0] 2 8 16" xfId="0"/>
    <cellStyle name="쉼표 [0] 2 8 2" xfId="0"/>
    <cellStyle name="쉼표 [0] 2 8 3" xfId="0"/>
    <cellStyle name="쉼표 [0] 2 8 4" xfId="0"/>
    <cellStyle name="쉼표 [0] 2 8 5" xfId="0"/>
    <cellStyle name="쉼표 [0] 2 8 6" xfId="0"/>
    <cellStyle name="쉼표 [0] 2 8 7" xfId="0"/>
    <cellStyle name="쉼표 [0] 2 8 8" xfId="0"/>
    <cellStyle name="쉼표 [0] 2 8 9" xfId="0"/>
    <cellStyle name="쉼표 [0] 2 80" xfId="0"/>
    <cellStyle name="쉼표 [0] 2 81" xfId="0"/>
    <cellStyle name="쉼표 [0] 2 82" xfId="0"/>
    <cellStyle name="쉼표 [0] 2 83" xfId="0"/>
    <cellStyle name="쉼표 [0] 2 84" xfId="0"/>
    <cellStyle name="쉼표 [0] 2 85" xfId="0"/>
    <cellStyle name="쉼표 [0] 2 86" xfId="0"/>
    <cellStyle name="쉼표 [0] 2 87" xfId="0"/>
    <cellStyle name="쉼표 [0] 2 88" xfId="0"/>
    <cellStyle name="쉼표 [0] 2 89" xfId="0"/>
    <cellStyle name="쉼표 [0] 2 9" xfId="0"/>
    <cellStyle name="쉼표 [0] 2 9 2" xfId="0"/>
    <cellStyle name="쉼표 [0] 2 9 2 2" xfId="0"/>
    <cellStyle name="쉼표 [0] 2 9 2 3" xfId="0"/>
    <cellStyle name="쉼표 [0] 2 9 2 4" xfId="0"/>
    <cellStyle name="쉼표 [0] 2 9 2 5" xfId="0"/>
    <cellStyle name="쉼표 [0] 2 9 3" xfId="0"/>
    <cellStyle name="쉼표 [0] 2 9 4" xfId="0"/>
    <cellStyle name="쉼표 [0] 2 9 5" xfId="0"/>
    <cellStyle name="쉼표 [0] 2 9 6" xfId="0"/>
    <cellStyle name="쉼표 [0] 2 9 7" xfId="0"/>
    <cellStyle name="쉼표 [0] 20" xfId="0"/>
    <cellStyle name="쉼표 [0] 20 2" xfId="0"/>
    <cellStyle name="쉼표 [0] 21" xfId="0"/>
    <cellStyle name="쉼표 [0] 22" xfId="0"/>
    <cellStyle name="쉼표 [0] 23" xfId="0"/>
    <cellStyle name="쉼표 [0] 24" xfId="0"/>
    <cellStyle name="쉼표 [0] 25" xfId="0"/>
    <cellStyle name="쉼표 [0] 25 2" xfId="0"/>
    <cellStyle name="쉼표 [0] 25 3" xfId="0"/>
    <cellStyle name="쉼표 [0] 25 4" xfId="0"/>
    <cellStyle name="쉼표 [0] 26" xfId="0"/>
    <cellStyle name="쉼표 [0] 27" xfId="0"/>
    <cellStyle name="쉼표 [0] 28" xfId="0"/>
    <cellStyle name="쉼표 [0] 28 2" xfId="0"/>
    <cellStyle name="쉼표 [0] 28 3" xfId="0"/>
    <cellStyle name="쉼표 [0] 28 4" xfId="0"/>
    <cellStyle name="쉼표 [0] 29" xfId="0"/>
    <cellStyle name="쉼표 [0] 2_Sheet1" xfId="0"/>
    <cellStyle name="쉼표 [0] 3" xfId="0"/>
    <cellStyle name="쉼표 [0] 3 10" xfId="0"/>
    <cellStyle name="쉼표 [0] 3 10 10" xfId="0"/>
    <cellStyle name="쉼표 [0] 3 10 11" xfId="0"/>
    <cellStyle name="쉼표 [0] 3 10 12" xfId="0"/>
    <cellStyle name="쉼표 [0] 3 10 13" xfId="0"/>
    <cellStyle name="쉼표 [0] 3 10 14" xfId="0"/>
    <cellStyle name="쉼표 [0] 3 10 2" xfId="0"/>
    <cellStyle name="쉼표 [0] 3 10 3" xfId="0"/>
    <cellStyle name="쉼표 [0] 3 10 4" xfId="0"/>
    <cellStyle name="쉼표 [0] 3 10 5" xfId="0"/>
    <cellStyle name="쉼표 [0] 3 10 6" xfId="0"/>
    <cellStyle name="쉼표 [0] 3 10 7" xfId="0"/>
    <cellStyle name="쉼표 [0] 3 10 8" xfId="0"/>
    <cellStyle name="쉼표 [0] 3 10 9" xfId="0"/>
    <cellStyle name="쉼표 [0] 3 11" xfId="0"/>
    <cellStyle name="쉼표 [0] 3 11 10" xfId="0"/>
    <cellStyle name="쉼표 [0] 3 11 11" xfId="0"/>
    <cellStyle name="쉼표 [0] 3 11 12" xfId="0"/>
    <cellStyle name="쉼표 [0] 3 11 13" xfId="0"/>
    <cellStyle name="쉼표 [0] 3 11 2" xfId="0"/>
    <cellStyle name="쉼표 [0] 3 11 3" xfId="0"/>
    <cellStyle name="쉼표 [0] 3 11 4" xfId="0"/>
    <cellStyle name="쉼표 [0] 3 11 5" xfId="0"/>
    <cellStyle name="쉼표 [0] 3 11 6" xfId="0"/>
    <cellStyle name="쉼표 [0] 3 11 7" xfId="0"/>
    <cellStyle name="쉼표 [0] 3 11 8" xfId="0"/>
    <cellStyle name="쉼표 [0] 3 11 9" xfId="0"/>
    <cellStyle name="쉼표 [0] 3 12" xfId="0"/>
    <cellStyle name="쉼표 [0] 3 12 10" xfId="0"/>
    <cellStyle name="쉼표 [0] 3 12 11" xfId="0"/>
    <cellStyle name="쉼표 [0] 3 12 12" xfId="0"/>
    <cellStyle name="쉼표 [0] 3 12 13" xfId="0"/>
    <cellStyle name="쉼표 [0] 3 12 2" xfId="0"/>
    <cellStyle name="쉼표 [0] 3 12 3" xfId="0"/>
    <cellStyle name="쉼표 [0] 3 12 4" xfId="0"/>
    <cellStyle name="쉼표 [0] 3 12 5" xfId="0"/>
    <cellStyle name="쉼표 [0] 3 12 6" xfId="0"/>
    <cellStyle name="쉼표 [0] 3 12 7" xfId="0"/>
    <cellStyle name="쉼표 [0] 3 12 8" xfId="0"/>
    <cellStyle name="쉼표 [0] 3 12 9" xfId="0"/>
    <cellStyle name="쉼표 [0] 3 13" xfId="0"/>
    <cellStyle name="쉼표 [0] 3 13 10" xfId="0"/>
    <cellStyle name="쉼표 [0] 3 13 11" xfId="0"/>
    <cellStyle name="쉼표 [0] 3 13 12" xfId="0"/>
    <cellStyle name="쉼표 [0] 3 13 13" xfId="0"/>
    <cellStyle name="쉼표 [0] 3 13 2" xfId="0"/>
    <cellStyle name="쉼표 [0] 3 13 3" xfId="0"/>
    <cellStyle name="쉼표 [0] 3 13 4" xfId="0"/>
    <cellStyle name="쉼표 [0] 3 13 5" xfId="0"/>
    <cellStyle name="쉼표 [0] 3 13 6" xfId="0"/>
    <cellStyle name="쉼표 [0] 3 13 7" xfId="0"/>
    <cellStyle name="쉼표 [0] 3 13 8" xfId="0"/>
    <cellStyle name="쉼표 [0] 3 13 9" xfId="0"/>
    <cellStyle name="쉼표 [0] 3 14" xfId="0"/>
    <cellStyle name="쉼표 [0] 3 14 10" xfId="0"/>
    <cellStyle name="쉼표 [0] 3 14 11" xfId="0"/>
    <cellStyle name="쉼표 [0] 3 14 12" xfId="0"/>
    <cellStyle name="쉼표 [0] 3 14 13" xfId="0"/>
    <cellStyle name="쉼표 [0] 3 14 2" xfId="0"/>
    <cellStyle name="쉼표 [0] 3 14 3" xfId="0"/>
    <cellStyle name="쉼표 [0] 3 14 4" xfId="0"/>
    <cellStyle name="쉼표 [0] 3 14 5" xfId="0"/>
    <cellStyle name="쉼표 [0] 3 14 6" xfId="0"/>
    <cellStyle name="쉼표 [0] 3 14 7" xfId="0"/>
    <cellStyle name="쉼표 [0] 3 14 8" xfId="0"/>
    <cellStyle name="쉼표 [0] 3 14 9" xfId="0"/>
    <cellStyle name="쉼표 [0] 3 15" xfId="0"/>
    <cellStyle name="쉼표 [0] 3 15 10" xfId="0"/>
    <cellStyle name="쉼표 [0] 3 15 11" xfId="0"/>
    <cellStyle name="쉼표 [0] 3 15 12" xfId="0"/>
    <cellStyle name="쉼표 [0] 3 15 13" xfId="0"/>
    <cellStyle name="쉼표 [0] 3 15 2" xfId="0"/>
    <cellStyle name="쉼표 [0] 3 15 3" xfId="0"/>
    <cellStyle name="쉼표 [0] 3 15 4" xfId="0"/>
    <cellStyle name="쉼표 [0] 3 15 5" xfId="0"/>
    <cellStyle name="쉼표 [0] 3 15 6" xfId="0"/>
    <cellStyle name="쉼표 [0] 3 15 7" xfId="0"/>
    <cellStyle name="쉼표 [0] 3 15 8" xfId="0"/>
    <cellStyle name="쉼표 [0] 3 15 9" xfId="0"/>
    <cellStyle name="쉼표 [0] 3 16" xfId="0"/>
    <cellStyle name="쉼표 [0] 3 16 10" xfId="0"/>
    <cellStyle name="쉼표 [0] 3 16 11" xfId="0"/>
    <cellStyle name="쉼표 [0] 3 16 12" xfId="0"/>
    <cellStyle name="쉼표 [0] 3 16 13" xfId="0"/>
    <cellStyle name="쉼표 [0] 3 16 2" xfId="0"/>
    <cellStyle name="쉼표 [0] 3 16 3" xfId="0"/>
    <cellStyle name="쉼표 [0] 3 16 4" xfId="0"/>
    <cellStyle name="쉼표 [0] 3 16 5" xfId="0"/>
    <cellStyle name="쉼표 [0] 3 16 6" xfId="0"/>
    <cellStyle name="쉼표 [0] 3 16 7" xfId="0"/>
    <cellStyle name="쉼표 [0] 3 16 8" xfId="0"/>
    <cellStyle name="쉼표 [0] 3 16 9" xfId="0"/>
    <cellStyle name="쉼표 [0] 3 17" xfId="0"/>
    <cellStyle name="쉼표 [0] 3 17 10" xfId="0"/>
    <cellStyle name="쉼표 [0] 3 17 11" xfId="0"/>
    <cellStyle name="쉼표 [0] 3 17 12" xfId="0"/>
    <cellStyle name="쉼표 [0] 3 17 13" xfId="0"/>
    <cellStyle name="쉼표 [0] 3 17 2" xfId="0"/>
    <cellStyle name="쉼표 [0] 3 17 3" xfId="0"/>
    <cellStyle name="쉼표 [0] 3 17 4" xfId="0"/>
    <cellStyle name="쉼표 [0] 3 17 5" xfId="0"/>
    <cellStyle name="쉼표 [0] 3 17 6" xfId="0"/>
    <cellStyle name="쉼표 [0] 3 17 7" xfId="0"/>
    <cellStyle name="쉼표 [0] 3 17 8" xfId="0"/>
    <cellStyle name="쉼표 [0] 3 17 9" xfId="0"/>
    <cellStyle name="쉼표 [0] 3 18" xfId="0"/>
    <cellStyle name="쉼표 [0] 3 18 10" xfId="0"/>
    <cellStyle name="쉼표 [0] 3 18 11" xfId="0"/>
    <cellStyle name="쉼표 [0] 3 18 12" xfId="0"/>
    <cellStyle name="쉼표 [0] 3 18 13" xfId="0"/>
    <cellStyle name="쉼표 [0] 3 18 2" xfId="0"/>
    <cellStyle name="쉼표 [0] 3 18 3" xfId="0"/>
    <cellStyle name="쉼표 [0] 3 18 4" xfId="0"/>
    <cellStyle name="쉼표 [0] 3 18 5" xfId="0"/>
    <cellStyle name="쉼표 [0] 3 18 6" xfId="0"/>
    <cellStyle name="쉼표 [0] 3 18 7" xfId="0"/>
    <cellStyle name="쉼표 [0] 3 18 8" xfId="0"/>
    <cellStyle name="쉼표 [0] 3 18 9" xfId="0"/>
    <cellStyle name="쉼표 [0] 3 19" xfId="0"/>
    <cellStyle name="쉼표 [0] 3 19 10" xfId="0"/>
    <cellStyle name="쉼표 [0] 3 19 11" xfId="0"/>
    <cellStyle name="쉼표 [0] 3 19 12" xfId="0"/>
    <cellStyle name="쉼표 [0] 3 19 13" xfId="0"/>
    <cellStyle name="쉼표 [0] 3 19 2" xfId="0"/>
    <cellStyle name="쉼표 [0] 3 19 3" xfId="0"/>
    <cellStyle name="쉼표 [0] 3 19 4" xfId="0"/>
    <cellStyle name="쉼표 [0] 3 19 5" xfId="0"/>
    <cellStyle name="쉼표 [0] 3 19 6" xfId="0"/>
    <cellStyle name="쉼표 [0] 3 19 7" xfId="0"/>
    <cellStyle name="쉼표 [0] 3 19 8" xfId="0"/>
    <cellStyle name="쉼표 [0] 3 19 9" xfId="0"/>
    <cellStyle name="쉼표 [0] 3 2" xfId="0"/>
    <cellStyle name="쉼표 [0] 3 2 10" xfId="0"/>
    <cellStyle name="쉼표 [0] 3 2 10 10" xfId="0"/>
    <cellStyle name="쉼표 [0] 3 2 10 11" xfId="0"/>
    <cellStyle name="쉼표 [0] 3 2 10 12" xfId="0"/>
    <cellStyle name="쉼표 [0] 3 2 10 13" xfId="0"/>
    <cellStyle name="쉼표 [0] 3 2 10 2" xfId="0"/>
    <cellStyle name="쉼표 [0] 3 2 10 3" xfId="0"/>
    <cellStyle name="쉼표 [0] 3 2 10 4" xfId="0"/>
    <cellStyle name="쉼표 [0] 3 2 10 5" xfId="0"/>
    <cellStyle name="쉼표 [0] 3 2 10 6" xfId="0"/>
    <cellStyle name="쉼표 [0] 3 2 10 7" xfId="0"/>
    <cellStyle name="쉼표 [0] 3 2 10 8" xfId="0"/>
    <cellStyle name="쉼표 [0] 3 2 10 9" xfId="0"/>
    <cellStyle name="쉼표 [0] 3 2 11" xfId="0"/>
    <cellStyle name="쉼표 [0] 3 2 11 2" xfId="0"/>
    <cellStyle name="쉼표 [0] 3 2 11 3" xfId="0"/>
    <cellStyle name="쉼표 [0] 3 2 11 4" xfId="0"/>
    <cellStyle name="쉼표 [0] 3 2 12" xfId="0"/>
    <cellStyle name="쉼표 [0] 3 2 13" xfId="0"/>
    <cellStyle name="쉼표 [0] 3 2 14" xfId="0"/>
    <cellStyle name="쉼표 [0] 3 2 15" xfId="0"/>
    <cellStyle name="쉼표 [0] 3 2 16" xfId="0"/>
    <cellStyle name="쉼표 [0] 3 2 17" xfId="0"/>
    <cellStyle name="쉼표 [0] 3 2 18" xfId="0"/>
    <cellStyle name="쉼표 [0] 3 2 19" xfId="0"/>
    <cellStyle name="쉼표 [0] 3 2 2" xfId="0"/>
    <cellStyle name="쉼표 [0] 3 2 2 10" xfId="0"/>
    <cellStyle name="쉼표 [0] 3 2 2 11" xfId="0"/>
    <cellStyle name="쉼표 [0] 3 2 2 12" xfId="0"/>
    <cellStyle name="쉼표 [0] 3 2 2 13" xfId="0"/>
    <cellStyle name="쉼표 [0] 3 2 2 14" xfId="0"/>
    <cellStyle name="쉼표 [0] 3 2 2 2" xfId="0"/>
    <cellStyle name="쉼표 [0] 3 2 2 3" xfId="0"/>
    <cellStyle name="쉼표 [0] 3 2 2 4" xfId="0"/>
    <cellStyle name="쉼표 [0] 3 2 2 5" xfId="0"/>
    <cellStyle name="쉼표 [0] 3 2 2 6" xfId="0"/>
    <cellStyle name="쉼표 [0] 3 2 2 7" xfId="0"/>
    <cellStyle name="쉼표 [0] 3 2 2 8" xfId="0"/>
    <cellStyle name="쉼표 [0] 3 2 2 9" xfId="0"/>
    <cellStyle name="쉼표 [0] 3 2 20" xfId="0"/>
    <cellStyle name="쉼표 [0] 3 2 21" xfId="0"/>
    <cellStyle name="쉼표 [0] 3 2 22" xfId="0"/>
    <cellStyle name="쉼표 [0] 3 2 23" xfId="0"/>
    <cellStyle name="쉼표 [0] 3 2 24" xfId="0"/>
    <cellStyle name="쉼표 [0] 3 2 25" xfId="0"/>
    <cellStyle name="쉼표 [0] 3 2 26" xfId="0"/>
    <cellStyle name="쉼표 [0] 3 2 3" xfId="0"/>
    <cellStyle name="쉼표 [0] 3 2 3 10" xfId="0"/>
    <cellStyle name="쉼표 [0] 3 2 3 11" xfId="0"/>
    <cellStyle name="쉼표 [0] 3 2 3 12" xfId="0"/>
    <cellStyle name="쉼표 [0] 3 2 3 13" xfId="0"/>
    <cellStyle name="쉼표 [0] 3 2 3 2" xfId="0"/>
    <cellStyle name="쉼표 [0] 3 2 3 3" xfId="0"/>
    <cellStyle name="쉼표 [0] 3 2 3 4" xfId="0"/>
    <cellStyle name="쉼표 [0] 3 2 3 5" xfId="0"/>
    <cellStyle name="쉼표 [0] 3 2 3 6" xfId="0"/>
    <cellStyle name="쉼표 [0] 3 2 3 7" xfId="0"/>
    <cellStyle name="쉼표 [0] 3 2 3 8" xfId="0"/>
    <cellStyle name="쉼표 [0] 3 2 3 9" xfId="0"/>
    <cellStyle name="쉼표 [0] 3 2 4" xfId="0"/>
    <cellStyle name="쉼표 [0] 3 2 4 10" xfId="0"/>
    <cellStyle name="쉼표 [0] 3 2 4 11" xfId="0"/>
    <cellStyle name="쉼표 [0] 3 2 4 12" xfId="0"/>
    <cellStyle name="쉼표 [0] 3 2 4 13" xfId="0"/>
    <cellStyle name="쉼표 [0] 3 2 4 2" xfId="0"/>
    <cellStyle name="쉼표 [0] 3 2 4 3" xfId="0"/>
    <cellStyle name="쉼표 [0] 3 2 4 4" xfId="0"/>
    <cellStyle name="쉼표 [0] 3 2 4 5" xfId="0"/>
    <cellStyle name="쉼표 [0] 3 2 4 6" xfId="0"/>
    <cellStyle name="쉼표 [0] 3 2 4 7" xfId="0"/>
    <cellStyle name="쉼표 [0] 3 2 4 8" xfId="0"/>
    <cellStyle name="쉼표 [0] 3 2 4 9" xfId="0"/>
    <cellStyle name="쉼표 [0] 3 2 5" xfId="0"/>
    <cellStyle name="쉼표 [0] 3 2 5 10" xfId="0"/>
    <cellStyle name="쉼표 [0] 3 2 5 11" xfId="0"/>
    <cellStyle name="쉼표 [0] 3 2 5 12" xfId="0"/>
    <cellStyle name="쉼표 [0] 3 2 5 13" xfId="0"/>
    <cellStyle name="쉼표 [0] 3 2 5 2" xfId="0"/>
    <cellStyle name="쉼표 [0] 3 2 5 3" xfId="0"/>
    <cellStyle name="쉼표 [0] 3 2 5 4" xfId="0"/>
    <cellStyle name="쉼표 [0] 3 2 5 5" xfId="0"/>
    <cellStyle name="쉼표 [0] 3 2 5 6" xfId="0"/>
    <cellStyle name="쉼표 [0] 3 2 5 7" xfId="0"/>
    <cellStyle name="쉼표 [0] 3 2 5 8" xfId="0"/>
    <cellStyle name="쉼표 [0] 3 2 5 9" xfId="0"/>
    <cellStyle name="쉼표 [0] 3 2 6" xfId="0"/>
    <cellStyle name="쉼표 [0] 3 2 6 10" xfId="0"/>
    <cellStyle name="쉼표 [0] 3 2 6 11" xfId="0"/>
    <cellStyle name="쉼표 [0] 3 2 6 12" xfId="0"/>
    <cellStyle name="쉼표 [0] 3 2 6 13" xfId="0"/>
    <cellStyle name="쉼표 [0] 3 2 6 2" xfId="0"/>
    <cellStyle name="쉼표 [0] 3 2 6 3" xfId="0"/>
    <cellStyle name="쉼표 [0] 3 2 6 4" xfId="0"/>
    <cellStyle name="쉼표 [0] 3 2 6 5" xfId="0"/>
    <cellStyle name="쉼표 [0] 3 2 6 6" xfId="0"/>
    <cellStyle name="쉼표 [0] 3 2 6 7" xfId="0"/>
    <cellStyle name="쉼표 [0] 3 2 6 8" xfId="0"/>
    <cellStyle name="쉼표 [0] 3 2 6 9" xfId="0"/>
    <cellStyle name="쉼표 [0] 3 2 7" xfId="0"/>
    <cellStyle name="쉼표 [0] 3 2 7 10" xfId="0"/>
    <cellStyle name="쉼표 [0] 3 2 7 11" xfId="0"/>
    <cellStyle name="쉼표 [0] 3 2 7 12" xfId="0"/>
    <cellStyle name="쉼표 [0] 3 2 7 13" xfId="0"/>
    <cellStyle name="쉼표 [0] 3 2 7 2" xfId="0"/>
    <cellStyle name="쉼표 [0] 3 2 7 3" xfId="0"/>
    <cellStyle name="쉼표 [0] 3 2 7 4" xfId="0"/>
    <cellStyle name="쉼표 [0] 3 2 7 5" xfId="0"/>
    <cellStyle name="쉼표 [0] 3 2 7 6" xfId="0"/>
    <cellStyle name="쉼표 [0] 3 2 7 7" xfId="0"/>
    <cellStyle name="쉼표 [0] 3 2 7 8" xfId="0"/>
    <cellStyle name="쉼표 [0] 3 2 7 9" xfId="0"/>
    <cellStyle name="쉼표 [0] 3 2 8" xfId="0"/>
    <cellStyle name="쉼표 [0] 3 2 8 10" xfId="0"/>
    <cellStyle name="쉼표 [0] 3 2 8 11" xfId="0"/>
    <cellStyle name="쉼표 [0] 3 2 8 12" xfId="0"/>
    <cellStyle name="쉼표 [0] 3 2 8 13" xfId="0"/>
    <cellStyle name="쉼표 [0] 3 2 8 2" xfId="0"/>
    <cellStyle name="쉼표 [0] 3 2 8 3" xfId="0"/>
    <cellStyle name="쉼표 [0] 3 2 8 4" xfId="0"/>
    <cellStyle name="쉼표 [0] 3 2 8 5" xfId="0"/>
    <cellStyle name="쉼표 [0] 3 2 8 6" xfId="0"/>
    <cellStyle name="쉼표 [0] 3 2 8 7" xfId="0"/>
    <cellStyle name="쉼표 [0] 3 2 8 8" xfId="0"/>
    <cellStyle name="쉼표 [0] 3 2 8 9" xfId="0"/>
    <cellStyle name="쉼표 [0] 3 2 9" xfId="0"/>
    <cellStyle name="쉼표 [0] 3 2 9 10" xfId="0"/>
    <cellStyle name="쉼표 [0] 3 2 9 11" xfId="0"/>
    <cellStyle name="쉼표 [0] 3 2 9 12" xfId="0"/>
    <cellStyle name="쉼표 [0] 3 2 9 13" xfId="0"/>
    <cellStyle name="쉼표 [0] 3 2 9 2" xfId="0"/>
    <cellStyle name="쉼표 [0] 3 2 9 3" xfId="0"/>
    <cellStyle name="쉼표 [0] 3 2 9 4" xfId="0"/>
    <cellStyle name="쉼표 [0] 3 2 9 5" xfId="0"/>
    <cellStyle name="쉼표 [0] 3 2 9 6" xfId="0"/>
    <cellStyle name="쉼표 [0] 3 2 9 7" xfId="0"/>
    <cellStyle name="쉼표 [0] 3 2 9 8" xfId="0"/>
    <cellStyle name="쉼표 [0] 3 2 9 9" xfId="0"/>
    <cellStyle name="쉼표 [0] 3 20" xfId="0"/>
    <cellStyle name="쉼표 [0] 3 20 10" xfId="0"/>
    <cellStyle name="쉼표 [0] 3 20 11" xfId="0"/>
    <cellStyle name="쉼표 [0] 3 20 12" xfId="0"/>
    <cellStyle name="쉼표 [0] 3 20 13" xfId="0"/>
    <cellStyle name="쉼표 [0] 3 20 2" xfId="0"/>
    <cellStyle name="쉼표 [0] 3 20 3" xfId="0"/>
    <cellStyle name="쉼표 [0] 3 20 4" xfId="0"/>
    <cellStyle name="쉼표 [0] 3 20 5" xfId="0"/>
    <cellStyle name="쉼표 [0] 3 20 6" xfId="0"/>
    <cellStyle name="쉼표 [0] 3 20 7" xfId="0"/>
    <cellStyle name="쉼표 [0] 3 20 8" xfId="0"/>
    <cellStyle name="쉼표 [0] 3 20 9" xfId="0"/>
    <cellStyle name="쉼표 [0] 3 21" xfId="0"/>
    <cellStyle name="쉼표 [0] 3 21 10" xfId="0"/>
    <cellStyle name="쉼표 [0] 3 21 11" xfId="0"/>
    <cellStyle name="쉼표 [0] 3 21 12" xfId="0"/>
    <cellStyle name="쉼표 [0] 3 21 13" xfId="0"/>
    <cellStyle name="쉼표 [0] 3 21 2" xfId="0"/>
    <cellStyle name="쉼표 [0] 3 21 3" xfId="0"/>
    <cellStyle name="쉼표 [0] 3 21 4" xfId="0"/>
    <cellStyle name="쉼표 [0] 3 21 5" xfId="0"/>
    <cellStyle name="쉼표 [0] 3 21 6" xfId="0"/>
    <cellStyle name="쉼표 [0] 3 21 7" xfId="0"/>
    <cellStyle name="쉼표 [0] 3 21 8" xfId="0"/>
    <cellStyle name="쉼표 [0] 3 21 9" xfId="0"/>
    <cellStyle name="쉼표 [0] 3 22" xfId="0"/>
    <cellStyle name="쉼표 [0] 3 22 10" xfId="0"/>
    <cellStyle name="쉼표 [0] 3 22 11" xfId="0"/>
    <cellStyle name="쉼표 [0] 3 22 12" xfId="0"/>
    <cellStyle name="쉼표 [0] 3 22 13" xfId="0"/>
    <cellStyle name="쉼표 [0] 3 22 2" xfId="0"/>
    <cellStyle name="쉼표 [0] 3 22 3" xfId="0"/>
    <cellStyle name="쉼표 [0] 3 22 4" xfId="0"/>
    <cellStyle name="쉼표 [0] 3 22 5" xfId="0"/>
    <cellStyle name="쉼표 [0] 3 22 6" xfId="0"/>
    <cellStyle name="쉼표 [0] 3 22 7" xfId="0"/>
    <cellStyle name="쉼표 [0] 3 22 8" xfId="0"/>
    <cellStyle name="쉼표 [0] 3 22 9" xfId="0"/>
    <cellStyle name="쉼표 [0] 3 23" xfId="0"/>
    <cellStyle name="쉼표 [0] 3 23 10" xfId="0"/>
    <cellStyle name="쉼표 [0] 3 23 11" xfId="0"/>
    <cellStyle name="쉼표 [0] 3 23 12" xfId="0"/>
    <cellStyle name="쉼표 [0] 3 23 13" xfId="0"/>
    <cellStyle name="쉼표 [0] 3 23 14" xfId="0"/>
    <cellStyle name="쉼표 [0] 3 23 2" xfId="0"/>
    <cellStyle name="쉼표 [0] 3 23 2 2" xfId="0"/>
    <cellStyle name="쉼표 [0] 3 23 2 3" xfId="0"/>
    <cellStyle name="쉼표 [0] 3 23 2 4" xfId="0"/>
    <cellStyle name="쉼표 [0] 3 23 2 5" xfId="0"/>
    <cellStyle name="쉼표 [0] 3 23 3" xfId="0"/>
    <cellStyle name="쉼표 [0] 3 23 4" xfId="0"/>
    <cellStyle name="쉼표 [0] 3 23 5" xfId="0"/>
    <cellStyle name="쉼표 [0] 3 23 6" xfId="0"/>
    <cellStyle name="쉼표 [0] 3 23 7" xfId="0"/>
    <cellStyle name="쉼표 [0] 3 23 8" xfId="0"/>
    <cellStyle name="쉼표 [0] 3 23 9" xfId="0"/>
    <cellStyle name="쉼표 [0] 3 24" xfId="0"/>
    <cellStyle name="쉼표 [0] 3 24 2" xfId="0"/>
    <cellStyle name="쉼표 [0] 3 25" xfId="0"/>
    <cellStyle name="쉼표 [0] 3 25 2" xfId="0"/>
    <cellStyle name="쉼표 [0] 3 26" xfId="0"/>
    <cellStyle name="쉼표 [0] 3 26 2" xfId="0"/>
    <cellStyle name="쉼표 [0] 3 27" xfId="0"/>
    <cellStyle name="쉼표 [0] 3 27 2" xfId="0"/>
    <cellStyle name="쉼표 [0] 3 28" xfId="0"/>
    <cellStyle name="쉼표 [0] 3 29" xfId="0"/>
    <cellStyle name="쉼표 [0] 3 3" xfId="0"/>
    <cellStyle name="쉼표 [0] 3 3 10" xfId="0"/>
    <cellStyle name="쉼표 [0] 3 3 11" xfId="0"/>
    <cellStyle name="쉼표 [0] 3 3 12" xfId="0"/>
    <cellStyle name="쉼표 [0] 3 3 13" xfId="0"/>
    <cellStyle name="쉼표 [0] 3 3 14" xfId="0"/>
    <cellStyle name="쉼표 [0] 3 3 15" xfId="0"/>
    <cellStyle name="쉼표 [0] 3 3 2" xfId="0"/>
    <cellStyle name="쉼표 [0] 3 3 2 10" xfId="0"/>
    <cellStyle name="쉼표 [0] 3 3 2 10 2" xfId="0"/>
    <cellStyle name="쉼표 [0] 3 3 2 10 3" xfId="0"/>
    <cellStyle name="쉼표 [0] 3 3 2 10 4" xfId="0"/>
    <cellStyle name="쉼표 [0] 3 3 2 2" xfId="0"/>
    <cellStyle name="쉼표 [0] 3 3 2 2 2" xfId="0"/>
    <cellStyle name="쉼표 [0] 3 3 2 2 3" xfId="0"/>
    <cellStyle name="쉼표 [0] 3 3 2 2 4" xfId="0"/>
    <cellStyle name="쉼표 [0] 3 3 2 3" xfId="0"/>
    <cellStyle name="쉼표 [0] 3 3 2 3 2" xfId="0"/>
    <cellStyle name="쉼표 [0] 3 3 2 3 3" xfId="0"/>
    <cellStyle name="쉼표 [0] 3 3 2 3 4" xfId="0"/>
    <cellStyle name="쉼표 [0] 3 3 2 4" xfId="0"/>
    <cellStyle name="쉼표 [0] 3 3 2 4 2" xfId="0"/>
    <cellStyle name="쉼표 [0] 3 3 2 4 3" xfId="0"/>
    <cellStyle name="쉼표 [0] 3 3 2 4 4" xfId="0"/>
    <cellStyle name="쉼표 [0] 3 3 2 5" xfId="0"/>
    <cellStyle name="쉼표 [0] 3 3 2 5 2" xfId="0"/>
    <cellStyle name="쉼표 [0] 3 3 2 5 3" xfId="0"/>
    <cellStyle name="쉼표 [0] 3 3 2 5 4" xfId="0"/>
    <cellStyle name="쉼표 [0] 3 3 2 6" xfId="0"/>
    <cellStyle name="쉼표 [0] 3 3 2 6 2" xfId="0"/>
    <cellStyle name="쉼표 [0] 3 3 2 6 3" xfId="0"/>
    <cellStyle name="쉼표 [0] 3 3 2 6 4" xfId="0"/>
    <cellStyle name="쉼표 [0] 3 3 2 7" xfId="0"/>
    <cellStyle name="쉼표 [0] 3 3 2 7 2" xfId="0"/>
    <cellStyle name="쉼표 [0] 3 3 2 7 3" xfId="0"/>
    <cellStyle name="쉼표 [0] 3 3 2 7 4" xfId="0"/>
    <cellStyle name="쉼표 [0] 3 3 2 8" xfId="0"/>
    <cellStyle name="쉼표 [0] 3 3 2 8 2" xfId="0"/>
    <cellStyle name="쉼표 [0] 3 3 2 8 3" xfId="0"/>
    <cellStyle name="쉼표 [0] 3 3 2 8 4" xfId="0"/>
    <cellStyle name="쉼표 [0] 3 3 2 9" xfId="0"/>
    <cellStyle name="쉼표 [0] 3 3 2 9 2" xfId="0"/>
    <cellStyle name="쉼표 [0] 3 3 2 9 3" xfId="0"/>
    <cellStyle name="쉼표 [0] 3 3 2 9 4" xfId="0"/>
    <cellStyle name="쉼표 [0] 3 3 3" xfId="0"/>
    <cellStyle name="쉼표 [0] 3 3 4" xfId="0"/>
    <cellStyle name="쉼표 [0] 3 3 5" xfId="0"/>
    <cellStyle name="쉼표 [0] 3 3 6" xfId="0"/>
    <cellStyle name="쉼표 [0] 3 3 7" xfId="0"/>
    <cellStyle name="쉼표 [0] 3 3 8" xfId="0"/>
    <cellStyle name="쉼표 [0] 3 3 9" xfId="0"/>
    <cellStyle name="쉼표 [0] 3 30" xfId="0"/>
    <cellStyle name="쉼표 [0] 3 31" xfId="0"/>
    <cellStyle name="쉼표 [0] 3 32" xfId="0"/>
    <cellStyle name="쉼표 [0] 3 33" xfId="0"/>
    <cellStyle name="쉼표 [0] 3 34" xfId="0"/>
    <cellStyle name="쉼표 [0] 3 35" xfId="0"/>
    <cellStyle name="쉼표 [0] 3 36" xfId="0"/>
    <cellStyle name="쉼표 [0] 3 37" xfId="0"/>
    <cellStyle name="쉼표 [0] 3 38" xfId="0"/>
    <cellStyle name="쉼표 [0] 3 39" xfId="0"/>
    <cellStyle name="쉼표 [0] 3 39 2" xfId="0"/>
    <cellStyle name="쉼표 [0] 3 39 3" xfId="0"/>
    <cellStyle name="쉼표 [0] 3 39 4" xfId="0"/>
    <cellStyle name="쉼표 [0] 3 4" xfId="0"/>
    <cellStyle name="쉼표 [0] 3 4 10" xfId="0"/>
    <cellStyle name="쉼표 [0] 3 4 11" xfId="0"/>
    <cellStyle name="쉼표 [0] 3 4 12" xfId="0"/>
    <cellStyle name="쉼표 [0] 3 4 13" xfId="0"/>
    <cellStyle name="쉼표 [0] 3 4 14" xfId="0"/>
    <cellStyle name="쉼표 [0] 3 4 15" xfId="0"/>
    <cellStyle name="쉼표 [0] 3 4 16" xfId="0"/>
    <cellStyle name="쉼표 [0] 3 4 2" xfId="0"/>
    <cellStyle name="쉼표 [0] 3 4 2 10" xfId="0"/>
    <cellStyle name="쉼표 [0] 3 4 2 10 2" xfId="0"/>
    <cellStyle name="쉼표 [0] 3 4 2 10 3" xfId="0"/>
    <cellStyle name="쉼표 [0] 3 4 2 10 4" xfId="0"/>
    <cellStyle name="쉼표 [0] 3 4 2 2" xfId="0"/>
    <cellStyle name="쉼표 [0] 3 4 2 2 2" xfId="0"/>
    <cellStyle name="쉼표 [0] 3 4 2 2 3" xfId="0"/>
    <cellStyle name="쉼표 [0] 3 4 2 2 4" xfId="0"/>
    <cellStyle name="쉼표 [0] 3 4 2 3" xfId="0"/>
    <cellStyle name="쉼표 [0] 3 4 2 3 2" xfId="0"/>
    <cellStyle name="쉼표 [0] 3 4 2 3 3" xfId="0"/>
    <cellStyle name="쉼표 [0] 3 4 2 3 4" xfId="0"/>
    <cellStyle name="쉼표 [0] 3 4 2 4" xfId="0"/>
    <cellStyle name="쉼표 [0] 3 4 2 4 2" xfId="0"/>
    <cellStyle name="쉼표 [0] 3 4 2 4 3" xfId="0"/>
    <cellStyle name="쉼표 [0] 3 4 2 4 4" xfId="0"/>
    <cellStyle name="쉼표 [0] 3 4 2 5" xfId="0"/>
    <cellStyle name="쉼표 [0] 3 4 2 5 2" xfId="0"/>
    <cellStyle name="쉼표 [0] 3 4 2 5 3" xfId="0"/>
    <cellStyle name="쉼표 [0] 3 4 2 5 4" xfId="0"/>
    <cellStyle name="쉼표 [0] 3 4 2 6" xfId="0"/>
    <cellStyle name="쉼표 [0] 3 4 2 6 2" xfId="0"/>
    <cellStyle name="쉼표 [0] 3 4 2 6 3" xfId="0"/>
    <cellStyle name="쉼표 [0] 3 4 2 6 4" xfId="0"/>
    <cellStyle name="쉼표 [0] 3 4 2 7" xfId="0"/>
    <cellStyle name="쉼표 [0] 3 4 2 7 2" xfId="0"/>
    <cellStyle name="쉼표 [0] 3 4 2 7 3" xfId="0"/>
    <cellStyle name="쉼표 [0] 3 4 2 7 4" xfId="0"/>
    <cellStyle name="쉼표 [0] 3 4 2 8" xfId="0"/>
    <cellStyle name="쉼표 [0] 3 4 2 8 2" xfId="0"/>
    <cellStyle name="쉼표 [0] 3 4 2 8 3" xfId="0"/>
    <cellStyle name="쉼표 [0] 3 4 2 8 4" xfId="0"/>
    <cellStyle name="쉼표 [0] 3 4 2 9" xfId="0"/>
    <cellStyle name="쉼표 [0] 3 4 2 9 2" xfId="0"/>
    <cellStyle name="쉼표 [0] 3 4 2 9 3" xfId="0"/>
    <cellStyle name="쉼표 [0] 3 4 2 9 4" xfId="0"/>
    <cellStyle name="쉼표 [0] 3 4 3" xfId="0"/>
    <cellStyle name="쉼표 [0] 3 4 4" xfId="0"/>
    <cellStyle name="쉼표 [0] 3 4 5" xfId="0"/>
    <cellStyle name="쉼표 [0] 3 4 6" xfId="0"/>
    <cellStyle name="쉼표 [0] 3 4 7" xfId="0"/>
    <cellStyle name="쉼표 [0] 3 4 8" xfId="0"/>
    <cellStyle name="쉼표 [0] 3 4 9" xfId="0"/>
    <cellStyle name="쉼표 [0] 3 40" xfId="0"/>
    <cellStyle name="쉼표 [0] 3 41" xfId="0"/>
    <cellStyle name="쉼표 [0] 3 42" xfId="0"/>
    <cellStyle name="쉼표 [0] 3 43" xfId="0"/>
    <cellStyle name="쉼표 [0] 3 44" xfId="0"/>
    <cellStyle name="쉼표 [0] 3 45" xfId="0"/>
    <cellStyle name="쉼표 [0] 3 46" xfId="0"/>
    <cellStyle name="쉼표 [0] 3 47" xfId="0"/>
    <cellStyle name="쉼표 [0] 3 48" xfId="0"/>
    <cellStyle name="쉼표 [0] 3 49" xfId="0"/>
    <cellStyle name="쉼표 [0] 3 5" xfId="0"/>
    <cellStyle name="쉼표 [0] 3 5 10" xfId="0"/>
    <cellStyle name="쉼표 [0] 3 5 11" xfId="0"/>
    <cellStyle name="쉼표 [0] 3 5 12" xfId="0"/>
    <cellStyle name="쉼표 [0] 3 5 2" xfId="0"/>
    <cellStyle name="쉼표 [0] 3 5 2 10" xfId="0"/>
    <cellStyle name="쉼표 [0] 3 5 2 10 2" xfId="0"/>
    <cellStyle name="쉼표 [0] 3 5 2 10 3" xfId="0"/>
    <cellStyle name="쉼표 [0] 3 5 2 10 4" xfId="0"/>
    <cellStyle name="쉼표 [0] 3 5 2 2" xfId="0"/>
    <cellStyle name="쉼표 [0] 3 5 2 2 2" xfId="0"/>
    <cellStyle name="쉼표 [0] 3 5 2 2 3" xfId="0"/>
    <cellStyle name="쉼표 [0] 3 5 2 2 4" xfId="0"/>
    <cellStyle name="쉼표 [0] 3 5 2 3" xfId="0"/>
    <cellStyle name="쉼표 [0] 3 5 2 3 2" xfId="0"/>
    <cellStyle name="쉼표 [0] 3 5 2 3 3" xfId="0"/>
    <cellStyle name="쉼표 [0] 3 5 2 3 4" xfId="0"/>
    <cellStyle name="쉼표 [0] 3 5 2 4" xfId="0"/>
    <cellStyle name="쉼표 [0] 3 5 2 4 2" xfId="0"/>
    <cellStyle name="쉼표 [0] 3 5 2 4 3" xfId="0"/>
    <cellStyle name="쉼표 [0] 3 5 2 4 4" xfId="0"/>
    <cellStyle name="쉼표 [0] 3 5 2 5" xfId="0"/>
    <cellStyle name="쉼표 [0] 3 5 2 5 2" xfId="0"/>
    <cellStyle name="쉼표 [0] 3 5 2 5 3" xfId="0"/>
    <cellStyle name="쉼표 [0] 3 5 2 5 4" xfId="0"/>
    <cellStyle name="쉼표 [0] 3 5 2 6" xfId="0"/>
    <cellStyle name="쉼표 [0] 3 5 2 6 2" xfId="0"/>
    <cellStyle name="쉼표 [0] 3 5 2 6 3" xfId="0"/>
    <cellStyle name="쉼표 [0] 3 5 2 6 4" xfId="0"/>
    <cellStyle name="쉼표 [0] 3 5 2 7" xfId="0"/>
    <cellStyle name="쉼표 [0] 3 5 2 7 2" xfId="0"/>
    <cellStyle name="쉼표 [0] 3 5 2 7 3" xfId="0"/>
    <cellStyle name="쉼표 [0] 3 5 2 7 4" xfId="0"/>
    <cellStyle name="쉼표 [0] 3 5 2 8" xfId="0"/>
    <cellStyle name="쉼표 [0] 3 5 2 8 2" xfId="0"/>
    <cellStyle name="쉼표 [0] 3 5 2 8 3" xfId="0"/>
    <cellStyle name="쉼표 [0] 3 5 2 8 4" xfId="0"/>
    <cellStyle name="쉼표 [0] 3 5 2 9" xfId="0"/>
    <cellStyle name="쉼표 [0] 3 5 2 9 2" xfId="0"/>
    <cellStyle name="쉼표 [0] 3 5 2 9 3" xfId="0"/>
    <cellStyle name="쉼표 [0] 3 5 2 9 4" xfId="0"/>
    <cellStyle name="쉼표 [0] 3 5 3" xfId="0"/>
    <cellStyle name="쉼표 [0] 3 5 4" xfId="0"/>
    <cellStyle name="쉼표 [0] 3 5 5" xfId="0"/>
    <cellStyle name="쉼표 [0] 3 5 6" xfId="0"/>
    <cellStyle name="쉼표 [0] 3 5 7" xfId="0"/>
    <cellStyle name="쉼표 [0] 3 5 8" xfId="0"/>
    <cellStyle name="쉼표 [0] 3 5 9" xfId="0"/>
    <cellStyle name="쉼표 [0] 3 50" xfId="0"/>
    <cellStyle name="쉼표 [0] 3 51" xfId="0"/>
    <cellStyle name="쉼표 [0] 3 52" xfId="0"/>
    <cellStyle name="쉼표 [0] 3 6" xfId="0"/>
    <cellStyle name="쉼표 [0] 3 6 10" xfId="0"/>
    <cellStyle name="쉼표 [0] 3 6 11" xfId="0"/>
    <cellStyle name="쉼표 [0] 3 6 12" xfId="0"/>
    <cellStyle name="쉼표 [0] 3 6 13" xfId="0"/>
    <cellStyle name="쉼표 [0] 3 6 14" xfId="0"/>
    <cellStyle name="쉼표 [0] 3 6 2" xfId="0"/>
    <cellStyle name="쉼표 [0] 3 6 2 10" xfId="0"/>
    <cellStyle name="쉼표 [0] 3 6 2 10 2" xfId="0"/>
    <cellStyle name="쉼표 [0] 3 6 2 10 3" xfId="0"/>
    <cellStyle name="쉼표 [0] 3 6 2 10 4" xfId="0"/>
    <cellStyle name="쉼표 [0] 3 6 2 2" xfId="0"/>
    <cellStyle name="쉼표 [0] 3 6 2 2 2" xfId="0"/>
    <cellStyle name="쉼표 [0] 3 6 2 2 3" xfId="0"/>
    <cellStyle name="쉼표 [0] 3 6 2 2 4" xfId="0"/>
    <cellStyle name="쉼표 [0] 3 6 2 3" xfId="0"/>
    <cellStyle name="쉼표 [0] 3 6 2 3 2" xfId="0"/>
    <cellStyle name="쉼표 [0] 3 6 2 3 3" xfId="0"/>
    <cellStyle name="쉼표 [0] 3 6 2 3 4" xfId="0"/>
    <cellStyle name="쉼표 [0] 3 6 2 4" xfId="0"/>
    <cellStyle name="쉼표 [0] 3 6 2 4 2" xfId="0"/>
    <cellStyle name="쉼표 [0] 3 6 2 4 3" xfId="0"/>
    <cellStyle name="쉼표 [0] 3 6 2 4 4" xfId="0"/>
    <cellStyle name="쉼표 [0] 3 6 2 5" xfId="0"/>
    <cellStyle name="쉼표 [0] 3 6 2 5 2" xfId="0"/>
    <cellStyle name="쉼표 [0] 3 6 2 5 3" xfId="0"/>
    <cellStyle name="쉼표 [0] 3 6 2 5 4" xfId="0"/>
    <cellStyle name="쉼표 [0] 3 6 2 6" xfId="0"/>
    <cellStyle name="쉼표 [0] 3 6 2 6 2" xfId="0"/>
    <cellStyle name="쉼표 [0] 3 6 2 6 3" xfId="0"/>
    <cellStyle name="쉼표 [0] 3 6 2 6 4" xfId="0"/>
    <cellStyle name="쉼표 [0] 3 6 2 7" xfId="0"/>
    <cellStyle name="쉼표 [0] 3 6 2 7 2" xfId="0"/>
    <cellStyle name="쉼표 [0] 3 6 2 7 3" xfId="0"/>
    <cellStyle name="쉼표 [0] 3 6 2 7 4" xfId="0"/>
    <cellStyle name="쉼표 [0] 3 6 2 8" xfId="0"/>
    <cellStyle name="쉼표 [0] 3 6 2 8 2" xfId="0"/>
    <cellStyle name="쉼표 [0] 3 6 2 8 3" xfId="0"/>
    <cellStyle name="쉼표 [0] 3 6 2 8 4" xfId="0"/>
    <cellStyle name="쉼표 [0] 3 6 2 9" xfId="0"/>
    <cellStyle name="쉼표 [0] 3 6 2 9 2" xfId="0"/>
    <cellStyle name="쉼표 [0] 3 6 2 9 3" xfId="0"/>
    <cellStyle name="쉼표 [0] 3 6 2 9 4" xfId="0"/>
    <cellStyle name="쉼표 [0] 3 6 3" xfId="0"/>
    <cellStyle name="쉼표 [0] 3 6 4" xfId="0"/>
    <cellStyle name="쉼표 [0] 3 6 5" xfId="0"/>
    <cellStyle name="쉼표 [0] 3 6 6" xfId="0"/>
    <cellStyle name="쉼표 [0] 3 6 7" xfId="0"/>
    <cellStyle name="쉼표 [0] 3 6 8" xfId="0"/>
    <cellStyle name="쉼표 [0] 3 6 9" xfId="0"/>
    <cellStyle name="쉼표 [0] 3 7" xfId="0"/>
    <cellStyle name="쉼표 [0] 3 7 10" xfId="0"/>
    <cellStyle name="쉼표 [0] 3 7 11" xfId="0"/>
    <cellStyle name="쉼표 [0] 3 7 12" xfId="0"/>
    <cellStyle name="쉼표 [0] 3 7 13" xfId="0"/>
    <cellStyle name="쉼표 [0] 3 7 14" xfId="0"/>
    <cellStyle name="쉼표 [0] 3 7 2" xfId="0"/>
    <cellStyle name="쉼표 [0] 3 7 2 10" xfId="0"/>
    <cellStyle name="쉼표 [0] 3 7 2 10 2" xfId="0"/>
    <cellStyle name="쉼표 [0] 3 7 2 10 3" xfId="0"/>
    <cellStyle name="쉼표 [0] 3 7 2 10 4" xfId="0"/>
    <cellStyle name="쉼표 [0] 3 7 2 2" xfId="0"/>
    <cellStyle name="쉼표 [0] 3 7 2 2 2" xfId="0"/>
    <cellStyle name="쉼표 [0] 3 7 2 2 3" xfId="0"/>
    <cellStyle name="쉼표 [0] 3 7 2 2 4" xfId="0"/>
    <cellStyle name="쉼표 [0] 3 7 2 3" xfId="0"/>
    <cellStyle name="쉼표 [0] 3 7 2 3 2" xfId="0"/>
    <cellStyle name="쉼표 [0] 3 7 2 3 3" xfId="0"/>
    <cellStyle name="쉼표 [0] 3 7 2 3 4" xfId="0"/>
    <cellStyle name="쉼표 [0] 3 7 2 4" xfId="0"/>
    <cellStyle name="쉼표 [0] 3 7 2 4 2" xfId="0"/>
    <cellStyle name="쉼표 [0] 3 7 2 4 3" xfId="0"/>
    <cellStyle name="쉼표 [0] 3 7 2 4 4" xfId="0"/>
    <cellStyle name="쉼표 [0] 3 7 2 5" xfId="0"/>
    <cellStyle name="쉼표 [0] 3 7 2 5 2" xfId="0"/>
    <cellStyle name="쉼표 [0] 3 7 2 5 3" xfId="0"/>
    <cellStyle name="쉼표 [0] 3 7 2 5 4" xfId="0"/>
    <cellStyle name="쉼표 [0] 3 7 2 6" xfId="0"/>
    <cellStyle name="쉼표 [0] 3 7 2 6 2" xfId="0"/>
    <cellStyle name="쉼표 [0] 3 7 2 6 3" xfId="0"/>
    <cellStyle name="쉼표 [0] 3 7 2 6 4" xfId="0"/>
    <cellStyle name="쉼표 [0] 3 7 2 7" xfId="0"/>
    <cellStyle name="쉼표 [0] 3 7 2 7 2" xfId="0"/>
    <cellStyle name="쉼표 [0] 3 7 2 7 3" xfId="0"/>
    <cellStyle name="쉼표 [0] 3 7 2 7 4" xfId="0"/>
    <cellStyle name="쉼표 [0] 3 7 2 8" xfId="0"/>
    <cellStyle name="쉼표 [0] 3 7 2 8 2" xfId="0"/>
    <cellStyle name="쉼표 [0] 3 7 2 8 3" xfId="0"/>
    <cellStyle name="쉼표 [0] 3 7 2 8 4" xfId="0"/>
    <cellStyle name="쉼표 [0] 3 7 2 9" xfId="0"/>
    <cellStyle name="쉼표 [0] 3 7 2 9 2" xfId="0"/>
    <cellStyle name="쉼표 [0] 3 7 2 9 3" xfId="0"/>
    <cellStyle name="쉼표 [0] 3 7 2 9 4" xfId="0"/>
    <cellStyle name="쉼표 [0] 3 7 3" xfId="0"/>
    <cellStyle name="쉼표 [0] 3 7 4" xfId="0"/>
    <cellStyle name="쉼표 [0] 3 7 5" xfId="0"/>
    <cellStyle name="쉼표 [0] 3 7 6" xfId="0"/>
    <cellStyle name="쉼표 [0] 3 7 7" xfId="0"/>
    <cellStyle name="쉼표 [0] 3 7 8" xfId="0"/>
    <cellStyle name="쉼표 [0] 3 7 9" xfId="0"/>
    <cellStyle name="쉼표 [0] 3 8" xfId="0"/>
    <cellStyle name="쉼표 [0] 3 8 10" xfId="0"/>
    <cellStyle name="쉼표 [0] 3 8 11" xfId="0"/>
    <cellStyle name="쉼표 [0] 3 8 12" xfId="0"/>
    <cellStyle name="쉼표 [0] 3 8 13" xfId="0"/>
    <cellStyle name="쉼표 [0] 3 8 14" xfId="0"/>
    <cellStyle name="쉼표 [0] 3 8 2" xfId="0"/>
    <cellStyle name="쉼표 [0] 3 8 3" xfId="0"/>
    <cellStyle name="쉼표 [0] 3 8 4" xfId="0"/>
    <cellStyle name="쉼표 [0] 3 8 5" xfId="0"/>
    <cellStyle name="쉼표 [0] 3 8 6" xfId="0"/>
    <cellStyle name="쉼표 [0] 3 8 7" xfId="0"/>
    <cellStyle name="쉼표 [0] 3 8 8" xfId="0"/>
    <cellStyle name="쉼표 [0] 3 8 9" xfId="0"/>
    <cellStyle name="쉼표 [0] 3 9" xfId="0"/>
    <cellStyle name="쉼표 [0] 3 9 10" xfId="0"/>
    <cellStyle name="쉼표 [0] 3 9 11" xfId="0"/>
    <cellStyle name="쉼표 [0] 3 9 12" xfId="0"/>
    <cellStyle name="쉼표 [0] 3 9 13" xfId="0"/>
    <cellStyle name="쉼표 [0] 3 9 14" xfId="0"/>
    <cellStyle name="쉼표 [0] 3 9 2" xfId="0"/>
    <cellStyle name="쉼표 [0] 3 9 3" xfId="0"/>
    <cellStyle name="쉼표 [0] 3 9 4" xfId="0"/>
    <cellStyle name="쉼표 [0] 3 9 5" xfId="0"/>
    <cellStyle name="쉼표 [0] 3 9 6" xfId="0"/>
    <cellStyle name="쉼표 [0] 3 9 7" xfId="0"/>
    <cellStyle name="쉼표 [0] 3 9 8" xfId="0"/>
    <cellStyle name="쉼표 [0] 3 9 9" xfId="0"/>
    <cellStyle name="쉼표 [0] 30" xfId="0"/>
    <cellStyle name="쉼표 [0] 31" xfId="0"/>
    <cellStyle name="쉼표 [0] 31 2" xfId="0"/>
    <cellStyle name="쉼표 [0] 32" xfId="0"/>
    <cellStyle name="쉼표 [0] 33" xfId="0"/>
    <cellStyle name="쉼표 [0] 3_Sheet1" xfId="0"/>
    <cellStyle name="쉼표 [0] 4" xfId="0"/>
    <cellStyle name="쉼표 [0] 4 2" xfId="0"/>
    <cellStyle name="쉼표 [0] 4 2 2" xfId="0"/>
    <cellStyle name="쉼표 [0] 4 2 3" xfId="0"/>
    <cellStyle name="쉼표 [0] 4 2 4" xfId="0"/>
    <cellStyle name="쉼표 [0] 4 2 5" xfId="0"/>
    <cellStyle name="쉼표 [0] 4 2 6" xfId="0"/>
    <cellStyle name="쉼표 [0] 4 3" xfId="0"/>
    <cellStyle name="쉼표 [0] 4 3 2" xfId="0"/>
    <cellStyle name="쉼표 [0] 4 3 3" xfId="0"/>
    <cellStyle name="쉼표 [0] 4 4" xfId="0"/>
    <cellStyle name="쉼표 [0] 4 4 2" xfId="0"/>
    <cellStyle name="쉼표 [0] 4 4 3" xfId="0"/>
    <cellStyle name="쉼표 [0] 4 5" xfId="0"/>
    <cellStyle name="쉼표 [0] 4 5 2" xfId="0"/>
    <cellStyle name="쉼표 [0] 4 6" xfId="0"/>
    <cellStyle name="쉼표 [0] 4 6 2" xfId="0"/>
    <cellStyle name="쉼표 [0] 4 7" xfId="0"/>
    <cellStyle name="쉼표 [0] 4 7 2" xfId="0"/>
    <cellStyle name="쉼표 [0] 4 8" xfId="0"/>
    <cellStyle name="쉼표 [0] 4 8 2" xfId="0"/>
    <cellStyle name="쉼표 [0] 4 9" xfId="0"/>
    <cellStyle name="쉼표 [0] 40" xfId="0"/>
    <cellStyle name="쉼표 [0] 41" xfId="0"/>
    <cellStyle name="쉼표 [0] 41 10" xfId="0"/>
    <cellStyle name="쉼표 [0] 41 10 2" xfId="0"/>
    <cellStyle name="쉼표 [0] 41 10 3" xfId="0"/>
    <cellStyle name="쉼표 [0] 41 10 4" xfId="0"/>
    <cellStyle name="쉼표 [0] 41 10 5" xfId="0"/>
    <cellStyle name="쉼표 [0] 41 11" xfId="0"/>
    <cellStyle name="쉼표 [0] 41 12" xfId="0"/>
    <cellStyle name="쉼표 [0] 41 13" xfId="0"/>
    <cellStyle name="쉼표 [0] 41 14" xfId="0"/>
    <cellStyle name="쉼표 [0] 41 2" xfId="0"/>
    <cellStyle name="쉼표 [0] 41 2 2" xfId="0"/>
    <cellStyle name="쉼표 [0] 41 2 3" xfId="0"/>
    <cellStyle name="쉼표 [0] 41 2 4" xfId="0"/>
    <cellStyle name="쉼표 [0] 41 2 5" xfId="0"/>
    <cellStyle name="쉼표 [0] 41 3" xfId="0"/>
    <cellStyle name="쉼표 [0] 41 3 2" xfId="0"/>
    <cellStyle name="쉼표 [0] 41 3 3" xfId="0"/>
    <cellStyle name="쉼표 [0] 41 3 4" xfId="0"/>
    <cellStyle name="쉼표 [0] 41 3 5" xfId="0"/>
    <cellStyle name="쉼표 [0] 41 4" xfId="0"/>
    <cellStyle name="쉼표 [0] 41 4 2" xfId="0"/>
    <cellStyle name="쉼표 [0] 41 4 3" xfId="0"/>
    <cellStyle name="쉼표 [0] 41 4 4" xfId="0"/>
    <cellStyle name="쉼표 [0] 41 4 5" xfId="0"/>
    <cellStyle name="쉼표 [0] 41 5" xfId="0"/>
    <cellStyle name="쉼표 [0] 41 5 2" xfId="0"/>
    <cellStyle name="쉼표 [0] 41 5 3" xfId="0"/>
    <cellStyle name="쉼표 [0] 41 5 4" xfId="0"/>
    <cellStyle name="쉼표 [0] 41 5 5" xfId="0"/>
    <cellStyle name="쉼표 [0] 41 6" xfId="0"/>
    <cellStyle name="쉼표 [0] 41 6 2" xfId="0"/>
    <cellStyle name="쉼표 [0] 41 6 3" xfId="0"/>
    <cellStyle name="쉼표 [0] 41 6 4" xfId="0"/>
    <cellStyle name="쉼표 [0] 41 6 5" xfId="0"/>
    <cellStyle name="쉼표 [0] 41 7" xfId="0"/>
    <cellStyle name="쉼표 [0] 41 7 2" xfId="0"/>
    <cellStyle name="쉼표 [0] 41 7 3" xfId="0"/>
    <cellStyle name="쉼표 [0] 41 7 4" xfId="0"/>
    <cellStyle name="쉼표 [0] 41 7 5" xfId="0"/>
    <cellStyle name="쉼표 [0] 41 8" xfId="0"/>
    <cellStyle name="쉼표 [0] 41 8 2" xfId="0"/>
    <cellStyle name="쉼표 [0] 41 8 3" xfId="0"/>
    <cellStyle name="쉼표 [0] 41 8 4" xfId="0"/>
    <cellStyle name="쉼표 [0] 41 8 5" xfId="0"/>
    <cellStyle name="쉼표 [0] 41 9" xfId="0"/>
    <cellStyle name="쉼표 [0] 41 9 2" xfId="0"/>
    <cellStyle name="쉼표 [0] 41 9 3" xfId="0"/>
    <cellStyle name="쉼표 [0] 41 9 4" xfId="0"/>
    <cellStyle name="쉼표 [0] 41 9 5" xfId="0"/>
    <cellStyle name="쉼표 [0] 5" xfId="0"/>
    <cellStyle name="쉼표 [0] 5 2" xfId="0"/>
    <cellStyle name="쉼표 [0] 5 2 2" xfId="0"/>
    <cellStyle name="쉼표 [0] 5 3" xfId="0"/>
    <cellStyle name="쉼표 [0] 5 3 2" xfId="0"/>
    <cellStyle name="쉼표 [0] 5 4" xfId="0"/>
    <cellStyle name="쉼표 [0] 5 4 2" xfId="0"/>
    <cellStyle name="쉼표 [0] 5 5" xfId="0"/>
    <cellStyle name="쉼표 [0] 5 5 2" xfId="0"/>
    <cellStyle name="쉼표 [0] 5 6" xfId="0"/>
    <cellStyle name="쉼표 [0] 5 6 2" xfId="0"/>
    <cellStyle name="쉼표 [0] 5 7" xfId="0"/>
    <cellStyle name="쉼표 [0] 5 7 2" xfId="0"/>
    <cellStyle name="쉼표 [0] 6" xfId="0"/>
    <cellStyle name="쉼표 [0] 6 10" xfId="0"/>
    <cellStyle name="쉼표 [0] 6 11" xfId="0"/>
    <cellStyle name="쉼표 [0] 6 2" xfId="0"/>
    <cellStyle name="쉼표 [0] 6 2 2" xfId="0"/>
    <cellStyle name="쉼표 [0] 6 3" xfId="0"/>
    <cellStyle name="쉼표 [0] 6 3 2" xfId="0"/>
    <cellStyle name="쉼표 [0] 6 4" xfId="0"/>
    <cellStyle name="쉼표 [0] 6 4 2" xfId="0"/>
    <cellStyle name="쉼표 [0] 6 5" xfId="0"/>
    <cellStyle name="쉼표 [0] 6 5 2" xfId="0"/>
    <cellStyle name="쉼표 [0] 6 6" xfId="0"/>
    <cellStyle name="쉼표 [0] 6 6 2" xfId="0"/>
    <cellStyle name="쉼표 [0] 6 7" xfId="0"/>
    <cellStyle name="쉼표 [0] 6 7 2" xfId="0"/>
    <cellStyle name="쉼표 [0] 6 8" xfId="0"/>
    <cellStyle name="쉼표 [0] 6 9" xfId="0"/>
    <cellStyle name="쉼표 [0] 61" xfId="0"/>
    <cellStyle name="쉼표 [0] 66" xfId="0"/>
    <cellStyle name="쉼표 [0] 67" xfId="0"/>
    <cellStyle name="쉼표 [0] 7" xfId="0"/>
    <cellStyle name="쉼표 [0] 7 2" xfId="0"/>
    <cellStyle name="쉼표 [0] 7 2 2" xfId="0"/>
    <cellStyle name="쉼표 [0] 7 2 3" xfId="0"/>
    <cellStyle name="쉼표 [0] 7 3" xfId="0"/>
    <cellStyle name="쉼표 [0] 7 3 2" xfId="0"/>
    <cellStyle name="쉼표 [0] 7 4" xfId="0"/>
    <cellStyle name="쉼표 [0] 7 5" xfId="0"/>
    <cellStyle name="쉼표 [0] 7 6" xfId="0"/>
    <cellStyle name="쉼표 [0] 7 7" xfId="0"/>
    <cellStyle name="쉼표 [0] 8" xfId="0"/>
    <cellStyle name="쉼표 [0] 8 2" xfId="0"/>
    <cellStyle name="쉼표 [0] 8 2 2" xfId="0"/>
    <cellStyle name="쉼표 [0] 8 2 2 2" xfId="0"/>
    <cellStyle name="쉼표 [0] 8 2 3" xfId="0"/>
    <cellStyle name="쉼표 [0] 8 3" xfId="0"/>
    <cellStyle name="쉼표 [0] 8 3 2" xfId="0"/>
    <cellStyle name="쉼표 [0] 8 4" xfId="0"/>
    <cellStyle name="쉼표 [0] 8 4 2" xfId="0"/>
    <cellStyle name="쉼표 [0] 8 5" xfId="0"/>
    <cellStyle name="쉼표 [0] 8 5 2" xfId="0"/>
    <cellStyle name="쉼표 [0] 8 6" xfId="0"/>
    <cellStyle name="쉼표 [0] 8 6 2" xfId="0"/>
    <cellStyle name="쉼표 [0] 8 7" xfId="0"/>
    <cellStyle name="쉼표 [0] 8 7 2" xfId="0"/>
    <cellStyle name="쉼표 [0] 9" xfId="0"/>
    <cellStyle name="쉼표 [0] 9 2" xfId="0"/>
    <cellStyle name="쉼표 [0] 9 2 2" xfId="0"/>
    <cellStyle name="쉼표 [0] 9 2 3" xfId="0"/>
    <cellStyle name="쉼표 [0] 9 3" xfId="0"/>
    <cellStyle name="쉼표 [0] 9 3 2" xfId="0"/>
    <cellStyle name="쉼표 [0] 9 3 2 2" xfId="0"/>
    <cellStyle name="쉼표 [0] 9 3 3" xfId="0"/>
    <cellStyle name="쉼표 [0] 9 4" xfId="0"/>
    <cellStyle name="쉼표 [0] 9 4 2" xfId="0"/>
    <cellStyle name="쉼표 [0] 9 5" xfId="0"/>
    <cellStyle name="쉼표 [0] 9 6" xfId="0"/>
    <cellStyle name="쉼표 [0] 9 7" xfId="0"/>
    <cellStyle name="스타일 1" xfId="0"/>
    <cellStyle name="스타일 1 10" xfId="0"/>
    <cellStyle name="스타일 1 11" xfId="0"/>
    <cellStyle name="스타일 1 12" xfId="0"/>
    <cellStyle name="스타일 1 13" xfId="0"/>
    <cellStyle name="스타일 1 14" xfId="0"/>
    <cellStyle name="스타일 1 15" xfId="0"/>
    <cellStyle name="스타일 1 16" xfId="0"/>
    <cellStyle name="스타일 1 17" xfId="0"/>
    <cellStyle name="스타일 1 18" xfId="0"/>
    <cellStyle name="스타일 1 19" xfId="0"/>
    <cellStyle name="스타일 1 2" xfId="0"/>
    <cellStyle name="스타일 1 20" xfId="0"/>
    <cellStyle name="스타일 1 21" xfId="0"/>
    <cellStyle name="스타일 1 22" xfId="0"/>
    <cellStyle name="스타일 1 23" xfId="0"/>
    <cellStyle name="스타일 1 24" xfId="0"/>
    <cellStyle name="스타일 1 25" xfId="0"/>
    <cellStyle name="스타일 1 26" xfId="0"/>
    <cellStyle name="스타일 1 27" xfId="0"/>
    <cellStyle name="스타일 1 28" xfId="0"/>
    <cellStyle name="스타일 1 29" xfId="0"/>
    <cellStyle name="스타일 1 3" xfId="0"/>
    <cellStyle name="스타일 1 30" xfId="0"/>
    <cellStyle name="스타일 1 31" xfId="0"/>
    <cellStyle name="스타일 1 32" xfId="0"/>
    <cellStyle name="스타일 1 33" xfId="0"/>
    <cellStyle name="스타일 1 34" xfId="0"/>
    <cellStyle name="스타일 1 35" xfId="0"/>
    <cellStyle name="스타일 1 36" xfId="0"/>
    <cellStyle name="스타일 1 37" xfId="0"/>
    <cellStyle name="스타일 1 38" xfId="0"/>
    <cellStyle name="스타일 1 39" xfId="0"/>
    <cellStyle name="스타일 1 4" xfId="0"/>
    <cellStyle name="스타일 1 40" xfId="0"/>
    <cellStyle name="스타일 1 41" xfId="0"/>
    <cellStyle name="스타일 1 42" xfId="0"/>
    <cellStyle name="스타일 1 43" xfId="0"/>
    <cellStyle name="스타일 1 44" xfId="0"/>
    <cellStyle name="스타일 1 45" xfId="0"/>
    <cellStyle name="스타일 1 46" xfId="0"/>
    <cellStyle name="스타일 1 47" xfId="0"/>
    <cellStyle name="스타일 1 48" xfId="0"/>
    <cellStyle name="스타일 1 49" xfId="0"/>
    <cellStyle name="스타일 1 5" xfId="0"/>
    <cellStyle name="스타일 1 50" xfId="0"/>
    <cellStyle name="스타일 1 51" xfId="0"/>
    <cellStyle name="스타일 1 52" xfId="0"/>
    <cellStyle name="스타일 1 53" xfId="0"/>
    <cellStyle name="스타일 1 54" xfId="0"/>
    <cellStyle name="스타일 1 55" xfId="0"/>
    <cellStyle name="스타일 1 56" xfId="0"/>
    <cellStyle name="스타일 1 57" xfId="0"/>
    <cellStyle name="스타일 1 58" xfId="0"/>
    <cellStyle name="스타일 1 59" xfId="0"/>
    <cellStyle name="스타일 1 6" xfId="0"/>
    <cellStyle name="스타일 1 60" xfId="0"/>
    <cellStyle name="스타일 1 61" xfId="0"/>
    <cellStyle name="스타일 1 7" xfId="0"/>
    <cellStyle name="스타일 1 8" xfId="0"/>
    <cellStyle name="스타일 1 9" xfId="0"/>
    <cellStyle name="스타일 10" xfId="0"/>
    <cellStyle name="스타일 100" xfId="0"/>
    <cellStyle name="스타일 101" xfId="0"/>
    <cellStyle name="스타일 102" xfId="0"/>
    <cellStyle name="스타일 103" xfId="0"/>
    <cellStyle name="스타일 104" xfId="0"/>
    <cellStyle name="스타일 105" xfId="0"/>
    <cellStyle name="스타일 106" xfId="0"/>
    <cellStyle name="스타일 107" xfId="0"/>
    <cellStyle name="스타일 108" xfId="0"/>
    <cellStyle name="스타일 109" xfId="0"/>
    <cellStyle name="스타일 11" xfId="0"/>
    <cellStyle name="스타일 110" xfId="0"/>
    <cellStyle name="스타일 111" xfId="0"/>
    <cellStyle name="스타일 112" xfId="0"/>
    <cellStyle name="스타일 113" xfId="0"/>
    <cellStyle name="스타일 114" xfId="0"/>
    <cellStyle name="스타일 115" xfId="0"/>
    <cellStyle name="스타일 116" xfId="0"/>
    <cellStyle name="스타일 117" xfId="0"/>
    <cellStyle name="스타일 118" xfId="0"/>
    <cellStyle name="스타일 119" xfId="0"/>
    <cellStyle name="스타일 12" xfId="0"/>
    <cellStyle name="스타일 120" xfId="0"/>
    <cellStyle name="스타일 121" xfId="0"/>
    <cellStyle name="스타일 122" xfId="0"/>
    <cellStyle name="스타일 123" xfId="0"/>
    <cellStyle name="스타일 124" xfId="0"/>
    <cellStyle name="스타일 125" xfId="0"/>
    <cellStyle name="스타일 126" xfId="0"/>
    <cellStyle name="스타일 127" xfId="0"/>
    <cellStyle name="스타일 128" xfId="0"/>
    <cellStyle name="스타일 129" xfId="0"/>
    <cellStyle name="스타일 13" xfId="0"/>
    <cellStyle name="스타일 130" xfId="0"/>
    <cellStyle name="스타일 131" xfId="0"/>
    <cellStyle name="스타일 132" xfId="0"/>
    <cellStyle name="스타일 133" xfId="0"/>
    <cellStyle name="스타일 134" xfId="0"/>
    <cellStyle name="스타일 135" xfId="0"/>
    <cellStyle name="스타일 136" xfId="0"/>
    <cellStyle name="스타일 137" xfId="0"/>
    <cellStyle name="스타일 138" xfId="0"/>
    <cellStyle name="스타일 139" xfId="0"/>
    <cellStyle name="스타일 14" xfId="0"/>
    <cellStyle name="스타일 140" xfId="0"/>
    <cellStyle name="스타일 141" xfId="0"/>
    <cellStyle name="스타일 142" xfId="0"/>
    <cellStyle name="스타일 143" xfId="0"/>
    <cellStyle name="스타일 144" xfId="0"/>
    <cellStyle name="스타일 145" xfId="0"/>
    <cellStyle name="스타일 146" xfId="0"/>
    <cellStyle name="스타일 147" xfId="0"/>
    <cellStyle name="스타일 148" xfId="0"/>
    <cellStyle name="스타일 149" xfId="0"/>
    <cellStyle name="스타일 15" xfId="0"/>
    <cellStyle name="스타일 150" xfId="0"/>
    <cellStyle name="스타일 151" xfId="0"/>
    <cellStyle name="스타일 152" xfId="0"/>
    <cellStyle name="스타일 153" xfId="0"/>
    <cellStyle name="스타일 154" xfId="0"/>
    <cellStyle name="스타일 155" xfId="0"/>
    <cellStyle name="스타일 156" xfId="0"/>
    <cellStyle name="스타일 157" xfId="0"/>
    <cellStyle name="스타일 158" xfId="0"/>
    <cellStyle name="스타일 16" xfId="0"/>
    <cellStyle name="스타일 17" xfId="0"/>
    <cellStyle name="스타일 18" xfId="0"/>
    <cellStyle name="스타일 19" xfId="0"/>
    <cellStyle name="스타일 2" xfId="0"/>
    <cellStyle name="스타일 20" xfId="0"/>
    <cellStyle name="스타일 21" xfId="0"/>
    <cellStyle name="스타일 22" xfId="0"/>
    <cellStyle name="스타일 23" xfId="0"/>
    <cellStyle name="스타일 24" xfId="0"/>
    <cellStyle name="스타일 25" xfId="0"/>
    <cellStyle name="스타일 26" xfId="0"/>
    <cellStyle name="스타일 27" xfId="0"/>
    <cellStyle name="스타일 28" xfId="0"/>
    <cellStyle name="스타일 29" xfId="0"/>
    <cellStyle name="스타일 3" xfId="0"/>
    <cellStyle name="스타일 30" xfId="0"/>
    <cellStyle name="스타일 31" xfId="0"/>
    <cellStyle name="스타일 32" xfId="0"/>
    <cellStyle name="스타일 33" xfId="0"/>
    <cellStyle name="스타일 34" xfId="0"/>
    <cellStyle name="스타일 35" xfId="0"/>
    <cellStyle name="스타일 36" xfId="0"/>
    <cellStyle name="스타일 37" xfId="0"/>
    <cellStyle name="스타일 38" xfId="0"/>
    <cellStyle name="스타일 39" xfId="0"/>
    <cellStyle name="스타일 4" xfId="0"/>
    <cellStyle name="스타일 40" xfId="0"/>
    <cellStyle name="스타일 41" xfId="0"/>
    <cellStyle name="스타일 42" xfId="0"/>
    <cellStyle name="스타일 43" xfId="0"/>
    <cellStyle name="스타일 44" xfId="0"/>
    <cellStyle name="스타일 45" xfId="0"/>
    <cellStyle name="스타일 46" xfId="0"/>
    <cellStyle name="스타일 47" xfId="0"/>
    <cellStyle name="스타일 48" xfId="0"/>
    <cellStyle name="스타일 49" xfId="0"/>
    <cellStyle name="스타일 5" xfId="0"/>
    <cellStyle name="스타일 50" xfId="0"/>
    <cellStyle name="스타일 51" xfId="0"/>
    <cellStyle name="스타일 52" xfId="0"/>
    <cellStyle name="스타일 53" xfId="0"/>
    <cellStyle name="스타일 54" xfId="0"/>
    <cellStyle name="스타일 55" xfId="0"/>
    <cellStyle name="스타일 56" xfId="0"/>
    <cellStyle name="스타일 57" xfId="0"/>
    <cellStyle name="스타일 58" xfId="0"/>
    <cellStyle name="스타일 59" xfId="0"/>
    <cellStyle name="스타일 6" xfId="0"/>
    <cellStyle name="스타일 60" xfId="0"/>
    <cellStyle name="스타일 61" xfId="0"/>
    <cellStyle name="스타일 62" xfId="0"/>
    <cellStyle name="스타일 63" xfId="0"/>
    <cellStyle name="스타일 64" xfId="0"/>
    <cellStyle name="스타일 65" xfId="0"/>
    <cellStyle name="스타일 66" xfId="0"/>
    <cellStyle name="스타일 67" xfId="0"/>
    <cellStyle name="스타일 68" xfId="0"/>
    <cellStyle name="스타일 69" xfId="0"/>
    <cellStyle name="스타일 7" xfId="0"/>
    <cellStyle name="스타일 70" xfId="0"/>
    <cellStyle name="스타일 71" xfId="0"/>
    <cellStyle name="스타일 72" xfId="0"/>
    <cellStyle name="스타일 73" xfId="0"/>
    <cellStyle name="스타일 74" xfId="0"/>
    <cellStyle name="스타일 75" xfId="0"/>
    <cellStyle name="스타일 76" xfId="0"/>
    <cellStyle name="스타일 77" xfId="0"/>
    <cellStyle name="스타일 78" xfId="0"/>
    <cellStyle name="스타일 79" xfId="0"/>
    <cellStyle name="스타일 8" xfId="0"/>
    <cellStyle name="스타일 80" xfId="0"/>
    <cellStyle name="스타일 81" xfId="0"/>
    <cellStyle name="스타일 82" xfId="0"/>
    <cellStyle name="스타일 83" xfId="0"/>
    <cellStyle name="스타일 84" xfId="0"/>
    <cellStyle name="스타일 85" xfId="0"/>
    <cellStyle name="스타일 86" xfId="0"/>
    <cellStyle name="스타일 87" xfId="0"/>
    <cellStyle name="스타일 88" xfId="0"/>
    <cellStyle name="스타일 89" xfId="0"/>
    <cellStyle name="스타일 9" xfId="0"/>
    <cellStyle name="스타일 90" xfId="0"/>
    <cellStyle name="스타일 91" xfId="0"/>
    <cellStyle name="스타일 92" xfId="0"/>
    <cellStyle name="스타일 93" xfId="0"/>
    <cellStyle name="스타일 94" xfId="0"/>
    <cellStyle name="스타일 95" xfId="0"/>
    <cellStyle name="스타일 96" xfId="0"/>
    <cellStyle name="스타일 97" xfId="0"/>
    <cellStyle name="스타일 98" xfId="0"/>
    <cellStyle name="스타일 99" xfId="0"/>
    <cellStyle name="신진수" xfId="0"/>
    <cellStyle name="안건회계법인" xfId="0"/>
    <cellStyle name="연결된 셀 10" xfId="0"/>
    <cellStyle name="연결된 셀 10 2" xfId="0"/>
    <cellStyle name="연결된 셀 10 2 2" xfId="0"/>
    <cellStyle name="연결된 셀 10 3" xfId="0"/>
    <cellStyle name="연결된 셀 10 3 2" xfId="0"/>
    <cellStyle name="연결된 셀 10 4" xfId="0"/>
    <cellStyle name="연결된 셀 10 4 2" xfId="0"/>
    <cellStyle name="연결된 셀 10 5" xfId="0"/>
    <cellStyle name="연결된 셀 10 6" xfId="0"/>
    <cellStyle name="연결된 셀 10 7" xfId="0"/>
    <cellStyle name="연결된 셀 11" xfId="0"/>
    <cellStyle name="연결된 셀 11 2" xfId="0"/>
    <cellStyle name="연결된 셀 11 2 2" xfId="0"/>
    <cellStyle name="연결된 셀 11 3" xfId="0"/>
    <cellStyle name="연결된 셀 11 3 2" xfId="0"/>
    <cellStyle name="연결된 셀 11 4" xfId="0"/>
    <cellStyle name="연결된 셀 11 4 2" xfId="0"/>
    <cellStyle name="연결된 셀 11 5" xfId="0"/>
    <cellStyle name="연결된 셀 11 6" xfId="0"/>
    <cellStyle name="연결된 셀 11 7" xfId="0"/>
    <cellStyle name="연결된 셀 12" xfId="0"/>
    <cellStyle name="연결된 셀 12 2" xfId="0"/>
    <cellStyle name="연결된 셀 12 3" xfId="0"/>
    <cellStyle name="연결된 셀 12 4" xfId="0"/>
    <cellStyle name="연결된 셀 12 5" xfId="0"/>
    <cellStyle name="연결된 셀 13" xfId="0"/>
    <cellStyle name="연결된 셀 13 2" xfId="0"/>
    <cellStyle name="연결된 셀 13 3" xfId="0"/>
    <cellStyle name="연결된 셀 13 4" xfId="0"/>
    <cellStyle name="연결된 셀 13 5" xfId="0"/>
    <cellStyle name="연결된 셀 14" xfId="0"/>
    <cellStyle name="연결된 셀 14 2" xfId="0"/>
    <cellStyle name="연결된 셀 14 3" xfId="0"/>
    <cellStyle name="연결된 셀 15" xfId="0"/>
    <cellStyle name="연결된 셀 15 2" xfId="0"/>
    <cellStyle name="연결된 셀 16" xfId="0"/>
    <cellStyle name="연결된 셀 16 2" xfId="0"/>
    <cellStyle name="연결된 셀 17" xfId="0"/>
    <cellStyle name="연결된 셀 17 2" xfId="0"/>
    <cellStyle name="연결된 셀 18" xfId="0"/>
    <cellStyle name="연결된 셀 19" xfId="0"/>
    <cellStyle name="연결된 셀 2" xfId="0"/>
    <cellStyle name="연결된 셀 2 10" xfId="0"/>
    <cellStyle name="연결된 셀 2 11" xfId="0"/>
    <cellStyle name="연결된 셀 2 12" xfId="0"/>
    <cellStyle name="연결된 셀 2 13" xfId="0"/>
    <cellStyle name="연결된 셀 2 14" xfId="0"/>
    <cellStyle name="연결된 셀 2 15" xfId="0"/>
    <cellStyle name="연결된 셀 2 16" xfId="0"/>
    <cellStyle name="연결된 셀 2 17" xfId="0"/>
    <cellStyle name="연결된 셀 2 2" xfId="0"/>
    <cellStyle name="연결된 셀 2 2 10" xfId="0"/>
    <cellStyle name="연결된 셀 2 2 2" xfId="0"/>
    <cellStyle name="연결된 셀 2 2 3" xfId="0"/>
    <cellStyle name="연결된 셀 2 2 4" xfId="0"/>
    <cellStyle name="연결된 셀 2 2 5" xfId="0"/>
    <cellStyle name="연결된 셀 2 2 6" xfId="0"/>
    <cellStyle name="연결된 셀 2 2 7" xfId="0"/>
    <cellStyle name="연결된 셀 2 2 8" xfId="0"/>
    <cellStyle name="연결된 셀 2 2 9" xfId="0"/>
    <cellStyle name="연결된 셀 2 3" xfId="0"/>
    <cellStyle name="연결된 셀 2 3 10" xfId="0"/>
    <cellStyle name="연결된 셀 2 3 2" xfId="0"/>
    <cellStyle name="연결된 셀 2 3 3" xfId="0"/>
    <cellStyle name="연결된 셀 2 3 4" xfId="0"/>
    <cellStyle name="연결된 셀 2 3 5" xfId="0"/>
    <cellStyle name="연결된 셀 2 3 6" xfId="0"/>
    <cellStyle name="연결된 셀 2 3 7" xfId="0"/>
    <cellStyle name="연결된 셀 2 3 8" xfId="0"/>
    <cellStyle name="연결된 셀 2 3 9" xfId="0"/>
    <cellStyle name="연결된 셀 2 4" xfId="0"/>
    <cellStyle name="연결된 셀 2 4 10" xfId="0"/>
    <cellStyle name="연결된 셀 2 4 2" xfId="0"/>
    <cellStyle name="연결된 셀 2 4 3" xfId="0"/>
    <cellStyle name="연결된 셀 2 4 4" xfId="0"/>
    <cellStyle name="연결된 셀 2 4 5" xfId="0"/>
    <cellStyle name="연결된 셀 2 4 6" xfId="0"/>
    <cellStyle name="연결된 셀 2 4 7" xfId="0"/>
    <cellStyle name="연결된 셀 2 4 8" xfId="0"/>
    <cellStyle name="연결된 셀 2 4 9" xfId="0"/>
    <cellStyle name="연결된 셀 2 5" xfId="0"/>
    <cellStyle name="연결된 셀 2 5 10" xfId="0"/>
    <cellStyle name="연결된 셀 2 5 2" xfId="0"/>
    <cellStyle name="연결된 셀 2 5 3" xfId="0"/>
    <cellStyle name="연결된 셀 2 5 4" xfId="0"/>
    <cellStyle name="연결된 셀 2 5 5" xfId="0"/>
    <cellStyle name="연결된 셀 2 5 6" xfId="0"/>
    <cellStyle name="연결된 셀 2 5 7" xfId="0"/>
    <cellStyle name="연결된 셀 2 5 8" xfId="0"/>
    <cellStyle name="연결된 셀 2 5 9" xfId="0"/>
    <cellStyle name="연결된 셀 2 6" xfId="0"/>
    <cellStyle name="연결된 셀 2 6 10" xfId="0"/>
    <cellStyle name="연결된 셀 2 6 2" xfId="0"/>
    <cellStyle name="연결된 셀 2 6 3" xfId="0"/>
    <cellStyle name="연결된 셀 2 6 4" xfId="0"/>
    <cellStyle name="연결된 셀 2 6 5" xfId="0"/>
    <cellStyle name="연결된 셀 2 6 6" xfId="0"/>
    <cellStyle name="연결된 셀 2 6 7" xfId="0"/>
    <cellStyle name="연결된 셀 2 6 8" xfId="0"/>
    <cellStyle name="연결된 셀 2 6 9" xfId="0"/>
    <cellStyle name="연결된 셀 2 7" xfId="0"/>
    <cellStyle name="연결된 셀 2 7 10" xfId="0"/>
    <cellStyle name="연결된 셀 2 7 2" xfId="0"/>
    <cellStyle name="연결된 셀 2 7 3" xfId="0"/>
    <cellStyle name="연결된 셀 2 7 4" xfId="0"/>
    <cellStyle name="연결된 셀 2 7 5" xfId="0"/>
    <cellStyle name="연결된 셀 2 7 6" xfId="0"/>
    <cellStyle name="연결된 셀 2 7 7" xfId="0"/>
    <cellStyle name="연결된 셀 2 7 8" xfId="0"/>
    <cellStyle name="연결된 셀 2 7 9" xfId="0"/>
    <cellStyle name="연결된 셀 2 8" xfId="0"/>
    <cellStyle name="연결된 셀 2 8 2" xfId="0"/>
    <cellStyle name="연결된 셀 2 9" xfId="0"/>
    <cellStyle name="연결된 셀 20" xfId="0"/>
    <cellStyle name="연결된 셀 21" xfId="0"/>
    <cellStyle name="연결된 셀 22" xfId="0"/>
    <cellStyle name="연결된 셀 23" xfId="0"/>
    <cellStyle name="연결된 셀 24" xfId="0"/>
    <cellStyle name="연결된 셀 25" xfId="0"/>
    <cellStyle name="연결된 셀 26" xfId="0"/>
    <cellStyle name="연결된 셀 27" xfId="0"/>
    <cellStyle name="연결된 셀 2_3300현금및예치금" xfId="0"/>
    <cellStyle name="연결된 셀 3" xfId="0"/>
    <cellStyle name="연결된 셀 3 10" xfId="0"/>
    <cellStyle name="연결된 셀 3 10 2" xfId="0"/>
    <cellStyle name="연결된 셀 3 11" xfId="0"/>
    <cellStyle name="연결된 셀 3 11 2" xfId="0"/>
    <cellStyle name="연결된 셀 3 12" xfId="0"/>
    <cellStyle name="연결된 셀 3 12 2" xfId="0"/>
    <cellStyle name="연결된 셀 3 13" xfId="0"/>
    <cellStyle name="연결된 셀 3 14" xfId="0"/>
    <cellStyle name="연결된 셀 3 15" xfId="0"/>
    <cellStyle name="연결된 셀 3 16" xfId="0"/>
    <cellStyle name="연결된 셀 3 17" xfId="0"/>
    <cellStyle name="연결된 셀 3 18" xfId="0"/>
    <cellStyle name="연결된 셀 3 19" xfId="0"/>
    <cellStyle name="연결된 셀 3 2" xfId="0"/>
    <cellStyle name="연결된 셀 3 2 2" xfId="0"/>
    <cellStyle name="연결된 셀 3 2 3" xfId="0"/>
    <cellStyle name="연결된 셀 3 20" xfId="0"/>
    <cellStyle name="연결된 셀 3 21" xfId="0"/>
    <cellStyle name="연결된 셀 3 3" xfId="0"/>
    <cellStyle name="연결된 셀 3 3 2" xfId="0"/>
    <cellStyle name="연결된 셀 3 3 3" xfId="0"/>
    <cellStyle name="연결된 셀 3 4" xfId="0"/>
    <cellStyle name="연결된 셀 3 4 2" xfId="0"/>
    <cellStyle name="연결된 셀 3 4 3" xfId="0"/>
    <cellStyle name="연결된 셀 3 5" xfId="0"/>
    <cellStyle name="연결된 셀 3 5 2" xfId="0"/>
    <cellStyle name="연결된 셀 3 5 3" xfId="0"/>
    <cellStyle name="연결된 셀 3 6" xfId="0"/>
    <cellStyle name="연결된 셀 3 6 2" xfId="0"/>
    <cellStyle name="연결된 셀 3 6 3" xfId="0"/>
    <cellStyle name="연결된 셀 3 7" xfId="0"/>
    <cellStyle name="연결된 셀 3 7 2" xfId="0"/>
    <cellStyle name="연결된 셀 3 7 3" xfId="0"/>
    <cellStyle name="연결된 셀 3 8" xfId="0"/>
    <cellStyle name="연결된 셀 3 8 2" xfId="0"/>
    <cellStyle name="연결된 셀 3 8 3" xfId="0"/>
    <cellStyle name="연결된 셀 3 9" xfId="0"/>
    <cellStyle name="연결된 셀 3 9 2" xfId="0"/>
    <cellStyle name="연결된 셀 3_운용자산별 손익분석" xfId="0"/>
    <cellStyle name="연결된 셀 4" xfId="0"/>
    <cellStyle name="연결된 셀 4 10" xfId="0"/>
    <cellStyle name="연결된 셀 4 11" xfId="0"/>
    <cellStyle name="연결된 셀 4 12" xfId="0"/>
    <cellStyle name="연결된 셀 4 13" xfId="0"/>
    <cellStyle name="연결된 셀 4 14" xfId="0"/>
    <cellStyle name="연결된 셀 4 15" xfId="0"/>
    <cellStyle name="연결된 셀 4 16" xfId="0"/>
    <cellStyle name="연결된 셀 4 17" xfId="0"/>
    <cellStyle name="연결된 셀 4 18" xfId="0"/>
    <cellStyle name="연결된 셀 4 19" xfId="0"/>
    <cellStyle name="연결된 셀 4 2" xfId="0"/>
    <cellStyle name="연결된 셀 4 2 10" xfId="0"/>
    <cellStyle name="연결된 셀 4 2 11" xfId="0"/>
    <cellStyle name="연결된 셀 4 2 2" xfId="0"/>
    <cellStyle name="연결된 셀 4 2 3" xfId="0"/>
    <cellStyle name="연결된 셀 4 2 4" xfId="0"/>
    <cellStyle name="연결된 셀 4 2 5" xfId="0"/>
    <cellStyle name="연결된 셀 4 2 6" xfId="0"/>
    <cellStyle name="연결된 셀 4 2 7" xfId="0"/>
    <cellStyle name="연결된 셀 4 2 8" xfId="0"/>
    <cellStyle name="연결된 셀 4 2 9" xfId="0"/>
    <cellStyle name="연결된 셀 4 20" xfId="0"/>
    <cellStyle name="연결된 셀 4 21" xfId="0"/>
    <cellStyle name="연결된 셀 4 22" xfId="0"/>
    <cellStyle name="연결된 셀 4 23" xfId="0"/>
    <cellStyle name="연결된 셀 4 24" xfId="0"/>
    <cellStyle name="연결된 셀 4 3" xfId="0"/>
    <cellStyle name="연결된 셀 4 4" xfId="0"/>
    <cellStyle name="연결된 셀 4 5" xfId="0"/>
    <cellStyle name="연결된 셀 4 6" xfId="0"/>
    <cellStyle name="연결된 셀 4 7" xfId="0"/>
    <cellStyle name="연결된 셀 4 8" xfId="0"/>
    <cellStyle name="연결된 셀 4 9" xfId="0"/>
    <cellStyle name="연결된 셀 4_운용자산별 손익분석" xfId="0"/>
    <cellStyle name="연결된 셀 5" xfId="0"/>
    <cellStyle name="연결된 셀 5 10" xfId="0"/>
    <cellStyle name="연결된 셀 5 11" xfId="0"/>
    <cellStyle name="연결된 셀 5 12" xfId="0"/>
    <cellStyle name="연결된 셀 5 13" xfId="0"/>
    <cellStyle name="연결된 셀 5 14" xfId="0"/>
    <cellStyle name="연결된 셀 5 15" xfId="0"/>
    <cellStyle name="연결된 셀 5 16" xfId="0"/>
    <cellStyle name="연결된 셀 5 17" xfId="0"/>
    <cellStyle name="연결된 셀 5 18" xfId="0"/>
    <cellStyle name="연결된 셀 5 19" xfId="0"/>
    <cellStyle name="연결된 셀 5 2" xfId="0"/>
    <cellStyle name="연결된 셀 5 20" xfId="0"/>
    <cellStyle name="연결된 셀 5 21" xfId="0"/>
    <cellStyle name="연결된 셀 5 22" xfId="0"/>
    <cellStyle name="연결된 셀 5 23" xfId="0"/>
    <cellStyle name="연결된 셀 5 24" xfId="0"/>
    <cellStyle name="연결된 셀 5 25" xfId="0"/>
    <cellStyle name="연결된 셀 5 26" xfId="0"/>
    <cellStyle name="연결된 셀 5 27" xfId="0"/>
    <cellStyle name="연결된 셀 5 28" xfId="0"/>
    <cellStyle name="연결된 셀 5 29" xfId="0"/>
    <cellStyle name="연결된 셀 5 3" xfId="0"/>
    <cellStyle name="연결된 셀 5 30" xfId="0"/>
    <cellStyle name="연결된 셀 5 31" xfId="0"/>
    <cellStyle name="연결된 셀 5 32" xfId="0"/>
    <cellStyle name="연결된 셀 5 33" xfId="0"/>
    <cellStyle name="연결된 셀 5 34" xfId="0"/>
    <cellStyle name="연결된 셀 5 35" xfId="0"/>
    <cellStyle name="연결된 셀 5 4" xfId="0"/>
    <cellStyle name="연결된 셀 5 5" xfId="0"/>
    <cellStyle name="연결된 셀 5 6" xfId="0"/>
    <cellStyle name="연결된 셀 5 7" xfId="0"/>
    <cellStyle name="연결된 셀 5 8" xfId="0"/>
    <cellStyle name="연결된 셀 5 9" xfId="0"/>
    <cellStyle name="연결된 셀 6" xfId="0"/>
    <cellStyle name="연결된 셀 6 10" xfId="0"/>
    <cellStyle name="연결된 셀 6 11" xfId="0"/>
    <cellStyle name="연결된 셀 6 12" xfId="0"/>
    <cellStyle name="연결된 셀 6 13" xfId="0"/>
    <cellStyle name="연결된 셀 6 14" xfId="0"/>
    <cellStyle name="연결된 셀 6 15" xfId="0"/>
    <cellStyle name="연결된 셀 6 16" xfId="0"/>
    <cellStyle name="연결된 셀 6 17" xfId="0"/>
    <cellStyle name="연결된 셀 6 18" xfId="0"/>
    <cellStyle name="연결된 셀 6 19" xfId="0"/>
    <cellStyle name="연결된 셀 6 2" xfId="0"/>
    <cellStyle name="연결된 셀 6 20" xfId="0"/>
    <cellStyle name="연결된 셀 6 21" xfId="0"/>
    <cellStyle name="연결된 셀 6 22" xfId="0"/>
    <cellStyle name="연결된 셀 6 23" xfId="0"/>
    <cellStyle name="연결된 셀 6 24" xfId="0"/>
    <cellStyle name="연결된 셀 6 25" xfId="0"/>
    <cellStyle name="연결된 셀 6 26" xfId="0"/>
    <cellStyle name="연결된 셀 6 27" xfId="0"/>
    <cellStyle name="연결된 셀 6 28" xfId="0"/>
    <cellStyle name="연결된 셀 6 29" xfId="0"/>
    <cellStyle name="연결된 셀 6 3" xfId="0"/>
    <cellStyle name="연결된 셀 6 30" xfId="0"/>
    <cellStyle name="연결된 셀 6 31" xfId="0"/>
    <cellStyle name="연결된 셀 6 4" xfId="0"/>
    <cellStyle name="연결된 셀 6 5" xfId="0"/>
    <cellStyle name="연결된 셀 6 6" xfId="0"/>
    <cellStyle name="연결된 셀 6 7" xfId="0"/>
    <cellStyle name="연결된 셀 6 8" xfId="0"/>
    <cellStyle name="연결된 셀 6 9" xfId="0"/>
    <cellStyle name="연결된 셀 7" xfId="0"/>
    <cellStyle name="연결된 셀 7 10" xfId="0"/>
    <cellStyle name="연결된 셀 7 11" xfId="0"/>
    <cellStyle name="연결된 셀 7 12" xfId="0"/>
    <cellStyle name="연결된 셀 7 13" xfId="0"/>
    <cellStyle name="연결된 셀 7 14" xfId="0"/>
    <cellStyle name="연결된 셀 7 15" xfId="0"/>
    <cellStyle name="연결된 셀 7 2" xfId="0"/>
    <cellStyle name="연결된 셀 7 2 2" xfId="0"/>
    <cellStyle name="연결된 셀 7 3" xfId="0"/>
    <cellStyle name="연결된 셀 7 3 2" xfId="0"/>
    <cellStyle name="연결된 셀 7 4" xfId="0"/>
    <cellStyle name="연결된 셀 7 4 2" xfId="0"/>
    <cellStyle name="연결된 셀 7 5" xfId="0"/>
    <cellStyle name="연결된 셀 7 5 2" xfId="0"/>
    <cellStyle name="연결된 셀 7 6" xfId="0"/>
    <cellStyle name="연결된 셀 7 6 2" xfId="0"/>
    <cellStyle name="연결된 셀 7 7" xfId="0"/>
    <cellStyle name="연결된 셀 7 8" xfId="0"/>
    <cellStyle name="연결된 셀 7 9" xfId="0"/>
    <cellStyle name="연결된 셀 8" xfId="0"/>
    <cellStyle name="연결된 셀 8 10" xfId="0"/>
    <cellStyle name="연결된 셀 8 11" xfId="0"/>
    <cellStyle name="연결된 셀 8 12" xfId="0"/>
    <cellStyle name="연결된 셀 8 13" xfId="0"/>
    <cellStyle name="연결된 셀 8 14" xfId="0"/>
    <cellStyle name="연결된 셀 8 2" xfId="0"/>
    <cellStyle name="연결된 셀 8 2 2" xfId="0"/>
    <cellStyle name="연결된 셀 8 3" xfId="0"/>
    <cellStyle name="연결된 셀 8 3 2" xfId="0"/>
    <cellStyle name="연결된 셀 8 4" xfId="0"/>
    <cellStyle name="연결된 셀 8 4 2" xfId="0"/>
    <cellStyle name="연결된 셀 8 5" xfId="0"/>
    <cellStyle name="연결된 셀 8 5 2" xfId="0"/>
    <cellStyle name="연결된 셀 8 6" xfId="0"/>
    <cellStyle name="연결된 셀 8 6 2" xfId="0"/>
    <cellStyle name="연결된 셀 8 7" xfId="0"/>
    <cellStyle name="연결된 셀 8 8" xfId="0"/>
    <cellStyle name="연결된 셀 8 9" xfId="0"/>
    <cellStyle name="연결된 셀 9" xfId="0"/>
    <cellStyle name="연결된 셀 9 10" xfId="0"/>
    <cellStyle name="연결된 셀 9 11" xfId="0"/>
    <cellStyle name="연결된 셀 9 12" xfId="0"/>
    <cellStyle name="연결된 셀 9 13" xfId="0"/>
    <cellStyle name="연결된 셀 9 14" xfId="0"/>
    <cellStyle name="연결된 셀 9 2" xfId="0"/>
    <cellStyle name="연결된 셀 9 2 2" xfId="0"/>
    <cellStyle name="연결된 셀 9 3" xfId="0"/>
    <cellStyle name="연결된 셀 9 3 2" xfId="0"/>
    <cellStyle name="연결된 셀 9 4" xfId="0"/>
    <cellStyle name="연결된 셀 9 4 2" xfId="0"/>
    <cellStyle name="연결된 셀 9 5" xfId="0"/>
    <cellStyle name="연결된 셀 9 5 2" xfId="0"/>
    <cellStyle name="연결된 셀 9 6" xfId="0"/>
    <cellStyle name="연결된 셀 9 6 2" xfId="0"/>
    <cellStyle name="연결된 셀 9 7" xfId="0"/>
    <cellStyle name="연결된 셀 9 8" xfId="0"/>
    <cellStyle name="연결된 셀 9 9" xfId="0"/>
    <cellStyle name="열어본 하이퍼링크" xfId="0"/>
    <cellStyle name="요약 10" xfId="0"/>
    <cellStyle name="요약 10 2" xfId="0"/>
    <cellStyle name="요약 10 2 2" xfId="0"/>
    <cellStyle name="요약 10 3" xfId="0"/>
    <cellStyle name="요약 10 3 2" xfId="0"/>
    <cellStyle name="요약 10 4" xfId="0"/>
    <cellStyle name="요약 10 4 2" xfId="0"/>
    <cellStyle name="요약 10 5" xfId="0"/>
    <cellStyle name="요약 10 6" xfId="0"/>
    <cellStyle name="요약 11" xfId="0"/>
    <cellStyle name="요약 11 2" xfId="0"/>
    <cellStyle name="요약 11 2 2" xfId="0"/>
    <cellStyle name="요약 11 3" xfId="0"/>
    <cellStyle name="요약 11 3 2" xfId="0"/>
    <cellStyle name="요약 11 4" xfId="0"/>
    <cellStyle name="요약 11 4 2" xfId="0"/>
    <cellStyle name="요약 11 5" xfId="0"/>
    <cellStyle name="요약 11 6" xfId="0"/>
    <cellStyle name="요약 12" xfId="0"/>
    <cellStyle name="요약 12 2" xfId="0"/>
    <cellStyle name="요약 12 2 2" xfId="0"/>
    <cellStyle name="요약 12 3" xfId="0"/>
    <cellStyle name="요약 12 3 2" xfId="0"/>
    <cellStyle name="요약 12 4" xfId="0"/>
    <cellStyle name="요약 12 5" xfId="0"/>
    <cellStyle name="요약 13" xfId="0"/>
    <cellStyle name="요약 13 2" xfId="0"/>
    <cellStyle name="요약 13 3" xfId="0"/>
    <cellStyle name="요약 13 4" xfId="0"/>
    <cellStyle name="요약 13 5" xfId="0"/>
    <cellStyle name="요약 14" xfId="0"/>
    <cellStyle name="요약 14 2" xfId="0"/>
    <cellStyle name="요약 14 3" xfId="0"/>
    <cellStyle name="요약 15" xfId="0"/>
    <cellStyle name="요약 15 2" xfId="0"/>
    <cellStyle name="요약 16" xfId="0"/>
    <cellStyle name="요약 16 2" xfId="0"/>
    <cellStyle name="요약 17" xfId="0"/>
    <cellStyle name="요약 17 2" xfId="0"/>
    <cellStyle name="요약 18" xfId="0"/>
    <cellStyle name="요약 19" xfId="0"/>
    <cellStyle name="요약 2" xfId="0"/>
    <cellStyle name="요약 2 10" xfId="0"/>
    <cellStyle name="요약 2 11" xfId="0"/>
    <cellStyle name="요약 2 12" xfId="0"/>
    <cellStyle name="요약 2 13" xfId="0"/>
    <cellStyle name="요약 2 14" xfId="0"/>
    <cellStyle name="요약 2 15" xfId="0"/>
    <cellStyle name="요약 2 16" xfId="0"/>
    <cellStyle name="요약 2 17" xfId="0"/>
    <cellStyle name="요약 2 2" xfId="0"/>
    <cellStyle name="요약 2 2 10" xfId="0"/>
    <cellStyle name="요약 2 2 2" xfId="0"/>
    <cellStyle name="요약 2 2 3" xfId="0"/>
    <cellStyle name="요약 2 2 4" xfId="0"/>
    <cellStyle name="요약 2 2 5" xfId="0"/>
    <cellStyle name="요약 2 2 6" xfId="0"/>
    <cellStyle name="요약 2 2 7" xfId="0"/>
    <cellStyle name="요약 2 2 8" xfId="0"/>
    <cellStyle name="요약 2 2 9" xfId="0"/>
    <cellStyle name="요약 2 3" xfId="0"/>
    <cellStyle name="요약 2 3 10" xfId="0"/>
    <cellStyle name="요약 2 3 2" xfId="0"/>
    <cellStyle name="요약 2 3 3" xfId="0"/>
    <cellStyle name="요약 2 3 4" xfId="0"/>
    <cellStyle name="요약 2 3 5" xfId="0"/>
    <cellStyle name="요약 2 3 6" xfId="0"/>
    <cellStyle name="요약 2 3 7" xfId="0"/>
    <cellStyle name="요약 2 3 8" xfId="0"/>
    <cellStyle name="요약 2 3 9" xfId="0"/>
    <cellStyle name="요약 2 4" xfId="0"/>
    <cellStyle name="요약 2 4 10" xfId="0"/>
    <cellStyle name="요약 2 4 2" xfId="0"/>
    <cellStyle name="요약 2 4 3" xfId="0"/>
    <cellStyle name="요약 2 4 4" xfId="0"/>
    <cellStyle name="요약 2 4 5" xfId="0"/>
    <cellStyle name="요약 2 4 6" xfId="0"/>
    <cellStyle name="요약 2 4 7" xfId="0"/>
    <cellStyle name="요약 2 4 8" xfId="0"/>
    <cellStyle name="요약 2 4 9" xfId="0"/>
    <cellStyle name="요약 2 5" xfId="0"/>
    <cellStyle name="요약 2 5 10" xfId="0"/>
    <cellStyle name="요약 2 5 2" xfId="0"/>
    <cellStyle name="요약 2 5 3" xfId="0"/>
    <cellStyle name="요약 2 5 4" xfId="0"/>
    <cellStyle name="요약 2 5 5" xfId="0"/>
    <cellStyle name="요약 2 5 6" xfId="0"/>
    <cellStyle name="요약 2 5 7" xfId="0"/>
    <cellStyle name="요약 2 5 8" xfId="0"/>
    <cellStyle name="요약 2 5 9" xfId="0"/>
    <cellStyle name="요약 2 6" xfId="0"/>
    <cellStyle name="요약 2 6 10" xfId="0"/>
    <cellStyle name="요약 2 6 2" xfId="0"/>
    <cellStyle name="요약 2 6 3" xfId="0"/>
    <cellStyle name="요약 2 6 4" xfId="0"/>
    <cellStyle name="요약 2 6 5" xfId="0"/>
    <cellStyle name="요약 2 6 6" xfId="0"/>
    <cellStyle name="요약 2 6 7" xfId="0"/>
    <cellStyle name="요약 2 6 8" xfId="0"/>
    <cellStyle name="요약 2 6 9" xfId="0"/>
    <cellStyle name="요약 2 7" xfId="0"/>
    <cellStyle name="요약 2 7 10" xfId="0"/>
    <cellStyle name="요약 2 7 2" xfId="0"/>
    <cellStyle name="요약 2 7 3" xfId="0"/>
    <cellStyle name="요약 2 7 4" xfId="0"/>
    <cellStyle name="요약 2 7 5" xfId="0"/>
    <cellStyle name="요약 2 7 6" xfId="0"/>
    <cellStyle name="요약 2 7 7" xfId="0"/>
    <cellStyle name="요약 2 7 8" xfId="0"/>
    <cellStyle name="요약 2 7 9" xfId="0"/>
    <cellStyle name="요약 2 8" xfId="0"/>
    <cellStyle name="요약 2 8 2" xfId="0"/>
    <cellStyle name="요약 2 9" xfId="0"/>
    <cellStyle name="요약 20" xfId="0"/>
    <cellStyle name="요약 21" xfId="0"/>
    <cellStyle name="요약 22" xfId="0"/>
    <cellStyle name="요약 23" xfId="0"/>
    <cellStyle name="요약 24" xfId="0"/>
    <cellStyle name="요약 25" xfId="0"/>
    <cellStyle name="요약 26" xfId="0"/>
    <cellStyle name="요약 27" xfId="0"/>
    <cellStyle name="요약 2_3300현금및예치금" xfId="0"/>
    <cellStyle name="요약 3" xfId="0"/>
    <cellStyle name="요약 3 10" xfId="0"/>
    <cellStyle name="요약 3 10 2" xfId="0"/>
    <cellStyle name="요약 3 11" xfId="0"/>
    <cellStyle name="요약 3 11 2" xfId="0"/>
    <cellStyle name="요약 3 12" xfId="0"/>
    <cellStyle name="요약 3 12 2" xfId="0"/>
    <cellStyle name="요약 3 13" xfId="0"/>
    <cellStyle name="요약 3 14" xfId="0"/>
    <cellStyle name="요약 3 15" xfId="0"/>
    <cellStyle name="요약 3 16" xfId="0"/>
    <cellStyle name="요약 3 17" xfId="0"/>
    <cellStyle name="요약 3 18" xfId="0"/>
    <cellStyle name="요약 3 19" xfId="0"/>
    <cellStyle name="요약 3 2" xfId="0"/>
    <cellStyle name="요약 3 2 2" xfId="0"/>
    <cellStyle name="요약 3 2 3" xfId="0"/>
    <cellStyle name="요약 3 20" xfId="0"/>
    <cellStyle name="요약 3 21" xfId="0"/>
    <cellStyle name="요약 3 3" xfId="0"/>
    <cellStyle name="요약 3 3 2" xfId="0"/>
    <cellStyle name="요약 3 3 3" xfId="0"/>
    <cellStyle name="요약 3 4" xfId="0"/>
    <cellStyle name="요약 3 4 2" xfId="0"/>
    <cellStyle name="요약 3 4 3" xfId="0"/>
    <cellStyle name="요약 3 5" xfId="0"/>
    <cellStyle name="요약 3 5 2" xfId="0"/>
    <cellStyle name="요약 3 5 3" xfId="0"/>
    <cellStyle name="요약 3 6" xfId="0"/>
    <cellStyle name="요약 3 6 2" xfId="0"/>
    <cellStyle name="요약 3 6 3" xfId="0"/>
    <cellStyle name="요약 3 7" xfId="0"/>
    <cellStyle name="요약 3 7 2" xfId="0"/>
    <cellStyle name="요약 3 7 3" xfId="0"/>
    <cellStyle name="요약 3 8" xfId="0"/>
    <cellStyle name="요약 3 8 2" xfId="0"/>
    <cellStyle name="요약 3 8 3" xfId="0"/>
    <cellStyle name="요약 3 9" xfId="0"/>
    <cellStyle name="요약 3 9 2" xfId="0"/>
    <cellStyle name="요약 3_운용자산별 손익분석" xfId="0"/>
    <cellStyle name="요약 4" xfId="0"/>
    <cellStyle name="요약 4 10" xfId="0"/>
    <cellStyle name="요약 4 11" xfId="0"/>
    <cellStyle name="요약 4 12" xfId="0"/>
    <cellStyle name="요약 4 13" xfId="0"/>
    <cellStyle name="요약 4 14" xfId="0"/>
    <cellStyle name="요약 4 15" xfId="0"/>
    <cellStyle name="요약 4 16" xfId="0"/>
    <cellStyle name="요약 4 17" xfId="0"/>
    <cellStyle name="요약 4 18" xfId="0"/>
    <cellStyle name="요약 4 19" xfId="0"/>
    <cellStyle name="요약 4 2" xfId="0"/>
    <cellStyle name="요약 4 2 10" xfId="0"/>
    <cellStyle name="요약 4 2 11" xfId="0"/>
    <cellStyle name="요약 4 2 2" xfId="0"/>
    <cellStyle name="요약 4 2 3" xfId="0"/>
    <cellStyle name="요약 4 2 4" xfId="0"/>
    <cellStyle name="요약 4 2 5" xfId="0"/>
    <cellStyle name="요약 4 2 6" xfId="0"/>
    <cellStyle name="요약 4 2 7" xfId="0"/>
    <cellStyle name="요약 4 2 8" xfId="0"/>
    <cellStyle name="요약 4 2 9" xfId="0"/>
    <cellStyle name="요약 4 20" xfId="0"/>
    <cellStyle name="요약 4 21" xfId="0"/>
    <cellStyle name="요약 4 22" xfId="0"/>
    <cellStyle name="요약 4 23" xfId="0"/>
    <cellStyle name="요약 4 3" xfId="0"/>
    <cellStyle name="요약 4 3 2" xfId="0"/>
    <cellStyle name="요약 4 4" xfId="0"/>
    <cellStyle name="요약 4 5" xfId="0"/>
    <cellStyle name="요약 4 6" xfId="0"/>
    <cellStyle name="요약 4 7" xfId="0"/>
    <cellStyle name="요약 4 8" xfId="0"/>
    <cellStyle name="요약 4 9" xfId="0"/>
    <cellStyle name="요약 4_운용자산별 손익분석" xfId="0"/>
    <cellStyle name="요약 5" xfId="0"/>
    <cellStyle name="요약 5 10" xfId="0"/>
    <cellStyle name="요약 5 11" xfId="0"/>
    <cellStyle name="요약 5 12" xfId="0"/>
    <cellStyle name="요약 5 13" xfId="0"/>
    <cellStyle name="요약 5 14" xfId="0"/>
    <cellStyle name="요약 5 15" xfId="0"/>
    <cellStyle name="요약 5 16" xfId="0"/>
    <cellStyle name="요약 5 17" xfId="0"/>
    <cellStyle name="요약 5 18" xfId="0"/>
    <cellStyle name="요약 5 19" xfId="0"/>
    <cellStyle name="요약 5 2" xfId="0"/>
    <cellStyle name="요약 5 2 2" xfId="0"/>
    <cellStyle name="요약 5 20" xfId="0"/>
    <cellStyle name="요약 5 21" xfId="0"/>
    <cellStyle name="요약 5 22" xfId="0"/>
    <cellStyle name="요약 5 23" xfId="0"/>
    <cellStyle name="요약 5 24" xfId="0"/>
    <cellStyle name="요약 5 25" xfId="0"/>
    <cellStyle name="요약 5 26" xfId="0"/>
    <cellStyle name="요약 5 27" xfId="0"/>
    <cellStyle name="요약 5 28" xfId="0"/>
    <cellStyle name="요약 5 29" xfId="0"/>
    <cellStyle name="요약 5 3" xfId="0"/>
    <cellStyle name="요약 5 3 2" xfId="0"/>
    <cellStyle name="요약 5 30" xfId="0"/>
    <cellStyle name="요약 5 31" xfId="0"/>
    <cellStyle name="요약 5 32" xfId="0"/>
    <cellStyle name="요약 5 33" xfId="0"/>
    <cellStyle name="요약 5 34" xfId="0"/>
    <cellStyle name="요약 5 4" xfId="0"/>
    <cellStyle name="요약 5 5" xfId="0"/>
    <cellStyle name="요약 5 6" xfId="0"/>
    <cellStyle name="요약 5 7" xfId="0"/>
    <cellStyle name="요약 5 8" xfId="0"/>
    <cellStyle name="요약 5 9" xfId="0"/>
    <cellStyle name="요약 6" xfId="0"/>
    <cellStyle name="요약 6 10" xfId="0"/>
    <cellStyle name="요약 6 11" xfId="0"/>
    <cellStyle name="요약 6 12" xfId="0"/>
    <cellStyle name="요약 6 13" xfId="0"/>
    <cellStyle name="요약 6 14" xfId="0"/>
    <cellStyle name="요약 6 15" xfId="0"/>
    <cellStyle name="요약 6 16" xfId="0"/>
    <cellStyle name="요약 6 17" xfId="0"/>
    <cellStyle name="요약 6 18" xfId="0"/>
    <cellStyle name="요약 6 19" xfId="0"/>
    <cellStyle name="요약 6 2" xfId="0"/>
    <cellStyle name="요약 6 2 2" xfId="0"/>
    <cellStyle name="요약 6 20" xfId="0"/>
    <cellStyle name="요약 6 21" xfId="0"/>
    <cellStyle name="요약 6 22" xfId="0"/>
    <cellStyle name="요약 6 23" xfId="0"/>
    <cellStyle name="요약 6 24" xfId="0"/>
    <cellStyle name="요약 6 25" xfId="0"/>
    <cellStyle name="요약 6 26" xfId="0"/>
    <cellStyle name="요약 6 27" xfId="0"/>
    <cellStyle name="요약 6 28" xfId="0"/>
    <cellStyle name="요약 6 29" xfId="0"/>
    <cellStyle name="요약 6 3" xfId="0"/>
    <cellStyle name="요약 6 3 2" xfId="0"/>
    <cellStyle name="요약 6 30" xfId="0"/>
    <cellStyle name="요약 6 4" xfId="0"/>
    <cellStyle name="요약 6 5" xfId="0"/>
    <cellStyle name="요약 6 6" xfId="0"/>
    <cellStyle name="요약 6 7" xfId="0"/>
    <cellStyle name="요약 6 8" xfId="0"/>
    <cellStyle name="요약 6 9" xfId="0"/>
    <cellStyle name="요약 7" xfId="0"/>
    <cellStyle name="요약 7 10" xfId="0"/>
    <cellStyle name="요약 7 11" xfId="0"/>
    <cellStyle name="요약 7 12" xfId="0"/>
    <cellStyle name="요약 7 13" xfId="0"/>
    <cellStyle name="요약 7 14" xfId="0"/>
    <cellStyle name="요약 7 2" xfId="0"/>
    <cellStyle name="요약 7 2 2" xfId="0"/>
    <cellStyle name="요약 7 3" xfId="0"/>
    <cellStyle name="요약 7 3 2" xfId="0"/>
    <cellStyle name="요약 7 4" xfId="0"/>
    <cellStyle name="요약 7 4 2" xfId="0"/>
    <cellStyle name="요약 7 5" xfId="0"/>
    <cellStyle name="요약 7 5 2" xfId="0"/>
    <cellStyle name="요약 7 6" xfId="0"/>
    <cellStyle name="요약 7 6 2" xfId="0"/>
    <cellStyle name="요약 7 7" xfId="0"/>
    <cellStyle name="요약 7 8" xfId="0"/>
    <cellStyle name="요약 7 9" xfId="0"/>
    <cellStyle name="요약 8" xfId="0"/>
    <cellStyle name="요약 8 10" xfId="0"/>
    <cellStyle name="요약 8 11" xfId="0"/>
    <cellStyle name="요약 8 12" xfId="0"/>
    <cellStyle name="요약 8 13" xfId="0"/>
    <cellStyle name="요약 8 2" xfId="0"/>
    <cellStyle name="요약 8 2 2" xfId="0"/>
    <cellStyle name="요약 8 3" xfId="0"/>
    <cellStyle name="요약 8 3 2" xfId="0"/>
    <cellStyle name="요약 8 4" xfId="0"/>
    <cellStyle name="요약 8 4 2" xfId="0"/>
    <cellStyle name="요약 8 5" xfId="0"/>
    <cellStyle name="요약 8 5 2" xfId="0"/>
    <cellStyle name="요약 8 6" xfId="0"/>
    <cellStyle name="요약 8 6 2" xfId="0"/>
    <cellStyle name="요약 8 7" xfId="0"/>
    <cellStyle name="요약 8 8" xfId="0"/>
    <cellStyle name="요약 8 9" xfId="0"/>
    <cellStyle name="요약 9" xfId="0"/>
    <cellStyle name="요약 9 10" xfId="0"/>
    <cellStyle name="요약 9 11" xfId="0"/>
    <cellStyle name="요약 9 12" xfId="0"/>
    <cellStyle name="요약 9 13" xfId="0"/>
    <cellStyle name="요약 9 2" xfId="0"/>
    <cellStyle name="요약 9 2 2" xfId="0"/>
    <cellStyle name="요약 9 3" xfId="0"/>
    <cellStyle name="요약 9 3 2" xfId="0"/>
    <cellStyle name="요약 9 4" xfId="0"/>
    <cellStyle name="요약 9 4 2" xfId="0"/>
    <cellStyle name="요약 9 5" xfId="0"/>
    <cellStyle name="요약 9 5 2" xfId="0"/>
    <cellStyle name="요약 9 6" xfId="0"/>
    <cellStyle name="요약 9 6 2" xfId="0"/>
    <cellStyle name="요약 9 7" xfId="0"/>
    <cellStyle name="요약 9 8" xfId="0"/>
    <cellStyle name="요약 9 9" xfId="0"/>
    <cellStyle name="원" xfId="0"/>
    <cellStyle name="원_02-04년 계약현황" xfId="0"/>
    <cellStyle name="원_02대여금" xfId="0"/>
    <cellStyle name="원_02투자" xfId="0"/>
    <cellStyle name="원_02투자및대여금종합" xfId="0"/>
    <cellStyle name="원_0304분석-1" xfId="0"/>
    <cellStyle name="원_04,05년인원변동내역" xfId="0"/>
    <cellStyle name="원_04년원가손익표(영업관리)확정-권역별" xfId="0"/>
    <cellStyle name="원_04년인센티브(안)건설" xfId="0"/>
    <cellStyle name="원_05년용역사인센티브지급안" xfId="0"/>
    <cellStyle name="원_06하반기업무보고회의년혼화제부문운영(안)" xfId="0"/>
    <cellStyle name="원_1%인상재원(ss용역사)" xfId="0"/>
    <cellStyle name="원_2003기본자료" xfId="0"/>
    <cellStyle name="원_2003년 승진심사명부" xfId="0"/>
    <cellStyle name="원_2003년 승진심사명부(대리이하)" xfId="0"/>
    <cellStyle name="원_2003년 승진심사명부(차장,과장)" xfId="0"/>
    <cellStyle name="원_2003년02월 공장장회의" xfId="0"/>
    <cellStyle name="원_2004.2 한용전체보고최종안-공장배치도" xfId="0"/>
    <cellStyle name="원_2004.2. TOP순회공장현황" xfId="0"/>
    <cellStyle name="원_20040222승진시 추가부담액(2004.2.22)" xfId="0"/>
    <cellStyle name="원_2004기본자료." xfId="0"/>
    <cellStyle name="원_2004년 승진심사명부" xfId="0"/>
    <cellStyle name="원_2004업무보고(04.07)" xfId="0"/>
    <cellStyle name="원_20050220 건재직급판단자료(급여) (version 2)" xfId="0"/>
    <cellStyle name="원_20050225 건재직급(안)" xfId="0"/>
    <cellStyle name="원_20050521  2005년 승진대상자 심사명부" xfId="0"/>
    <cellStyle name="원_20050606메이저인건비" xfId="0"/>
    <cellStyle name="원_20050606메이저인건비(이관자승진가액)" xfId="0"/>
    <cellStyle name="원_2005년추석상여재원" xfId="0"/>
    <cellStyle name="원_20061231 퇴직금추계(20060210 투사부요청 추정)" xfId="0"/>
    <cellStyle name="원_2006년노무비집계(호봉승급포함)" xfId="0"/>
    <cellStyle name="원_2006년호봉승급" xfId="0"/>
    <cellStyle name="원_20080114  공장별TO" xfId="0"/>
    <cellStyle name="원_5,6월 추정" xfId="0"/>
    <cellStyle name="원_Book1" xfId="0"/>
    <cellStyle name="원_Book3 (version 1)" xfId="0"/>
    <cellStyle name="원_Book5" xfId="0"/>
    <cellStyle name="원_CF" xfId="0"/>
    <cellStyle name="원_NCF6BB2F" xfId="0"/>
    <cellStyle name="원_NCF6BB2F_0304분석-1" xfId="0"/>
    <cellStyle name="원_NCF6BB2F_5,6월 추정" xfId="0"/>
    <cellStyle name="원_NCF6BB2F_5,6월 추정_유형자산증감명세서(for refer)" xfId="0"/>
    <cellStyle name="원_NCF6BB2F_CF" xfId="0"/>
    <cellStyle name="원_NCF6BB2F_월차보고서(04_04)" xfId="0"/>
    <cellStyle name="원_NCF6BB2F_월차보고서(04_04)_유형자산증감명세서(for refer)" xfId="0"/>
    <cellStyle name="원_NCF6BB2F_현금흐름표0305" xfId="0"/>
    <cellStyle name="원_~0031994" xfId="0"/>
    <cellStyle name="원_~0059044" xfId="0"/>
    <cellStyle name="원_~0064755" xfId="0"/>
    <cellStyle name="원_건재사연도별차입금현황" xfId="0"/>
    <cellStyle name="원_건재사인사명부(공장장이상-0408)" xfId="0"/>
    <cellStyle name="원_건재사임원임금현황" xfId="0"/>
    <cellStyle name="원_건재사직무별임금현황(0405현재)" xfId="0"/>
    <cellStyle name="원_건재인사명부(권역별-집계)" xfId="0"/>
    <cellStyle name="원_건재인사명부(권역별-집계)(040223)" xfId="0"/>
    <cellStyle name="원_건재인사명부(권역별팀장)(041001)" xfId="0"/>
    <cellStyle name="원_건재인사명부-중부전남-원본" xfId="0"/>
    <cellStyle name="원_건재임금현황집계(0402현재)" xfId="0"/>
    <cellStyle name="원_건재조직도(0402)" xfId="0"/>
    <cellStyle name="원_건재조직도(0408)" xfId="0"/>
    <cellStyle name="원_노무지집계(상여기준 등)20050908" xfId="0"/>
    <cellStyle name="원_메이저노무비(050823)" xfId="0"/>
    <cellStyle name="원_보고자료양식" xfId="0"/>
    <cellStyle name="원_부실채권현황05.01월" xfId="0"/>
    <cellStyle name="원_상반기 업무보고 자료(임경연과장 송부2)" xfId="0"/>
    <cellStyle name="원_손익분석" xfId="0"/>
    <cellStyle name="원_승진시 추가부담액(2004.2.22)" xfId="0"/>
    <cellStyle name="원_신명부2003년1월1일자" xfId="0"/>
    <cellStyle name="원_업무보고(박종만전무)0606" xfId="0"/>
    <cellStyle name="원_업무보고회의자료(4월노영인사장님방문1) (version 2)" xfId="0"/>
    <cellStyle name="원_영업부업무보고(대전계룡)" xfId="0"/>
    <cellStyle name="원_예산분석" xfId="0"/>
    <cellStyle name="원_원가손익05년실적(대전)" xfId="0"/>
    <cellStyle name="원_월차보고서(04_04)" xfId="0"/>
    <cellStyle name="원_익산손익수정." xfId="0"/>
    <cellStyle name="원_인계인수자금" xfId="0"/>
    <cellStyle name="원_인사명부-건재" xfId="0"/>
    <cellStyle name="원_인사조정-최종" xfId="0"/>
    <cellStyle name="원_인센티브-검토안" xfId="0"/>
    <cellStyle name="원_인센티브예상" xfId="0"/>
    <cellStyle name="원_인원구성비" xfId="0"/>
    <cellStyle name="원_인원현황" xfId="0"/>
    <cellStyle name="원_인원현황(0404)-영동권수신" xfId="0"/>
    <cellStyle name="원_인원현황(0408)-영동권수신" xfId="0"/>
    <cellStyle name="원_임원회의-보고완료(3월4)" xfId="0"/>
    <cellStyle name="원_조직-인원현황-0301" xfId="0"/>
    <cellStyle name="원_중부권" xfId="0"/>
    <cellStyle name="원_직급별 인사명부 최종분(03.6.10)" xfId="0"/>
    <cellStyle name="원_직급별 인사명부 최종분1(04.02.01)" xfId="0"/>
    <cellStyle name="원_직급별연봉(20060101)" xfId="0"/>
    <cellStyle name="원_직원명부" xfId="0"/>
    <cellStyle name="원_청주손익." xfId="0"/>
    <cellStyle name="원_태풍대책" xfId="0"/>
    <cellStyle name="원_태풍대책_02-03비교" xfId="0"/>
    <cellStyle name="원_태풍대책_2003.12계획" xfId="0"/>
    <cellStyle name="원_태풍대책_수급03-3월" xfId="0"/>
    <cellStyle name="원_태풍대책_수급03-3월_2003.12계획" xfId="0"/>
    <cellStyle name="원_태풍대책_수정목표" xfId="0"/>
    <cellStyle name="원_태풍대책_판매계획-정리분" xfId="0"/>
    <cellStyle name="원_태풍대책_판매계획-정리분_2003.12계획" xfId="0"/>
    <cellStyle name="원_태풍대책_판매계획분석" xfId="0"/>
    <cellStyle name="원_태풍대책_판매계획분석_2003.12계획" xfId="0"/>
    <cellStyle name="원_태풍대책_판매수정목표(안)030321" xfId="0"/>
    <cellStyle name="원_특수원가손익(200601당월발송)수신" xfId="0"/>
    <cellStyle name="원_품의-건자회" xfId="0"/>
    <cellStyle name="원_플랜트팀백자료(200602발송)" xfId="0"/>
    <cellStyle name="원_플랜트팀백자료(200606추정수신)김성철" xfId="0"/>
    <cellStyle name="원_한강노무비(100%)남환통보" xfId="0"/>
    <cellStyle name="원_합계" xfId="0"/>
    <cellStyle name="원_합병급여테이블(안)" xfId="0"/>
    <cellStyle name="원_현금흐름표0305" xfId="0"/>
    <cellStyle name="원_협조-인원조정-04-15" xfId="0"/>
    <cellStyle name="원_혼화제누계1-6월" xfId="0"/>
    <cellStyle name="원_혼화제원가손익(하반기추정수신530)" xfId="0"/>
    <cellStyle name="원_환경1팀수주최종본" xfId="0"/>
    <cellStyle name="원통화" xfId="0"/>
    <cellStyle name="원화" xfId="0"/>
    <cellStyle name="월당월 (2)" xfId="0"/>
    <cellStyle name="유입" xfId="0"/>
    <cellStyle name="이연사업비" xfId="0"/>
    <cellStyle name="일반" xfId="0"/>
    <cellStyle name="일반숫자" xfId="0"/>
    <cellStyle name="일자" xfId="0"/>
    <cellStyle name="입력 10" xfId="0"/>
    <cellStyle name="입력 10 2" xfId="0"/>
    <cellStyle name="입력 10 2 2" xfId="0"/>
    <cellStyle name="입력 10 3" xfId="0"/>
    <cellStyle name="입력 10 3 2" xfId="0"/>
    <cellStyle name="입력 10 4" xfId="0"/>
    <cellStyle name="입력 10 4 2" xfId="0"/>
    <cellStyle name="입력 10 5" xfId="0"/>
    <cellStyle name="입력 10 6" xfId="0"/>
    <cellStyle name="입력 10 7" xfId="0"/>
    <cellStyle name="입력 11" xfId="0"/>
    <cellStyle name="입력 11 2" xfId="0"/>
    <cellStyle name="입력 11 2 2" xfId="0"/>
    <cellStyle name="입력 11 3" xfId="0"/>
    <cellStyle name="입력 11 3 2" xfId="0"/>
    <cellStyle name="입력 11 4" xfId="0"/>
    <cellStyle name="입력 11 4 2" xfId="0"/>
    <cellStyle name="입력 11 5" xfId="0"/>
    <cellStyle name="입력 11 6" xfId="0"/>
    <cellStyle name="입력 11 7" xfId="0"/>
    <cellStyle name="입력 12" xfId="0"/>
    <cellStyle name="입력 12 2" xfId="0"/>
    <cellStyle name="입력 12 3" xfId="0"/>
    <cellStyle name="입력 12 4" xfId="0"/>
    <cellStyle name="입력 12 5" xfId="0"/>
    <cellStyle name="입력 13" xfId="0"/>
    <cellStyle name="입력 13 2" xfId="0"/>
    <cellStyle name="입력 13 3" xfId="0"/>
    <cellStyle name="입력 13 4" xfId="0"/>
    <cellStyle name="입력 13 5" xfId="0"/>
    <cellStyle name="입력 14" xfId="0"/>
    <cellStyle name="입력 14 2" xfId="0"/>
    <cellStyle name="입력 14 3" xfId="0"/>
    <cellStyle name="입력 15" xfId="0"/>
    <cellStyle name="입력 15 2" xfId="0"/>
    <cellStyle name="입력 16" xfId="0"/>
    <cellStyle name="입력 16 2" xfId="0"/>
    <cellStyle name="입력 17" xfId="0"/>
    <cellStyle name="입력 17 2" xfId="0"/>
    <cellStyle name="입력 18" xfId="0"/>
    <cellStyle name="입력 19" xfId="0"/>
    <cellStyle name="입력 2" xfId="0"/>
    <cellStyle name="입력 2 10" xfId="0"/>
    <cellStyle name="입력 2 11" xfId="0"/>
    <cellStyle name="입력 2 12" xfId="0"/>
    <cellStyle name="입력 2 13" xfId="0"/>
    <cellStyle name="입력 2 14" xfId="0"/>
    <cellStyle name="입력 2 15" xfId="0"/>
    <cellStyle name="입력 2 16" xfId="0"/>
    <cellStyle name="입력 2 17" xfId="0"/>
    <cellStyle name="입력 2 2" xfId="0"/>
    <cellStyle name="입력 2 2 10" xfId="0"/>
    <cellStyle name="입력 2 2 2" xfId="0"/>
    <cellStyle name="입력 2 2 3" xfId="0"/>
    <cellStyle name="입력 2 2 4" xfId="0"/>
    <cellStyle name="입력 2 2 5" xfId="0"/>
    <cellStyle name="입력 2 2 6" xfId="0"/>
    <cellStyle name="입력 2 2 7" xfId="0"/>
    <cellStyle name="입력 2 2 8" xfId="0"/>
    <cellStyle name="입력 2 2 9" xfId="0"/>
    <cellStyle name="입력 2 3" xfId="0"/>
    <cellStyle name="입력 2 3 10" xfId="0"/>
    <cellStyle name="입력 2 3 2" xfId="0"/>
    <cellStyle name="입력 2 3 3" xfId="0"/>
    <cellStyle name="입력 2 3 4" xfId="0"/>
    <cellStyle name="입력 2 3 5" xfId="0"/>
    <cellStyle name="입력 2 3 6" xfId="0"/>
    <cellStyle name="입력 2 3 7" xfId="0"/>
    <cellStyle name="입력 2 3 8" xfId="0"/>
    <cellStyle name="입력 2 3 9" xfId="0"/>
    <cellStyle name="입력 2 4" xfId="0"/>
    <cellStyle name="입력 2 4 10" xfId="0"/>
    <cellStyle name="입력 2 4 2" xfId="0"/>
    <cellStyle name="입력 2 4 3" xfId="0"/>
    <cellStyle name="입력 2 4 4" xfId="0"/>
    <cellStyle name="입력 2 4 5" xfId="0"/>
    <cellStyle name="입력 2 4 6" xfId="0"/>
    <cellStyle name="입력 2 4 7" xfId="0"/>
    <cellStyle name="입력 2 4 8" xfId="0"/>
    <cellStyle name="입력 2 4 9" xfId="0"/>
    <cellStyle name="입력 2 5" xfId="0"/>
    <cellStyle name="입력 2 5 10" xfId="0"/>
    <cellStyle name="입력 2 5 2" xfId="0"/>
    <cellStyle name="입력 2 5 3" xfId="0"/>
    <cellStyle name="입력 2 5 4" xfId="0"/>
    <cellStyle name="입력 2 5 5" xfId="0"/>
    <cellStyle name="입력 2 5 6" xfId="0"/>
    <cellStyle name="입력 2 5 7" xfId="0"/>
    <cellStyle name="입력 2 5 8" xfId="0"/>
    <cellStyle name="입력 2 5 9" xfId="0"/>
    <cellStyle name="입력 2 6" xfId="0"/>
    <cellStyle name="입력 2 6 10" xfId="0"/>
    <cellStyle name="입력 2 6 2" xfId="0"/>
    <cellStyle name="입력 2 6 3" xfId="0"/>
    <cellStyle name="입력 2 6 4" xfId="0"/>
    <cellStyle name="입력 2 6 5" xfId="0"/>
    <cellStyle name="입력 2 6 6" xfId="0"/>
    <cellStyle name="입력 2 6 7" xfId="0"/>
    <cellStyle name="입력 2 6 8" xfId="0"/>
    <cellStyle name="입력 2 6 9" xfId="0"/>
    <cellStyle name="입력 2 7" xfId="0"/>
    <cellStyle name="입력 2 7 10" xfId="0"/>
    <cellStyle name="입력 2 7 2" xfId="0"/>
    <cellStyle name="입력 2 7 3" xfId="0"/>
    <cellStyle name="입력 2 7 4" xfId="0"/>
    <cellStyle name="입력 2 7 5" xfId="0"/>
    <cellStyle name="입력 2 7 6" xfId="0"/>
    <cellStyle name="입력 2 7 7" xfId="0"/>
    <cellStyle name="입력 2 7 8" xfId="0"/>
    <cellStyle name="입력 2 7 9" xfId="0"/>
    <cellStyle name="입력 2 8" xfId="0"/>
    <cellStyle name="입력 2 8 2" xfId="0"/>
    <cellStyle name="입력 2 9" xfId="0"/>
    <cellStyle name="입력 20" xfId="0"/>
    <cellStyle name="입력 21" xfId="0"/>
    <cellStyle name="입력 22" xfId="0"/>
    <cellStyle name="입력 23" xfId="0"/>
    <cellStyle name="입력 24" xfId="0"/>
    <cellStyle name="입력 25" xfId="0"/>
    <cellStyle name="입력 26" xfId="0"/>
    <cellStyle name="입력 27" xfId="0"/>
    <cellStyle name="입력 2_3300현금및예치금" xfId="0"/>
    <cellStyle name="입력 3" xfId="0"/>
    <cellStyle name="입력 3 10" xfId="0"/>
    <cellStyle name="입력 3 10 2" xfId="0"/>
    <cellStyle name="입력 3 11" xfId="0"/>
    <cellStyle name="입력 3 11 2" xfId="0"/>
    <cellStyle name="입력 3 12" xfId="0"/>
    <cellStyle name="입력 3 12 2" xfId="0"/>
    <cellStyle name="입력 3 13" xfId="0"/>
    <cellStyle name="입력 3 14" xfId="0"/>
    <cellStyle name="입력 3 15" xfId="0"/>
    <cellStyle name="입력 3 16" xfId="0"/>
    <cellStyle name="입력 3 17" xfId="0"/>
    <cellStyle name="입력 3 18" xfId="0"/>
    <cellStyle name="입력 3 19" xfId="0"/>
    <cellStyle name="입력 3 2" xfId="0"/>
    <cellStyle name="입력 3 2 2" xfId="0"/>
    <cellStyle name="입력 3 2 3" xfId="0"/>
    <cellStyle name="입력 3 20" xfId="0"/>
    <cellStyle name="입력 3 21" xfId="0"/>
    <cellStyle name="입력 3 3" xfId="0"/>
    <cellStyle name="입력 3 3 2" xfId="0"/>
    <cellStyle name="입력 3 3 3" xfId="0"/>
    <cellStyle name="입력 3 4" xfId="0"/>
    <cellStyle name="입력 3 4 2" xfId="0"/>
    <cellStyle name="입력 3 4 3" xfId="0"/>
    <cellStyle name="입력 3 5" xfId="0"/>
    <cellStyle name="입력 3 5 2" xfId="0"/>
    <cellStyle name="입력 3 5 3" xfId="0"/>
    <cellStyle name="입력 3 6" xfId="0"/>
    <cellStyle name="입력 3 6 2" xfId="0"/>
    <cellStyle name="입력 3 6 3" xfId="0"/>
    <cellStyle name="입력 3 7" xfId="0"/>
    <cellStyle name="입력 3 7 2" xfId="0"/>
    <cellStyle name="입력 3 7 3" xfId="0"/>
    <cellStyle name="입력 3 8" xfId="0"/>
    <cellStyle name="입력 3 8 2" xfId="0"/>
    <cellStyle name="입력 3 8 3" xfId="0"/>
    <cellStyle name="입력 3 9" xfId="0"/>
    <cellStyle name="입력 3 9 2" xfId="0"/>
    <cellStyle name="입력 3_운용자산별 손익분석" xfId="0"/>
    <cellStyle name="입력 4" xfId="0"/>
    <cellStyle name="입력 4 10" xfId="0"/>
    <cellStyle name="입력 4 11" xfId="0"/>
    <cellStyle name="입력 4 12" xfId="0"/>
    <cellStyle name="입력 4 13" xfId="0"/>
    <cellStyle name="입력 4 14" xfId="0"/>
    <cellStyle name="입력 4 15" xfId="0"/>
    <cellStyle name="입력 4 16" xfId="0"/>
    <cellStyle name="입력 4 17" xfId="0"/>
    <cellStyle name="입력 4 18" xfId="0"/>
    <cellStyle name="입력 4 19" xfId="0"/>
    <cellStyle name="입력 4 2" xfId="0"/>
    <cellStyle name="입력 4 2 10" xfId="0"/>
    <cellStyle name="입력 4 2 11" xfId="0"/>
    <cellStyle name="입력 4 2 2" xfId="0"/>
    <cellStyle name="입력 4 2 3" xfId="0"/>
    <cellStyle name="입력 4 2 4" xfId="0"/>
    <cellStyle name="입력 4 2 5" xfId="0"/>
    <cellStyle name="입력 4 2 6" xfId="0"/>
    <cellStyle name="입력 4 2 7" xfId="0"/>
    <cellStyle name="입력 4 2 8" xfId="0"/>
    <cellStyle name="입력 4 2 9" xfId="0"/>
    <cellStyle name="입력 4 20" xfId="0"/>
    <cellStyle name="입력 4 21" xfId="0"/>
    <cellStyle name="입력 4 22" xfId="0"/>
    <cellStyle name="입력 4 23" xfId="0"/>
    <cellStyle name="입력 4 24" xfId="0"/>
    <cellStyle name="입력 4 3" xfId="0"/>
    <cellStyle name="입력 4 4" xfId="0"/>
    <cellStyle name="입력 4 5" xfId="0"/>
    <cellStyle name="입력 4 6" xfId="0"/>
    <cellStyle name="입력 4 7" xfId="0"/>
    <cellStyle name="입력 4 8" xfId="0"/>
    <cellStyle name="입력 4 9" xfId="0"/>
    <cellStyle name="입력 4_운용자산별 손익분석" xfId="0"/>
    <cellStyle name="입력 5" xfId="0"/>
    <cellStyle name="입력 5 10" xfId="0"/>
    <cellStyle name="입력 5 11" xfId="0"/>
    <cellStyle name="입력 5 12" xfId="0"/>
    <cellStyle name="입력 5 13" xfId="0"/>
    <cellStyle name="입력 5 14" xfId="0"/>
    <cellStyle name="입력 5 15" xfId="0"/>
    <cellStyle name="입력 5 16" xfId="0"/>
    <cellStyle name="입력 5 17" xfId="0"/>
    <cellStyle name="입력 5 18" xfId="0"/>
    <cellStyle name="입력 5 19" xfId="0"/>
    <cellStyle name="입력 5 2" xfId="0"/>
    <cellStyle name="입력 5 20" xfId="0"/>
    <cellStyle name="입력 5 21" xfId="0"/>
    <cellStyle name="입력 5 22" xfId="0"/>
    <cellStyle name="입력 5 23" xfId="0"/>
    <cellStyle name="입력 5 24" xfId="0"/>
    <cellStyle name="입력 5 25" xfId="0"/>
    <cellStyle name="입력 5 26" xfId="0"/>
    <cellStyle name="입력 5 27" xfId="0"/>
    <cellStyle name="입력 5 28" xfId="0"/>
    <cellStyle name="입력 5 29" xfId="0"/>
    <cellStyle name="입력 5 3" xfId="0"/>
    <cellStyle name="입력 5 30" xfId="0"/>
    <cellStyle name="입력 5 31" xfId="0"/>
    <cellStyle name="입력 5 32" xfId="0"/>
    <cellStyle name="입력 5 33" xfId="0"/>
    <cellStyle name="입력 5 34" xfId="0"/>
    <cellStyle name="입력 5 35" xfId="0"/>
    <cellStyle name="입력 5 4" xfId="0"/>
    <cellStyle name="입력 5 5" xfId="0"/>
    <cellStyle name="입력 5 6" xfId="0"/>
    <cellStyle name="입력 5 7" xfId="0"/>
    <cellStyle name="입력 5 8" xfId="0"/>
    <cellStyle name="입력 5 9" xfId="0"/>
    <cellStyle name="입력 6" xfId="0"/>
    <cellStyle name="입력 6 10" xfId="0"/>
    <cellStyle name="입력 6 11" xfId="0"/>
    <cellStyle name="입력 6 12" xfId="0"/>
    <cellStyle name="입력 6 13" xfId="0"/>
    <cellStyle name="입력 6 14" xfId="0"/>
    <cellStyle name="입력 6 15" xfId="0"/>
    <cellStyle name="입력 6 16" xfId="0"/>
    <cellStyle name="입력 6 17" xfId="0"/>
    <cellStyle name="입력 6 18" xfId="0"/>
    <cellStyle name="입력 6 19" xfId="0"/>
    <cellStyle name="입력 6 2" xfId="0"/>
    <cellStyle name="입력 6 20" xfId="0"/>
    <cellStyle name="입력 6 21" xfId="0"/>
    <cellStyle name="입력 6 22" xfId="0"/>
    <cellStyle name="입력 6 23" xfId="0"/>
    <cellStyle name="입력 6 24" xfId="0"/>
    <cellStyle name="입력 6 25" xfId="0"/>
    <cellStyle name="입력 6 26" xfId="0"/>
    <cellStyle name="입력 6 27" xfId="0"/>
    <cellStyle name="입력 6 28" xfId="0"/>
    <cellStyle name="입력 6 29" xfId="0"/>
    <cellStyle name="입력 6 3" xfId="0"/>
    <cellStyle name="입력 6 30" xfId="0"/>
    <cellStyle name="입력 6 31" xfId="0"/>
    <cellStyle name="입력 6 4" xfId="0"/>
    <cellStyle name="입력 6 5" xfId="0"/>
    <cellStyle name="입력 6 6" xfId="0"/>
    <cellStyle name="입력 6 7" xfId="0"/>
    <cellStyle name="입력 6 8" xfId="0"/>
    <cellStyle name="입력 6 9" xfId="0"/>
    <cellStyle name="입력 7" xfId="0"/>
    <cellStyle name="입력 7 10" xfId="0"/>
    <cellStyle name="입력 7 11" xfId="0"/>
    <cellStyle name="입력 7 12" xfId="0"/>
    <cellStyle name="입력 7 13" xfId="0"/>
    <cellStyle name="입력 7 14" xfId="0"/>
    <cellStyle name="입력 7 15" xfId="0"/>
    <cellStyle name="입력 7 2" xfId="0"/>
    <cellStyle name="입력 7 2 2" xfId="0"/>
    <cellStyle name="입력 7 3" xfId="0"/>
    <cellStyle name="입력 7 3 2" xfId="0"/>
    <cellStyle name="입력 7 4" xfId="0"/>
    <cellStyle name="입력 7 4 2" xfId="0"/>
    <cellStyle name="입력 7 5" xfId="0"/>
    <cellStyle name="입력 7 5 2" xfId="0"/>
    <cellStyle name="입력 7 6" xfId="0"/>
    <cellStyle name="입력 7 6 2" xfId="0"/>
    <cellStyle name="입력 7 7" xfId="0"/>
    <cellStyle name="입력 7 8" xfId="0"/>
    <cellStyle name="입력 7 9" xfId="0"/>
    <cellStyle name="입력 8" xfId="0"/>
    <cellStyle name="입력 8 10" xfId="0"/>
    <cellStyle name="입력 8 11" xfId="0"/>
    <cellStyle name="입력 8 12" xfId="0"/>
    <cellStyle name="입력 8 13" xfId="0"/>
    <cellStyle name="입력 8 14" xfId="0"/>
    <cellStyle name="입력 8 2" xfId="0"/>
    <cellStyle name="입력 8 2 2" xfId="0"/>
    <cellStyle name="입력 8 3" xfId="0"/>
    <cellStyle name="입력 8 3 2" xfId="0"/>
    <cellStyle name="입력 8 4" xfId="0"/>
    <cellStyle name="입력 8 4 2" xfId="0"/>
    <cellStyle name="입력 8 5" xfId="0"/>
    <cellStyle name="입력 8 5 2" xfId="0"/>
    <cellStyle name="입력 8 6" xfId="0"/>
    <cellStyle name="입력 8 6 2" xfId="0"/>
    <cellStyle name="입력 8 7" xfId="0"/>
    <cellStyle name="입력 8 8" xfId="0"/>
    <cellStyle name="입력 8 9" xfId="0"/>
    <cellStyle name="입력 9" xfId="0"/>
    <cellStyle name="입력 9 10" xfId="0"/>
    <cellStyle name="입력 9 11" xfId="0"/>
    <cellStyle name="입력 9 12" xfId="0"/>
    <cellStyle name="입력 9 13" xfId="0"/>
    <cellStyle name="입력 9 14" xfId="0"/>
    <cellStyle name="입력 9 2" xfId="0"/>
    <cellStyle name="입력 9 2 2" xfId="0"/>
    <cellStyle name="입력 9 3" xfId="0"/>
    <cellStyle name="입력 9 3 2" xfId="0"/>
    <cellStyle name="입력 9 4" xfId="0"/>
    <cellStyle name="입력 9 4 2" xfId="0"/>
    <cellStyle name="입력 9 5" xfId="0"/>
    <cellStyle name="입력 9 5 2" xfId="0"/>
    <cellStyle name="입력 9 6" xfId="0"/>
    <cellStyle name="입력 9 6 2" xfId="0"/>
    <cellStyle name="입력 9 7" xfId="0"/>
    <cellStyle name="입력 9 8" xfId="0"/>
    <cellStyle name="입력 9 9" xfId="0"/>
    <cellStyle name="자리수" xfId="0"/>
    <cellStyle name="자리수 2" xfId="0"/>
    <cellStyle name="자리수0" xfId="0"/>
    <cellStyle name="자리수0 2" xfId="0"/>
    <cellStyle name="장-품경" xfId="0"/>
    <cellStyle name="제목 1 10" xfId="0"/>
    <cellStyle name="제목 1 10 2" xfId="0"/>
    <cellStyle name="제목 1 10 2 2" xfId="0"/>
    <cellStyle name="제목 1 10 3" xfId="0"/>
    <cellStyle name="제목 1 10 3 2" xfId="0"/>
    <cellStyle name="제목 1 10 4" xfId="0"/>
    <cellStyle name="제목 1 10 4 2" xfId="0"/>
    <cellStyle name="제목 1 10 5" xfId="0"/>
    <cellStyle name="제목 1 10 6" xfId="0"/>
    <cellStyle name="제목 1 10 7" xfId="0"/>
    <cellStyle name="제목 1 11" xfId="0"/>
    <cellStyle name="제목 1 11 2" xfId="0"/>
    <cellStyle name="제목 1 11 2 2" xfId="0"/>
    <cellStyle name="제목 1 11 3" xfId="0"/>
    <cellStyle name="제목 1 11 3 2" xfId="0"/>
    <cellStyle name="제목 1 11 4" xfId="0"/>
    <cellStyle name="제목 1 11 4 2" xfId="0"/>
    <cellStyle name="제목 1 11 5" xfId="0"/>
    <cellStyle name="제목 1 11 6" xfId="0"/>
    <cellStyle name="제목 1 11 7" xfId="0"/>
    <cellStyle name="제목 1 12" xfId="0"/>
    <cellStyle name="제목 1 12 2" xfId="0"/>
    <cellStyle name="제목 1 12 3" xfId="0"/>
    <cellStyle name="제목 1 12 4" xfId="0"/>
    <cellStyle name="제목 1 12 5" xfId="0"/>
    <cellStyle name="제목 1 13" xfId="0"/>
    <cellStyle name="제목 1 13 2" xfId="0"/>
    <cellStyle name="제목 1 13 3" xfId="0"/>
    <cellStyle name="제목 1 13 4" xfId="0"/>
    <cellStyle name="제목 1 13 5" xfId="0"/>
    <cellStyle name="제목 1 14" xfId="0"/>
    <cellStyle name="제목 1 14 2" xfId="0"/>
    <cellStyle name="제목 1 14 3" xfId="0"/>
    <cellStyle name="제목 1 15" xfId="0"/>
    <cellStyle name="제목 1 15 2" xfId="0"/>
    <cellStyle name="제목 1 16" xfId="0"/>
    <cellStyle name="제목 1 16 2" xfId="0"/>
    <cellStyle name="제목 1 17" xfId="0"/>
    <cellStyle name="제목 1 17 2" xfId="0"/>
    <cellStyle name="제목 1 18" xfId="0"/>
    <cellStyle name="제목 1 19" xfId="0"/>
    <cellStyle name="제목 1 2" xfId="0"/>
    <cellStyle name="제목 1 2 10" xfId="0"/>
    <cellStyle name="제목 1 2 11" xfId="0"/>
    <cellStyle name="제목 1 2 12" xfId="0"/>
    <cellStyle name="제목 1 2 13" xfId="0"/>
    <cellStyle name="제목 1 2 14" xfId="0"/>
    <cellStyle name="제목 1 2 15" xfId="0"/>
    <cellStyle name="제목 1 2 16" xfId="0"/>
    <cellStyle name="제목 1 2 17" xfId="0"/>
    <cellStyle name="제목 1 2 2" xfId="0"/>
    <cellStyle name="제목 1 2 2 10" xfId="0"/>
    <cellStyle name="제목 1 2 2 2" xfId="0"/>
    <cellStyle name="제목 1 2 2 3" xfId="0"/>
    <cellStyle name="제목 1 2 2 4" xfId="0"/>
    <cellStyle name="제목 1 2 2 5" xfId="0"/>
    <cellStyle name="제목 1 2 2 6" xfId="0"/>
    <cellStyle name="제목 1 2 2 7" xfId="0"/>
    <cellStyle name="제목 1 2 2 8" xfId="0"/>
    <cellStyle name="제목 1 2 2 9" xfId="0"/>
    <cellStyle name="제목 1 2 3" xfId="0"/>
    <cellStyle name="제목 1 2 3 10" xfId="0"/>
    <cellStyle name="제목 1 2 3 2" xfId="0"/>
    <cellStyle name="제목 1 2 3 3" xfId="0"/>
    <cellStyle name="제목 1 2 3 4" xfId="0"/>
    <cellStyle name="제목 1 2 3 5" xfId="0"/>
    <cellStyle name="제목 1 2 3 6" xfId="0"/>
    <cellStyle name="제목 1 2 3 7" xfId="0"/>
    <cellStyle name="제목 1 2 3 8" xfId="0"/>
    <cellStyle name="제목 1 2 3 9" xfId="0"/>
    <cellStyle name="제목 1 2 4" xfId="0"/>
    <cellStyle name="제목 1 2 4 10" xfId="0"/>
    <cellStyle name="제목 1 2 4 2" xfId="0"/>
    <cellStyle name="제목 1 2 4 3" xfId="0"/>
    <cellStyle name="제목 1 2 4 4" xfId="0"/>
    <cellStyle name="제목 1 2 4 5" xfId="0"/>
    <cellStyle name="제목 1 2 4 6" xfId="0"/>
    <cellStyle name="제목 1 2 4 7" xfId="0"/>
    <cellStyle name="제목 1 2 4 8" xfId="0"/>
    <cellStyle name="제목 1 2 4 9" xfId="0"/>
    <cellStyle name="제목 1 2 5" xfId="0"/>
    <cellStyle name="제목 1 2 5 10" xfId="0"/>
    <cellStyle name="제목 1 2 5 2" xfId="0"/>
    <cellStyle name="제목 1 2 5 3" xfId="0"/>
    <cellStyle name="제목 1 2 5 4" xfId="0"/>
    <cellStyle name="제목 1 2 5 5" xfId="0"/>
    <cellStyle name="제목 1 2 5 6" xfId="0"/>
    <cellStyle name="제목 1 2 5 7" xfId="0"/>
    <cellStyle name="제목 1 2 5 8" xfId="0"/>
    <cellStyle name="제목 1 2 5 9" xfId="0"/>
    <cellStyle name="제목 1 2 6" xfId="0"/>
    <cellStyle name="제목 1 2 6 10" xfId="0"/>
    <cellStyle name="제목 1 2 6 2" xfId="0"/>
    <cellStyle name="제목 1 2 6 3" xfId="0"/>
    <cellStyle name="제목 1 2 6 4" xfId="0"/>
    <cellStyle name="제목 1 2 6 5" xfId="0"/>
    <cellStyle name="제목 1 2 6 6" xfId="0"/>
    <cellStyle name="제목 1 2 6 7" xfId="0"/>
    <cellStyle name="제목 1 2 6 8" xfId="0"/>
    <cellStyle name="제목 1 2 6 9" xfId="0"/>
    <cellStyle name="제목 1 2 7" xfId="0"/>
    <cellStyle name="제목 1 2 7 10" xfId="0"/>
    <cellStyle name="제목 1 2 7 2" xfId="0"/>
    <cellStyle name="제목 1 2 7 3" xfId="0"/>
    <cellStyle name="제목 1 2 7 4" xfId="0"/>
    <cellStyle name="제목 1 2 7 5" xfId="0"/>
    <cellStyle name="제목 1 2 7 6" xfId="0"/>
    <cellStyle name="제목 1 2 7 7" xfId="0"/>
    <cellStyle name="제목 1 2 7 8" xfId="0"/>
    <cellStyle name="제목 1 2 7 9" xfId="0"/>
    <cellStyle name="제목 1 2 8" xfId="0"/>
    <cellStyle name="제목 1 2 8 2" xfId="0"/>
    <cellStyle name="제목 1 2 9" xfId="0"/>
    <cellStyle name="제목 1 20" xfId="0"/>
    <cellStyle name="제목 1 21" xfId="0"/>
    <cellStyle name="제목 1 22" xfId="0"/>
    <cellStyle name="제목 1 23" xfId="0"/>
    <cellStyle name="제목 1 24" xfId="0"/>
    <cellStyle name="제목 1 25" xfId="0"/>
    <cellStyle name="제목 1 26" xfId="0"/>
    <cellStyle name="제목 1 27" xfId="0"/>
    <cellStyle name="제목 1 2_3300현금및예치금" xfId="0"/>
    <cellStyle name="제목 1 3" xfId="0"/>
    <cellStyle name="제목 1 3 10" xfId="0"/>
    <cellStyle name="제목 1 3 10 2" xfId="0"/>
    <cellStyle name="제목 1 3 11" xfId="0"/>
    <cellStyle name="제목 1 3 11 2" xfId="0"/>
    <cellStyle name="제목 1 3 12" xfId="0"/>
    <cellStyle name="제목 1 3 12 2" xfId="0"/>
    <cellStyle name="제목 1 3 13" xfId="0"/>
    <cellStyle name="제목 1 3 14" xfId="0"/>
    <cellStyle name="제목 1 3 15" xfId="0"/>
    <cellStyle name="제목 1 3 16" xfId="0"/>
    <cellStyle name="제목 1 3 17" xfId="0"/>
    <cellStyle name="제목 1 3 18" xfId="0"/>
    <cellStyle name="제목 1 3 19" xfId="0"/>
    <cellStyle name="제목 1 3 2" xfId="0"/>
    <cellStyle name="제목 1 3 2 2" xfId="0"/>
    <cellStyle name="제목 1 3 2 3" xfId="0"/>
    <cellStyle name="제목 1 3 20" xfId="0"/>
    <cellStyle name="제목 1 3 3" xfId="0"/>
    <cellStyle name="제목 1 3 3 2" xfId="0"/>
    <cellStyle name="제목 1 3 3 3" xfId="0"/>
    <cellStyle name="제목 1 3 4" xfId="0"/>
    <cellStyle name="제목 1 3 4 2" xfId="0"/>
    <cellStyle name="제목 1 3 4 3" xfId="0"/>
    <cellStyle name="제목 1 3 5" xfId="0"/>
    <cellStyle name="제목 1 3 5 2" xfId="0"/>
    <cellStyle name="제목 1 3 5 3" xfId="0"/>
    <cellStyle name="제목 1 3 6" xfId="0"/>
    <cellStyle name="제목 1 3 6 2" xfId="0"/>
    <cellStyle name="제목 1 3 6 3" xfId="0"/>
    <cellStyle name="제목 1 3 7" xfId="0"/>
    <cellStyle name="제목 1 3 7 2" xfId="0"/>
    <cellStyle name="제목 1 3 7 3" xfId="0"/>
    <cellStyle name="제목 1 3 8" xfId="0"/>
    <cellStyle name="제목 1 3 8 2" xfId="0"/>
    <cellStyle name="제목 1 3 8 3" xfId="0"/>
    <cellStyle name="제목 1 3 9" xfId="0"/>
    <cellStyle name="제목 1 3 9 2" xfId="0"/>
    <cellStyle name="제목 1 3_운용자산별 손익분석" xfId="0"/>
    <cellStyle name="제목 1 4" xfId="0"/>
    <cellStyle name="제목 1 4 10" xfId="0"/>
    <cellStyle name="제목 1 4 11" xfId="0"/>
    <cellStyle name="제목 1 4 12" xfId="0"/>
    <cellStyle name="제목 1 4 13" xfId="0"/>
    <cellStyle name="제목 1 4 14" xfId="0"/>
    <cellStyle name="제목 1 4 15" xfId="0"/>
    <cellStyle name="제목 1 4 16" xfId="0"/>
    <cellStyle name="제목 1 4 17" xfId="0"/>
    <cellStyle name="제목 1 4 18" xfId="0"/>
    <cellStyle name="제목 1 4 19" xfId="0"/>
    <cellStyle name="제목 1 4 2" xfId="0"/>
    <cellStyle name="제목 1 4 2 10" xfId="0"/>
    <cellStyle name="제목 1 4 2 11" xfId="0"/>
    <cellStyle name="제목 1 4 2 2" xfId="0"/>
    <cellStyle name="제목 1 4 2 3" xfId="0"/>
    <cellStyle name="제목 1 4 2 4" xfId="0"/>
    <cellStyle name="제목 1 4 2 5" xfId="0"/>
    <cellStyle name="제목 1 4 2 6" xfId="0"/>
    <cellStyle name="제목 1 4 2 7" xfId="0"/>
    <cellStyle name="제목 1 4 2 8" xfId="0"/>
    <cellStyle name="제목 1 4 2 9" xfId="0"/>
    <cellStyle name="제목 1 4 20" xfId="0"/>
    <cellStyle name="제목 1 4 21" xfId="0"/>
    <cellStyle name="제목 1 4 22" xfId="0"/>
    <cellStyle name="제목 1 4 23" xfId="0"/>
    <cellStyle name="제목 1 4 24" xfId="0"/>
    <cellStyle name="제목 1 4 3" xfId="0"/>
    <cellStyle name="제목 1 4 4" xfId="0"/>
    <cellStyle name="제목 1 4 5" xfId="0"/>
    <cellStyle name="제목 1 4 6" xfId="0"/>
    <cellStyle name="제목 1 4 7" xfId="0"/>
    <cellStyle name="제목 1 4 8" xfId="0"/>
    <cellStyle name="제목 1 4 9" xfId="0"/>
    <cellStyle name="제목 1 4_운용자산별 손익분석" xfId="0"/>
    <cellStyle name="제목 1 5" xfId="0"/>
    <cellStyle name="제목 1 5 10" xfId="0"/>
    <cellStyle name="제목 1 5 11" xfId="0"/>
    <cellStyle name="제목 1 5 12" xfId="0"/>
    <cellStyle name="제목 1 5 13" xfId="0"/>
    <cellStyle name="제목 1 5 14" xfId="0"/>
    <cellStyle name="제목 1 5 15" xfId="0"/>
    <cellStyle name="제목 1 5 16" xfId="0"/>
    <cellStyle name="제목 1 5 17" xfId="0"/>
    <cellStyle name="제목 1 5 18" xfId="0"/>
    <cellStyle name="제목 1 5 19" xfId="0"/>
    <cellStyle name="제목 1 5 2" xfId="0"/>
    <cellStyle name="제목 1 5 20" xfId="0"/>
    <cellStyle name="제목 1 5 21" xfId="0"/>
    <cellStyle name="제목 1 5 22" xfId="0"/>
    <cellStyle name="제목 1 5 23" xfId="0"/>
    <cellStyle name="제목 1 5 24" xfId="0"/>
    <cellStyle name="제목 1 5 25" xfId="0"/>
    <cellStyle name="제목 1 5 26" xfId="0"/>
    <cellStyle name="제목 1 5 27" xfId="0"/>
    <cellStyle name="제목 1 5 28" xfId="0"/>
    <cellStyle name="제목 1 5 29" xfId="0"/>
    <cellStyle name="제목 1 5 3" xfId="0"/>
    <cellStyle name="제목 1 5 30" xfId="0"/>
    <cellStyle name="제목 1 5 31" xfId="0"/>
    <cellStyle name="제목 1 5 32" xfId="0"/>
    <cellStyle name="제목 1 5 33" xfId="0"/>
    <cellStyle name="제목 1 5 34" xfId="0"/>
    <cellStyle name="제목 1 5 35" xfId="0"/>
    <cellStyle name="제목 1 5 4" xfId="0"/>
    <cellStyle name="제목 1 5 5" xfId="0"/>
    <cellStyle name="제목 1 5 6" xfId="0"/>
    <cellStyle name="제목 1 5 7" xfId="0"/>
    <cellStyle name="제목 1 5 8" xfId="0"/>
    <cellStyle name="제목 1 5 9" xfId="0"/>
    <cellStyle name="제목 1 6" xfId="0"/>
    <cellStyle name="제목 1 6 10" xfId="0"/>
    <cellStyle name="제목 1 6 11" xfId="0"/>
    <cellStyle name="제목 1 6 12" xfId="0"/>
    <cellStyle name="제목 1 6 13" xfId="0"/>
    <cellStyle name="제목 1 6 14" xfId="0"/>
    <cellStyle name="제목 1 6 15" xfId="0"/>
    <cellStyle name="제목 1 6 16" xfId="0"/>
    <cellStyle name="제목 1 6 17" xfId="0"/>
    <cellStyle name="제목 1 6 18" xfId="0"/>
    <cellStyle name="제목 1 6 19" xfId="0"/>
    <cellStyle name="제목 1 6 2" xfId="0"/>
    <cellStyle name="제목 1 6 20" xfId="0"/>
    <cellStyle name="제목 1 6 21" xfId="0"/>
    <cellStyle name="제목 1 6 22" xfId="0"/>
    <cellStyle name="제목 1 6 23" xfId="0"/>
    <cellStyle name="제목 1 6 24" xfId="0"/>
    <cellStyle name="제목 1 6 25" xfId="0"/>
    <cellStyle name="제목 1 6 26" xfId="0"/>
    <cellStyle name="제목 1 6 27" xfId="0"/>
    <cellStyle name="제목 1 6 28" xfId="0"/>
    <cellStyle name="제목 1 6 29" xfId="0"/>
    <cellStyle name="제목 1 6 3" xfId="0"/>
    <cellStyle name="제목 1 6 30" xfId="0"/>
    <cellStyle name="제목 1 6 31" xfId="0"/>
    <cellStyle name="제목 1 6 4" xfId="0"/>
    <cellStyle name="제목 1 6 5" xfId="0"/>
    <cellStyle name="제목 1 6 6" xfId="0"/>
    <cellStyle name="제목 1 6 7" xfId="0"/>
    <cellStyle name="제목 1 6 8" xfId="0"/>
    <cellStyle name="제목 1 6 9" xfId="0"/>
    <cellStyle name="제목 1 7" xfId="0"/>
    <cellStyle name="제목 1 7 10" xfId="0"/>
    <cellStyle name="제목 1 7 11" xfId="0"/>
    <cellStyle name="제목 1 7 12" xfId="0"/>
    <cellStyle name="제목 1 7 13" xfId="0"/>
    <cellStyle name="제목 1 7 14" xfId="0"/>
    <cellStyle name="제목 1 7 15" xfId="0"/>
    <cellStyle name="제목 1 7 2" xfId="0"/>
    <cellStyle name="제목 1 7 2 2" xfId="0"/>
    <cellStyle name="제목 1 7 3" xfId="0"/>
    <cellStyle name="제목 1 7 3 2" xfId="0"/>
    <cellStyle name="제목 1 7 4" xfId="0"/>
    <cellStyle name="제목 1 7 4 2" xfId="0"/>
    <cellStyle name="제목 1 7 5" xfId="0"/>
    <cellStyle name="제목 1 7 5 2" xfId="0"/>
    <cellStyle name="제목 1 7 6" xfId="0"/>
    <cellStyle name="제목 1 7 6 2" xfId="0"/>
    <cellStyle name="제목 1 7 7" xfId="0"/>
    <cellStyle name="제목 1 7 8" xfId="0"/>
    <cellStyle name="제목 1 7 9" xfId="0"/>
    <cellStyle name="제목 1 8" xfId="0"/>
    <cellStyle name="제목 1 8 10" xfId="0"/>
    <cellStyle name="제목 1 8 11" xfId="0"/>
    <cellStyle name="제목 1 8 12" xfId="0"/>
    <cellStyle name="제목 1 8 13" xfId="0"/>
    <cellStyle name="제목 1 8 14" xfId="0"/>
    <cellStyle name="제목 1 8 2" xfId="0"/>
    <cellStyle name="제목 1 8 2 2" xfId="0"/>
    <cellStyle name="제목 1 8 3" xfId="0"/>
    <cellStyle name="제목 1 8 3 2" xfId="0"/>
    <cellStyle name="제목 1 8 4" xfId="0"/>
    <cellStyle name="제목 1 8 4 2" xfId="0"/>
    <cellStyle name="제목 1 8 5" xfId="0"/>
    <cellStyle name="제목 1 8 5 2" xfId="0"/>
    <cellStyle name="제목 1 8 6" xfId="0"/>
    <cellStyle name="제목 1 8 6 2" xfId="0"/>
    <cellStyle name="제목 1 8 7" xfId="0"/>
    <cellStyle name="제목 1 8 8" xfId="0"/>
    <cellStyle name="제목 1 8 9" xfId="0"/>
    <cellStyle name="제목 1 9" xfId="0"/>
    <cellStyle name="제목 1 9 10" xfId="0"/>
    <cellStyle name="제목 1 9 11" xfId="0"/>
    <cellStyle name="제목 1 9 12" xfId="0"/>
    <cellStyle name="제목 1 9 13" xfId="0"/>
    <cellStyle name="제목 1 9 14" xfId="0"/>
    <cellStyle name="제목 1 9 2" xfId="0"/>
    <cellStyle name="제목 1 9 2 2" xfId="0"/>
    <cellStyle name="제목 1 9 3" xfId="0"/>
    <cellStyle name="제목 1 9 3 2" xfId="0"/>
    <cellStyle name="제목 1 9 4" xfId="0"/>
    <cellStyle name="제목 1 9 4 2" xfId="0"/>
    <cellStyle name="제목 1 9 5" xfId="0"/>
    <cellStyle name="제목 1 9 5 2" xfId="0"/>
    <cellStyle name="제목 1 9 6" xfId="0"/>
    <cellStyle name="제목 1 9 6 2" xfId="0"/>
    <cellStyle name="제목 1 9 7" xfId="0"/>
    <cellStyle name="제목 1 9 8" xfId="0"/>
    <cellStyle name="제목 1 9 9" xfId="0"/>
    <cellStyle name="제목 10" xfId="0"/>
    <cellStyle name="제목 10 10" xfId="0"/>
    <cellStyle name="제목 10 11" xfId="0"/>
    <cellStyle name="제목 10 12" xfId="0"/>
    <cellStyle name="제목 10 13" xfId="0"/>
    <cellStyle name="제목 10 14" xfId="0"/>
    <cellStyle name="제목 10 15" xfId="0"/>
    <cellStyle name="제목 10 2" xfId="0"/>
    <cellStyle name="제목 10 2 2" xfId="0"/>
    <cellStyle name="제목 10 3" xfId="0"/>
    <cellStyle name="제목 10 3 2" xfId="0"/>
    <cellStyle name="제목 10 4" xfId="0"/>
    <cellStyle name="제목 10 4 2" xfId="0"/>
    <cellStyle name="제목 10 5" xfId="0"/>
    <cellStyle name="제목 10 5 2" xfId="0"/>
    <cellStyle name="제목 10 6" xfId="0"/>
    <cellStyle name="제목 10 6 2" xfId="0"/>
    <cellStyle name="제목 10 7" xfId="0"/>
    <cellStyle name="제목 10 8" xfId="0"/>
    <cellStyle name="제목 10 9" xfId="0"/>
    <cellStyle name="제목 11" xfId="0"/>
    <cellStyle name="제목 11 10" xfId="0"/>
    <cellStyle name="제목 11 11" xfId="0"/>
    <cellStyle name="제목 11 12" xfId="0"/>
    <cellStyle name="제목 11 13" xfId="0"/>
    <cellStyle name="제목 11 14" xfId="0"/>
    <cellStyle name="제목 11 2" xfId="0"/>
    <cellStyle name="제목 11 2 2" xfId="0"/>
    <cellStyle name="제목 11 3" xfId="0"/>
    <cellStyle name="제목 11 3 2" xfId="0"/>
    <cellStyle name="제목 11 4" xfId="0"/>
    <cellStyle name="제목 11 4 2" xfId="0"/>
    <cellStyle name="제목 11 5" xfId="0"/>
    <cellStyle name="제목 11 5 2" xfId="0"/>
    <cellStyle name="제목 11 6" xfId="0"/>
    <cellStyle name="제목 11 6 2" xfId="0"/>
    <cellStyle name="제목 11 7" xfId="0"/>
    <cellStyle name="제목 11 8" xfId="0"/>
    <cellStyle name="제목 11 9" xfId="0"/>
    <cellStyle name="제목 12" xfId="0"/>
    <cellStyle name="제목 12 10" xfId="0"/>
    <cellStyle name="제목 12 11" xfId="0"/>
    <cellStyle name="제목 12 12" xfId="0"/>
    <cellStyle name="제목 12 13" xfId="0"/>
    <cellStyle name="제목 12 14" xfId="0"/>
    <cellStyle name="제목 12 2" xfId="0"/>
    <cellStyle name="제목 12 2 2" xfId="0"/>
    <cellStyle name="제목 12 3" xfId="0"/>
    <cellStyle name="제목 12 3 2" xfId="0"/>
    <cellStyle name="제목 12 4" xfId="0"/>
    <cellStyle name="제목 12 4 2" xfId="0"/>
    <cellStyle name="제목 12 5" xfId="0"/>
    <cellStyle name="제목 12 5 2" xfId="0"/>
    <cellStyle name="제목 12 6" xfId="0"/>
    <cellStyle name="제목 12 6 2" xfId="0"/>
    <cellStyle name="제목 12 7" xfId="0"/>
    <cellStyle name="제목 12 8" xfId="0"/>
    <cellStyle name="제목 12 9" xfId="0"/>
    <cellStyle name="제목 13" xfId="0"/>
    <cellStyle name="제목 13 2" xfId="0"/>
    <cellStyle name="제목 13 2 2" xfId="0"/>
    <cellStyle name="제목 13 3" xfId="0"/>
    <cellStyle name="제목 13 3 2" xfId="0"/>
    <cellStyle name="제목 13 4" xfId="0"/>
    <cellStyle name="제목 13 4 2" xfId="0"/>
    <cellStyle name="제목 13 5" xfId="0"/>
    <cellStyle name="제목 13 6" xfId="0"/>
    <cellStyle name="제목 13 7" xfId="0"/>
    <cellStyle name="제목 14" xfId="0"/>
    <cellStyle name="제목 14 2" xfId="0"/>
    <cellStyle name="제목 14 2 2" xfId="0"/>
    <cellStyle name="제목 14 3" xfId="0"/>
    <cellStyle name="제목 14 3 2" xfId="0"/>
    <cellStyle name="제목 14 4" xfId="0"/>
    <cellStyle name="제목 14 4 2" xfId="0"/>
    <cellStyle name="제목 14 5" xfId="0"/>
    <cellStyle name="제목 14 6" xfId="0"/>
    <cellStyle name="제목 14 7" xfId="0"/>
    <cellStyle name="제목 15" xfId="0"/>
    <cellStyle name="제목 15 2" xfId="0"/>
    <cellStyle name="제목 15 3" xfId="0"/>
    <cellStyle name="제목 15 4" xfId="0"/>
    <cellStyle name="제목 15 5" xfId="0"/>
    <cellStyle name="제목 16" xfId="0"/>
    <cellStyle name="제목 16 2" xfId="0"/>
    <cellStyle name="제목 16 3" xfId="0"/>
    <cellStyle name="제목 16 4" xfId="0"/>
    <cellStyle name="제목 16 5" xfId="0"/>
    <cellStyle name="제목 17" xfId="0"/>
    <cellStyle name="제목 17 2" xfId="0"/>
    <cellStyle name="제목 17 3" xfId="0"/>
    <cellStyle name="제목 18" xfId="0"/>
    <cellStyle name="제목 18 2" xfId="0"/>
    <cellStyle name="제목 19" xfId="0"/>
    <cellStyle name="제목 19 2" xfId="0"/>
    <cellStyle name="제목 2 10" xfId="0"/>
    <cellStyle name="제목 2 10 2" xfId="0"/>
    <cellStyle name="제목 2 10 2 2" xfId="0"/>
    <cellStyle name="제목 2 10 3" xfId="0"/>
    <cellStyle name="제목 2 10 3 2" xfId="0"/>
    <cellStyle name="제목 2 10 4" xfId="0"/>
    <cellStyle name="제목 2 10 4 2" xfId="0"/>
    <cellStyle name="제목 2 10 5" xfId="0"/>
    <cellStyle name="제목 2 10 6" xfId="0"/>
    <cellStyle name="제목 2 10 7" xfId="0"/>
    <cellStyle name="제목 2 11" xfId="0"/>
    <cellStyle name="제목 2 11 2" xfId="0"/>
    <cellStyle name="제목 2 11 2 2" xfId="0"/>
    <cellStyle name="제목 2 11 3" xfId="0"/>
    <cellStyle name="제목 2 11 3 2" xfId="0"/>
    <cellStyle name="제목 2 11 4" xfId="0"/>
    <cellStyle name="제목 2 11 4 2" xfId="0"/>
    <cellStyle name="제목 2 11 5" xfId="0"/>
    <cellStyle name="제목 2 11 6" xfId="0"/>
    <cellStyle name="제목 2 11 7" xfId="0"/>
    <cellStyle name="제목 2 12" xfId="0"/>
    <cellStyle name="제목 2 12 2" xfId="0"/>
    <cellStyle name="제목 2 12 3" xfId="0"/>
    <cellStyle name="제목 2 12 4" xfId="0"/>
    <cellStyle name="제목 2 12 5" xfId="0"/>
    <cellStyle name="제목 2 13" xfId="0"/>
    <cellStyle name="제목 2 13 2" xfId="0"/>
    <cellStyle name="제목 2 13 3" xfId="0"/>
    <cellStyle name="제목 2 13 4" xfId="0"/>
    <cellStyle name="제목 2 13 5" xfId="0"/>
    <cellStyle name="제목 2 14" xfId="0"/>
    <cellStyle name="제목 2 14 2" xfId="0"/>
    <cellStyle name="제목 2 14 3" xfId="0"/>
    <cellStyle name="제목 2 15" xfId="0"/>
    <cellStyle name="제목 2 15 2" xfId="0"/>
    <cellStyle name="제목 2 16" xfId="0"/>
    <cellStyle name="제목 2 16 2" xfId="0"/>
    <cellStyle name="제목 2 17" xfId="0"/>
    <cellStyle name="제목 2 17 2" xfId="0"/>
    <cellStyle name="제목 2 18" xfId="0"/>
    <cellStyle name="제목 2 19" xfId="0"/>
    <cellStyle name="제목 2 2" xfId="0"/>
    <cellStyle name="제목 2 2 10" xfId="0"/>
    <cellStyle name="제목 2 2 11" xfId="0"/>
    <cellStyle name="제목 2 2 12" xfId="0"/>
    <cellStyle name="제목 2 2 13" xfId="0"/>
    <cellStyle name="제목 2 2 14" xfId="0"/>
    <cellStyle name="제목 2 2 15" xfId="0"/>
    <cellStyle name="제목 2 2 16" xfId="0"/>
    <cellStyle name="제목 2 2 17" xfId="0"/>
    <cellStyle name="제목 2 2 2" xfId="0"/>
    <cellStyle name="제목 2 2 2 10" xfId="0"/>
    <cellStyle name="제목 2 2 2 2" xfId="0"/>
    <cellStyle name="제목 2 2 2 3" xfId="0"/>
    <cellStyle name="제목 2 2 2 4" xfId="0"/>
    <cellStyle name="제목 2 2 2 5" xfId="0"/>
    <cellStyle name="제목 2 2 2 6" xfId="0"/>
    <cellStyle name="제목 2 2 2 7" xfId="0"/>
    <cellStyle name="제목 2 2 2 8" xfId="0"/>
    <cellStyle name="제목 2 2 2 9" xfId="0"/>
    <cellStyle name="제목 2 2 3" xfId="0"/>
    <cellStyle name="제목 2 2 3 10" xfId="0"/>
    <cellStyle name="제목 2 2 3 2" xfId="0"/>
    <cellStyle name="제목 2 2 3 3" xfId="0"/>
    <cellStyle name="제목 2 2 3 4" xfId="0"/>
    <cellStyle name="제목 2 2 3 5" xfId="0"/>
    <cellStyle name="제목 2 2 3 6" xfId="0"/>
    <cellStyle name="제목 2 2 3 7" xfId="0"/>
    <cellStyle name="제목 2 2 3 8" xfId="0"/>
    <cellStyle name="제목 2 2 3 9" xfId="0"/>
    <cellStyle name="제목 2 2 4" xfId="0"/>
    <cellStyle name="제목 2 2 4 10" xfId="0"/>
    <cellStyle name="제목 2 2 4 2" xfId="0"/>
    <cellStyle name="제목 2 2 4 3" xfId="0"/>
    <cellStyle name="제목 2 2 4 4" xfId="0"/>
    <cellStyle name="제목 2 2 4 5" xfId="0"/>
    <cellStyle name="제목 2 2 4 6" xfId="0"/>
    <cellStyle name="제목 2 2 4 7" xfId="0"/>
    <cellStyle name="제목 2 2 4 8" xfId="0"/>
    <cellStyle name="제목 2 2 4 9" xfId="0"/>
    <cellStyle name="제목 2 2 5" xfId="0"/>
    <cellStyle name="제목 2 2 5 10" xfId="0"/>
    <cellStyle name="제목 2 2 5 2" xfId="0"/>
    <cellStyle name="제목 2 2 5 3" xfId="0"/>
    <cellStyle name="제목 2 2 5 4" xfId="0"/>
    <cellStyle name="제목 2 2 5 5" xfId="0"/>
    <cellStyle name="제목 2 2 5 6" xfId="0"/>
    <cellStyle name="제목 2 2 5 7" xfId="0"/>
    <cellStyle name="제목 2 2 5 8" xfId="0"/>
    <cellStyle name="제목 2 2 5 9" xfId="0"/>
    <cellStyle name="제목 2 2 6" xfId="0"/>
    <cellStyle name="제목 2 2 6 10" xfId="0"/>
    <cellStyle name="제목 2 2 6 2" xfId="0"/>
    <cellStyle name="제목 2 2 6 3" xfId="0"/>
    <cellStyle name="제목 2 2 6 4" xfId="0"/>
    <cellStyle name="제목 2 2 6 5" xfId="0"/>
    <cellStyle name="제목 2 2 6 6" xfId="0"/>
    <cellStyle name="제목 2 2 6 7" xfId="0"/>
    <cellStyle name="제목 2 2 6 8" xfId="0"/>
    <cellStyle name="제목 2 2 6 9" xfId="0"/>
    <cellStyle name="제목 2 2 7" xfId="0"/>
    <cellStyle name="제목 2 2 7 10" xfId="0"/>
    <cellStyle name="제목 2 2 7 2" xfId="0"/>
    <cellStyle name="제목 2 2 7 3" xfId="0"/>
    <cellStyle name="제목 2 2 7 4" xfId="0"/>
    <cellStyle name="제목 2 2 7 5" xfId="0"/>
    <cellStyle name="제목 2 2 7 6" xfId="0"/>
    <cellStyle name="제목 2 2 7 7" xfId="0"/>
    <cellStyle name="제목 2 2 7 8" xfId="0"/>
    <cellStyle name="제목 2 2 7 9" xfId="0"/>
    <cellStyle name="제목 2 2 8" xfId="0"/>
    <cellStyle name="제목 2 2 8 2" xfId="0"/>
    <cellStyle name="제목 2 2 9" xfId="0"/>
    <cellStyle name="제목 2 20" xfId="0"/>
    <cellStyle name="제목 2 21" xfId="0"/>
    <cellStyle name="제목 2 22" xfId="0"/>
    <cellStyle name="제목 2 23" xfId="0"/>
    <cellStyle name="제목 2 24" xfId="0"/>
    <cellStyle name="제목 2 25" xfId="0"/>
    <cellStyle name="제목 2 26" xfId="0"/>
    <cellStyle name="제목 2 27" xfId="0"/>
    <cellStyle name="제목 2 2_3300현금및예치금" xfId="0"/>
    <cellStyle name="제목 2 3" xfId="0"/>
    <cellStyle name="제목 2 3 10" xfId="0"/>
    <cellStyle name="제목 2 3 10 2" xfId="0"/>
    <cellStyle name="제목 2 3 11" xfId="0"/>
    <cellStyle name="제목 2 3 11 2" xfId="0"/>
    <cellStyle name="제목 2 3 12" xfId="0"/>
    <cellStyle name="제목 2 3 12 2" xfId="0"/>
    <cellStyle name="제목 2 3 13" xfId="0"/>
    <cellStyle name="제목 2 3 14" xfId="0"/>
    <cellStyle name="제목 2 3 15" xfId="0"/>
    <cellStyle name="제목 2 3 16" xfId="0"/>
    <cellStyle name="제목 2 3 17" xfId="0"/>
    <cellStyle name="제목 2 3 18" xfId="0"/>
    <cellStyle name="제목 2 3 19" xfId="0"/>
    <cellStyle name="제목 2 3 2" xfId="0"/>
    <cellStyle name="제목 2 3 2 2" xfId="0"/>
    <cellStyle name="제목 2 3 2 3" xfId="0"/>
    <cellStyle name="제목 2 3 20" xfId="0"/>
    <cellStyle name="제목 2 3 3" xfId="0"/>
    <cellStyle name="제목 2 3 3 2" xfId="0"/>
    <cellStyle name="제목 2 3 3 3" xfId="0"/>
    <cellStyle name="제목 2 3 4" xfId="0"/>
    <cellStyle name="제목 2 3 4 2" xfId="0"/>
    <cellStyle name="제목 2 3 4 3" xfId="0"/>
    <cellStyle name="제목 2 3 5" xfId="0"/>
    <cellStyle name="제목 2 3 5 2" xfId="0"/>
    <cellStyle name="제목 2 3 5 3" xfId="0"/>
    <cellStyle name="제목 2 3 6" xfId="0"/>
    <cellStyle name="제목 2 3 6 2" xfId="0"/>
    <cellStyle name="제목 2 3 6 3" xfId="0"/>
    <cellStyle name="제목 2 3 7" xfId="0"/>
    <cellStyle name="제목 2 3 7 2" xfId="0"/>
    <cellStyle name="제목 2 3 7 3" xfId="0"/>
    <cellStyle name="제목 2 3 8" xfId="0"/>
    <cellStyle name="제목 2 3 8 2" xfId="0"/>
    <cellStyle name="제목 2 3 8 3" xfId="0"/>
    <cellStyle name="제목 2 3 9" xfId="0"/>
    <cellStyle name="제목 2 3 9 2" xfId="0"/>
    <cellStyle name="제목 2 3_운용자산별 손익분석" xfId="0"/>
    <cellStyle name="제목 2 4" xfId="0"/>
    <cellStyle name="제목 2 4 10" xfId="0"/>
    <cellStyle name="제목 2 4 11" xfId="0"/>
    <cellStyle name="제목 2 4 12" xfId="0"/>
    <cellStyle name="제목 2 4 13" xfId="0"/>
    <cellStyle name="제목 2 4 14" xfId="0"/>
    <cellStyle name="제목 2 4 15" xfId="0"/>
    <cellStyle name="제목 2 4 16" xfId="0"/>
    <cellStyle name="제목 2 4 17" xfId="0"/>
    <cellStyle name="제목 2 4 18" xfId="0"/>
    <cellStyle name="제목 2 4 19" xfId="0"/>
    <cellStyle name="제목 2 4 2" xfId="0"/>
    <cellStyle name="제목 2 4 2 10" xfId="0"/>
    <cellStyle name="제목 2 4 2 11" xfId="0"/>
    <cellStyle name="제목 2 4 2 2" xfId="0"/>
    <cellStyle name="제목 2 4 2 3" xfId="0"/>
    <cellStyle name="제목 2 4 2 4" xfId="0"/>
    <cellStyle name="제목 2 4 2 5" xfId="0"/>
    <cellStyle name="제목 2 4 2 6" xfId="0"/>
    <cellStyle name="제목 2 4 2 7" xfId="0"/>
    <cellStyle name="제목 2 4 2 8" xfId="0"/>
    <cellStyle name="제목 2 4 2 9" xfId="0"/>
    <cellStyle name="제목 2 4 20" xfId="0"/>
    <cellStyle name="제목 2 4 21" xfId="0"/>
    <cellStyle name="제목 2 4 22" xfId="0"/>
    <cellStyle name="제목 2 4 23" xfId="0"/>
    <cellStyle name="제목 2 4 24" xfId="0"/>
    <cellStyle name="제목 2 4 3" xfId="0"/>
    <cellStyle name="제목 2 4 4" xfId="0"/>
    <cellStyle name="제목 2 4 5" xfId="0"/>
    <cellStyle name="제목 2 4 6" xfId="0"/>
    <cellStyle name="제목 2 4 7" xfId="0"/>
    <cellStyle name="제목 2 4 8" xfId="0"/>
    <cellStyle name="제목 2 4 9" xfId="0"/>
    <cellStyle name="제목 2 4_운용자산별 손익분석" xfId="0"/>
    <cellStyle name="제목 2 5" xfId="0"/>
    <cellStyle name="제목 2 5 10" xfId="0"/>
    <cellStyle name="제목 2 5 11" xfId="0"/>
    <cellStyle name="제목 2 5 12" xfId="0"/>
    <cellStyle name="제목 2 5 13" xfId="0"/>
    <cellStyle name="제목 2 5 14" xfId="0"/>
    <cellStyle name="제목 2 5 15" xfId="0"/>
    <cellStyle name="제목 2 5 16" xfId="0"/>
    <cellStyle name="제목 2 5 17" xfId="0"/>
    <cellStyle name="제목 2 5 18" xfId="0"/>
    <cellStyle name="제목 2 5 19" xfId="0"/>
    <cellStyle name="제목 2 5 2" xfId="0"/>
    <cellStyle name="제목 2 5 20" xfId="0"/>
    <cellStyle name="제목 2 5 21" xfId="0"/>
    <cellStyle name="제목 2 5 22" xfId="0"/>
    <cellStyle name="제목 2 5 23" xfId="0"/>
    <cellStyle name="제목 2 5 24" xfId="0"/>
    <cellStyle name="제목 2 5 25" xfId="0"/>
    <cellStyle name="제목 2 5 26" xfId="0"/>
    <cellStyle name="제목 2 5 27" xfId="0"/>
    <cellStyle name="제목 2 5 28" xfId="0"/>
    <cellStyle name="제목 2 5 29" xfId="0"/>
    <cellStyle name="제목 2 5 3" xfId="0"/>
    <cellStyle name="제목 2 5 30" xfId="0"/>
    <cellStyle name="제목 2 5 31" xfId="0"/>
    <cellStyle name="제목 2 5 32" xfId="0"/>
    <cellStyle name="제목 2 5 33" xfId="0"/>
    <cellStyle name="제목 2 5 34" xfId="0"/>
    <cellStyle name="제목 2 5 35" xfId="0"/>
    <cellStyle name="제목 2 5 4" xfId="0"/>
    <cellStyle name="제목 2 5 5" xfId="0"/>
    <cellStyle name="제목 2 5 6" xfId="0"/>
    <cellStyle name="제목 2 5 7" xfId="0"/>
    <cellStyle name="제목 2 5 8" xfId="0"/>
    <cellStyle name="제목 2 5 9" xfId="0"/>
    <cellStyle name="제목 2 6" xfId="0"/>
    <cellStyle name="제목 2 6 10" xfId="0"/>
    <cellStyle name="제목 2 6 11" xfId="0"/>
    <cellStyle name="제목 2 6 12" xfId="0"/>
    <cellStyle name="제목 2 6 13" xfId="0"/>
    <cellStyle name="제목 2 6 14" xfId="0"/>
    <cellStyle name="제목 2 6 15" xfId="0"/>
    <cellStyle name="제목 2 6 16" xfId="0"/>
    <cellStyle name="제목 2 6 17" xfId="0"/>
    <cellStyle name="제목 2 6 18" xfId="0"/>
    <cellStyle name="제목 2 6 19" xfId="0"/>
    <cellStyle name="제목 2 6 2" xfId="0"/>
    <cellStyle name="제목 2 6 20" xfId="0"/>
    <cellStyle name="제목 2 6 21" xfId="0"/>
    <cellStyle name="제목 2 6 22" xfId="0"/>
    <cellStyle name="제목 2 6 23" xfId="0"/>
    <cellStyle name="제목 2 6 24" xfId="0"/>
    <cellStyle name="제목 2 6 25" xfId="0"/>
    <cellStyle name="제목 2 6 26" xfId="0"/>
    <cellStyle name="제목 2 6 27" xfId="0"/>
    <cellStyle name="제목 2 6 28" xfId="0"/>
    <cellStyle name="제목 2 6 29" xfId="0"/>
    <cellStyle name="제목 2 6 3" xfId="0"/>
    <cellStyle name="제목 2 6 30" xfId="0"/>
    <cellStyle name="제목 2 6 31" xfId="0"/>
    <cellStyle name="제목 2 6 4" xfId="0"/>
    <cellStyle name="제목 2 6 5" xfId="0"/>
    <cellStyle name="제목 2 6 6" xfId="0"/>
    <cellStyle name="제목 2 6 7" xfId="0"/>
    <cellStyle name="제목 2 6 8" xfId="0"/>
    <cellStyle name="제목 2 6 9" xfId="0"/>
    <cellStyle name="제목 2 7" xfId="0"/>
    <cellStyle name="제목 2 7 10" xfId="0"/>
    <cellStyle name="제목 2 7 11" xfId="0"/>
    <cellStyle name="제목 2 7 12" xfId="0"/>
    <cellStyle name="제목 2 7 13" xfId="0"/>
    <cellStyle name="제목 2 7 14" xfId="0"/>
    <cellStyle name="제목 2 7 15" xfId="0"/>
    <cellStyle name="제목 2 7 2" xfId="0"/>
    <cellStyle name="제목 2 7 2 2" xfId="0"/>
    <cellStyle name="제목 2 7 3" xfId="0"/>
    <cellStyle name="제목 2 7 3 2" xfId="0"/>
    <cellStyle name="제목 2 7 4" xfId="0"/>
    <cellStyle name="제목 2 7 4 2" xfId="0"/>
    <cellStyle name="제목 2 7 5" xfId="0"/>
    <cellStyle name="제목 2 7 5 2" xfId="0"/>
    <cellStyle name="제목 2 7 6" xfId="0"/>
    <cellStyle name="제목 2 7 6 2" xfId="0"/>
    <cellStyle name="제목 2 7 7" xfId="0"/>
    <cellStyle name="제목 2 7 8" xfId="0"/>
    <cellStyle name="제목 2 7 9" xfId="0"/>
    <cellStyle name="제목 2 8" xfId="0"/>
    <cellStyle name="제목 2 8 10" xfId="0"/>
    <cellStyle name="제목 2 8 11" xfId="0"/>
    <cellStyle name="제목 2 8 12" xfId="0"/>
    <cellStyle name="제목 2 8 13" xfId="0"/>
    <cellStyle name="제목 2 8 14" xfId="0"/>
    <cellStyle name="제목 2 8 2" xfId="0"/>
    <cellStyle name="제목 2 8 2 2" xfId="0"/>
    <cellStyle name="제목 2 8 3" xfId="0"/>
    <cellStyle name="제목 2 8 3 2" xfId="0"/>
    <cellStyle name="제목 2 8 4" xfId="0"/>
    <cellStyle name="제목 2 8 4 2" xfId="0"/>
    <cellStyle name="제목 2 8 5" xfId="0"/>
    <cellStyle name="제목 2 8 5 2" xfId="0"/>
    <cellStyle name="제목 2 8 6" xfId="0"/>
    <cellStyle name="제목 2 8 6 2" xfId="0"/>
    <cellStyle name="제목 2 8 7" xfId="0"/>
    <cellStyle name="제목 2 8 8" xfId="0"/>
    <cellStyle name="제목 2 8 9" xfId="0"/>
    <cellStyle name="제목 2 9" xfId="0"/>
    <cellStyle name="제목 2 9 10" xfId="0"/>
    <cellStyle name="제목 2 9 11" xfId="0"/>
    <cellStyle name="제목 2 9 12" xfId="0"/>
    <cellStyle name="제목 2 9 13" xfId="0"/>
    <cellStyle name="제목 2 9 14" xfId="0"/>
    <cellStyle name="제목 2 9 2" xfId="0"/>
    <cellStyle name="제목 2 9 2 2" xfId="0"/>
    <cellStyle name="제목 2 9 3" xfId="0"/>
    <cellStyle name="제목 2 9 3 2" xfId="0"/>
    <cellStyle name="제목 2 9 4" xfId="0"/>
    <cellStyle name="제목 2 9 4 2" xfId="0"/>
    <cellStyle name="제목 2 9 5" xfId="0"/>
    <cellStyle name="제목 2 9 5 2" xfId="0"/>
    <cellStyle name="제목 2 9 6" xfId="0"/>
    <cellStyle name="제목 2 9 6 2" xfId="0"/>
    <cellStyle name="제목 2 9 7" xfId="0"/>
    <cellStyle name="제목 2 9 8" xfId="0"/>
    <cellStyle name="제목 2 9 9" xfId="0"/>
    <cellStyle name="제목 20" xfId="0"/>
    <cellStyle name="제목 20 2" xfId="0"/>
    <cellStyle name="제목 21" xfId="0"/>
    <cellStyle name="제목 21 2" xfId="0"/>
    <cellStyle name="제목 22" xfId="0"/>
    <cellStyle name="제목 22 2" xfId="0"/>
    <cellStyle name="제목 23" xfId="0"/>
    <cellStyle name="제목 23 2" xfId="0"/>
    <cellStyle name="제목 24" xfId="0"/>
    <cellStyle name="제목 24 2" xfId="0"/>
    <cellStyle name="제목 25" xfId="0"/>
    <cellStyle name="제목 25 2" xfId="0"/>
    <cellStyle name="제목 26" xfId="0"/>
    <cellStyle name="제목 27" xfId="0"/>
    <cellStyle name="제목 28" xfId="0"/>
    <cellStyle name="제목 29" xfId="0"/>
    <cellStyle name="제목 3 10" xfId="0"/>
    <cellStyle name="제목 3 10 2" xfId="0"/>
    <cellStyle name="제목 3 10 2 2" xfId="0"/>
    <cellStyle name="제목 3 10 3" xfId="0"/>
    <cellStyle name="제목 3 10 3 2" xfId="0"/>
    <cellStyle name="제목 3 10 4" xfId="0"/>
    <cellStyle name="제목 3 10 4 2" xfId="0"/>
    <cellStyle name="제목 3 10 5" xfId="0"/>
    <cellStyle name="제목 3 10 6" xfId="0"/>
    <cellStyle name="제목 3 10 7" xfId="0"/>
    <cellStyle name="제목 3 11" xfId="0"/>
    <cellStyle name="제목 3 11 2" xfId="0"/>
    <cellStyle name="제목 3 11 2 2" xfId="0"/>
    <cellStyle name="제목 3 11 3" xfId="0"/>
    <cellStyle name="제목 3 11 3 2" xfId="0"/>
    <cellStyle name="제목 3 11 4" xfId="0"/>
    <cellStyle name="제목 3 11 4 2" xfId="0"/>
    <cellStyle name="제목 3 11 5" xfId="0"/>
    <cellStyle name="제목 3 11 6" xfId="0"/>
    <cellStyle name="제목 3 11 7" xfId="0"/>
    <cellStyle name="제목 3 12" xfId="0"/>
    <cellStyle name="제목 3 12 2" xfId="0"/>
    <cellStyle name="제목 3 12 3" xfId="0"/>
    <cellStyle name="제목 3 12 4" xfId="0"/>
    <cellStyle name="제목 3 12 5" xfId="0"/>
    <cellStyle name="제목 3 13" xfId="0"/>
    <cellStyle name="제목 3 13 2" xfId="0"/>
    <cellStyle name="제목 3 13 3" xfId="0"/>
    <cellStyle name="제목 3 13 4" xfId="0"/>
    <cellStyle name="제목 3 13 5" xfId="0"/>
    <cellStyle name="제목 3 14" xfId="0"/>
    <cellStyle name="제목 3 14 2" xfId="0"/>
    <cellStyle name="제목 3 14 3" xfId="0"/>
    <cellStyle name="제목 3 15" xfId="0"/>
    <cellStyle name="제목 3 15 2" xfId="0"/>
    <cellStyle name="제목 3 16" xfId="0"/>
    <cellStyle name="제목 3 16 2" xfId="0"/>
    <cellStyle name="제목 3 17" xfId="0"/>
    <cellStyle name="제목 3 17 2" xfId="0"/>
    <cellStyle name="제목 3 18" xfId="0"/>
    <cellStyle name="제목 3 19" xfId="0"/>
    <cellStyle name="제목 3 2" xfId="0"/>
    <cellStyle name="제목 3 2 10" xfId="0"/>
    <cellStyle name="제목 3 2 11" xfId="0"/>
    <cellStyle name="제목 3 2 12" xfId="0"/>
    <cellStyle name="제목 3 2 13" xfId="0"/>
    <cellStyle name="제목 3 2 14" xfId="0"/>
    <cellStyle name="제목 3 2 15" xfId="0"/>
    <cellStyle name="제목 3 2 16" xfId="0"/>
    <cellStyle name="제목 3 2 17" xfId="0"/>
    <cellStyle name="제목 3 2 2" xfId="0"/>
    <cellStyle name="제목 3 2 2 10" xfId="0"/>
    <cellStyle name="제목 3 2 2 2" xfId="0"/>
    <cellStyle name="제목 3 2 2 3" xfId="0"/>
    <cellStyle name="제목 3 2 2 4" xfId="0"/>
    <cellStyle name="제목 3 2 2 5" xfId="0"/>
    <cellStyle name="제목 3 2 2 6" xfId="0"/>
    <cellStyle name="제목 3 2 2 7" xfId="0"/>
    <cellStyle name="제목 3 2 2 8" xfId="0"/>
    <cellStyle name="제목 3 2 2 9" xfId="0"/>
    <cellStyle name="제목 3 2 3" xfId="0"/>
    <cellStyle name="제목 3 2 3 10" xfId="0"/>
    <cellStyle name="제목 3 2 3 2" xfId="0"/>
    <cellStyle name="제목 3 2 3 3" xfId="0"/>
    <cellStyle name="제목 3 2 3 4" xfId="0"/>
    <cellStyle name="제목 3 2 3 5" xfId="0"/>
    <cellStyle name="제목 3 2 3 6" xfId="0"/>
    <cellStyle name="제목 3 2 3 7" xfId="0"/>
    <cellStyle name="제목 3 2 3 8" xfId="0"/>
    <cellStyle name="제목 3 2 3 9" xfId="0"/>
    <cellStyle name="제목 3 2 4" xfId="0"/>
    <cellStyle name="제목 3 2 4 10" xfId="0"/>
    <cellStyle name="제목 3 2 4 2" xfId="0"/>
    <cellStyle name="제목 3 2 4 3" xfId="0"/>
    <cellStyle name="제목 3 2 4 4" xfId="0"/>
    <cellStyle name="제목 3 2 4 5" xfId="0"/>
    <cellStyle name="제목 3 2 4 6" xfId="0"/>
    <cellStyle name="제목 3 2 4 7" xfId="0"/>
    <cellStyle name="제목 3 2 4 8" xfId="0"/>
    <cellStyle name="제목 3 2 4 9" xfId="0"/>
    <cellStyle name="제목 3 2 5" xfId="0"/>
    <cellStyle name="제목 3 2 5 10" xfId="0"/>
    <cellStyle name="제목 3 2 5 2" xfId="0"/>
    <cellStyle name="제목 3 2 5 3" xfId="0"/>
    <cellStyle name="제목 3 2 5 4" xfId="0"/>
    <cellStyle name="제목 3 2 5 5" xfId="0"/>
    <cellStyle name="제목 3 2 5 6" xfId="0"/>
    <cellStyle name="제목 3 2 5 7" xfId="0"/>
    <cellStyle name="제목 3 2 5 8" xfId="0"/>
    <cellStyle name="제목 3 2 5 9" xfId="0"/>
    <cellStyle name="제목 3 2 6" xfId="0"/>
    <cellStyle name="제목 3 2 6 10" xfId="0"/>
    <cellStyle name="제목 3 2 6 2" xfId="0"/>
    <cellStyle name="제목 3 2 6 3" xfId="0"/>
    <cellStyle name="제목 3 2 6 4" xfId="0"/>
    <cellStyle name="제목 3 2 6 5" xfId="0"/>
    <cellStyle name="제목 3 2 6 6" xfId="0"/>
    <cellStyle name="제목 3 2 6 7" xfId="0"/>
    <cellStyle name="제목 3 2 6 8" xfId="0"/>
    <cellStyle name="제목 3 2 6 9" xfId="0"/>
    <cellStyle name="제목 3 2 7" xfId="0"/>
    <cellStyle name="제목 3 2 7 10" xfId="0"/>
    <cellStyle name="제목 3 2 7 2" xfId="0"/>
    <cellStyle name="제목 3 2 7 3" xfId="0"/>
    <cellStyle name="제목 3 2 7 4" xfId="0"/>
    <cellStyle name="제목 3 2 7 5" xfId="0"/>
    <cellStyle name="제목 3 2 7 6" xfId="0"/>
    <cellStyle name="제목 3 2 7 7" xfId="0"/>
    <cellStyle name="제목 3 2 7 8" xfId="0"/>
    <cellStyle name="제목 3 2 7 9" xfId="0"/>
    <cellStyle name="제목 3 2 8" xfId="0"/>
    <cellStyle name="제목 3 2 8 2" xfId="0"/>
    <cellStyle name="제목 3 2 9" xfId="0"/>
    <cellStyle name="제목 3 20" xfId="0"/>
    <cellStyle name="제목 3 21" xfId="0"/>
    <cellStyle name="제목 3 22" xfId="0"/>
    <cellStyle name="제목 3 23" xfId="0"/>
    <cellStyle name="제목 3 24" xfId="0"/>
    <cellStyle name="제목 3 25" xfId="0"/>
    <cellStyle name="제목 3 26" xfId="0"/>
    <cellStyle name="제목 3 27" xfId="0"/>
    <cellStyle name="제목 3 2_3300현금및예치금" xfId="0"/>
    <cellStyle name="제목 3 3" xfId="0"/>
    <cellStyle name="제목 3 3 10" xfId="0"/>
    <cellStyle name="제목 3 3 10 2" xfId="0"/>
    <cellStyle name="제목 3 3 11" xfId="0"/>
    <cellStyle name="제목 3 3 11 2" xfId="0"/>
    <cellStyle name="제목 3 3 12" xfId="0"/>
    <cellStyle name="제목 3 3 12 2" xfId="0"/>
    <cellStyle name="제목 3 3 13" xfId="0"/>
    <cellStyle name="제목 3 3 14" xfId="0"/>
    <cellStyle name="제목 3 3 15" xfId="0"/>
    <cellStyle name="제목 3 3 16" xfId="0"/>
    <cellStyle name="제목 3 3 17" xfId="0"/>
    <cellStyle name="제목 3 3 18" xfId="0"/>
    <cellStyle name="제목 3 3 19" xfId="0"/>
    <cellStyle name="제목 3 3 2" xfId="0"/>
    <cellStyle name="제목 3 3 2 2" xfId="0"/>
    <cellStyle name="제목 3 3 2 3" xfId="0"/>
    <cellStyle name="제목 3 3 20" xfId="0"/>
    <cellStyle name="제목 3 3 3" xfId="0"/>
    <cellStyle name="제목 3 3 3 2" xfId="0"/>
    <cellStyle name="제목 3 3 3 3" xfId="0"/>
    <cellStyle name="제목 3 3 4" xfId="0"/>
    <cellStyle name="제목 3 3 4 2" xfId="0"/>
    <cellStyle name="제목 3 3 4 3" xfId="0"/>
    <cellStyle name="제목 3 3 5" xfId="0"/>
    <cellStyle name="제목 3 3 5 2" xfId="0"/>
    <cellStyle name="제목 3 3 5 3" xfId="0"/>
    <cellStyle name="제목 3 3 6" xfId="0"/>
    <cellStyle name="제목 3 3 6 2" xfId="0"/>
    <cellStyle name="제목 3 3 6 3" xfId="0"/>
    <cellStyle name="제목 3 3 7" xfId="0"/>
    <cellStyle name="제목 3 3 7 2" xfId="0"/>
    <cellStyle name="제목 3 3 7 3" xfId="0"/>
    <cellStyle name="제목 3 3 8" xfId="0"/>
    <cellStyle name="제목 3 3 8 2" xfId="0"/>
    <cellStyle name="제목 3 3 8 3" xfId="0"/>
    <cellStyle name="제목 3 3 9" xfId="0"/>
    <cellStyle name="제목 3 3 9 2" xfId="0"/>
    <cellStyle name="제목 3 3_운용자산별 손익분석" xfId="0"/>
    <cellStyle name="제목 3 4" xfId="0"/>
    <cellStyle name="제목 3 4 10" xfId="0"/>
    <cellStyle name="제목 3 4 11" xfId="0"/>
    <cellStyle name="제목 3 4 12" xfId="0"/>
    <cellStyle name="제목 3 4 13" xfId="0"/>
    <cellStyle name="제목 3 4 14" xfId="0"/>
    <cellStyle name="제목 3 4 15" xfId="0"/>
    <cellStyle name="제목 3 4 16" xfId="0"/>
    <cellStyle name="제목 3 4 17" xfId="0"/>
    <cellStyle name="제목 3 4 18" xfId="0"/>
    <cellStyle name="제목 3 4 19" xfId="0"/>
    <cellStyle name="제목 3 4 2" xfId="0"/>
    <cellStyle name="제목 3 4 2 10" xfId="0"/>
    <cellStyle name="제목 3 4 2 11" xfId="0"/>
    <cellStyle name="제목 3 4 2 2" xfId="0"/>
    <cellStyle name="제목 3 4 2 3" xfId="0"/>
    <cellStyle name="제목 3 4 2 4" xfId="0"/>
    <cellStyle name="제목 3 4 2 5" xfId="0"/>
    <cellStyle name="제목 3 4 2 6" xfId="0"/>
    <cellStyle name="제목 3 4 2 7" xfId="0"/>
    <cellStyle name="제목 3 4 2 8" xfId="0"/>
    <cellStyle name="제목 3 4 2 9" xfId="0"/>
    <cellStyle name="제목 3 4 20" xfId="0"/>
    <cellStyle name="제목 3 4 21" xfId="0"/>
    <cellStyle name="제목 3 4 22" xfId="0"/>
    <cellStyle name="제목 3 4 23" xfId="0"/>
    <cellStyle name="제목 3 4 24" xfId="0"/>
    <cellStyle name="제목 3 4 3" xfId="0"/>
    <cellStyle name="제목 3 4 4" xfId="0"/>
    <cellStyle name="제목 3 4 5" xfId="0"/>
    <cellStyle name="제목 3 4 6" xfId="0"/>
    <cellStyle name="제목 3 4 7" xfId="0"/>
    <cellStyle name="제목 3 4 8" xfId="0"/>
    <cellStyle name="제목 3 4 9" xfId="0"/>
    <cellStyle name="제목 3 4_운용자산별 손익분석" xfId="0"/>
    <cellStyle name="제목 3 5" xfId="0"/>
    <cellStyle name="제목 3 5 10" xfId="0"/>
    <cellStyle name="제목 3 5 11" xfId="0"/>
    <cellStyle name="제목 3 5 12" xfId="0"/>
    <cellStyle name="제목 3 5 13" xfId="0"/>
    <cellStyle name="제목 3 5 14" xfId="0"/>
    <cellStyle name="제목 3 5 15" xfId="0"/>
    <cellStyle name="제목 3 5 16" xfId="0"/>
    <cellStyle name="제목 3 5 17" xfId="0"/>
    <cellStyle name="제목 3 5 18" xfId="0"/>
    <cellStyle name="제목 3 5 19" xfId="0"/>
    <cellStyle name="제목 3 5 2" xfId="0"/>
    <cellStyle name="제목 3 5 20" xfId="0"/>
    <cellStyle name="제목 3 5 21" xfId="0"/>
    <cellStyle name="제목 3 5 22" xfId="0"/>
    <cellStyle name="제목 3 5 23" xfId="0"/>
    <cellStyle name="제목 3 5 24" xfId="0"/>
    <cellStyle name="제목 3 5 25" xfId="0"/>
    <cellStyle name="제목 3 5 26" xfId="0"/>
    <cellStyle name="제목 3 5 27" xfId="0"/>
    <cellStyle name="제목 3 5 28" xfId="0"/>
    <cellStyle name="제목 3 5 29" xfId="0"/>
    <cellStyle name="제목 3 5 3" xfId="0"/>
    <cellStyle name="제목 3 5 30" xfId="0"/>
    <cellStyle name="제목 3 5 31" xfId="0"/>
    <cellStyle name="제목 3 5 32" xfId="0"/>
    <cellStyle name="제목 3 5 33" xfId="0"/>
    <cellStyle name="제목 3 5 34" xfId="0"/>
    <cellStyle name="제목 3 5 35" xfId="0"/>
    <cellStyle name="제목 3 5 4" xfId="0"/>
    <cellStyle name="제목 3 5 5" xfId="0"/>
    <cellStyle name="제목 3 5 6" xfId="0"/>
    <cellStyle name="제목 3 5 7" xfId="0"/>
    <cellStyle name="제목 3 5 8" xfId="0"/>
    <cellStyle name="제목 3 5 9" xfId="0"/>
    <cellStyle name="제목 3 6" xfId="0"/>
    <cellStyle name="제목 3 6 10" xfId="0"/>
    <cellStyle name="제목 3 6 11" xfId="0"/>
    <cellStyle name="제목 3 6 12" xfId="0"/>
    <cellStyle name="제목 3 6 13" xfId="0"/>
    <cellStyle name="제목 3 6 14" xfId="0"/>
    <cellStyle name="제목 3 6 15" xfId="0"/>
    <cellStyle name="제목 3 6 16" xfId="0"/>
    <cellStyle name="제목 3 6 17" xfId="0"/>
    <cellStyle name="제목 3 6 18" xfId="0"/>
    <cellStyle name="제목 3 6 19" xfId="0"/>
    <cellStyle name="제목 3 6 2" xfId="0"/>
    <cellStyle name="제목 3 6 20" xfId="0"/>
    <cellStyle name="제목 3 6 21" xfId="0"/>
    <cellStyle name="제목 3 6 22" xfId="0"/>
    <cellStyle name="제목 3 6 23" xfId="0"/>
    <cellStyle name="제목 3 6 24" xfId="0"/>
    <cellStyle name="제목 3 6 25" xfId="0"/>
    <cellStyle name="제목 3 6 26" xfId="0"/>
    <cellStyle name="제목 3 6 27" xfId="0"/>
    <cellStyle name="제목 3 6 28" xfId="0"/>
    <cellStyle name="제목 3 6 29" xfId="0"/>
    <cellStyle name="제목 3 6 3" xfId="0"/>
    <cellStyle name="제목 3 6 30" xfId="0"/>
    <cellStyle name="제목 3 6 31" xfId="0"/>
    <cellStyle name="제목 3 6 4" xfId="0"/>
    <cellStyle name="제목 3 6 5" xfId="0"/>
    <cellStyle name="제목 3 6 6" xfId="0"/>
    <cellStyle name="제목 3 6 7" xfId="0"/>
    <cellStyle name="제목 3 6 8" xfId="0"/>
    <cellStyle name="제목 3 6 9" xfId="0"/>
    <cellStyle name="제목 3 7" xfId="0"/>
    <cellStyle name="제목 3 7 10" xfId="0"/>
    <cellStyle name="제목 3 7 11" xfId="0"/>
    <cellStyle name="제목 3 7 12" xfId="0"/>
    <cellStyle name="제목 3 7 13" xfId="0"/>
    <cellStyle name="제목 3 7 14" xfId="0"/>
    <cellStyle name="제목 3 7 15" xfId="0"/>
    <cellStyle name="제목 3 7 2" xfId="0"/>
    <cellStyle name="제목 3 7 2 2" xfId="0"/>
    <cellStyle name="제목 3 7 3" xfId="0"/>
    <cellStyle name="제목 3 7 3 2" xfId="0"/>
    <cellStyle name="제목 3 7 4" xfId="0"/>
    <cellStyle name="제목 3 7 4 2" xfId="0"/>
    <cellStyle name="제목 3 7 5" xfId="0"/>
    <cellStyle name="제목 3 7 5 2" xfId="0"/>
    <cellStyle name="제목 3 7 6" xfId="0"/>
    <cellStyle name="제목 3 7 6 2" xfId="0"/>
    <cellStyle name="제목 3 7 7" xfId="0"/>
    <cellStyle name="제목 3 7 8" xfId="0"/>
    <cellStyle name="제목 3 7 9" xfId="0"/>
    <cellStyle name="제목 3 8" xfId="0"/>
    <cellStyle name="제목 3 8 10" xfId="0"/>
    <cellStyle name="제목 3 8 11" xfId="0"/>
    <cellStyle name="제목 3 8 12" xfId="0"/>
    <cellStyle name="제목 3 8 13" xfId="0"/>
    <cellStyle name="제목 3 8 14" xfId="0"/>
    <cellStyle name="제목 3 8 2" xfId="0"/>
    <cellStyle name="제목 3 8 2 2" xfId="0"/>
    <cellStyle name="제목 3 8 3" xfId="0"/>
    <cellStyle name="제목 3 8 3 2" xfId="0"/>
    <cellStyle name="제목 3 8 4" xfId="0"/>
    <cellStyle name="제목 3 8 4 2" xfId="0"/>
    <cellStyle name="제목 3 8 5" xfId="0"/>
    <cellStyle name="제목 3 8 5 2" xfId="0"/>
    <cellStyle name="제목 3 8 6" xfId="0"/>
    <cellStyle name="제목 3 8 6 2" xfId="0"/>
    <cellStyle name="제목 3 8 7" xfId="0"/>
    <cellStyle name="제목 3 8 8" xfId="0"/>
    <cellStyle name="제목 3 8 9" xfId="0"/>
    <cellStyle name="제목 3 9" xfId="0"/>
    <cellStyle name="제목 3 9 10" xfId="0"/>
    <cellStyle name="제목 3 9 11" xfId="0"/>
    <cellStyle name="제목 3 9 12" xfId="0"/>
    <cellStyle name="제목 3 9 13" xfId="0"/>
    <cellStyle name="제목 3 9 14" xfId="0"/>
    <cellStyle name="제목 3 9 2" xfId="0"/>
    <cellStyle name="제목 3 9 2 2" xfId="0"/>
    <cellStyle name="제목 3 9 3" xfId="0"/>
    <cellStyle name="제목 3 9 3 2" xfId="0"/>
    <cellStyle name="제목 3 9 4" xfId="0"/>
    <cellStyle name="제목 3 9 4 2" xfId="0"/>
    <cellStyle name="제목 3 9 5" xfId="0"/>
    <cellStyle name="제목 3 9 5 2" xfId="0"/>
    <cellStyle name="제목 3 9 6" xfId="0"/>
    <cellStyle name="제목 3 9 6 2" xfId="0"/>
    <cellStyle name="제목 3 9 7" xfId="0"/>
    <cellStyle name="제목 3 9 8" xfId="0"/>
    <cellStyle name="제목 3 9 9" xfId="0"/>
    <cellStyle name="제목 30" xfId="0"/>
    <cellStyle name="제목 4 10" xfId="0"/>
    <cellStyle name="제목 4 10 2" xfId="0"/>
    <cellStyle name="제목 4 10 2 2" xfId="0"/>
    <cellStyle name="제목 4 10 3" xfId="0"/>
    <cellStyle name="제목 4 10 3 2" xfId="0"/>
    <cellStyle name="제목 4 10 4" xfId="0"/>
    <cellStyle name="제목 4 10 4 2" xfId="0"/>
    <cellStyle name="제목 4 10 5" xfId="0"/>
    <cellStyle name="제목 4 10 6" xfId="0"/>
    <cellStyle name="제목 4 10 7" xfId="0"/>
    <cellStyle name="제목 4 11" xfId="0"/>
    <cellStyle name="제목 4 11 2" xfId="0"/>
    <cellStyle name="제목 4 11 2 2" xfId="0"/>
    <cellStyle name="제목 4 11 3" xfId="0"/>
    <cellStyle name="제목 4 11 3 2" xfId="0"/>
    <cellStyle name="제목 4 11 4" xfId="0"/>
    <cellStyle name="제목 4 11 4 2" xfId="0"/>
    <cellStyle name="제목 4 11 5" xfId="0"/>
    <cellStyle name="제목 4 11 6" xfId="0"/>
    <cellStyle name="제목 4 11 7" xfId="0"/>
    <cellStyle name="제목 4 12" xfId="0"/>
    <cellStyle name="제목 4 12 2" xfId="0"/>
    <cellStyle name="제목 4 12 3" xfId="0"/>
    <cellStyle name="제목 4 12 4" xfId="0"/>
    <cellStyle name="제목 4 12 5" xfId="0"/>
    <cellStyle name="제목 4 13" xfId="0"/>
    <cellStyle name="제목 4 13 2" xfId="0"/>
    <cellStyle name="제목 4 13 3" xfId="0"/>
    <cellStyle name="제목 4 13 4" xfId="0"/>
    <cellStyle name="제목 4 13 5" xfId="0"/>
    <cellStyle name="제목 4 14" xfId="0"/>
    <cellStyle name="제목 4 14 2" xfId="0"/>
    <cellStyle name="제목 4 14 3" xfId="0"/>
    <cellStyle name="제목 4 15" xfId="0"/>
    <cellStyle name="제목 4 15 2" xfId="0"/>
    <cellStyle name="제목 4 16" xfId="0"/>
    <cellStyle name="제목 4 16 2" xfId="0"/>
    <cellStyle name="제목 4 17" xfId="0"/>
    <cellStyle name="제목 4 17 2" xfId="0"/>
    <cellStyle name="제목 4 18" xfId="0"/>
    <cellStyle name="제목 4 19" xfId="0"/>
    <cellStyle name="제목 4 2" xfId="0"/>
    <cellStyle name="제목 4 2 10" xfId="0"/>
    <cellStyle name="제목 4 2 11" xfId="0"/>
    <cellStyle name="제목 4 2 12" xfId="0"/>
    <cellStyle name="제목 4 2 13" xfId="0"/>
    <cellStyle name="제목 4 2 14" xfId="0"/>
    <cellStyle name="제목 4 2 15" xfId="0"/>
    <cellStyle name="제목 4 2 16" xfId="0"/>
    <cellStyle name="제목 4 2 17" xfId="0"/>
    <cellStyle name="제목 4 2 2" xfId="0"/>
    <cellStyle name="제목 4 2 2 10" xfId="0"/>
    <cellStyle name="제목 4 2 2 2" xfId="0"/>
    <cellStyle name="제목 4 2 2 3" xfId="0"/>
    <cellStyle name="제목 4 2 2 4" xfId="0"/>
    <cellStyle name="제목 4 2 2 5" xfId="0"/>
    <cellStyle name="제목 4 2 2 6" xfId="0"/>
    <cellStyle name="제목 4 2 2 7" xfId="0"/>
    <cellStyle name="제목 4 2 2 8" xfId="0"/>
    <cellStyle name="제목 4 2 2 9" xfId="0"/>
    <cellStyle name="제목 4 2 3" xfId="0"/>
    <cellStyle name="제목 4 2 3 10" xfId="0"/>
    <cellStyle name="제목 4 2 3 2" xfId="0"/>
    <cellStyle name="제목 4 2 3 3" xfId="0"/>
    <cellStyle name="제목 4 2 3 4" xfId="0"/>
    <cellStyle name="제목 4 2 3 5" xfId="0"/>
    <cellStyle name="제목 4 2 3 6" xfId="0"/>
    <cellStyle name="제목 4 2 3 7" xfId="0"/>
    <cellStyle name="제목 4 2 3 8" xfId="0"/>
    <cellStyle name="제목 4 2 3 9" xfId="0"/>
    <cellStyle name="제목 4 2 4" xfId="0"/>
    <cellStyle name="제목 4 2 4 10" xfId="0"/>
    <cellStyle name="제목 4 2 4 2" xfId="0"/>
    <cellStyle name="제목 4 2 4 3" xfId="0"/>
    <cellStyle name="제목 4 2 4 4" xfId="0"/>
    <cellStyle name="제목 4 2 4 5" xfId="0"/>
    <cellStyle name="제목 4 2 4 6" xfId="0"/>
    <cellStyle name="제목 4 2 4 7" xfId="0"/>
    <cellStyle name="제목 4 2 4 8" xfId="0"/>
    <cellStyle name="제목 4 2 4 9" xfId="0"/>
    <cellStyle name="제목 4 2 5" xfId="0"/>
    <cellStyle name="제목 4 2 5 10" xfId="0"/>
    <cellStyle name="제목 4 2 5 2" xfId="0"/>
    <cellStyle name="제목 4 2 5 3" xfId="0"/>
    <cellStyle name="제목 4 2 5 4" xfId="0"/>
    <cellStyle name="제목 4 2 5 5" xfId="0"/>
    <cellStyle name="제목 4 2 5 6" xfId="0"/>
    <cellStyle name="제목 4 2 5 7" xfId="0"/>
    <cellStyle name="제목 4 2 5 8" xfId="0"/>
    <cellStyle name="제목 4 2 5 9" xfId="0"/>
    <cellStyle name="제목 4 2 6" xfId="0"/>
    <cellStyle name="제목 4 2 6 10" xfId="0"/>
    <cellStyle name="제목 4 2 6 2" xfId="0"/>
    <cellStyle name="제목 4 2 6 3" xfId="0"/>
    <cellStyle name="제목 4 2 6 4" xfId="0"/>
    <cellStyle name="제목 4 2 6 5" xfId="0"/>
    <cellStyle name="제목 4 2 6 6" xfId="0"/>
    <cellStyle name="제목 4 2 6 7" xfId="0"/>
    <cellStyle name="제목 4 2 6 8" xfId="0"/>
    <cellStyle name="제목 4 2 6 9" xfId="0"/>
    <cellStyle name="제목 4 2 7" xfId="0"/>
    <cellStyle name="제목 4 2 7 10" xfId="0"/>
    <cellStyle name="제목 4 2 7 2" xfId="0"/>
    <cellStyle name="제목 4 2 7 3" xfId="0"/>
    <cellStyle name="제목 4 2 7 4" xfId="0"/>
    <cellStyle name="제목 4 2 7 5" xfId="0"/>
    <cellStyle name="제목 4 2 7 6" xfId="0"/>
    <cellStyle name="제목 4 2 7 7" xfId="0"/>
    <cellStyle name="제목 4 2 7 8" xfId="0"/>
    <cellStyle name="제목 4 2 7 9" xfId="0"/>
    <cellStyle name="제목 4 2 8" xfId="0"/>
    <cellStyle name="제목 4 2 8 2" xfId="0"/>
    <cellStyle name="제목 4 2 9" xfId="0"/>
    <cellStyle name="제목 4 20" xfId="0"/>
    <cellStyle name="제목 4 21" xfId="0"/>
    <cellStyle name="제목 4 22" xfId="0"/>
    <cellStyle name="제목 4 23" xfId="0"/>
    <cellStyle name="제목 4 24" xfId="0"/>
    <cellStyle name="제목 4 25" xfId="0"/>
    <cellStyle name="제목 4 26" xfId="0"/>
    <cellStyle name="제목 4 27" xfId="0"/>
    <cellStyle name="제목 4 2_3300현금및예치금" xfId="0"/>
    <cellStyle name="제목 4 3" xfId="0"/>
    <cellStyle name="제목 4 3 10" xfId="0"/>
    <cellStyle name="제목 4 3 10 2" xfId="0"/>
    <cellStyle name="제목 4 3 11" xfId="0"/>
    <cellStyle name="제목 4 3 11 2" xfId="0"/>
    <cellStyle name="제목 4 3 12" xfId="0"/>
    <cellStyle name="제목 4 3 12 2" xfId="0"/>
    <cellStyle name="제목 4 3 13" xfId="0"/>
    <cellStyle name="제목 4 3 14" xfId="0"/>
    <cellStyle name="제목 4 3 15" xfId="0"/>
    <cellStyle name="제목 4 3 16" xfId="0"/>
    <cellStyle name="제목 4 3 17" xfId="0"/>
    <cellStyle name="제목 4 3 18" xfId="0"/>
    <cellStyle name="제목 4 3 19" xfId="0"/>
    <cellStyle name="제목 4 3 2" xfId="0"/>
    <cellStyle name="제목 4 3 2 2" xfId="0"/>
    <cellStyle name="제목 4 3 2 3" xfId="0"/>
    <cellStyle name="제목 4 3 20" xfId="0"/>
    <cellStyle name="제목 4 3 3" xfId="0"/>
    <cellStyle name="제목 4 3 3 2" xfId="0"/>
    <cellStyle name="제목 4 3 3 3" xfId="0"/>
    <cellStyle name="제목 4 3 4" xfId="0"/>
    <cellStyle name="제목 4 3 4 2" xfId="0"/>
    <cellStyle name="제목 4 3 4 3" xfId="0"/>
    <cellStyle name="제목 4 3 5" xfId="0"/>
    <cellStyle name="제목 4 3 5 2" xfId="0"/>
    <cellStyle name="제목 4 3 5 3" xfId="0"/>
    <cellStyle name="제목 4 3 6" xfId="0"/>
    <cellStyle name="제목 4 3 6 2" xfId="0"/>
    <cellStyle name="제목 4 3 6 3" xfId="0"/>
    <cellStyle name="제목 4 3 7" xfId="0"/>
    <cellStyle name="제목 4 3 7 2" xfId="0"/>
    <cellStyle name="제목 4 3 7 3" xfId="0"/>
    <cellStyle name="제목 4 3 8" xfId="0"/>
    <cellStyle name="제목 4 3 8 2" xfId="0"/>
    <cellStyle name="제목 4 3 8 3" xfId="0"/>
    <cellStyle name="제목 4 3 9" xfId="0"/>
    <cellStyle name="제목 4 3 9 2" xfId="0"/>
    <cellStyle name="제목 4 3_운용자산별 손익분석" xfId="0"/>
    <cellStyle name="제목 4 4" xfId="0"/>
    <cellStyle name="제목 4 4 10" xfId="0"/>
    <cellStyle name="제목 4 4 11" xfId="0"/>
    <cellStyle name="제목 4 4 12" xfId="0"/>
    <cellStyle name="제목 4 4 13" xfId="0"/>
    <cellStyle name="제목 4 4 14" xfId="0"/>
    <cellStyle name="제목 4 4 15" xfId="0"/>
    <cellStyle name="제목 4 4 16" xfId="0"/>
    <cellStyle name="제목 4 4 17" xfId="0"/>
    <cellStyle name="제목 4 4 18" xfId="0"/>
    <cellStyle name="제목 4 4 19" xfId="0"/>
    <cellStyle name="제목 4 4 2" xfId="0"/>
    <cellStyle name="제목 4 4 2 10" xfId="0"/>
    <cellStyle name="제목 4 4 2 11" xfId="0"/>
    <cellStyle name="제목 4 4 2 2" xfId="0"/>
    <cellStyle name="제목 4 4 2 3" xfId="0"/>
    <cellStyle name="제목 4 4 2 4" xfId="0"/>
    <cellStyle name="제목 4 4 2 5" xfId="0"/>
    <cellStyle name="제목 4 4 2 6" xfId="0"/>
    <cellStyle name="제목 4 4 2 7" xfId="0"/>
    <cellStyle name="제목 4 4 2 8" xfId="0"/>
    <cellStyle name="제목 4 4 2 9" xfId="0"/>
    <cellStyle name="제목 4 4 20" xfId="0"/>
    <cellStyle name="제목 4 4 21" xfId="0"/>
    <cellStyle name="제목 4 4 22" xfId="0"/>
    <cellStyle name="제목 4 4 23" xfId="0"/>
    <cellStyle name="제목 4 4 24" xfId="0"/>
    <cellStyle name="제목 4 4 3" xfId="0"/>
    <cellStyle name="제목 4 4 4" xfId="0"/>
    <cellStyle name="제목 4 4 5" xfId="0"/>
    <cellStyle name="제목 4 4 6" xfId="0"/>
    <cellStyle name="제목 4 4 7" xfId="0"/>
    <cellStyle name="제목 4 4 8" xfId="0"/>
    <cellStyle name="제목 4 4 9" xfId="0"/>
    <cellStyle name="제목 4 4_운용자산별 손익분석" xfId="0"/>
    <cellStyle name="제목 4 5" xfId="0"/>
    <cellStyle name="제목 4 5 10" xfId="0"/>
    <cellStyle name="제목 4 5 11" xfId="0"/>
    <cellStyle name="제목 4 5 12" xfId="0"/>
    <cellStyle name="제목 4 5 13" xfId="0"/>
    <cellStyle name="제목 4 5 14" xfId="0"/>
    <cellStyle name="제목 4 5 15" xfId="0"/>
    <cellStyle name="제목 4 5 16" xfId="0"/>
    <cellStyle name="제목 4 5 17" xfId="0"/>
    <cellStyle name="제목 4 5 18" xfId="0"/>
    <cellStyle name="제목 4 5 19" xfId="0"/>
    <cellStyle name="제목 4 5 2" xfId="0"/>
    <cellStyle name="제목 4 5 20" xfId="0"/>
    <cellStyle name="제목 4 5 21" xfId="0"/>
    <cellStyle name="제목 4 5 22" xfId="0"/>
    <cellStyle name="제목 4 5 23" xfId="0"/>
    <cellStyle name="제목 4 5 24" xfId="0"/>
    <cellStyle name="제목 4 5 25" xfId="0"/>
    <cellStyle name="제목 4 5 26" xfId="0"/>
    <cellStyle name="제목 4 5 27" xfId="0"/>
    <cellStyle name="제목 4 5 28" xfId="0"/>
    <cellStyle name="제목 4 5 29" xfId="0"/>
    <cellStyle name="제목 4 5 3" xfId="0"/>
    <cellStyle name="제목 4 5 30" xfId="0"/>
    <cellStyle name="제목 4 5 31" xfId="0"/>
    <cellStyle name="제목 4 5 32" xfId="0"/>
    <cellStyle name="제목 4 5 33" xfId="0"/>
    <cellStyle name="제목 4 5 34" xfId="0"/>
    <cellStyle name="제목 4 5 35" xfId="0"/>
    <cellStyle name="제목 4 5 4" xfId="0"/>
    <cellStyle name="제목 4 5 5" xfId="0"/>
    <cellStyle name="제목 4 5 6" xfId="0"/>
    <cellStyle name="제목 4 5 7" xfId="0"/>
    <cellStyle name="제목 4 5 8" xfId="0"/>
    <cellStyle name="제목 4 5 9" xfId="0"/>
    <cellStyle name="제목 4 6" xfId="0"/>
    <cellStyle name="제목 4 6 10" xfId="0"/>
    <cellStyle name="제목 4 6 11" xfId="0"/>
    <cellStyle name="제목 4 6 12" xfId="0"/>
    <cellStyle name="제목 4 6 13" xfId="0"/>
    <cellStyle name="제목 4 6 14" xfId="0"/>
    <cellStyle name="제목 4 6 15" xfId="0"/>
    <cellStyle name="제목 4 6 16" xfId="0"/>
    <cellStyle name="제목 4 6 17" xfId="0"/>
    <cellStyle name="제목 4 6 18" xfId="0"/>
    <cellStyle name="제목 4 6 19" xfId="0"/>
    <cellStyle name="제목 4 6 2" xfId="0"/>
    <cellStyle name="제목 4 6 20" xfId="0"/>
    <cellStyle name="제목 4 6 21" xfId="0"/>
    <cellStyle name="제목 4 6 22" xfId="0"/>
    <cellStyle name="제목 4 6 23" xfId="0"/>
    <cellStyle name="제목 4 6 24" xfId="0"/>
    <cellStyle name="제목 4 6 25" xfId="0"/>
    <cellStyle name="제목 4 6 26" xfId="0"/>
    <cellStyle name="제목 4 6 27" xfId="0"/>
    <cellStyle name="제목 4 6 28" xfId="0"/>
    <cellStyle name="제목 4 6 29" xfId="0"/>
    <cellStyle name="제목 4 6 3" xfId="0"/>
    <cellStyle name="제목 4 6 30" xfId="0"/>
    <cellStyle name="제목 4 6 31" xfId="0"/>
    <cellStyle name="제목 4 6 4" xfId="0"/>
    <cellStyle name="제목 4 6 5" xfId="0"/>
    <cellStyle name="제목 4 6 6" xfId="0"/>
    <cellStyle name="제목 4 6 7" xfId="0"/>
    <cellStyle name="제목 4 6 8" xfId="0"/>
    <cellStyle name="제목 4 6 9" xfId="0"/>
    <cellStyle name="제목 4 7" xfId="0"/>
    <cellStyle name="제목 4 7 10" xfId="0"/>
    <cellStyle name="제목 4 7 11" xfId="0"/>
    <cellStyle name="제목 4 7 12" xfId="0"/>
    <cellStyle name="제목 4 7 13" xfId="0"/>
    <cellStyle name="제목 4 7 14" xfId="0"/>
    <cellStyle name="제목 4 7 15" xfId="0"/>
    <cellStyle name="제목 4 7 2" xfId="0"/>
    <cellStyle name="제목 4 7 2 2" xfId="0"/>
    <cellStyle name="제목 4 7 3" xfId="0"/>
    <cellStyle name="제목 4 7 3 2" xfId="0"/>
    <cellStyle name="제목 4 7 4" xfId="0"/>
    <cellStyle name="제목 4 7 4 2" xfId="0"/>
    <cellStyle name="제목 4 7 5" xfId="0"/>
    <cellStyle name="제목 4 7 5 2" xfId="0"/>
    <cellStyle name="제목 4 7 6" xfId="0"/>
    <cellStyle name="제목 4 7 6 2" xfId="0"/>
    <cellStyle name="제목 4 7 7" xfId="0"/>
    <cellStyle name="제목 4 7 8" xfId="0"/>
    <cellStyle name="제목 4 7 9" xfId="0"/>
    <cellStyle name="제목 4 8" xfId="0"/>
    <cellStyle name="제목 4 8 10" xfId="0"/>
    <cellStyle name="제목 4 8 11" xfId="0"/>
    <cellStyle name="제목 4 8 12" xfId="0"/>
    <cellStyle name="제목 4 8 13" xfId="0"/>
    <cellStyle name="제목 4 8 14" xfId="0"/>
    <cellStyle name="제목 4 8 2" xfId="0"/>
    <cellStyle name="제목 4 8 2 2" xfId="0"/>
    <cellStyle name="제목 4 8 3" xfId="0"/>
    <cellStyle name="제목 4 8 3 2" xfId="0"/>
    <cellStyle name="제목 4 8 4" xfId="0"/>
    <cellStyle name="제목 4 8 4 2" xfId="0"/>
    <cellStyle name="제목 4 8 5" xfId="0"/>
    <cellStyle name="제목 4 8 5 2" xfId="0"/>
    <cellStyle name="제목 4 8 6" xfId="0"/>
    <cellStyle name="제목 4 8 6 2" xfId="0"/>
    <cellStyle name="제목 4 8 7" xfId="0"/>
    <cellStyle name="제목 4 8 8" xfId="0"/>
    <cellStyle name="제목 4 8 9" xfId="0"/>
    <cellStyle name="제목 4 9" xfId="0"/>
    <cellStyle name="제목 4 9 10" xfId="0"/>
    <cellStyle name="제목 4 9 11" xfId="0"/>
    <cellStyle name="제목 4 9 12" xfId="0"/>
    <cellStyle name="제목 4 9 13" xfId="0"/>
    <cellStyle name="제목 4 9 14" xfId="0"/>
    <cellStyle name="제목 4 9 2" xfId="0"/>
    <cellStyle name="제목 4 9 2 2" xfId="0"/>
    <cellStyle name="제목 4 9 3" xfId="0"/>
    <cellStyle name="제목 4 9 3 2" xfId="0"/>
    <cellStyle name="제목 4 9 4" xfId="0"/>
    <cellStyle name="제목 4 9 4 2" xfId="0"/>
    <cellStyle name="제목 4 9 5" xfId="0"/>
    <cellStyle name="제목 4 9 5 2" xfId="0"/>
    <cellStyle name="제목 4 9 6" xfId="0"/>
    <cellStyle name="제목 4 9 6 2" xfId="0"/>
    <cellStyle name="제목 4 9 7" xfId="0"/>
    <cellStyle name="제목 4 9 8" xfId="0"/>
    <cellStyle name="제목 4 9 9" xfId="0"/>
    <cellStyle name="제목 5" xfId="0"/>
    <cellStyle name="제목 5 10" xfId="0"/>
    <cellStyle name="제목 5 11" xfId="0"/>
    <cellStyle name="제목 5 12" xfId="0"/>
    <cellStyle name="제목 5 13" xfId="0"/>
    <cellStyle name="제목 5 13 2" xfId="0"/>
    <cellStyle name="제목 5 14" xfId="0"/>
    <cellStyle name="제목 5 15" xfId="0"/>
    <cellStyle name="제목 5 16" xfId="0"/>
    <cellStyle name="제목 5 17" xfId="0"/>
    <cellStyle name="제목 5 18" xfId="0"/>
    <cellStyle name="제목 5 2" xfId="0"/>
    <cellStyle name="제목 5 2 10" xfId="0"/>
    <cellStyle name="제목 5 2 2" xfId="0"/>
    <cellStyle name="제목 5 2 3" xfId="0"/>
    <cellStyle name="제목 5 2 4" xfId="0"/>
    <cellStyle name="제목 5 2 5" xfId="0"/>
    <cellStyle name="제목 5 2 6" xfId="0"/>
    <cellStyle name="제목 5 2 7" xfId="0"/>
    <cellStyle name="제목 5 2 8" xfId="0"/>
    <cellStyle name="제목 5 2 9" xfId="0"/>
    <cellStyle name="제목 5 3" xfId="0"/>
    <cellStyle name="제목 5 3 10" xfId="0"/>
    <cellStyle name="제목 5 3 2" xfId="0"/>
    <cellStyle name="제목 5 3 3" xfId="0"/>
    <cellStyle name="제목 5 3 4" xfId="0"/>
    <cellStyle name="제목 5 3 5" xfId="0"/>
    <cellStyle name="제목 5 3 6" xfId="0"/>
    <cellStyle name="제목 5 3 7" xfId="0"/>
    <cellStyle name="제목 5 3 8" xfId="0"/>
    <cellStyle name="제목 5 3 9" xfId="0"/>
    <cellStyle name="제목 5 4" xfId="0"/>
    <cellStyle name="제목 5 4 10" xfId="0"/>
    <cellStyle name="제목 5 4 2" xfId="0"/>
    <cellStyle name="제목 5 4 3" xfId="0"/>
    <cellStyle name="제목 5 4 4" xfId="0"/>
    <cellStyle name="제목 5 4 5" xfId="0"/>
    <cellStyle name="제목 5 4 6" xfId="0"/>
    <cellStyle name="제목 5 4 7" xfId="0"/>
    <cellStyle name="제목 5 4 8" xfId="0"/>
    <cellStyle name="제목 5 4 9" xfId="0"/>
    <cellStyle name="제목 5 5" xfId="0"/>
    <cellStyle name="제목 5 5 10" xfId="0"/>
    <cellStyle name="제목 5 5 2" xfId="0"/>
    <cellStyle name="제목 5 5 3" xfId="0"/>
    <cellStyle name="제목 5 5 4" xfId="0"/>
    <cellStyle name="제목 5 5 5" xfId="0"/>
    <cellStyle name="제목 5 5 6" xfId="0"/>
    <cellStyle name="제목 5 5 7" xfId="0"/>
    <cellStyle name="제목 5 5 8" xfId="0"/>
    <cellStyle name="제목 5 5 9" xfId="0"/>
    <cellStyle name="제목 5 6" xfId="0"/>
    <cellStyle name="제목 5 6 10" xfId="0"/>
    <cellStyle name="제목 5 6 2" xfId="0"/>
    <cellStyle name="제목 5 6 3" xfId="0"/>
    <cellStyle name="제목 5 6 4" xfId="0"/>
    <cellStyle name="제목 5 6 5" xfId="0"/>
    <cellStyle name="제목 5 6 6" xfId="0"/>
    <cellStyle name="제목 5 6 7" xfId="0"/>
    <cellStyle name="제목 5 6 8" xfId="0"/>
    <cellStyle name="제목 5 6 9" xfId="0"/>
    <cellStyle name="제목 5 7" xfId="0"/>
    <cellStyle name="제목 5 7 10" xfId="0"/>
    <cellStyle name="제목 5 7 2" xfId="0"/>
    <cellStyle name="제목 5 7 3" xfId="0"/>
    <cellStyle name="제목 5 7 4" xfId="0"/>
    <cellStyle name="제목 5 7 5" xfId="0"/>
    <cellStyle name="제목 5 7 6" xfId="0"/>
    <cellStyle name="제목 5 7 7" xfId="0"/>
    <cellStyle name="제목 5 7 8" xfId="0"/>
    <cellStyle name="제목 5 7 9" xfId="0"/>
    <cellStyle name="제목 5 8" xfId="0"/>
    <cellStyle name="제목 5 8 2" xfId="0"/>
    <cellStyle name="제목 5 9" xfId="0"/>
    <cellStyle name="제목 5_3300현금및예치금" xfId="0"/>
    <cellStyle name="제목 6" xfId="0"/>
    <cellStyle name="제목 6 10" xfId="0"/>
    <cellStyle name="제목 6 10 2" xfId="0"/>
    <cellStyle name="제목 6 11" xfId="0"/>
    <cellStyle name="제목 6 11 2" xfId="0"/>
    <cellStyle name="제목 6 12" xfId="0"/>
    <cellStyle name="제목 6 12 2" xfId="0"/>
    <cellStyle name="제목 6 13" xfId="0"/>
    <cellStyle name="제목 6 14" xfId="0"/>
    <cellStyle name="제목 6 15" xfId="0"/>
    <cellStyle name="제목 6 16" xfId="0"/>
    <cellStyle name="제목 6 17" xfId="0"/>
    <cellStyle name="제목 6 18" xfId="0"/>
    <cellStyle name="제목 6 19" xfId="0"/>
    <cellStyle name="제목 6 2" xfId="0"/>
    <cellStyle name="제목 6 2 2" xfId="0"/>
    <cellStyle name="제목 6 2 3" xfId="0"/>
    <cellStyle name="제목 6 20" xfId="0"/>
    <cellStyle name="제목 6 3" xfId="0"/>
    <cellStyle name="제목 6 3 2" xfId="0"/>
    <cellStyle name="제목 6 3 3" xfId="0"/>
    <cellStyle name="제목 6 4" xfId="0"/>
    <cellStyle name="제목 6 4 2" xfId="0"/>
    <cellStyle name="제목 6 4 3" xfId="0"/>
    <cellStyle name="제목 6 5" xfId="0"/>
    <cellStyle name="제목 6 5 2" xfId="0"/>
    <cellStyle name="제목 6 5 3" xfId="0"/>
    <cellStyle name="제목 6 6" xfId="0"/>
    <cellStyle name="제목 6 6 2" xfId="0"/>
    <cellStyle name="제목 6 6 3" xfId="0"/>
    <cellStyle name="제목 6 7" xfId="0"/>
    <cellStyle name="제목 6 7 2" xfId="0"/>
    <cellStyle name="제목 6 7 3" xfId="0"/>
    <cellStyle name="제목 6 8" xfId="0"/>
    <cellStyle name="제목 6 8 2" xfId="0"/>
    <cellStyle name="제목 6 8 3" xfId="0"/>
    <cellStyle name="제목 6 9" xfId="0"/>
    <cellStyle name="제목 6 9 2" xfId="0"/>
    <cellStyle name="제목 6_운용자산별 손익분석" xfId="0"/>
    <cellStyle name="제목 7" xfId="0"/>
    <cellStyle name="제목 7 10" xfId="0"/>
    <cellStyle name="제목 7 11" xfId="0"/>
    <cellStyle name="제목 7 12" xfId="0"/>
    <cellStyle name="제목 7 13" xfId="0"/>
    <cellStyle name="제목 7 14" xfId="0"/>
    <cellStyle name="제목 7 15" xfId="0"/>
    <cellStyle name="제목 7 16" xfId="0"/>
    <cellStyle name="제목 7 17" xfId="0"/>
    <cellStyle name="제목 7 18" xfId="0"/>
    <cellStyle name="제목 7 19" xfId="0"/>
    <cellStyle name="제목 7 2" xfId="0"/>
    <cellStyle name="제목 7 2 10" xfId="0"/>
    <cellStyle name="제목 7 2 11" xfId="0"/>
    <cellStyle name="제목 7 2 2" xfId="0"/>
    <cellStyle name="제목 7 2 3" xfId="0"/>
    <cellStyle name="제목 7 2 4" xfId="0"/>
    <cellStyle name="제목 7 2 5" xfId="0"/>
    <cellStyle name="제목 7 2 6" xfId="0"/>
    <cellStyle name="제목 7 2 7" xfId="0"/>
    <cellStyle name="제목 7 2 8" xfId="0"/>
    <cellStyle name="제목 7 2 9" xfId="0"/>
    <cellStyle name="제목 7 20" xfId="0"/>
    <cellStyle name="제목 7 21" xfId="0"/>
    <cellStyle name="제목 7 22" xfId="0"/>
    <cellStyle name="제목 7 23" xfId="0"/>
    <cellStyle name="제목 7 3" xfId="0"/>
    <cellStyle name="제목 7 4" xfId="0"/>
    <cellStyle name="제목 7 5" xfId="0"/>
    <cellStyle name="제목 7 6" xfId="0"/>
    <cellStyle name="제목 7 7" xfId="0"/>
    <cellStyle name="제목 7 8" xfId="0"/>
    <cellStyle name="제목 7 9" xfId="0"/>
    <cellStyle name="제목 7_운용자산별 손익분석" xfId="0"/>
    <cellStyle name="제목 8" xfId="0"/>
    <cellStyle name="제목 8 10" xfId="0"/>
    <cellStyle name="제목 8 11" xfId="0"/>
    <cellStyle name="제목 8 12" xfId="0"/>
    <cellStyle name="제목 8 13" xfId="0"/>
    <cellStyle name="제목 8 14" xfId="0"/>
    <cellStyle name="제목 8 15" xfId="0"/>
    <cellStyle name="제목 8 16" xfId="0"/>
    <cellStyle name="제목 8 17" xfId="0"/>
    <cellStyle name="제목 8 18" xfId="0"/>
    <cellStyle name="제목 8 19" xfId="0"/>
    <cellStyle name="제목 8 2" xfId="0"/>
    <cellStyle name="제목 8 20" xfId="0"/>
    <cellStyle name="제목 8 21" xfId="0"/>
    <cellStyle name="제목 8 22" xfId="0"/>
    <cellStyle name="제목 8 23" xfId="0"/>
    <cellStyle name="제목 8 24" xfId="0"/>
    <cellStyle name="제목 8 25" xfId="0"/>
    <cellStyle name="제목 8 26" xfId="0"/>
    <cellStyle name="제목 8 27" xfId="0"/>
    <cellStyle name="제목 8 28" xfId="0"/>
    <cellStyle name="제목 8 29" xfId="0"/>
    <cellStyle name="제목 8 3" xfId="0"/>
    <cellStyle name="제목 8 30" xfId="0"/>
    <cellStyle name="제목 8 31" xfId="0"/>
    <cellStyle name="제목 8 32" xfId="0"/>
    <cellStyle name="제목 8 33" xfId="0"/>
    <cellStyle name="제목 8 34" xfId="0"/>
    <cellStyle name="제목 8 4" xfId="0"/>
    <cellStyle name="제목 8 5" xfId="0"/>
    <cellStyle name="제목 8 6" xfId="0"/>
    <cellStyle name="제목 8 7" xfId="0"/>
    <cellStyle name="제목 8 8" xfId="0"/>
    <cellStyle name="제목 8 9" xfId="0"/>
    <cellStyle name="제목 9" xfId="0"/>
    <cellStyle name="제목 9 10" xfId="0"/>
    <cellStyle name="제목 9 11" xfId="0"/>
    <cellStyle name="제목 9 12" xfId="0"/>
    <cellStyle name="제목 9 13" xfId="0"/>
    <cellStyle name="제목 9 14" xfId="0"/>
    <cellStyle name="제목 9 15" xfId="0"/>
    <cellStyle name="제목 9 16" xfId="0"/>
    <cellStyle name="제목 9 17" xfId="0"/>
    <cellStyle name="제목 9 18" xfId="0"/>
    <cellStyle name="제목 9 19" xfId="0"/>
    <cellStyle name="제목 9 2" xfId="0"/>
    <cellStyle name="제목 9 20" xfId="0"/>
    <cellStyle name="제목 9 21" xfId="0"/>
    <cellStyle name="제목 9 22" xfId="0"/>
    <cellStyle name="제목 9 23" xfId="0"/>
    <cellStyle name="제목 9 24" xfId="0"/>
    <cellStyle name="제목 9 25" xfId="0"/>
    <cellStyle name="제목 9 26" xfId="0"/>
    <cellStyle name="제목 9 27" xfId="0"/>
    <cellStyle name="제목 9 28" xfId="0"/>
    <cellStyle name="제목 9 29" xfId="0"/>
    <cellStyle name="제목 9 3" xfId="0"/>
    <cellStyle name="제목 9 30" xfId="0"/>
    <cellStyle name="제목 9 4" xfId="0"/>
    <cellStyle name="제목 9 5" xfId="0"/>
    <cellStyle name="제목 9 6" xfId="0"/>
    <cellStyle name="제목 9 7" xfId="0"/>
    <cellStyle name="제목 9 8" xfId="0"/>
    <cellStyle name="제목 9 9" xfId="0"/>
    <cellStyle name="제목1" xfId="0"/>
    <cellStyle name="제목2" xfId="0"/>
    <cellStyle name="좋은양식" xfId="0"/>
    <cellStyle name="좋음 10" xfId="0"/>
    <cellStyle name="좋음 10 2" xfId="0"/>
    <cellStyle name="좋음 10 2 2" xfId="0"/>
    <cellStyle name="좋음 10 3" xfId="0"/>
    <cellStyle name="좋음 10 3 2" xfId="0"/>
    <cellStyle name="좋음 10 4" xfId="0"/>
    <cellStyle name="좋음 10 4 2" xfId="0"/>
    <cellStyle name="좋음 10 5" xfId="0"/>
    <cellStyle name="좋음 10 6" xfId="0"/>
    <cellStyle name="좋음 10 7" xfId="0"/>
    <cellStyle name="좋음 11" xfId="0"/>
    <cellStyle name="좋음 11 2" xfId="0"/>
    <cellStyle name="좋음 11 2 2" xfId="0"/>
    <cellStyle name="좋음 11 3" xfId="0"/>
    <cellStyle name="좋음 11 3 2" xfId="0"/>
    <cellStyle name="좋음 11 4" xfId="0"/>
    <cellStyle name="좋음 11 4 2" xfId="0"/>
    <cellStyle name="좋음 11 5" xfId="0"/>
    <cellStyle name="좋음 11 6" xfId="0"/>
    <cellStyle name="좋음 11 7" xfId="0"/>
    <cellStyle name="좋음 12" xfId="0"/>
    <cellStyle name="좋음 12 2" xfId="0"/>
    <cellStyle name="좋음 12 3" xfId="0"/>
    <cellStyle name="좋음 12 4" xfId="0"/>
    <cellStyle name="좋음 12 5" xfId="0"/>
    <cellStyle name="좋음 13" xfId="0"/>
    <cellStyle name="좋음 13 2" xfId="0"/>
    <cellStyle name="좋음 13 3" xfId="0"/>
    <cellStyle name="좋음 13 4" xfId="0"/>
    <cellStyle name="좋음 13 5" xfId="0"/>
    <cellStyle name="좋음 14" xfId="0"/>
    <cellStyle name="좋음 14 2" xfId="0"/>
    <cellStyle name="좋음 14 3" xfId="0"/>
    <cellStyle name="좋음 15" xfId="0"/>
    <cellStyle name="좋음 15 2" xfId="0"/>
    <cellStyle name="좋음 16" xfId="0"/>
    <cellStyle name="좋음 16 2" xfId="0"/>
    <cellStyle name="좋음 17" xfId="0"/>
    <cellStyle name="좋음 17 2" xfId="0"/>
    <cellStyle name="좋음 18" xfId="0"/>
    <cellStyle name="좋음 19" xfId="0"/>
    <cellStyle name="좋음 2" xfId="0"/>
    <cellStyle name="좋음 2 10" xfId="0"/>
    <cellStyle name="좋음 2 11" xfId="0"/>
    <cellStyle name="좋음 2 12" xfId="0"/>
    <cellStyle name="좋음 2 13" xfId="0"/>
    <cellStyle name="좋음 2 14" xfId="0"/>
    <cellStyle name="좋음 2 15" xfId="0"/>
    <cellStyle name="좋음 2 16" xfId="0"/>
    <cellStyle name="좋음 2 17" xfId="0"/>
    <cellStyle name="좋음 2 2" xfId="0"/>
    <cellStyle name="좋음 2 2 10" xfId="0"/>
    <cellStyle name="좋음 2 2 2" xfId="0"/>
    <cellStyle name="좋음 2 2 3" xfId="0"/>
    <cellStyle name="좋음 2 2 4" xfId="0"/>
    <cellStyle name="좋음 2 2 5" xfId="0"/>
    <cellStyle name="좋음 2 2 6" xfId="0"/>
    <cellStyle name="좋음 2 2 7" xfId="0"/>
    <cellStyle name="좋음 2 2 8" xfId="0"/>
    <cellStyle name="좋음 2 2 9" xfId="0"/>
    <cellStyle name="좋음 2 3" xfId="0"/>
    <cellStyle name="좋음 2 3 10" xfId="0"/>
    <cellStyle name="좋음 2 3 2" xfId="0"/>
    <cellStyle name="좋음 2 3 3" xfId="0"/>
    <cellStyle name="좋음 2 3 4" xfId="0"/>
    <cellStyle name="좋음 2 3 5" xfId="0"/>
    <cellStyle name="좋음 2 3 6" xfId="0"/>
    <cellStyle name="좋음 2 3 7" xfId="0"/>
    <cellStyle name="좋음 2 3 8" xfId="0"/>
    <cellStyle name="좋음 2 3 9" xfId="0"/>
    <cellStyle name="좋음 2 4" xfId="0"/>
    <cellStyle name="좋음 2 4 10" xfId="0"/>
    <cellStyle name="좋음 2 4 2" xfId="0"/>
    <cellStyle name="좋음 2 4 3" xfId="0"/>
    <cellStyle name="좋음 2 4 4" xfId="0"/>
    <cellStyle name="좋음 2 4 5" xfId="0"/>
    <cellStyle name="좋음 2 4 6" xfId="0"/>
    <cellStyle name="좋음 2 4 7" xfId="0"/>
    <cellStyle name="좋음 2 4 8" xfId="0"/>
    <cellStyle name="좋음 2 4 9" xfId="0"/>
    <cellStyle name="좋음 2 5" xfId="0"/>
    <cellStyle name="좋음 2 5 10" xfId="0"/>
    <cellStyle name="좋음 2 5 2" xfId="0"/>
    <cellStyle name="좋음 2 5 3" xfId="0"/>
    <cellStyle name="좋음 2 5 4" xfId="0"/>
    <cellStyle name="좋음 2 5 5" xfId="0"/>
    <cellStyle name="좋음 2 5 6" xfId="0"/>
    <cellStyle name="좋음 2 5 7" xfId="0"/>
    <cellStyle name="좋음 2 5 8" xfId="0"/>
    <cellStyle name="좋음 2 5 9" xfId="0"/>
    <cellStyle name="좋음 2 6" xfId="0"/>
    <cellStyle name="좋음 2 6 10" xfId="0"/>
    <cellStyle name="좋음 2 6 2" xfId="0"/>
    <cellStyle name="좋음 2 6 3" xfId="0"/>
    <cellStyle name="좋음 2 6 4" xfId="0"/>
    <cellStyle name="좋음 2 6 5" xfId="0"/>
    <cellStyle name="좋음 2 6 6" xfId="0"/>
    <cellStyle name="좋음 2 6 7" xfId="0"/>
    <cellStyle name="좋음 2 6 8" xfId="0"/>
    <cellStyle name="좋음 2 6 9" xfId="0"/>
    <cellStyle name="좋음 2 7" xfId="0"/>
    <cellStyle name="좋음 2 7 10" xfId="0"/>
    <cellStyle name="좋음 2 7 2" xfId="0"/>
    <cellStyle name="좋음 2 7 3" xfId="0"/>
    <cellStyle name="좋음 2 7 4" xfId="0"/>
    <cellStyle name="좋음 2 7 5" xfId="0"/>
    <cellStyle name="좋음 2 7 6" xfId="0"/>
    <cellStyle name="좋음 2 7 7" xfId="0"/>
    <cellStyle name="좋음 2 7 8" xfId="0"/>
    <cellStyle name="좋음 2 7 9" xfId="0"/>
    <cellStyle name="좋음 2 8" xfId="0"/>
    <cellStyle name="좋음 2 8 2" xfId="0"/>
    <cellStyle name="좋음 2 9" xfId="0"/>
    <cellStyle name="좋음 20" xfId="0"/>
    <cellStyle name="좋음 21" xfId="0"/>
    <cellStyle name="좋음 22" xfId="0"/>
    <cellStyle name="좋음 23" xfId="0"/>
    <cellStyle name="좋음 24" xfId="0"/>
    <cellStyle name="좋음 25" xfId="0"/>
    <cellStyle name="좋음 26" xfId="0"/>
    <cellStyle name="좋음 27" xfId="0"/>
    <cellStyle name="좋음 2_3300현금및예치금" xfId="0"/>
    <cellStyle name="좋음 3" xfId="0"/>
    <cellStyle name="좋음 3 10" xfId="0"/>
    <cellStyle name="좋음 3 10 2" xfId="0"/>
    <cellStyle name="좋음 3 11" xfId="0"/>
    <cellStyle name="좋음 3 11 2" xfId="0"/>
    <cellStyle name="좋음 3 12" xfId="0"/>
    <cellStyle name="좋음 3 12 2" xfId="0"/>
    <cellStyle name="좋음 3 13" xfId="0"/>
    <cellStyle name="좋음 3 14" xfId="0"/>
    <cellStyle name="좋음 3 15" xfId="0"/>
    <cellStyle name="좋음 3 16" xfId="0"/>
    <cellStyle name="좋음 3 17" xfId="0"/>
    <cellStyle name="좋음 3 18" xfId="0"/>
    <cellStyle name="좋음 3 19" xfId="0"/>
    <cellStyle name="좋음 3 2" xfId="0"/>
    <cellStyle name="좋음 3 2 2" xfId="0"/>
    <cellStyle name="좋음 3 2 3" xfId="0"/>
    <cellStyle name="좋음 3 20" xfId="0"/>
    <cellStyle name="좋음 3 21" xfId="0"/>
    <cellStyle name="좋음 3 3" xfId="0"/>
    <cellStyle name="좋음 3 3 2" xfId="0"/>
    <cellStyle name="좋음 3 3 3" xfId="0"/>
    <cellStyle name="좋음 3 4" xfId="0"/>
    <cellStyle name="좋음 3 4 2" xfId="0"/>
    <cellStyle name="좋음 3 4 3" xfId="0"/>
    <cellStyle name="좋음 3 5" xfId="0"/>
    <cellStyle name="좋음 3 5 2" xfId="0"/>
    <cellStyle name="좋음 3 5 3" xfId="0"/>
    <cellStyle name="좋음 3 6" xfId="0"/>
    <cellStyle name="좋음 3 6 2" xfId="0"/>
    <cellStyle name="좋음 3 6 3" xfId="0"/>
    <cellStyle name="좋음 3 7" xfId="0"/>
    <cellStyle name="좋음 3 7 2" xfId="0"/>
    <cellStyle name="좋음 3 7 3" xfId="0"/>
    <cellStyle name="좋음 3 8" xfId="0"/>
    <cellStyle name="좋음 3 8 2" xfId="0"/>
    <cellStyle name="좋음 3 8 3" xfId="0"/>
    <cellStyle name="좋음 3 9" xfId="0"/>
    <cellStyle name="좋음 3 9 2" xfId="0"/>
    <cellStyle name="좋음 3_운용자산별 손익분석" xfId="0"/>
    <cellStyle name="좋음 4" xfId="0"/>
    <cellStyle name="좋음 4 10" xfId="0"/>
    <cellStyle name="좋음 4 11" xfId="0"/>
    <cellStyle name="좋음 4 12" xfId="0"/>
    <cellStyle name="좋음 4 13" xfId="0"/>
    <cellStyle name="좋음 4 14" xfId="0"/>
    <cellStyle name="좋음 4 15" xfId="0"/>
    <cellStyle name="좋음 4 16" xfId="0"/>
    <cellStyle name="좋음 4 17" xfId="0"/>
    <cellStyle name="좋음 4 18" xfId="0"/>
    <cellStyle name="좋음 4 19" xfId="0"/>
    <cellStyle name="좋음 4 2" xfId="0"/>
    <cellStyle name="좋음 4 2 10" xfId="0"/>
    <cellStyle name="좋음 4 2 11" xfId="0"/>
    <cellStyle name="좋음 4 2 2" xfId="0"/>
    <cellStyle name="좋음 4 2 3" xfId="0"/>
    <cellStyle name="좋음 4 2 4" xfId="0"/>
    <cellStyle name="좋음 4 2 5" xfId="0"/>
    <cellStyle name="좋음 4 2 6" xfId="0"/>
    <cellStyle name="좋음 4 2 7" xfId="0"/>
    <cellStyle name="좋음 4 2 8" xfId="0"/>
    <cellStyle name="좋음 4 2 9" xfId="0"/>
    <cellStyle name="좋음 4 20" xfId="0"/>
    <cellStyle name="좋음 4 21" xfId="0"/>
    <cellStyle name="좋음 4 22" xfId="0"/>
    <cellStyle name="좋음 4 23" xfId="0"/>
    <cellStyle name="좋음 4 24" xfId="0"/>
    <cellStyle name="좋음 4 3" xfId="0"/>
    <cellStyle name="좋음 4 4" xfId="0"/>
    <cellStyle name="좋음 4 5" xfId="0"/>
    <cellStyle name="좋음 4 6" xfId="0"/>
    <cellStyle name="좋음 4 7" xfId="0"/>
    <cellStyle name="좋음 4 8" xfId="0"/>
    <cellStyle name="좋음 4 9" xfId="0"/>
    <cellStyle name="좋음 4_운용자산별 손익분석" xfId="0"/>
    <cellStyle name="좋음 5" xfId="0"/>
    <cellStyle name="좋음 5 10" xfId="0"/>
    <cellStyle name="좋음 5 11" xfId="0"/>
    <cellStyle name="좋음 5 12" xfId="0"/>
    <cellStyle name="좋음 5 13" xfId="0"/>
    <cellStyle name="좋음 5 14" xfId="0"/>
    <cellStyle name="좋음 5 15" xfId="0"/>
    <cellStyle name="좋음 5 16" xfId="0"/>
    <cellStyle name="좋음 5 17" xfId="0"/>
    <cellStyle name="좋음 5 18" xfId="0"/>
    <cellStyle name="좋음 5 19" xfId="0"/>
    <cellStyle name="좋음 5 2" xfId="0"/>
    <cellStyle name="좋음 5 20" xfId="0"/>
    <cellStyle name="좋음 5 21" xfId="0"/>
    <cellStyle name="좋음 5 22" xfId="0"/>
    <cellStyle name="좋음 5 23" xfId="0"/>
    <cellStyle name="좋음 5 24" xfId="0"/>
    <cellStyle name="좋음 5 25" xfId="0"/>
    <cellStyle name="좋음 5 26" xfId="0"/>
    <cellStyle name="좋음 5 27" xfId="0"/>
    <cellStyle name="좋음 5 28" xfId="0"/>
    <cellStyle name="좋음 5 29" xfId="0"/>
    <cellStyle name="좋음 5 3" xfId="0"/>
    <cellStyle name="좋음 5 30" xfId="0"/>
    <cellStyle name="좋음 5 31" xfId="0"/>
    <cellStyle name="좋음 5 32" xfId="0"/>
    <cellStyle name="좋음 5 33" xfId="0"/>
    <cellStyle name="좋음 5 34" xfId="0"/>
    <cellStyle name="좋음 5 35" xfId="0"/>
    <cellStyle name="좋음 5 4" xfId="0"/>
    <cellStyle name="좋음 5 5" xfId="0"/>
    <cellStyle name="좋음 5 6" xfId="0"/>
    <cellStyle name="좋음 5 7" xfId="0"/>
    <cellStyle name="좋음 5 8" xfId="0"/>
    <cellStyle name="좋음 5 9" xfId="0"/>
    <cellStyle name="좋음 6" xfId="0"/>
    <cellStyle name="좋음 6 10" xfId="0"/>
    <cellStyle name="좋음 6 11" xfId="0"/>
    <cellStyle name="좋음 6 12" xfId="0"/>
    <cellStyle name="좋음 6 13" xfId="0"/>
    <cellStyle name="좋음 6 14" xfId="0"/>
    <cellStyle name="좋음 6 15" xfId="0"/>
    <cellStyle name="좋음 6 16" xfId="0"/>
    <cellStyle name="좋음 6 17" xfId="0"/>
    <cellStyle name="좋음 6 18" xfId="0"/>
    <cellStyle name="좋음 6 19" xfId="0"/>
    <cellStyle name="좋음 6 2" xfId="0"/>
    <cellStyle name="좋음 6 20" xfId="0"/>
    <cellStyle name="좋음 6 21" xfId="0"/>
    <cellStyle name="좋음 6 22" xfId="0"/>
    <cellStyle name="좋음 6 23" xfId="0"/>
    <cellStyle name="좋음 6 24" xfId="0"/>
    <cellStyle name="좋음 6 25" xfId="0"/>
    <cellStyle name="좋음 6 26" xfId="0"/>
    <cellStyle name="좋음 6 27" xfId="0"/>
    <cellStyle name="좋음 6 28" xfId="0"/>
    <cellStyle name="좋음 6 29" xfId="0"/>
    <cellStyle name="좋음 6 3" xfId="0"/>
    <cellStyle name="좋음 6 30" xfId="0"/>
    <cellStyle name="좋음 6 31" xfId="0"/>
    <cellStyle name="좋음 6 4" xfId="0"/>
    <cellStyle name="좋음 6 5" xfId="0"/>
    <cellStyle name="좋음 6 6" xfId="0"/>
    <cellStyle name="좋음 6 7" xfId="0"/>
    <cellStyle name="좋음 6 8" xfId="0"/>
    <cellStyle name="좋음 6 9" xfId="0"/>
    <cellStyle name="좋음 7" xfId="0"/>
    <cellStyle name="좋음 7 10" xfId="0"/>
    <cellStyle name="좋음 7 11" xfId="0"/>
    <cellStyle name="좋음 7 12" xfId="0"/>
    <cellStyle name="좋음 7 13" xfId="0"/>
    <cellStyle name="좋음 7 14" xfId="0"/>
    <cellStyle name="좋음 7 15" xfId="0"/>
    <cellStyle name="좋음 7 2" xfId="0"/>
    <cellStyle name="좋음 7 2 2" xfId="0"/>
    <cellStyle name="좋음 7 3" xfId="0"/>
    <cellStyle name="좋음 7 3 2" xfId="0"/>
    <cellStyle name="좋음 7 4" xfId="0"/>
    <cellStyle name="좋음 7 4 2" xfId="0"/>
    <cellStyle name="좋음 7 5" xfId="0"/>
    <cellStyle name="좋음 7 5 2" xfId="0"/>
    <cellStyle name="좋음 7 6" xfId="0"/>
    <cellStyle name="좋음 7 6 2" xfId="0"/>
    <cellStyle name="좋음 7 7" xfId="0"/>
    <cellStyle name="좋음 7 8" xfId="0"/>
    <cellStyle name="좋음 7 9" xfId="0"/>
    <cellStyle name="좋음 8" xfId="0"/>
    <cellStyle name="좋음 8 10" xfId="0"/>
    <cellStyle name="좋음 8 11" xfId="0"/>
    <cellStyle name="좋음 8 12" xfId="0"/>
    <cellStyle name="좋음 8 13" xfId="0"/>
    <cellStyle name="좋음 8 14" xfId="0"/>
    <cellStyle name="좋음 8 2" xfId="0"/>
    <cellStyle name="좋음 8 2 2" xfId="0"/>
    <cellStyle name="좋음 8 3" xfId="0"/>
    <cellStyle name="좋음 8 3 2" xfId="0"/>
    <cellStyle name="좋음 8 4" xfId="0"/>
    <cellStyle name="좋음 8 4 2" xfId="0"/>
    <cellStyle name="좋음 8 5" xfId="0"/>
    <cellStyle name="좋음 8 5 2" xfId="0"/>
    <cellStyle name="좋음 8 6" xfId="0"/>
    <cellStyle name="좋음 8 6 2" xfId="0"/>
    <cellStyle name="좋음 8 7" xfId="0"/>
    <cellStyle name="좋음 8 8" xfId="0"/>
    <cellStyle name="좋음 8 9" xfId="0"/>
    <cellStyle name="좋음 9" xfId="0"/>
    <cellStyle name="좋음 9 10" xfId="0"/>
    <cellStyle name="좋음 9 11" xfId="0"/>
    <cellStyle name="좋음 9 12" xfId="0"/>
    <cellStyle name="좋음 9 13" xfId="0"/>
    <cellStyle name="좋음 9 14" xfId="0"/>
    <cellStyle name="좋음 9 2" xfId="0"/>
    <cellStyle name="좋음 9 2 2" xfId="0"/>
    <cellStyle name="좋음 9 3" xfId="0"/>
    <cellStyle name="좋음 9 3 2" xfId="0"/>
    <cellStyle name="좋음 9 4" xfId="0"/>
    <cellStyle name="좋음 9 4 2" xfId="0"/>
    <cellStyle name="좋음 9 5" xfId="0"/>
    <cellStyle name="좋음 9 5 2" xfId="0"/>
    <cellStyle name="좋음 9 6" xfId="0"/>
    <cellStyle name="좋음 9 6 2" xfId="0"/>
    <cellStyle name="좋음 9 7" xfId="0"/>
    <cellStyle name="좋음 9 8" xfId="0"/>
    <cellStyle name="좋음 9 9" xfId="0"/>
    <cellStyle name="주의항목" xfId="0"/>
    <cellStyle name="줄바꾸기" xfId="0"/>
    <cellStyle name="줄바꿈" xfId="0"/>
    <cellStyle name="줄바꿈(중앙)" xfId="0"/>
    <cellStyle name="중앙(표준)" xfId="0"/>
    <cellStyle name="즂" xfId="0"/>
    <cellStyle name="지정되지 않음" xfId="0"/>
    <cellStyle name="지정되지 않음 10" xfId="0"/>
    <cellStyle name="지정되지 않음 11" xfId="0"/>
    <cellStyle name="지정되지 않음 12" xfId="0"/>
    <cellStyle name="지정되지 않음 13" xfId="0"/>
    <cellStyle name="지정되지 않음 14" xfId="0"/>
    <cellStyle name="지정되지 않음 15" xfId="0"/>
    <cellStyle name="지정되지 않음 16" xfId="0"/>
    <cellStyle name="지정되지 않음 17" xfId="0"/>
    <cellStyle name="지정되지 않음 2" xfId="0"/>
    <cellStyle name="지정되지 않음 2 10" xfId="0"/>
    <cellStyle name="지정되지 않음 2 2" xfId="0"/>
    <cellStyle name="지정되지 않음 2 3" xfId="0"/>
    <cellStyle name="지정되지 않음 2 4" xfId="0"/>
    <cellStyle name="지정되지 않음 2 5" xfId="0"/>
    <cellStyle name="지정되지 않음 2 6" xfId="0"/>
    <cellStyle name="지정되지 않음 2 7" xfId="0"/>
    <cellStyle name="지정되지 않음 2 8" xfId="0"/>
    <cellStyle name="지정되지 않음 2 9" xfId="0"/>
    <cellStyle name="지정되지 않음 3" xfId="0"/>
    <cellStyle name="지정되지 않음 4" xfId="0"/>
    <cellStyle name="지정되지 않음 5" xfId="0"/>
    <cellStyle name="지정되지 않음 6" xfId="0"/>
    <cellStyle name="지정되지 않음 7" xfId="0"/>
    <cellStyle name="지정되지 않음 8" xfId="0"/>
    <cellStyle name="지정되지 않음 9" xfId="0"/>
    <cellStyle name="쨊ㅐ쫨E0899intecosch" xfId="0"/>
    <cellStyle name="쨊ㅐ쫨E0899M1RP" xfId="0"/>
    <cellStyle name="쨊ㅐ쫨E0]_0899intecosch" xfId="0"/>
    <cellStyle name="쨊ㅐ쫨E1999Year End Provision" xfId="0"/>
    <cellStyle name="참조" xfId="0"/>
    <cellStyle name="추가" xfId="0"/>
    <cellStyle name="추가2" xfId="0"/>
    <cellStyle name="추가3" xfId="0"/>
    <cellStyle name="출 (한장)" xfId="0"/>
    <cellStyle name="출력 10" xfId="0"/>
    <cellStyle name="출력 10 2" xfId="0"/>
    <cellStyle name="출력 10 2 2" xfId="0"/>
    <cellStyle name="출력 10 3" xfId="0"/>
    <cellStyle name="출력 10 3 2" xfId="0"/>
    <cellStyle name="출력 10 4" xfId="0"/>
    <cellStyle name="출력 10 4 2" xfId="0"/>
    <cellStyle name="출력 10 5" xfId="0"/>
    <cellStyle name="출력 10 6" xfId="0"/>
    <cellStyle name="출력 11" xfId="0"/>
    <cellStyle name="출력 11 2" xfId="0"/>
    <cellStyle name="출력 11 2 2" xfId="0"/>
    <cellStyle name="출력 11 3" xfId="0"/>
    <cellStyle name="출력 11 3 2" xfId="0"/>
    <cellStyle name="출력 11 4" xfId="0"/>
    <cellStyle name="출력 11 4 2" xfId="0"/>
    <cellStyle name="출력 11 5" xfId="0"/>
    <cellStyle name="출력 11 6" xfId="0"/>
    <cellStyle name="출력 12" xfId="0"/>
    <cellStyle name="출력 12 2" xfId="0"/>
    <cellStyle name="출력 12 2 2" xfId="0"/>
    <cellStyle name="출력 12 3" xfId="0"/>
    <cellStyle name="출력 12 3 2" xfId="0"/>
    <cellStyle name="출력 12 4" xfId="0"/>
    <cellStyle name="출력 12 5" xfId="0"/>
    <cellStyle name="출력 13" xfId="0"/>
    <cellStyle name="출력 13 2" xfId="0"/>
    <cellStyle name="출력 13 3" xfId="0"/>
    <cellStyle name="출력 13 4" xfId="0"/>
    <cellStyle name="출력 13 5" xfId="0"/>
    <cellStyle name="출력 14" xfId="0"/>
    <cellStyle name="출력 14 2" xfId="0"/>
    <cellStyle name="출력 14 3" xfId="0"/>
    <cellStyle name="출력 15" xfId="0"/>
    <cellStyle name="출력 15 2" xfId="0"/>
    <cellStyle name="출력 16" xfId="0"/>
    <cellStyle name="출력 16 2" xfId="0"/>
    <cellStyle name="출력 17" xfId="0"/>
    <cellStyle name="출력 17 2" xfId="0"/>
    <cellStyle name="출력 18" xfId="0"/>
    <cellStyle name="출력 19" xfId="0"/>
    <cellStyle name="출력 2" xfId="0"/>
    <cellStyle name="출력 2 10" xfId="0"/>
    <cellStyle name="출력 2 11" xfId="0"/>
    <cellStyle name="출력 2 12" xfId="0"/>
    <cellStyle name="출력 2 13" xfId="0"/>
    <cellStyle name="출력 2 14" xfId="0"/>
    <cellStyle name="출력 2 15" xfId="0"/>
    <cellStyle name="출력 2 16" xfId="0"/>
    <cellStyle name="출력 2 17" xfId="0"/>
    <cellStyle name="출력 2 2" xfId="0"/>
    <cellStyle name="출력 2 2 10" xfId="0"/>
    <cellStyle name="출력 2 2 2" xfId="0"/>
    <cellStyle name="출력 2 2 3" xfId="0"/>
    <cellStyle name="출력 2 2 4" xfId="0"/>
    <cellStyle name="출력 2 2 5" xfId="0"/>
    <cellStyle name="출력 2 2 6" xfId="0"/>
    <cellStyle name="출력 2 2 7" xfId="0"/>
    <cellStyle name="출력 2 2 8" xfId="0"/>
    <cellStyle name="출력 2 2 9" xfId="0"/>
    <cellStyle name="출력 2 3" xfId="0"/>
    <cellStyle name="출력 2 3 10" xfId="0"/>
    <cellStyle name="출력 2 3 2" xfId="0"/>
    <cellStyle name="출력 2 3 3" xfId="0"/>
    <cellStyle name="출력 2 3 4" xfId="0"/>
    <cellStyle name="출력 2 3 5" xfId="0"/>
    <cellStyle name="출력 2 3 6" xfId="0"/>
    <cellStyle name="출력 2 3 7" xfId="0"/>
    <cellStyle name="출력 2 3 8" xfId="0"/>
    <cellStyle name="출력 2 3 9" xfId="0"/>
    <cellStyle name="출력 2 4" xfId="0"/>
    <cellStyle name="출력 2 4 10" xfId="0"/>
    <cellStyle name="출력 2 4 2" xfId="0"/>
    <cellStyle name="출력 2 4 3" xfId="0"/>
    <cellStyle name="출력 2 4 4" xfId="0"/>
    <cellStyle name="출력 2 4 5" xfId="0"/>
    <cellStyle name="출력 2 4 6" xfId="0"/>
    <cellStyle name="출력 2 4 7" xfId="0"/>
    <cellStyle name="출력 2 4 8" xfId="0"/>
    <cellStyle name="출력 2 4 9" xfId="0"/>
    <cellStyle name="출력 2 5" xfId="0"/>
    <cellStyle name="출력 2 5 10" xfId="0"/>
    <cellStyle name="출력 2 5 2" xfId="0"/>
    <cellStyle name="출력 2 5 3" xfId="0"/>
    <cellStyle name="출력 2 5 4" xfId="0"/>
    <cellStyle name="출력 2 5 5" xfId="0"/>
    <cellStyle name="출력 2 5 6" xfId="0"/>
    <cellStyle name="출력 2 5 7" xfId="0"/>
    <cellStyle name="출력 2 5 8" xfId="0"/>
    <cellStyle name="출력 2 5 9" xfId="0"/>
    <cellStyle name="출력 2 6" xfId="0"/>
    <cellStyle name="출력 2 6 10" xfId="0"/>
    <cellStyle name="출력 2 6 2" xfId="0"/>
    <cellStyle name="출력 2 6 3" xfId="0"/>
    <cellStyle name="출력 2 6 4" xfId="0"/>
    <cellStyle name="출력 2 6 5" xfId="0"/>
    <cellStyle name="출력 2 6 6" xfId="0"/>
    <cellStyle name="출력 2 6 7" xfId="0"/>
    <cellStyle name="출력 2 6 8" xfId="0"/>
    <cellStyle name="출력 2 6 9" xfId="0"/>
    <cellStyle name="출력 2 7" xfId="0"/>
    <cellStyle name="출력 2 7 10" xfId="0"/>
    <cellStyle name="출력 2 7 2" xfId="0"/>
    <cellStyle name="출력 2 7 3" xfId="0"/>
    <cellStyle name="출력 2 7 4" xfId="0"/>
    <cellStyle name="출력 2 7 5" xfId="0"/>
    <cellStyle name="출력 2 7 6" xfId="0"/>
    <cellStyle name="출력 2 7 7" xfId="0"/>
    <cellStyle name="출력 2 7 8" xfId="0"/>
    <cellStyle name="출력 2 7 9" xfId="0"/>
    <cellStyle name="출력 2 8" xfId="0"/>
    <cellStyle name="출력 2 8 2" xfId="0"/>
    <cellStyle name="출력 2 9" xfId="0"/>
    <cellStyle name="출력 20" xfId="0"/>
    <cellStyle name="출력 21" xfId="0"/>
    <cellStyle name="출력 22" xfId="0"/>
    <cellStyle name="출력 23" xfId="0"/>
    <cellStyle name="출력 24" xfId="0"/>
    <cellStyle name="출력 25" xfId="0"/>
    <cellStyle name="출력 26" xfId="0"/>
    <cellStyle name="출력 27" xfId="0"/>
    <cellStyle name="출력 2_3300현금및예치금" xfId="0"/>
    <cellStyle name="출력 3" xfId="0"/>
    <cellStyle name="출력 3 10" xfId="0"/>
    <cellStyle name="출력 3 10 2" xfId="0"/>
    <cellStyle name="출력 3 11" xfId="0"/>
    <cellStyle name="출력 3 11 2" xfId="0"/>
    <cellStyle name="출력 3 12" xfId="0"/>
    <cellStyle name="출력 3 12 2" xfId="0"/>
    <cellStyle name="출력 3 13" xfId="0"/>
    <cellStyle name="출력 3 14" xfId="0"/>
    <cellStyle name="출력 3 15" xfId="0"/>
    <cellStyle name="출력 3 16" xfId="0"/>
    <cellStyle name="출력 3 17" xfId="0"/>
    <cellStyle name="출력 3 18" xfId="0"/>
    <cellStyle name="출력 3 19" xfId="0"/>
    <cellStyle name="출력 3 2" xfId="0"/>
    <cellStyle name="출력 3 2 2" xfId="0"/>
    <cellStyle name="출력 3 2 3" xfId="0"/>
    <cellStyle name="출력 3 20" xfId="0"/>
    <cellStyle name="출력 3 21" xfId="0"/>
    <cellStyle name="출력 3 3" xfId="0"/>
    <cellStyle name="출력 3 3 2" xfId="0"/>
    <cellStyle name="출력 3 3 3" xfId="0"/>
    <cellStyle name="출력 3 4" xfId="0"/>
    <cellStyle name="출력 3 4 2" xfId="0"/>
    <cellStyle name="출력 3 4 3" xfId="0"/>
    <cellStyle name="출력 3 5" xfId="0"/>
    <cellStyle name="출력 3 5 2" xfId="0"/>
    <cellStyle name="출력 3 5 3" xfId="0"/>
    <cellStyle name="출력 3 6" xfId="0"/>
    <cellStyle name="출력 3 6 2" xfId="0"/>
    <cellStyle name="출력 3 6 3" xfId="0"/>
    <cellStyle name="출력 3 7" xfId="0"/>
    <cellStyle name="출력 3 7 2" xfId="0"/>
    <cellStyle name="출력 3 7 3" xfId="0"/>
    <cellStyle name="출력 3 8" xfId="0"/>
    <cellStyle name="출력 3 8 2" xfId="0"/>
    <cellStyle name="출력 3 8 3" xfId="0"/>
    <cellStyle name="출력 3 9" xfId="0"/>
    <cellStyle name="출력 3 9 2" xfId="0"/>
    <cellStyle name="출력 3_운용자산별 손익분석" xfId="0"/>
    <cellStyle name="출력 4" xfId="0"/>
    <cellStyle name="출력 4 10" xfId="0"/>
    <cellStyle name="출력 4 11" xfId="0"/>
    <cellStyle name="출력 4 12" xfId="0"/>
    <cellStyle name="출력 4 13" xfId="0"/>
    <cellStyle name="출력 4 14" xfId="0"/>
    <cellStyle name="출력 4 15" xfId="0"/>
    <cellStyle name="출력 4 16" xfId="0"/>
    <cellStyle name="출력 4 17" xfId="0"/>
    <cellStyle name="출력 4 18" xfId="0"/>
    <cellStyle name="출력 4 19" xfId="0"/>
    <cellStyle name="출력 4 2" xfId="0"/>
    <cellStyle name="출력 4 2 10" xfId="0"/>
    <cellStyle name="출력 4 2 11" xfId="0"/>
    <cellStyle name="출력 4 2 2" xfId="0"/>
    <cellStyle name="출력 4 2 3" xfId="0"/>
    <cellStyle name="출력 4 2 4" xfId="0"/>
    <cellStyle name="출력 4 2 5" xfId="0"/>
    <cellStyle name="출력 4 2 6" xfId="0"/>
    <cellStyle name="출력 4 2 7" xfId="0"/>
    <cellStyle name="출력 4 2 8" xfId="0"/>
    <cellStyle name="출력 4 2 9" xfId="0"/>
    <cellStyle name="출력 4 20" xfId="0"/>
    <cellStyle name="출력 4 21" xfId="0"/>
    <cellStyle name="출력 4 22" xfId="0"/>
    <cellStyle name="출력 4 23" xfId="0"/>
    <cellStyle name="출력 4 3" xfId="0"/>
    <cellStyle name="출력 4 3 2" xfId="0"/>
    <cellStyle name="출력 4 4" xfId="0"/>
    <cellStyle name="출력 4 5" xfId="0"/>
    <cellStyle name="출력 4 6" xfId="0"/>
    <cellStyle name="출력 4 7" xfId="0"/>
    <cellStyle name="출력 4 8" xfId="0"/>
    <cellStyle name="출력 4 9" xfId="0"/>
    <cellStyle name="출력 4_운용자산별 손익분석" xfId="0"/>
    <cellStyle name="출력 5" xfId="0"/>
    <cellStyle name="출력 5 10" xfId="0"/>
    <cellStyle name="출력 5 11" xfId="0"/>
    <cellStyle name="출력 5 12" xfId="0"/>
    <cellStyle name="출력 5 13" xfId="0"/>
    <cellStyle name="출력 5 14" xfId="0"/>
    <cellStyle name="출력 5 15" xfId="0"/>
    <cellStyle name="출력 5 16" xfId="0"/>
    <cellStyle name="출력 5 17" xfId="0"/>
    <cellStyle name="출력 5 18" xfId="0"/>
    <cellStyle name="출력 5 19" xfId="0"/>
    <cellStyle name="출력 5 2" xfId="0"/>
    <cellStyle name="출력 5 2 2" xfId="0"/>
    <cellStyle name="출력 5 20" xfId="0"/>
    <cellStyle name="출력 5 21" xfId="0"/>
    <cellStyle name="출력 5 22" xfId="0"/>
    <cellStyle name="출력 5 23" xfId="0"/>
    <cellStyle name="출력 5 24" xfId="0"/>
    <cellStyle name="출력 5 25" xfId="0"/>
    <cellStyle name="출력 5 26" xfId="0"/>
    <cellStyle name="출력 5 27" xfId="0"/>
    <cellStyle name="출력 5 28" xfId="0"/>
    <cellStyle name="출력 5 29" xfId="0"/>
    <cellStyle name="출력 5 3" xfId="0"/>
    <cellStyle name="출력 5 3 2" xfId="0"/>
    <cellStyle name="출력 5 30" xfId="0"/>
    <cellStyle name="출력 5 31" xfId="0"/>
    <cellStyle name="출력 5 32" xfId="0"/>
    <cellStyle name="출력 5 33" xfId="0"/>
    <cellStyle name="출력 5 34" xfId="0"/>
    <cellStyle name="출력 5 4" xfId="0"/>
    <cellStyle name="출력 5 5" xfId="0"/>
    <cellStyle name="출력 5 6" xfId="0"/>
    <cellStyle name="출력 5 7" xfId="0"/>
    <cellStyle name="출력 5 8" xfId="0"/>
    <cellStyle name="출력 5 9" xfId="0"/>
    <cellStyle name="출력 6" xfId="0"/>
    <cellStyle name="출력 6 10" xfId="0"/>
    <cellStyle name="출력 6 11" xfId="0"/>
    <cellStyle name="출력 6 12" xfId="0"/>
    <cellStyle name="출력 6 13" xfId="0"/>
    <cellStyle name="출력 6 14" xfId="0"/>
    <cellStyle name="출력 6 15" xfId="0"/>
    <cellStyle name="출력 6 16" xfId="0"/>
    <cellStyle name="출력 6 17" xfId="0"/>
    <cellStyle name="출력 6 18" xfId="0"/>
    <cellStyle name="출력 6 19" xfId="0"/>
    <cellStyle name="출력 6 2" xfId="0"/>
    <cellStyle name="출력 6 2 2" xfId="0"/>
    <cellStyle name="출력 6 20" xfId="0"/>
    <cellStyle name="출력 6 21" xfId="0"/>
    <cellStyle name="출력 6 22" xfId="0"/>
    <cellStyle name="출력 6 23" xfId="0"/>
    <cellStyle name="출력 6 24" xfId="0"/>
    <cellStyle name="출력 6 25" xfId="0"/>
    <cellStyle name="출력 6 26" xfId="0"/>
    <cellStyle name="출력 6 27" xfId="0"/>
    <cellStyle name="출력 6 28" xfId="0"/>
    <cellStyle name="출력 6 29" xfId="0"/>
    <cellStyle name="출력 6 3" xfId="0"/>
    <cellStyle name="출력 6 3 2" xfId="0"/>
    <cellStyle name="출력 6 30" xfId="0"/>
    <cellStyle name="출력 6 4" xfId="0"/>
    <cellStyle name="출력 6 5" xfId="0"/>
    <cellStyle name="출력 6 6" xfId="0"/>
    <cellStyle name="출력 6 7" xfId="0"/>
    <cellStyle name="출력 6 8" xfId="0"/>
    <cellStyle name="출력 6 9" xfId="0"/>
    <cellStyle name="출력 7" xfId="0"/>
    <cellStyle name="출력 7 10" xfId="0"/>
    <cellStyle name="출력 7 11" xfId="0"/>
    <cellStyle name="출력 7 12" xfId="0"/>
    <cellStyle name="출력 7 13" xfId="0"/>
    <cellStyle name="출력 7 14" xfId="0"/>
    <cellStyle name="출력 7 2" xfId="0"/>
    <cellStyle name="출력 7 2 2" xfId="0"/>
    <cellStyle name="출력 7 3" xfId="0"/>
    <cellStyle name="출력 7 3 2" xfId="0"/>
    <cellStyle name="출력 7 4" xfId="0"/>
    <cellStyle name="출력 7 4 2" xfId="0"/>
    <cellStyle name="출력 7 5" xfId="0"/>
    <cellStyle name="출력 7 5 2" xfId="0"/>
    <cellStyle name="출력 7 6" xfId="0"/>
    <cellStyle name="출력 7 6 2" xfId="0"/>
    <cellStyle name="출력 7 7" xfId="0"/>
    <cellStyle name="출력 7 8" xfId="0"/>
    <cellStyle name="출력 7 9" xfId="0"/>
    <cellStyle name="출력 8" xfId="0"/>
    <cellStyle name="출력 8 10" xfId="0"/>
    <cellStyle name="출력 8 11" xfId="0"/>
    <cellStyle name="출력 8 12" xfId="0"/>
    <cellStyle name="출력 8 13" xfId="0"/>
    <cellStyle name="출력 8 2" xfId="0"/>
    <cellStyle name="출력 8 2 2" xfId="0"/>
    <cellStyle name="출력 8 3" xfId="0"/>
    <cellStyle name="출력 8 3 2" xfId="0"/>
    <cellStyle name="출력 8 4" xfId="0"/>
    <cellStyle name="출력 8 4 2" xfId="0"/>
    <cellStyle name="출력 8 5" xfId="0"/>
    <cellStyle name="출력 8 5 2" xfId="0"/>
    <cellStyle name="출력 8 6" xfId="0"/>
    <cellStyle name="출력 8 6 2" xfId="0"/>
    <cellStyle name="출력 8 7" xfId="0"/>
    <cellStyle name="출력 8 8" xfId="0"/>
    <cellStyle name="출력 8 9" xfId="0"/>
    <cellStyle name="출력 9" xfId="0"/>
    <cellStyle name="출력 9 10" xfId="0"/>
    <cellStyle name="출력 9 11" xfId="0"/>
    <cellStyle name="출력 9 12" xfId="0"/>
    <cellStyle name="출력 9 13" xfId="0"/>
    <cellStyle name="출력 9 2" xfId="0"/>
    <cellStyle name="출력 9 2 2" xfId="0"/>
    <cellStyle name="출력 9 3" xfId="0"/>
    <cellStyle name="출력 9 3 2" xfId="0"/>
    <cellStyle name="출력 9 4" xfId="0"/>
    <cellStyle name="출력 9 4 2" xfId="0"/>
    <cellStyle name="출력 9 5" xfId="0"/>
    <cellStyle name="출력 9 5 2" xfId="0"/>
    <cellStyle name="출력 9 6" xfId="0"/>
    <cellStyle name="출력 9 6 2" xfId="0"/>
    <cellStyle name="출력 9 7" xfId="0"/>
    <cellStyle name="출력 9 8" xfId="0"/>
    <cellStyle name="출력 9 9" xfId="0"/>
    <cellStyle name="콤" xfId="0"/>
    <cellStyle name="콤?_x0003_" xfId="0"/>
    <cellStyle name="콤? [0]" xfId="0"/>
    <cellStyle name="콤? [0] 2" xfId="0"/>
    <cellStyle name="콤? [0] 3" xfId="0"/>
    <cellStyle name="콤? [0] 4" xfId="0"/>
    <cellStyle name="콤? [0] 5" xfId="0"/>
    <cellStyle name="콤? [0] 6" xfId="0"/>
    <cellStyle name="콤_Valuation_(주)LG_ver1" xfId="0"/>
    <cellStyle name="콤냡?&lt;_x000f_$??:&#9;`1_1 " xfId="0"/>
    <cellStyle name="콤냡?&lt;_x000f_$??: `1_1" xfId="0"/>
    <cellStyle name="콤릈_laroux_2" xfId="0"/>
    <cellStyle name="콤마 [" xfId="0"/>
    <cellStyle name="콤마 [0]" xfId="0"/>
    <cellStyle name="콤마 [0]-총계" xfId="0"/>
    <cellStyle name="콤마 [0]-합계" xfId="0"/>
    <cellStyle name="콤마 [0]-합계2" xfId="0"/>
    <cellStyle name="콤마 [0]?SAUP-1" xfId="0"/>
    <cellStyle name="콤마 [0]_" xfId="0"/>
    <cellStyle name="콤마 [0]⛸SAUP-1" xfId="0"/>
    <cellStyle name="콤마 [0]螨방침" xfId="0"/>
    <cellStyle name="콤마 [0]견적서(성남)" xfId="0"/>
    <cellStyle name="콤마 [0]노무 (2)" xfId="0"/>
    <cellStyle name="콤마 [2]" xfId="0"/>
    <cellStyle name="콤마 [2] 2" xfId="0"/>
    <cellStyle name="콤마 [kcd]" xfId="0"/>
    <cellStyle name="콤마,_x0005__x0014_" xfId="0"/>
    <cellStyle name="콤마_  &quot;  (라)" xfId="0"/>
    <cellStyle name="콤마숫자" xfId="0"/>
    <cellStyle name="콤마견적 표지" xfId="0"/>
    <cellStyle name="콤마鍮?(2)" xfId="0"/>
    <cellStyle name="쿯뱐_0899intecosch" xfId="0"/>
    <cellStyle name="쿯퉩E[0]_0899intecosch" xfId="0"/>
    <cellStyle name="턜퀂뎡" xfId="0"/>
    <cellStyle name="테두리(실선)" xfId="0"/>
    <cellStyle name="텍스트" xfId="0"/>
    <cellStyle name="통" xfId="0"/>
    <cellStyle name="통화 2" xfId="0"/>
    <cellStyle name="통화 3" xfId="0"/>
    <cellStyle name="통화 [" xfId="0"/>
    <cellStyle name="통화 [0] 12" xfId="0"/>
    <cellStyle name="통화 [0] 2" xfId="0"/>
    <cellStyle name="통화 [0] 2 2" xfId="0"/>
    <cellStyle name="통화 [0] 2 2 2" xfId="0"/>
    <cellStyle name="통화 [0] 2 3" xfId="0"/>
    <cellStyle name="통화 [0] 2 3 2" xfId="0"/>
    <cellStyle name="통화 [0] 2 4" xfId="0"/>
    <cellStyle name="통화 [0] 3" xfId="0"/>
    <cellStyle name="통화 [0] 3 2" xfId="0"/>
    <cellStyle name="통화 [0] 3 3" xfId="0"/>
    <cellStyle name="통화 [0] 4" xfId="0"/>
    <cellStyle name="통화 [0] 5" xfId="0"/>
    <cellStyle name="통화 [0] 6" xfId="0"/>
    <cellStyle name="통화 [0] 6 2" xfId="0"/>
    <cellStyle name="통화 [0] 7" xfId="0"/>
    <cellStyle name="통화 [0] 7 2" xfId="0"/>
    <cellStyle name="통화 [0] 8" xfId="0"/>
    <cellStyle name="통화 [0] 8 2" xfId="0"/>
    <cellStyle name="통화 [0ɝ_laroux_성일개발(주)현금흐름표" xfId="0"/>
    <cellStyle name="통화 [1]" xfId="0"/>
    <cellStyle name="통화 [4]" xfId="0"/>
    <cellStyle name="통화tBook1 Chart 3-1" xfId="0"/>
    <cellStyle name="통화갑지(토탈)_1" xfId="0"/>
    <cellStyle name="퍼센트" xfId="0"/>
    <cellStyle name="퍼센트 2" xfId="0"/>
    <cellStyle name="퍼센트[0.00]" xfId="0"/>
    <cellStyle name="표" xfId="0"/>
    <cellStyle name="표10" xfId="0"/>
    <cellStyle name="표13" xfId="0"/>
    <cellStyle name="표_Valuation_(주)LG_ver1" xfId="0"/>
    <cellStyle name="표준 10" xfId="0"/>
    <cellStyle name="표준 10 10" xfId="0"/>
    <cellStyle name="표준 10 10 10" xfId="0"/>
    <cellStyle name="표준 10 10 2" xfId="0"/>
    <cellStyle name="표준 10 10 3" xfId="0"/>
    <cellStyle name="표준 10 10 4" xfId="0"/>
    <cellStyle name="표준 10 10 5" xfId="0"/>
    <cellStyle name="표준 10 10 6" xfId="0"/>
    <cellStyle name="표준 10 10 7" xfId="0"/>
    <cellStyle name="표준 10 10 8" xfId="0"/>
    <cellStyle name="표준 10 10 9" xfId="0"/>
    <cellStyle name="표준 10 11" xfId="0"/>
    <cellStyle name="표준 10 11 2" xfId="0"/>
    <cellStyle name="표준 10 11 3" xfId="0"/>
    <cellStyle name="표준 10 11 4" xfId="0"/>
    <cellStyle name="표준 10 11 5" xfId="0"/>
    <cellStyle name="표준 10 11 6" xfId="0"/>
    <cellStyle name="표준 10 11 7" xfId="0"/>
    <cellStyle name="표준 10 11 8" xfId="0"/>
    <cellStyle name="표준 10 11 9" xfId="0"/>
    <cellStyle name="표준 10 12" xfId="0"/>
    <cellStyle name="표준 10 12 2" xfId="0"/>
    <cellStyle name="표준 10 12 3" xfId="0"/>
    <cellStyle name="표준 10 12 4" xfId="0"/>
    <cellStyle name="표준 10 12 5" xfId="0"/>
    <cellStyle name="표준 10 12 6" xfId="0"/>
    <cellStyle name="표준 10 12 7" xfId="0"/>
    <cellStyle name="표준 10 12 8" xfId="0"/>
    <cellStyle name="표준 10 12 9" xfId="0"/>
    <cellStyle name="표준 10 13" xfId="0"/>
    <cellStyle name="표준 10 13 2" xfId="0"/>
    <cellStyle name="표준 10 13 3" xfId="0"/>
    <cellStyle name="표준 10 13 4" xfId="0"/>
    <cellStyle name="표준 10 13 5" xfId="0"/>
    <cellStyle name="표준 10 14" xfId="0"/>
    <cellStyle name="표준 10 14 2" xfId="0"/>
    <cellStyle name="표준 10 14 3" xfId="0"/>
    <cellStyle name="표준 10 14 4" xfId="0"/>
    <cellStyle name="표준 10 14 5" xfId="0"/>
    <cellStyle name="표준 10 15" xfId="0"/>
    <cellStyle name="표준 10 15 10" xfId="0"/>
    <cellStyle name="표준 10 15 2" xfId="0"/>
    <cellStyle name="표준 10 15 2 2" xfId="0"/>
    <cellStyle name="표준 10 15 2 2 2" xfId="0"/>
    <cellStyle name="표준 10 15 2 3" xfId="0"/>
    <cellStyle name="표준 10 15 2 4" xfId="0"/>
    <cellStyle name="표준 10 15 2 5" xfId="0"/>
    <cellStyle name="표준 10 15 2 6" xfId="0"/>
    <cellStyle name="표준 10 15 3" xfId="0"/>
    <cellStyle name="표준 10 15 3 2" xfId="0"/>
    <cellStyle name="표준 10 15 3 3" xfId="0"/>
    <cellStyle name="표준 10 15 3 4" xfId="0"/>
    <cellStyle name="표준 10 15 3 5" xfId="0"/>
    <cellStyle name="표준 10 15 3 6" xfId="0"/>
    <cellStyle name="표준 10 15 4" xfId="0"/>
    <cellStyle name="표준 10 15 4 2" xfId="0"/>
    <cellStyle name="표준 10 15 4 3" xfId="0"/>
    <cellStyle name="표준 10 15 4 4" xfId="0"/>
    <cellStyle name="표준 10 15 4 5" xfId="0"/>
    <cellStyle name="표준 10 15 4 6" xfId="0"/>
    <cellStyle name="표준 10 15 5" xfId="0"/>
    <cellStyle name="표준 10 15 5 2" xfId="0"/>
    <cellStyle name="표준 10 15 5 3" xfId="0"/>
    <cellStyle name="표준 10 15 5 4" xfId="0"/>
    <cellStyle name="표준 10 15 5 5" xfId="0"/>
    <cellStyle name="표준 10 15 5 6" xfId="0"/>
    <cellStyle name="표준 10 15 6" xfId="0"/>
    <cellStyle name="표준 10 15 7" xfId="0"/>
    <cellStyle name="표준 10 15 8" xfId="0"/>
    <cellStyle name="표준 10 15 9" xfId="0"/>
    <cellStyle name="표준 10 16" xfId="0"/>
    <cellStyle name="표준 10 16 2" xfId="0"/>
    <cellStyle name="표준 10 17" xfId="0"/>
    <cellStyle name="표준 10 17 2" xfId="0"/>
    <cellStyle name="표준 10 18" xfId="0"/>
    <cellStyle name="표준 10 18 2" xfId="0"/>
    <cellStyle name="표준 10 19" xfId="0"/>
    <cellStyle name="표준 10 19 2" xfId="0"/>
    <cellStyle name="표준 10 2" xfId="0"/>
    <cellStyle name="표준 10 2 10" xfId="0"/>
    <cellStyle name="표준 10 2 10 2" xfId="0"/>
    <cellStyle name="표준 10 2 2" xfId="0"/>
    <cellStyle name="표준 10 2 2 2" xfId="0"/>
    <cellStyle name="표준 10 2 3" xfId="0"/>
    <cellStyle name="표준 10 2 3 2" xfId="0"/>
    <cellStyle name="표준 10 2 4" xfId="0"/>
    <cellStyle name="표준 10 2 4 2" xfId="0"/>
    <cellStyle name="표준 10 2 5" xfId="0"/>
    <cellStyle name="표준 10 2 5 2" xfId="0"/>
    <cellStyle name="표준 10 2 6" xfId="0"/>
    <cellStyle name="표준 10 2 6 2" xfId="0"/>
    <cellStyle name="표준 10 2 7" xfId="0"/>
    <cellStyle name="표준 10 2 7 2" xfId="0"/>
    <cellStyle name="표준 10 2 8" xfId="0"/>
    <cellStyle name="표준 10 2 8 2" xfId="0"/>
    <cellStyle name="표준 10 2 9" xfId="0"/>
    <cellStyle name="표준 10 2 9 2" xfId="0"/>
    <cellStyle name="표준 10 20" xfId="0"/>
    <cellStyle name="표준 10 21" xfId="0"/>
    <cellStyle name="표준 10 22" xfId="0"/>
    <cellStyle name="표준 10 23" xfId="0"/>
    <cellStyle name="표준 10 24" xfId="0"/>
    <cellStyle name="표준 10 25" xfId="0"/>
    <cellStyle name="표준 10 26" xfId="0"/>
    <cellStyle name="표준 10 27" xfId="0"/>
    <cellStyle name="표준 10 3" xfId="0"/>
    <cellStyle name="표준 10 3 10" xfId="0"/>
    <cellStyle name="표준 10 3 2" xfId="0"/>
    <cellStyle name="표준 10 3 3" xfId="0"/>
    <cellStyle name="표준 10 3 4" xfId="0"/>
    <cellStyle name="표준 10 3 5" xfId="0"/>
    <cellStyle name="표준 10 3 6" xfId="0"/>
    <cellStyle name="표준 10 3 7" xfId="0"/>
    <cellStyle name="표준 10 3 8" xfId="0"/>
    <cellStyle name="표준 10 3 9" xfId="0"/>
    <cellStyle name="표준 10 4" xfId="0"/>
    <cellStyle name="표준 10 4 10" xfId="0"/>
    <cellStyle name="표준 10 4 2" xfId="0"/>
    <cellStyle name="표준 10 4 3" xfId="0"/>
    <cellStyle name="표준 10 4 4" xfId="0"/>
    <cellStyle name="표준 10 4 5" xfId="0"/>
    <cellStyle name="표준 10 4 6" xfId="0"/>
    <cellStyle name="표준 10 4 7" xfId="0"/>
    <cellStyle name="표준 10 4 8" xfId="0"/>
    <cellStyle name="표준 10 4 9" xfId="0"/>
    <cellStyle name="표준 10 5" xfId="0"/>
    <cellStyle name="표준 10 5 10" xfId="0"/>
    <cellStyle name="표준 10 5 2" xfId="0"/>
    <cellStyle name="표준 10 5 3" xfId="0"/>
    <cellStyle name="표준 10 5 4" xfId="0"/>
    <cellStyle name="표준 10 5 5" xfId="0"/>
    <cellStyle name="표준 10 5 6" xfId="0"/>
    <cellStyle name="표준 10 5 7" xfId="0"/>
    <cellStyle name="표준 10 5 8" xfId="0"/>
    <cellStyle name="표준 10 5 9" xfId="0"/>
    <cellStyle name="표준 10 6" xfId="0"/>
    <cellStyle name="표준 10 6 10" xfId="0"/>
    <cellStyle name="표준 10 6 2" xfId="0"/>
    <cellStyle name="표준 10 6 3" xfId="0"/>
    <cellStyle name="표준 10 6 4" xfId="0"/>
    <cellStyle name="표준 10 6 5" xfId="0"/>
    <cellStyle name="표준 10 6 6" xfId="0"/>
    <cellStyle name="표준 10 6 7" xfId="0"/>
    <cellStyle name="표준 10 6 8" xfId="0"/>
    <cellStyle name="표준 10 6 9" xfId="0"/>
    <cellStyle name="표준 10 7" xfId="0"/>
    <cellStyle name="표준 10 7 10" xfId="0"/>
    <cellStyle name="표준 10 7 2" xfId="0"/>
    <cellStyle name="표준 10 7 3" xfId="0"/>
    <cellStyle name="표준 10 7 4" xfId="0"/>
    <cellStyle name="표준 10 7 5" xfId="0"/>
    <cellStyle name="표준 10 7 6" xfId="0"/>
    <cellStyle name="표준 10 7 7" xfId="0"/>
    <cellStyle name="표준 10 7 8" xfId="0"/>
    <cellStyle name="표준 10 7 9" xfId="0"/>
    <cellStyle name="표준 10 8" xfId="0"/>
    <cellStyle name="표준 10 8 10" xfId="0"/>
    <cellStyle name="표준 10 8 2" xfId="0"/>
    <cellStyle name="표준 10 8 3" xfId="0"/>
    <cellStyle name="표준 10 8 4" xfId="0"/>
    <cellStyle name="표준 10 8 5" xfId="0"/>
    <cellStyle name="표준 10 8 6" xfId="0"/>
    <cellStyle name="표준 10 8 7" xfId="0"/>
    <cellStyle name="표준 10 8 8" xfId="0"/>
    <cellStyle name="표준 10 8 9" xfId="0"/>
    <cellStyle name="표준 10 9" xfId="0"/>
    <cellStyle name="표준 10 9 10" xfId="0"/>
    <cellStyle name="표준 10 9 2" xfId="0"/>
    <cellStyle name="표준 10 9 3" xfId="0"/>
    <cellStyle name="표준 10 9 4" xfId="0"/>
    <cellStyle name="표준 10 9 5" xfId="0"/>
    <cellStyle name="표준 10 9 6" xfId="0"/>
    <cellStyle name="표준 10 9 7" xfId="0"/>
    <cellStyle name="표준 10 9 8" xfId="0"/>
    <cellStyle name="표준 10 9 9" xfId="0"/>
    <cellStyle name="표준 100" xfId="0"/>
    <cellStyle name="표준 100 10" xfId="0"/>
    <cellStyle name="표준 100 11" xfId="0"/>
    <cellStyle name="표준 100 12" xfId="0"/>
    <cellStyle name="표준 100 13" xfId="0"/>
    <cellStyle name="표준 100 2" xfId="0"/>
    <cellStyle name="표준 100 3" xfId="0"/>
    <cellStyle name="표준 100 4" xfId="0"/>
    <cellStyle name="표준 100 5" xfId="0"/>
    <cellStyle name="표준 100 6" xfId="0"/>
    <cellStyle name="표준 100 7" xfId="0"/>
    <cellStyle name="표준 100 8" xfId="0"/>
    <cellStyle name="표준 100 9" xfId="0"/>
    <cellStyle name="표준 101" xfId="0"/>
    <cellStyle name="표준 101 10" xfId="0"/>
    <cellStyle name="표준 101 11" xfId="0"/>
    <cellStyle name="표준 101 12" xfId="0"/>
    <cellStyle name="표준 101 13" xfId="0"/>
    <cellStyle name="표준 101 2" xfId="0"/>
    <cellStyle name="표준 101 3" xfId="0"/>
    <cellStyle name="표준 101 4" xfId="0"/>
    <cellStyle name="표준 101 5" xfId="0"/>
    <cellStyle name="표준 101 6" xfId="0"/>
    <cellStyle name="표준 101 7" xfId="0"/>
    <cellStyle name="표준 101 8" xfId="0"/>
    <cellStyle name="표준 101 9" xfId="0"/>
    <cellStyle name="표준 102" xfId="0"/>
    <cellStyle name="표준 102 10" xfId="0"/>
    <cellStyle name="표준 102 11" xfId="0"/>
    <cellStyle name="표준 102 12" xfId="0"/>
    <cellStyle name="표준 102 13" xfId="0"/>
    <cellStyle name="표준 102 2" xfId="0"/>
    <cellStyle name="표준 102 3" xfId="0"/>
    <cellStyle name="표준 102 4" xfId="0"/>
    <cellStyle name="표준 102 5" xfId="0"/>
    <cellStyle name="표준 102 6" xfId="0"/>
    <cellStyle name="표준 102 7" xfId="0"/>
    <cellStyle name="표준 102 8" xfId="0"/>
    <cellStyle name="표준 102 9" xfId="0"/>
    <cellStyle name="표준 103" xfId="0"/>
    <cellStyle name="표준 103 10" xfId="0"/>
    <cellStyle name="표준 103 10 2" xfId="0"/>
    <cellStyle name="표준 103 11" xfId="0"/>
    <cellStyle name="표준 103 11 2" xfId="0"/>
    <cellStyle name="표준 103 12" xfId="0"/>
    <cellStyle name="표준 103 12 2" xfId="0"/>
    <cellStyle name="표준 103 13" xfId="0"/>
    <cellStyle name="표준 103 13 2" xfId="0"/>
    <cellStyle name="표준 103 14" xfId="0"/>
    <cellStyle name="표준 103 15" xfId="0"/>
    <cellStyle name="표준 103 16" xfId="0"/>
    <cellStyle name="표준 103 17" xfId="0"/>
    <cellStyle name="표준 103 2" xfId="0"/>
    <cellStyle name="표준 103 2 2" xfId="0"/>
    <cellStyle name="표준 103 2 3" xfId="0"/>
    <cellStyle name="표준 103 3" xfId="0"/>
    <cellStyle name="표준 103 3 2" xfId="0"/>
    <cellStyle name="표준 103 3 3" xfId="0"/>
    <cellStyle name="표준 103 4" xfId="0"/>
    <cellStyle name="표준 103 4 2" xfId="0"/>
    <cellStyle name="표준 103 4 3" xfId="0"/>
    <cellStyle name="표준 103 5" xfId="0"/>
    <cellStyle name="표준 103 5 2" xfId="0"/>
    <cellStyle name="표준 103 5 3" xfId="0"/>
    <cellStyle name="표준 103 6" xfId="0"/>
    <cellStyle name="표준 103 6 2" xfId="0"/>
    <cellStyle name="표준 103 6 3" xfId="0"/>
    <cellStyle name="표준 103 7" xfId="0"/>
    <cellStyle name="표준 103 7 2" xfId="0"/>
    <cellStyle name="표준 103 8" xfId="0"/>
    <cellStyle name="표준 103 8 2" xfId="0"/>
    <cellStyle name="표준 103 9" xfId="0"/>
    <cellStyle name="표준 103 9 2" xfId="0"/>
    <cellStyle name="표준 104" xfId="0"/>
    <cellStyle name="표준 104 10" xfId="0"/>
    <cellStyle name="표준 104 11" xfId="0"/>
    <cellStyle name="표준 104 12" xfId="0"/>
    <cellStyle name="표준 104 13" xfId="0"/>
    <cellStyle name="표준 104 2" xfId="0"/>
    <cellStyle name="표준 104 2 2" xfId="0"/>
    <cellStyle name="표준 104 3" xfId="0"/>
    <cellStyle name="표준 104 4" xfId="0"/>
    <cellStyle name="표준 104 5" xfId="0"/>
    <cellStyle name="표준 104 6" xfId="0"/>
    <cellStyle name="표준 104 7" xfId="0"/>
    <cellStyle name="표준 104 8" xfId="0"/>
    <cellStyle name="표준 104 9" xfId="0"/>
    <cellStyle name="표준 105" xfId="0"/>
    <cellStyle name="표준 105 10" xfId="0"/>
    <cellStyle name="표준 105 11" xfId="0"/>
    <cellStyle name="표준 105 12" xfId="0"/>
    <cellStyle name="표준 105 13" xfId="0"/>
    <cellStyle name="표준 105 2" xfId="0"/>
    <cellStyle name="표준 105 3" xfId="0"/>
    <cellStyle name="표준 105 4" xfId="0"/>
    <cellStyle name="표준 105 5" xfId="0"/>
    <cellStyle name="표준 105 6" xfId="0"/>
    <cellStyle name="표준 105 7" xfId="0"/>
    <cellStyle name="표준 105 8" xfId="0"/>
    <cellStyle name="표준 105 9" xfId="0"/>
    <cellStyle name="표준 106" xfId="0"/>
    <cellStyle name="표준 106 10" xfId="0"/>
    <cellStyle name="표준 106 10 2" xfId="0"/>
    <cellStyle name="표준 106 11" xfId="0"/>
    <cellStyle name="표준 106 11 2" xfId="0"/>
    <cellStyle name="표준 106 12" xfId="0"/>
    <cellStyle name="표준 106 12 2" xfId="0"/>
    <cellStyle name="표준 106 13" xfId="0"/>
    <cellStyle name="표준 106 13 2" xfId="0"/>
    <cellStyle name="표준 106 14" xfId="0"/>
    <cellStyle name="표준 106 15" xfId="0"/>
    <cellStyle name="표준 106 16" xfId="0"/>
    <cellStyle name="표준 106 17" xfId="0"/>
    <cellStyle name="표준 106 2" xfId="0"/>
    <cellStyle name="표준 106 2 2" xfId="0"/>
    <cellStyle name="표준 106 2 3" xfId="0"/>
    <cellStyle name="표준 106 3" xfId="0"/>
    <cellStyle name="표준 106 3 2" xfId="0"/>
    <cellStyle name="표준 106 3 3" xfId="0"/>
    <cellStyle name="표준 106 4" xfId="0"/>
    <cellStyle name="표준 106 4 2" xfId="0"/>
    <cellStyle name="표준 106 4 3" xfId="0"/>
    <cellStyle name="표준 106 5" xfId="0"/>
    <cellStyle name="표준 106 5 2" xfId="0"/>
    <cellStyle name="표준 106 5 3" xfId="0"/>
    <cellStyle name="표준 106 6" xfId="0"/>
    <cellStyle name="표준 106 6 2" xfId="0"/>
    <cellStyle name="표준 106 6 3" xfId="0"/>
    <cellStyle name="표준 106 7" xfId="0"/>
    <cellStyle name="표준 106 7 2" xfId="0"/>
    <cellStyle name="표준 106 8" xfId="0"/>
    <cellStyle name="표준 106 8 2" xfId="0"/>
    <cellStyle name="표준 106 9" xfId="0"/>
    <cellStyle name="표준 106 9 2" xfId="0"/>
    <cellStyle name="표준 107" xfId="0"/>
    <cellStyle name="표준 107 10" xfId="0"/>
    <cellStyle name="표준 107 11" xfId="0"/>
    <cellStyle name="표준 107 12" xfId="0"/>
    <cellStyle name="표준 107 13" xfId="0"/>
    <cellStyle name="표준 107 2" xfId="0"/>
    <cellStyle name="표준 107 3" xfId="0"/>
    <cellStyle name="표준 107 4" xfId="0"/>
    <cellStyle name="표준 107 5" xfId="0"/>
    <cellStyle name="표준 107 6" xfId="0"/>
    <cellStyle name="표준 107 7" xfId="0"/>
    <cellStyle name="표준 107 8" xfId="0"/>
    <cellStyle name="표준 107 9" xfId="0"/>
    <cellStyle name="표준 108" xfId="0"/>
    <cellStyle name="표준 108 10" xfId="0"/>
    <cellStyle name="표준 108 11" xfId="0"/>
    <cellStyle name="표준 108 12" xfId="0"/>
    <cellStyle name="표준 108 13" xfId="0"/>
    <cellStyle name="표준 108 14" xfId="0"/>
    <cellStyle name="표준 108 2" xfId="0"/>
    <cellStyle name="표준 108 3" xfId="0"/>
    <cellStyle name="표준 108 4" xfId="0"/>
    <cellStyle name="표준 108 5" xfId="0"/>
    <cellStyle name="표준 108 6" xfId="0"/>
    <cellStyle name="표준 108 7" xfId="0"/>
    <cellStyle name="표준 108 8" xfId="0"/>
    <cellStyle name="표준 108 9" xfId="0"/>
    <cellStyle name="표준 109" xfId="0"/>
    <cellStyle name="표준 109 10" xfId="0"/>
    <cellStyle name="표준 109 11" xfId="0"/>
    <cellStyle name="표준 109 12" xfId="0"/>
    <cellStyle name="표준 109 13" xfId="0"/>
    <cellStyle name="표준 109 2" xfId="0"/>
    <cellStyle name="표준 109 3" xfId="0"/>
    <cellStyle name="표준 109 4" xfId="0"/>
    <cellStyle name="표준 109 5" xfId="0"/>
    <cellStyle name="표준 109 6" xfId="0"/>
    <cellStyle name="표준 109 7" xfId="0"/>
    <cellStyle name="표준 109 8" xfId="0"/>
    <cellStyle name="표준 109 9" xfId="0"/>
    <cellStyle name="표준 10_3300현금및예치금" xfId="0"/>
    <cellStyle name="표준 11" xfId="0"/>
    <cellStyle name="표준 11 10" xfId="0"/>
    <cellStyle name="표준 11 10 10" xfId="0"/>
    <cellStyle name="표준 11 10 2" xfId="0"/>
    <cellStyle name="표준 11 10 3" xfId="0"/>
    <cellStyle name="표준 11 10 4" xfId="0"/>
    <cellStyle name="표준 11 10 5" xfId="0"/>
    <cellStyle name="표준 11 10 6" xfId="0"/>
    <cellStyle name="표준 11 10 7" xfId="0"/>
    <cellStyle name="표준 11 10 8" xfId="0"/>
    <cellStyle name="표준 11 10 9" xfId="0"/>
    <cellStyle name="표준 11 11" xfId="0"/>
    <cellStyle name="표준 11 11 2" xfId="0"/>
    <cellStyle name="표준 11 11 3" xfId="0"/>
    <cellStyle name="표준 11 11 4" xfId="0"/>
    <cellStyle name="표준 11 11 5" xfId="0"/>
    <cellStyle name="표준 11 11 6" xfId="0"/>
    <cellStyle name="표준 11 11 7" xfId="0"/>
    <cellStyle name="표준 11 11 8" xfId="0"/>
    <cellStyle name="표준 11 11 9" xfId="0"/>
    <cellStyle name="표준 11 12" xfId="0"/>
    <cellStyle name="표준 11 12 2" xfId="0"/>
    <cellStyle name="표준 11 12 3" xfId="0"/>
    <cellStyle name="표준 11 12 4" xfId="0"/>
    <cellStyle name="표준 11 12 5" xfId="0"/>
    <cellStyle name="표준 11 12 6" xfId="0"/>
    <cellStyle name="표준 11 12 7" xfId="0"/>
    <cellStyle name="표준 11 12 8" xfId="0"/>
    <cellStyle name="표준 11 12 9" xfId="0"/>
    <cellStyle name="표준 11 13" xfId="0"/>
    <cellStyle name="표준 11 13 2" xfId="0"/>
    <cellStyle name="표준 11 13 3" xfId="0"/>
    <cellStyle name="표준 11 13 4" xfId="0"/>
    <cellStyle name="표준 11 13 5" xfId="0"/>
    <cellStyle name="표준 11 14" xfId="0"/>
    <cellStyle name="표준 11 14 2" xfId="0"/>
    <cellStyle name="표준 11 14 3" xfId="0"/>
    <cellStyle name="표준 11 14 4" xfId="0"/>
    <cellStyle name="표준 11 14 5" xfId="0"/>
    <cellStyle name="표준 11 15" xfId="0"/>
    <cellStyle name="표준 11 15 2" xfId="0"/>
    <cellStyle name="표준 11 15 2 2" xfId="0"/>
    <cellStyle name="표준 11 15 3" xfId="0"/>
    <cellStyle name="표준 11 15 3 2" xfId="0"/>
    <cellStyle name="표준 11 15 4" xfId="0"/>
    <cellStyle name="표준 11 15 4 2" xfId="0"/>
    <cellStyle name="표준 11 15 5" xfId="0"/>
    <cellStyle name="표준 11 15 5 2" xfId="0"/>
    <cellStyle name="표준 11 15 6" xfId="0"/>
    <cellStyle name="표준 11 16" xfId="0"/>
    <cellStyle name="표준 11 16 2" xfId="0"/>
    <cellStyle name="표준 11 17" xfId="0"/>
    <cellStyle name="표준 11 18" xfId="0"/>
    <cellStyle name="표준 11 19" xfId="0"/>
    <cellStyle name="표준 11 2" xfId="0"/>
    <cellStyle name="표준 11 2 10" xfId="0"/>
    <cellStyle name="표준 11 2 10 2" xfId="0"/>
    <cellStyle name="표준 11 2 2" xfId="0"/>
    <cellStyle name="표준 11 2 2 2" xfId="0"/>
    <cellStyle name="표준 11 2 3" xfId="0"/>
    <cellStyle name="표준 11 2 3 2" xfId="0"/>
    <cellStyle name="표준 11 2 4" xfId="0"/>
    <cellStyle name="표준 11 2 4 2" xfId="0"/>
    <cellStyle name="표준 11 2 5" xfId="0"/>
    <cellStyle name="표준 11 2 5 2" xfId="0"/>
    <cellStyle name="표준 11 2 6" xfId="0"/>
    <cellStyle name="표준 11 2 6 2" xfId="0"/>
    <cellStyle name="표준 11 2 7" xfId="0"/>
    <cellStyle name="표준 11 2 7 2" xfId="0"/>
    <cellStyle name="표준 11 2 8" xfId="0"/>
    <cellStyle name="표준 11 2 8 2" xfId="0"/>
    <cellStyle name="표준 11 2 9" xfId="0"/>
    <cellStyle name="표준 11 2 9 2" xfId="0"/>
    <cellStyle name="표준 11 20" xfId="0"/>
    <cellStyle name="표준 11 21" xfId="0"/>
    <cellStyle name="표준 11 22" xfId="0"/>
    <cellStyle name="표준 11 23" xfId="0"/>
    <cellStyle name="표준 11 24" xfId="0"/>
    <cellStyle name="표준 11 25" xfId="0"/>
    <cellStyle name="표준 11 26" xfId="0"/>
    <cellStyle name="표준 11 27" xfId="0"/>
    <cellStyle name="표준 11 27 2" xfId="0"/>
    <cellStyle name="표준 11 27 3" xfId="0"/>
    <cellStyle name="표준 11 27 4" xfId="0"/>
    <cellStyle name="표준 11 28" xfId="0"/>
    <cellStyle name="표준 11 3" xfId="0"/>
    <cellStyle name="표준 11 3 10" xfId="0"/>
    <cellStyle name="표준 11 3 10 2" xfId="0"/>
    <cellStyle name="표준 11 3 2" xfId="0"/>
    <cellStyle name="표준 11 3 2 2" xfId="0"/>
    <cellStyle name="표준 11 3 3" xfId="0"/>
    <cellStyle name="표준 11 3 3 2" xfId="0"/>
    <cellStyle name="표준 11 3 4" xfId="0"/>
    <cellStyle name="표준 11 3 4 2" xfId="0"/>
    <cellStyle name="표준 11 3 5" xfId="0"/>
    <cellStyle name="표준 11 3 5 2" xfId="0"/>
    <cellStyle name="표준 11 3 6" xfId="0"/>
    <cellStyle name="표준 11 3 6 2" xfId="0"/>
    <cellStyle name="표준 11 3 7" xfId="0"/>
    <cellStyle name="표준 11 3 7 2" xfId="0"/>
    <cellStyle name="표준 11 3 8" xfId="0"/>
    <cellStyle name="표준 11 3 8 2" xfId="0"/>
    <cellStyle name="표준 11 3 9" xfId="0"/>
    <cellStyle name="표준 11 3 9 2" xfId="0"/>
    <cellStyle name="표준 11 4" xfId="0"/>
    <cellStyle name="표준 11 4 10" xfId="0"/>
    <cellStyle name="표준 11 4 10 2" xfId="0"/>
    <cellStyle name="표준 11 4 2" xfId="0"/>
    <cellStyle name="표준 11 4 2 2" xfId="0"/>
    <cellStyle name="표준 11 4 3" xfId="0"/>
    <cellStyle name="표준 11 4 3 2" xfId="0"/>
    <cellStyle name="표준 11 4 4" xfId="0"/>
    <cellStyle name="표준 11 4 4 2" xfId="0"/>
    <cellStyle name="표준 11 4 5" xfId="0"/>
    <cellStyle name="표준 11 4 5 2" xfId="0"/>
    <cellStyle name="표준 11 4 6" xfId="0"/>
    <cellStyle name="표준 11 4 6 2" xfId="0"/>
    <cellStyle name="표준 11 4 7" xfId="0"/>
    <cellStyle name="표준 11 4 7 2" xfId="0"/>
    <cellStyle name="표준 11 4 8" xfId="0"/>
    <cellStyle name="표준 11 4 8 2" xfId="0"/>
    <cellStyle name="표준 11 4 9" xfId="0"/>
    <cellStyle name="표준 11 4 9 2" xfId="0"/>
    <cellStyle name="표준 11 5" xfId="0"/>
    <cellStyle name="표준 11 5 10" xfId="0"/>
    <cellStyle name="표준 11 5 10 2" xfId="0"/>
    <cellStyle name="표준 11 5 2" xfId="0"/>
    <cellStyle name="표준 11 5 2 2" xfId="0"/>
    <cellStyle name="표준 11 5 3" xfId="0"/>
    <cellStyle name="표준 11 5 3 2" xfId="0"/>
    <cellStyle name="표준 11 5 4" xfId="0"/>
    <cellStyle name="표준 11 5 4 2" xfId="0"/>
    <cellStyle name="표준 11 5 5" xfId="0"/>
    <cellStyle name="표준 11 5 5 2" xfId="0"/>
    <cellStyle name="표준 11 5 6" xfId="0"/>
    <cellStyle name="표준 11 5 6 2" xfId="0"/>
    <cellStyle name="표준 11 5 7" xfId="0"/>
    <cellStyle name="표준 11 5 7 2" xfId="0"/>
    <cellStyle name="표준 11 5 8" xfId="0"/>
    <cellStyle name="표준 11 5 8 2" xfId="0"/>
    <cellStyle name="표준 11 5 9" xfId="0"/>
    <cellStyle name="표준 11 5 9 2" xfId="0"/>
    <cellStyle name="표준 11 6" xfId="0"/>
    <cellStyle name="표준 11 6 10" xfId="0"/>
    <cellStyle name="표준 11 6 2" xfId="0"/>
    <cellStyle name="표준 11 6 3" xfId="0"/>
    <cellStyle name="표준 11 6 4" xfId="0"/>
    <cellStyle name="표준 11 6 5" xfId="0"/>
    <cellStyle name="표준 11 6 6" xfId="0"/>
    <cellStyle name="표준 11 6 7" xfId="0"/>
    <cellStyle name="표준 11 6 8" xfId="0"/>
    <cellStyle name="표준 11 6 9" xfId="0"/>
    <cellStyle name="표준 11 7" xfId="0"/>
    <cellStyle name="표준 11 7 10" xfId="0"/>
    <cellStyle name="표준 11 7 2" xfId="0"/>
    <cellStyle name="표준 11 7 3" xfId="0"/>
    <cellStyle name="표준 11 7 4" xfId="0"/>
    <cellStyle name="표준 11 7 5" xfId="0"/>
    <cellStyle name="표준 11 7 6" xfId="0"/>
    <cellStyle name="표준 11 7 7" xfId="0"/>
    <cellStyle name="표준 11 7 8" xfId="0"/>
    <cellStyle name="표준 11 7 9" xfId="0"/>
    <cellStyle name="표준 11 8" xfId="0"/>
    <cellStyle name="표준 11 8 10" xfId="0"/>
    <cellStyle name="표준 11 8 2" xfId="0"/>
    <cellStyle name="표준 11 8 3" xfId="0"/>
    <cellStyle name="표준 11 8 4" xfId="0"/>
    <cellStyle name="표준 11 8 5" xfId="0"/>
    <cellStyle name="표준 11 8 6" xfId="0"/>
    <cellStyle name="표준 11 8 7" xfId="0"/>
    <cellStyle name="표준 11 8 8" xfId="0"/>
    <cellStyle name="표준 11 8 9" xfId="0"/>
    <cellStyle name="표준 11 9" xfId="0"/>
    <cellStyle name="표준 11 9 10" xfId="0"/>
    <cellStyle name="표준 11 9 2" xfId="0"/>
    <cellStyle name="표준 11 9 3" xfId="0"/>
    <cellStyle name="표준 11 9 4" xfId="0"/>
    <cellStyle name="표준 11 9 5" xfId="0"/>
    <cellStyle name="표준 11 9 6" xfId="0"/>
    <cellStyle name="표준 11 9 7" xfId="0"/>
    <cellStyle name="표준 11 9 8" xfId="0"/>
    <cellStyle name="표준 11 9 9" xfId="0"/>
    <cellStyle name="표준 110" xfId="0"/>
    <cellStyle name="표준 110 10" xfId="0"/>
    <cellStyle name="표준 110 11" xfId="0"/>
    <cellStyle name="표준 110 12" xfId="0"/>
    <cellStyle name="표준 110 13" xfId="0"/>
    <cellStyle name="표준 110 2" xfId="0"/>
    <cellStyle name="표준 110 3" xfId="0"/>
    <cellStyle name="표준 110 4" xfId="0"/>
    <cellStyle name="표준 110 5" xfId="0"/>
    <cellStyle name="표준 110 6" xfId="0"/>
    <cellStyle name="표준 110 7" xfId="0"/>
    <cellStyle name="표준 110 8" xfId="0"/>
    <cellStyle name="표준 110 9" xfId="0"/>
    <cellStyle name="표준 111" xfId="0"/>
    <cellStyle name="표준 111 10" xfId="0"/>
    <cellStyle name="표준 111 11" xfId="0"/>
    <cellStyle name="표준 111 12" xfId="0"/>
    <cellStyle name="표준 111 13" xfId="0"/>
    <cellStyle name="표준 111 2" xfId="0"/>
    <cellStyle name="표준 111 3" xfId="0"/>
    <cellStyle name="표준 111 4" xfId="0"/>
    <cellStyle name="표준 111 5" xfId="0"/>
    <cellStyle name="표준 111 6" xfId="0"/>
    <cellStyle name="표준 111 7" xfId="0"/>
    <cellStyle name="표준 111 8" xfId="0"/>
    <cellStyle name="표준 111 9" xfId="0"/>
    <cellStyle name="표준 112" xfId="0"/>
    <cellStyle name="표준 112 10" xfId="0"/>
    <cellStyle name="표준 112 11" xfId="0"/>
    <cellStyle name="표준 112 12" xfId="0"/>
    <cellStyle name="표준 112 13" xfId="0"/>
    <cellStyle name="표준 112 2" xfId="0"/>
    <cellStyle name="표준 112 3" xfId="0"/>
    <cellStyle name="표준 112 4" xfId="0"/>
    <cellStyle name="표준 112 5" xfId="0"/>
    <cellStyle name="표준 112 6" xfId="0"/>
    <cellStyle name="표준 112 7" xfId="0"/>
    <cellStyle name="표준 112 8" xfId="0"/>
    <cellStyle name="표준 112 9" xfId="0"/>
    <cellStyle name="표준 113" xfId="0"/>
    <cellStyle name="표준 113 10" xfId="0"/>
    <cellStyle name="표준 113 11" xfId="0"/>
    <cellStyle name="표준 113 12" xfId="0"/>
    <cellStyle name="표준 113 13" xfId="0"/>
    <cellStyle name="표준 113 2" xfId="0"/>
    <cellStyle name="표준 113 3" xfId="0"/>
    <cellStyle name="표준 113 4" xfId="0"/>
    <cellStyle name="표준 113 5" xfId="0"/>
    <cellStyle name="표준 113 6" xfId="0"/>
    <cellStyle name="표준 113 7" xfId="0"/>
    <cellStyle name="표준 113 8" xfId="0"/>
    <cellStyle name="표준 113 9" xfId="0"/>
    <cellStyle name="표준 114" xfId="0"/>
    <cellStyle name="표준 114 10" xfId="0"/>
    <cellStyle name="표준 114 10 2" xfId="0"/>
    <cellStyle name="표준 114 11" xfId="0"/>
    <cellStyle name="표준 114 11 2" xfId="0"/>
    <cellStyle name="표준 114 12" xfId="0"/>
    <cellStyle name="표준 114 12 2" xfId="0"/>
    <cellStyle name="표준 114 13" xfId="0"/>
    <cellStyle name="표준 114 13 2" xfId="0"/>
    <cellStyle name="표준 114 14" xfId="0"/>
    <cellStyle name="표준 114 15" xfId="0"/>
    <cellStyle name="표준 114 16" xfId="0"/>
    <cellStyle name="표준 114 17" xfId="0"/>
    <cellStyle name="표준 114 2" xfId="0"/>
    <cellStyle name="표준 114 2 2" xfId="0"/>
    <cellStyle name="표준 114 2 3" xfId="0"/>
    <cellStyle name="표준 114 3" xfId="0"/>
    <cellStyle name="표준 114 3 2" xfId="0"/>
    <cellStyle name="표준 114 3 3" xfId="0"/>
    <cellStyle name="표준 114 4" xfId="0"/>
    <cellStyle name="표준 114 4 2" xfId="0"/>
    <cellStyle name="표준 114 4 3" xfId="0"/>
    <cellStyle name="표준 114 5" xfId="0"/>
    <cellStyle name="표준 114 5 2" xfId="0"/>
    <cellStyle name="표준 114 5 3" xfId="0"/>
    <cellStyle name="표준 114 6" xfId="0"/>
    <cellStyle name="표준 114 6 2" xfId="0"/>
    <cellStyle name="표준 114 6 3" xfId="0"/>
    <cellStyle name="표준 114 7" xfId="0"/>
    <cellStyle name="표준 114 7 2" xfId="0"/>
    <cellStyle name="표준 114 8" xfId="0"/>
    <cellStyle name="표준 114 8 2" xfId="0"/>
    <cellStyle name="표준 114 9" xfId="0"/>
    <cellStyle name="표준 114 9 2" xfId="0"/>
    <cellStyle name="표준 115" xfId="0"/>
    <cellStyle name="표준 115 2" xfId="0"/>
    <cellStyle name="표준 115 2 2" xfId="0"/>
    <cellStyle name="표준 115 3" xfId="0"/>
    <cellStyle name="표준 115 4" xfId="0"/>
    <cellStyle name="표준 116" xfId="0"/>
    <cellStyle name="표준 116 10" xfId="0"/>
    <cellStyle name="표준 116 11" xfId="0"/>
    <cellStyle name="표준 116 12" xfId="0"/>
    <cellStyle name="표준 116 13" xfId="0"/>
    <cellStyle name="표준 116 14" xfId="0"/>
    <cellStyle name="표준 116 15" xfId="0"/>
    <cellStyle name="표준 116 16" xfId="0"/>
    <cellStyle name="표준 116 2" xfId="0"/>
    <cellStyle name="표준 116 2 2" xfId="0"/>
    <cellStyle name="표준 116 3" xfId="0"/>
    <cellStyle name="표준 116 3 2" xfId="0"/>
    <cellStyle name="표준 116 4" xfId="0"/>
    <cellStyle name="표준 116 4 2" xfId="0"/>
    <cellStyle name="표준 116 5" xfId="0"/>
    <cellStyle name="표준 116 5 2" xfId="0"/>
    <cellStyle name="표준 116 6" xfId="0"/>
    <cellStyle name="표준 116 6 2" xfId="0"/>
    <cellStyle name="표준 116 7" xfId="0"/>
    <cellStyle name="표준 116 8" xfId="0"/>
    <cellStyle name="표준 116 9" xfId="0"/>
    <cellStyle name="표준 117" xfId="0"/>
    <cellStyle name="표준 117 2" xfId="0"/>
    <cellStyle name="표준 117 3" xfId="0"/>
    <cellStyle name="표준 118" xfId="0"/>
    <cellStyle name="표준 118 10" xfId="0"/>
    <cellStyle name="표준 118 11" xfId="0"/>
    <cellStyle name="표준 118 12" xfId="0"/>
    <cellStyle name="표준 118 13" xfId="0"/>
    <cellStyle name="표준 118 14" xfId="0"/>
    <cellStyle name="표준 118 15" xfId="0"/>
    <cellStyle name="표준 118 16" xfId="0"/>
    <cellStyle name="표준 118 17" xfId="0"/>
    <cellStyle name="표준 118 2" xfId="0"/>
    <cellStyle name="표준 118 2 2" xfId="0"/>
    <cellStyle name="표준 118 3" xfId="0"/>
    <cellStyle name="표준 118 3 2" xfId="0"/>
    <cellStyle name="표준 118 4" xfId="0"/>
    <cellStyle name="표준 118 4 2" xfId="0"/>
    <cellStyle name="표준 118 5" xfId="0"/>
    <cellStyle name="표준 118 5 2" xfId="0"/>
    <cellStyle name="표준 118 6" xfId="0"/>
    <cellStyle name="표준 118 6 2" xfId="0"/>
    <cellStyle name="표준 118 7" xfId="0"/>
    <cellStyle name="표준 118 7 2" xfId="0"/>
    <cellStyle name="표준 118 8" xfId="0"/>
    <cellStyle name="표준 118 9" xfId="0"/>
    <cellStyle name="표준 119" xfId="0"/>
    <cellStyle name="표준 119 10" xfId="0"/>
    <cellStyle name="표준 119 11" xfId="0"/>
    <cellStyle name="표준 119 12" xfId="0"/>
    <cellStyle name="표준 119 13" xfId="0"/>
    <cellStyle name="표준 119 2" xfId="0"/>
    <cellStyle name="표준 119 3" xfId="0"/>
    <cellStyle name="표준 119 4" xfId="0"/>
    <cellStyle name="표준 119 5" xfId="0"/>
    <cellStyle name="표준 119 6" xfId="0"/>
    <cellStyle name="표준 119 7" xfId="0"/>
    <cellStyle name="표준 119 8" xfId="0"/>
    <cellStyle name="표준 119 9" xfId="0"/>
    <cellStyle name="표준 12" xfId="0"/>
    <cellStyle name="표준 12 10" xfId="0"/>
    <cellStyle name="표준 12 10 2" xfId="0"/>
    <cellStyle name="표준 12 11" xfId="0"/>
    <cellStyle name="표준 12 11 2" xfId="0"/>
    <cellStyle name="표준 12 12" xfId="0"/>
    <cellStyle name="표준 12 13" xfId="0"/>
    <cellStyle name="표준 12 13 2" xfId="0"/>
    <cellStyle name="표준 12 14" xfId="0"/>
    <cellStyle name="표준 12 14 2" xfId="0"/>
    <cellStyle name="표준 12 15" xfId="0"/>
    <cellStyle name="표준 12 15 2" xfId="0"/>
    <cellStyle name="표준 12 16" xfId="0"/>
    <cellStyle name="표준 12 16 2" xfId="0"/>
    <cellStyle name="표준 12 17" xfId="0"/>
    <cellStyle name="표준 12 17 2" xfId="0"/>
    <cellStyle name="표준 12 18" xfId="0"/>
    <cellStyle name="표준 12 19" xfId="0"/>
    <cellStyle name="표준 12 2" xfId="0"/>
    <cellStyle name="표준 12 2 10" xfId="0"/>
    <cellStyle name="표준 12 2 11" xfId="0"/>
    <cellStyle name="표준 12 2 2" xfId="0"/>
    <cellStyle name="표준 12 2 2 10" xfId="0"/>
    <cellStyle name="표준 12 2 2 11" xfId="0"/>
    <cellStyle name="표준 12 2 2 2" xfId="0"/>
    <cellStyle name="표준 12 2 2 3" xfId="0"/>
    <cellStyle name="표준 12 2 2 4" xfId="0"/>
    <cellStyle name="표준 12 2 2 5" xfId="0"/>
    <cellStyle name="표준 12 2 2 6" xfId="0"/>
    <cellStyle name="표준 12 2 2 7" xfId="0"/>
    <cellStyle name="표준 12 2 2 8" xfId="0"/>
    <cellStyle name="표준 12 2 2 9" xfId="0"/>
    <cellStyle name="표준 12 2 3" xfId="0"/>
    <cellStyle name="표준 12 2 4" xfId="0"/>
    <cellStyle name="표준 12 2 5" xfId="0"/>
    <cellStyle name="표준 12 2 6" xfId="0"/>
    <cellStyle name="표준 12 2 7" xfId="0"/>
    <cellStyle name="표준 12 2 8" xfId="0"/>
    <cellStyle name="표준 12 2 9" xfId="0"/>
    <cellStyle name="표준 12 20" xfId="0"/>
    <cellStyle name="표준 12 21" xfId="0"/>
    <cellStyle name="표준 12 22" xfId="0"/>
    <cellStyle name="표준 12 23" xfId="0"/>
    <cellStyle name="표준 12 24" xfId="0"/>
    <cellStyle name="표준 12 3" xfId="0"/>
    <cellStyle name="표준 12 3 10" xfId="0"/>
    <cellStyle name="표준 12 3 11" xfId="0"/>
    <cellStyle name="표준 12 3 2" xfId="0"/>
    <cellStyle name="표준 12 3 2 10" xfId="0"/>
    <cellStyle name="표준 12 3 2 11" xfId="0"/>
    <cellStyle name="표준 12 3 2 2" xfId="0"/>
    <cellStyle name="표준 12 3 2 3" xfId="0"/>
    <cellStyle name="표준 12 3 2 4" xfId="0"/>
    <cellStyle name="표준 12 3 2 5" xfId="0"/>
    <cellStyle name="표준 12 3 2 6" xfId="0"/>
    <cellStyle name="표준 12 3 2 7" xfId="0"/>
    <cellStyle name="표준 12 3 2 8" xfId="0"/>
    <cellStyle name="표준 12 3 2 9" xfId="0"/>
    <cellStyle name="표준 12 3 3" xfId="0"/>
    <cellStyle name="표준 12 3 4" xfId="0"/>
    <cellStyle name="표준 12 3 5" xfId="0"/>
    <cellStyle name="표준 12 3 6" xfId="0"/>
    <cellStyle name="표준 12 3 7" xfId="0"/>
    <cellStyle name="표준 12 3 8" xfId="0"/>
    <cellStyle name="표준 12 3 9" xfId="0"/>
    <cellStyle name="표준 12 4" xfId="0"/>
    <cellStyle name="표준 12 4 10" xfId="0"/>
    <cellStyle name="표준 12 4 2" xfId="0"/>
    <cellStyle name="표준 12 4 2 2" xfId="0"/>
    <cellStyle name="표준 12 4 2 2 2" xfId="0"/>
    <cellStyle name="표준 12 4 2 2 3" xfId="0"/>
    <cellStyle name="표준 12 4 2 2 4" xfId="0"/>
    <cellStyle name="표준 12 4 2 2 5" xfId="0"/>
    <cellStyle name="표준 12 4 2 3" xfId="0"/>
    <cellStyle name="표준 12 4 2 4" xfId="0"/>
    <cellStyle name="표준 12 4 2 5" xfId="0"/>
    <cellStyle name="표준 12 4 2 6" xfId="0"/>
    <cellStyle name="표준 12 4 2 7" xfId="0"/>
    <cellStyle name="표준 12 4 2 8" xfId="0"/>
    <cellStyle name="표준 12 4 2 9" xfId="0"/>
    <cellStyle name="표준 12 4 3" xfId="0"/>
    <cellStyle name="표준 12 4 3 2" xfId="0"/>
    <cellStyle name="표준 12 4 3 3" xfId="0"/>
    <cellStyle name="표준 12 4 3 4" xfId="0"/>
    <cellStyle name="표준 12 4 3 5" xfId="0"/>
    <cellStyle name="표준 12 4 4" xfId="0"/>
    <cellStyle name="표준 12 4 4 2" xfId="0"/>
    <cellStyle name="표준 12 4 4 3" xfId="0"/>
    <cellStyle name="표준 12 4 4 4" xfId="0"/>
    <cellStyle name="표준 12 4 4 5" xfId="0"/>
    <cellStyle name="표준 12 4 5" xfId="0"/>
    <cellStyle name="표준 12 4 5 2" xfId="0"/>
    <cellStyle name="표준 12 4 5 3" xfId="0"/>
    <cellStyle name="표준 12 4 5 4" xfId="0"/>
    <cellStyle name="표준 12 4 5 5" xfId="0"/>
    <cellStyle name="표준 12 4 6" xfId="0"/>
    <cellStyle name="표준 12 4 6 2" xfId="0"/>
    <cellStyle name="표준 12 4 6 3" xfId="0"/>
    <cellStyle name="표준 12 4 6 4" xfId="0"/>
    <cellStyle name="표준 12 4 6 5" xfId="0"/>
    <cellStyle name="표준 12 4 7" xfId="0"/>
    <cellStyle name="표준 12 4 8" xfId="0"/>
    <cellStyle name="표준 12 4 9" xfId="0"/>
    <cellStyle name="표준 12 5" xfId="0"/>
    <cellStyle name="표준 12 5 2" xfId="0"/>
    <cellStyle name="표준 12 5 3" xfId="0"/>
    <cellStyle name="표준 12 5 4" xfId="0"/>
    <cellStyle name="표준 12 6" xfId="0"/>
    <cellStyle name="표준 12 6 2" xfId="0"/>
    <cellStyle name="표준 12 6 3" xfId="0"/>
    <cellStyle name="표준 12 6 4" xfId="0"/>
    <cellStyle name="표준 12 7" xfId="0"/>
    <cellStyle name="표준 12 7 2" xfId="0"/>
    <cellStyle name="표준 12 7 3" xfId="0"/>
    <cellStyle name="표준 12 8" xfId="0"/>
    <cellStyle name="표준 12 8 2" xfId="0"/>
    <cellStyle name="표준 12 8 3" xfId="0"/>
    <cellStyle name="표준 12 9" xfId="0"/>
    <cellStyle name="표준 12 9 2" xfId="0"/>
    <cellStyle name="표준 12 9 3" xfId="0"/>
    <cellStyle name="표준 120" xfId="0"/>
    <cellStyle name="표준 120 2" xfId="0"/>
    <cellStyle name="표준 120 2 2" xfId="0"/>
    <cellStyle name="표준 120 2 2 2" xfId="0"/>
    <cellStyle name="표준 120 2 3" xfId="0"/>
    <cellStyle name="표준 121" xfId="0"/>
    <cellStyle name="표준 121 10" xfId="0"/>
    <cellStyle name="표준 121 11" xfId="0"/>
    <cellStyle name="표준 121 12" xfId="0"/>
    <cellStyle name="표준 121 13" xfId="0"/>
    <cellStyle name="표준 121 14" xfId="0"/>
    <cellStyle name="표준 121 15" xfId="0"/>
    <cellStyle name="표준 121 16" xfId="0"/>
    <cellStyle name="표준 121 17" xfId="0"/>
    <cellStyle name="표준 121 18" xfId="0"/>
    <cellStyle name="표준 121 19" xfId="0"/>
    <cellStyle name="표준 121 2" xfId="0"/>
    <cellStyle name="표준 121 2 2" xfId="0"/>
    <cellStyle name="표준 121 3" xfId="0"/>
    <cellStyle name="표준 121 3 2" xfId="0"/>
    <cellStyle name="표준 121 4" xfId="0"/>
    <cellStyle name="표준 121 4 2" xfId="0"/>
    <cellStyle name="표준 121 5" xfId="0"/>
    <cellStyle name="표준 121 5 2" xfId="0"/>
    <cellStyle name="표준 121 6" xfId="0"/>
    <cellStyle name="표준 121 6 2" xfId="0"/>
    <cellStyle name="표준 121 7" xfId="0"/>
    <cellStyle name="표준 121 7 2" xfId="0"/>
    <cellStyle name="표준 121 8" xfId="0"/>
    <cellStyle name="표준 121 8 2" xfId="0"/>
    <cellStyle name="표준 121 9" xfId="0"/>
    <cellStyle name="표준 122" xfId="0"/>
    <cellStyle name="표준 122 10" xfId="0"/>
    <cellStyle name="표준 122 11" xfId="0"/>
    <cellStyle name="표준 122 12" xfId="0"/>
    <cellStyle name="표준 122 13" xfId="0"/>
    <cellStyle name="표준 122 2" xfId="0"/>
    <cellStyle name="표준 122 2 2" xfId="0"/>
    <cellStyle name="표준 122 3" xfId="0"/>
    <cellStyle name="표준 122 3 2" xfId="0"/>
    <cellStyle name="표준 122 4" xfId="0"/>
    <cellStyle name="표준 122 4 2" xfId="0"/>
    <cellStyle name="표준 122 5" xfId="0"/>
    <cellStyle name="표준 122 6" xfId="0"/>
    <cellStyle name="표준 122 7" xfId="0"/>
    <cellStyle name="표준 122 8" xfId="0"/>
    <cellStyle name="표준 122 9" xfId="0"/>
    <cellStyle name="표준 123" xfId="0"/>
    <cellStyle name="표준 123 10" xfId="0"/>
    <cellStyle name="표준 123 11" xfId="0"/>
    <cellStyle name="표준 123 12" xfId="0"/>
    <cellStyle name="표준 123 13" xfId="0"/>
    <cellStyle name="표준 123 14" xfId="0"/>
    <cellStyle name="표준 123 15" xfId="0"/>
    <cellStyle name="표준 123 16" xfId="0"/>
    <cellStyle name="표준 123 17" xfId="0"/>
    <cellStyle name="표준 123 18" xfId="0"/>
    <cellStyle name="표준 123 2" xfId="0"/>
    <cellStyle name="표준 123 2 2" xfId="0"/>
    <cellStyle name="표준 123 3" xfId="0"/>
    <cellStyle name="표준 123 3 2" xfId="0"/>
    <cellStyle name="표준 123 4" xfId="0"/>
    <cellStyle name="표준 123 4 2" xfId="0"/>
    <cellStyle name="표준 123 5" xfId="0"/>
    <cellStyle name="표준 123 5 2" xfId="0"/>
    <cellStyle name="표준 123 6" xfId="0"/>
    <cellStyle name="표준 123 6 2" xfId="0"/>
    <cellStyle name="표준 123 7" xfId="0"/>
    <cellStyle name="표준 123 7 2" xfId="0"/>
    <cellStyle name="표준 123 8" xfId="0"/>
    <cellStyle name="표준 123 9" xfId="0"/>
    <cellStyle name="표준 124" xfId="0"/>
    <cellStyle name="표준 124 2" xfId="0"/>
    <cellStyle name="표준 125" xfId="0"/>
    <cellStyle name="표준 125 10" xfId="0"/>
    <cellStyle name="표준 125 11" xfId="0"/>
    <cellStyle name="표준 125 12" xfId="0"/>
    <cellStyle name="표준 125 13" xfId="0"/>
    <cellStyle name="표준 125 14" xfId="0"/>
    <cellStyle name="표준 125 15" xfId="0"/>
    <cellStyle name="표준 125 16" xfId="0"/>
    <cellStyle name="표준 125 17" xfId="0"/>
    <cellStyle name="표준 125 2" xfId="0"/>
    <cellStyle name="표준 125 2 2" xfId="0"/>
    <cellStyle name="표준 125 3" xfId="0"/>
    <cellStyle name="표준 125 3 2" xfId="0"/>
    <cellStyle name="표준 125 4" xfId="0"/>
    <cellStyle name="표준 125 4 2" xfId="0"/>
    <cellStyle name="표준 125 5" xfId="0"/>
    <cellStyle name="표준 125 5 2" xfId="0"/>
    <cellStyle name="표준 125 6" xfId="0"/>
    <cellStyle name="표준 125 6 2" xfId="0"/>
    <cellStyle name="표준 125 7" xfId="0"/>
    <cellStyle name="표준 125 7 2" xfId="0"/>
    <cellStyle name="표준 125 8" xfId="0"/>
    <cellStyle name="표준 125 9" xfId="0"/>
    <cellStyle name="표준 126" xfId="0"/>
    <cellStyle name="표준 126 10" xfId="0"/>
    <cellStyle name="표준 126 11" xfId="0"/>
    <cellStyle name="표준 126 12" xfId="0"/>
    <cellStyle name="표준 126 13" xfId="0"/>
    <cellStyle name="표준 126 14" xfId="0"/>
    <cellStyle name="표준 126 15" xfId="0"/>
    <cellStyle name="표준 126 16" xfId="0"/>
    <cellStyle name="표준 126 17" xfId="0"/>
    <cellStyle name="표준 126 2" xfId="0"/>
    <cellStyle name="표준 126 2 2" xfId="0"/>
    <cellStyle name="표준 126 3" xfId="0"/>
    <cellStyle name="표준 126 3 2" xfId="0"/>
    <cellStyle name="표준 126 4" xfId="0"/>
    <cellStyle name="표준 126 4 2" xfId="0"/>
    <cellStyle name="표준 126 5" xfId="0"/>
    <cellStyle name="표준 126 5 2" xfId="0"/>
    <cellStyle name="표준 126 6" xfId="0"/>
    <cellStyle name="표준 126 6 2" xfId="0"/>
    <cellStyle name="표준 126 7" xfId="0"/>
    <cellStyle name="표준 126 7 2" xfId="0"/>
    <cellStyle name="표준 126 8" xfId="0"/>
    <cellStyle name="표준 126 9" xfId="0"/>
    <cellStyle name="표준 127" xfId="0"/>
    <cellStyle name="표준 127 10" xfId="0"/>
    <cellStyle name="표준 127 11" xfId="0"/>
    <cellStyle name="표준 127 12" xfId="0"/>
    <cellStyle name="표준 127 13" xfId="0"/>
    <cellStyle name="표준 127 14" xfId="0"/>
    <cellStyle name="표준 127 15" xfId="0"/>
    <cellStyle name="표준 127 16" xfId="0"/>
    <cellStyle name="표준 127 17" xfId="0"/>
    <cellStyle name="표준 127 18" xfId="0"/>
    <cellStyle name="표준 127 2" xfId="0"/>
    <cellStyle name="표준 127 2 2" xfId="0"/>
    <cellStyle name="표준 127 3" xfId="0"/>
    <cellStyle name="표준 127 3 2" xfId="0"/>
    <cellStyle name="표준 127 4" xfId="0"/>
    <cellStyle name="표준 127 4 2" xfId="0"/>
    <cellStyle name="표준 127 5" xfId="0"/>
    <cellStyle name="표준 127 5 2" xfId="0"/>
    <cellStyle name="표준 127 6" xfId="0"/>
    <cellStyle name="표준 127 6 2" xfId="0"/>
    <cellStyle name="표준 127 7" xfId="0"/>
    <cellStyle name="표준 127 7 2" xfId="0"/>
    <cellStyle name="표준 127 8" xfId="0"/>
    <cellStyle name="표준 127 9" xfId="0"/>
    <cellStyle name="표준 128" xfId="0"/>
    <cellStyle name="표준 129" xfId="0"/>
    <cellStyle name="표준 129 10" xfId="0"/>
    <cellStyle name="표준 129 11" xfId="0"/>
    <cellStyle name="표준 129 12" xfId="0"/>
    <cellStyle name="표준 129 13" xfId="0"/>
    <cellStyle name="표준 129 14" xfId="0"/>
    <cellStyle name="표준 129 15" xfId="0"/>
    <cellStyle name="표준 129 16" xfId="0"/>
    <cellStyle name="표준 129 17" xfId="0"/>
    <cellStyle name="표준 129 18" xfId="0"/>
    <cellStyle name="표준 129 2" xfId="0"/>
    <cellStyle name="표준 129 2 2" xfId="0"/>
    <cellStyle name="표준 129 3" xfId="0"/>
    <cellStyle name="표준 129 3 2" xfId="0"/>
    <cellStyle name="표준 129 4" xfId="0"/>
    <cellStyle name="표준 129 4 2" xfId="0"/>
    <cellStyle name="표준 129 5" xfId="0"/>
    <cellStyle name="표준 129 5 2" xfId="0"/>
    <cellStyle name="표준 129 6" xfId="0"/>
    <cellStyle name="표준 129 6 2" xfId="0"/>
    <cellStyle name="표준 129 7" xfId="0"/>
    <cellStyle name="표준 129 7 2" xfId="0"/>
    <cellStyle name="표준 129 8" xfId="0"/>
    <cellStyle name="표준 129 9" xfId="0"/>
    <cellStyle name="표준 12_@2009 BSPL(10월)_최종본" xfId="0"/>
    <cellStyle name="표준 13" xfId="0"/>
    <cellStyle name="표준 13 10" xfId="0"/>
    <cellStyle name="표준 13 10 2" xfId="0"/>
    <cellStyle name="표준 13 10 3" xfId="0"/>
    <cellStyle name="표준 13 10 4" xfId="0"/>
    <cellStyle name="표준 13 10 5" xfId="0"/>
    <cellStyle name="표준 13 10 6" xfId="0"/>
    <cellStyle name="표준 13 10 7" xfId="0"/>
    <cellStyle name="표준 13 10 8" xfId="0"/>
    <cellStyle name="표준 13 10 9" xfId="0"/>
    <cellStyle name="표준 13 11" xfId="0"/>
    <cellStyle name="표준 13 11 2" xfId="0"/>
    <cellStyle name="표준 13 11 3" xfId="0"/>
    <cellStyle name="표준 13 11 4" xfId="0"/>
    <cellStyle name="표준 13 11 5" xfId="0"/>
    <cellStyle name="표준 13 12" xfId="0"/>
    <cellStyle name="표준 13 12 2" xfId="0"/>
    <cellStyle name="표준 13 12 3" xfId="0"/>
    <cellStyle name="표준 13 12 4" xfId="0"/>
    <cellStyle name="표준 13 12 5" xfId="0"/>
    <cellStyle name="표준 13 13" xfId="0"/>
    <cellStyle name="표준 13 13 2" xfId="0"/>
    <cellStyle name="표준 13 13 3" xfId="0"/>
    <cellStyle name="표준 13 13 4" xfId="0"/>
    <cellStyle name="표준 13 13 5" xfId="0"/>
    <cellStyle name="표준 13 14" xfId="0"/>
    <cellStyle name="표준 13 14 2" xfId="0"/>
    <cellStyle name="표준 13 14 2 2" xfId="0"/>
    <cellStyle name="표준 13 14 2 3" xfId="0"/>
    <cellStyle name="표준 13 14 2 4" xfId="0"/>
    <cellStyle name="표준 13 14 2 5" xfId="0"/>
    <cellStyle name="표준 13 14 2 6" xfId="0"/>
    <cellStyle name="표준 13 14 3" xfId="0"/>
    <cellStyle name="표준 13 14 3 2" xfId="0"/>
    <cellStyle name="표준 13 14 3 3" xfId="0"/>
    <cellStyle name="표준 13 14 3 4" xfId="0"/>
    <cellStyle name="표준 13 14 3 5" xfId="0"/>
    <cellStyle name="표준 13 14 3 6" xfId="0"/>
    <cellStyle name="표준 13 14 4" xfId="0"/>
    <cellStyle name="표준 13 14 4 2" xfId="0"/>
    <cellStyle name="표준 13 14 4 3" xfId="0"/>
    <cellStyle name="표준 13 14 4 4" xfId="0"/>
    <cellStyle name="표준 13 14 4 5" xfId="0"/>
    <cellStyle name="표준 13 14 4 6" xfId="0"/>
    <cellStyle name="표준 13 14 5" xfId="0"/>
    <cellStyle name="표준 13 14 5 2" xfId="0"/>
    <cellStyle name="표준 13 14 5 3" xfId="0"/>
    <cellStyle name="표준 13 14 5 4" xfId="0"/>
    <cellStyle name="표준 13 14 5 5" xfId="0"/>
    <cellStyle name="표준 13 14 5 6" xfId="0"/>
    <cellStyle name="표준 13 14 6" xfId="0"/>
    <cellStyle name="표준 13 14 7" xfId="0"/>
    <cellStyle name="표준 13 14 8" xfId="0"/>
    <cellStyle name="표준 13 15" xfId="0"/>
    <cellStyle name="표준 13 15 2" xfId="0"/>
    <cellStyle name="표준 13 16" xfId="0"/>
    <cellStyle name="표준 13 16 2" xfId="0"/>
    <cellStyle name="표준 13 17" xfId="0"/>
    <cellStyle name="표준 13 17 2" xfId="0"/>
    <cellStyle name="표준 13 18" xfId="0"/>
    <cellStyle name="표준 13 18 2" xfId="0"/>
    <cellStyle name="표준 13 19" xfId="0"/>
    <cellStyle name="표준 13 2" xfId="0"/>
    <cellStyle name="표준 13 2 10" xfId="0"/>
    <cellStyle name="표준 13 2 10 2" xfId="0"/>
    <cellStyle name="표준 13 2 11" xfId="0"/>
    <cellStyle name="표준 13 2 2" xfId="0"/>
    <cellStyle name="표준 13 2 2 10" xfId="0"/>
    <cellStyle name="표준 13 2 2 11" xfId="0"/>
    <cellStyle name="표준 13 2 2 2" xfId="0"/>
    <cellStyle name="표준 13 2 2 3" xfId="0"/>
    <cellStyle name="표준 13 2 2 4" xfId="0"/>
    <cellStyle name="표준 13 2 2 5" xfId="0"/>
    <cellStyle name="표준 13 2 2 6" xfId="0"/>
    <cellStyle name="표준 13 2 2 7" xfId="0"/>
    <cellStyle name="표준 13 2 2 8" xfId="0"/>
    <cellStyle name="표준 13 2 2 9" xfId="0"/>
    <cellStyle name="표준 13 2 3" xfId="0"/>
    <cellStyle name="표준 13 2 3 2" xfId="0"/>
    <cellStyle name="표준 13 2 4" xfId="0"/>
    <cellStyle name="표준 13 2 4 2" xfId="0"/>
    <cellStyle name="표준 13 2 5" xfId="0"/>
    <cellStyle name="표준 13 2 5 2" xfId="0"/>
    <cellStyle name="표준 13 2 6" xfId="0"/>
    <cellStyle name="표준 13 2 6 2" xfId="0"/>
    <cellStyle name="표준 13 2 7" xfId="0"/>
    <cellStyle name="표준 13 2 7 2" xfId="0"/>
    <cellStyle name="표준 13 2 8" xfId="0"/>
    <cellStyle name="표준 13 2 8 2" xfId="0"/>
    <cellStyle name="표준 13 2 9" xfId="0"/>
    <cellStyle name="표준 13 2 9 2" xfId="0"/>
    <cellStyle name="표준 13 20" xfId="0"/>
    <cellStyle name="표준 13 21" xfId="0"/>
    <cellStyle name="표준 13 22" xfId="0"/>
    <cellStyle name="표준 13 23" xfId="0"/>
    <cellStyle name="표준 13 24" xfId="0"/>
    <cellStyle name="표준 13 25" xfId="0"/>
    <cellStyle name="표준 13 3" xfId="0"/>
    <cellStyle name="표준 13 3 10" xfId="0"/>
    <cellStyle name="표준 13 3 10 2" xfId="0"/>
    <cellStyle name="표준 13 3 11" xfId="0"/>
    <cellStyle name="표준 13 3 2" xfId="0"/>
    <cellStyle name="표준 13 3 2 10" xfId="0"/>
    <cellStyle name="표준 13 3 2 11" xfId="0"/>
    <cellStyle name="표준 13 3 2 2" xfId="0"/>
    <cellStyle name="표준 13 3 2 3" xfId="0"/>
    <cellStyle name="표준 13 3 2 4" xfId="0"/>
    <cellStyle name="표준 13 3 2 5" xfId="0"/>
    <cellStyle name="표준 13 3 2 6" xfId="0"/>
    <cellStyle name="표준 13 3 2 7" xfId="0"/>
    <cellStyle name="표준 13 3 2 8" xfId="0"/>
    <cellStyle name="표준 13 3 2 9" xfId="0"/>
    <cellStyle name="표준 13 3 3" xfId="0"/>
    <cellStyle name="표준 13 3 3 2" xfId="0"/>
    <cellStyle name="표준 13 3 4" xfId="0"/>
    <cellStyle name="표준 13 3 4 2" xfId="0"/>
    <cellStyle name="표준 13 3 5" xfId="0"/>
    <cellStyle name="표준 13 3 5 2" xfId="0"/>
    <cellStyle name="표준 13 3 6" xfId="0"/>
    <cellStyle name="표준 13 3 6 2" xfId="0"/>
    <cellStyle name="표준 13 3 7" xfId="0"/>
    <cellStyle name="표준 13 3 7 2" xfId="0"/>
    <cellStyle name="표준 13 3 8" xfId="0"/>
    <cellStyle name="표준 13 3 8 2" xfId="0"/>
    <cellStyle name="표준 13 3 9" xfId="0"/>
    <cellStyle name="표준 13 3 9 2" xfId="0"/>
    <cellStyle name="표준 13 4" xfId="0"/>
    <cellStyle name="표준 13 4 10" xfId="0"/>
    <cellStyle name="표준 13 4 11" xfId="0"/>
    <cellStyle name="표준 13 4 2" xfId="0"/>
    <cellStyle name="표준 13 4 3" xfId="0"/>
    <cellStyle name="표준 13 4 4" xfId="0"/>
    <cellStyle name="표준 13 4 5" xfId="0"/>
    <cellStyle name="표준 13 4 6" xfId="0"/>
    <cellStyle name="표준 13 4 7" xfId="0"/>
    <cellStyle name="표준 13 4 8" xfId="0"/>
    <cellStyle name="표준 13 4 9" xfId="0"/>
    <cellStyle name="표준 13 5" xfId="0"/>
    <cellStyle name="표준 13 5 10" xfId="0"/>
    <cellStyle name="표준 13 5 11" xfId="0"/>
    <cellStyle name="표준 13 5 2" xfId="0"/>
    <cellStyle name="표준 13 5 3" xfId="0"/>
    <cellStyle name="표준 13 5 4" xfId="0"/>
    <cellStyle name="표준 13 5 5" xfId="0"/>
    <cellStyle name="표준 13 5 6" xfId="0"/>
    <cellStyle name="표준 13 5 7" xfId="0"/>
    <cellStyle name="표준 13 5 8" xfId="0"/>
    <cellStyle name="표준 13 5 9" xfId="0"/>
    <cellStyle name="표준 13 6" xfId="0"/>
    <cellStyle name="표준 13 6 10" xfId="0"/>
    <cellStyle name="표준 13 6 11" xfId="0"/>
    <cellStyle name="표준 13 6 2" xfId="0"/>
    <cellStyle name="표준 13 6 3" xfId="0"/>
    <cellStyle name="표준 13 6 4" xfId="0"/>
    <cellStyle name="표준 13 6 5" xfId="0"/>
    <cellStyle name="표준 13 6 6" xfId="0"/>
    <cellStyle name="표준 13 6 7" xfId="0"/>
    <cellStyle name="표준 13 6 8" xfId="0"/>
    <cellStyle name="표준 13 6 9" xfId="0"/>
    <cellStyle name="표준 13 7" xfId="0"/>
    <cellStyle name="표준 13 7 10" xfId="0"/>
    <cellStyle name="표준 13 7 2" xfId="0"/>
    <cellStyle name="표준 13 7 3" xfId="0"/>
    <cellStyle name="표준 13 7 4" xfId="0"/>
    <cellStyle name="표준 13 7 5" xfId="0"/>
    <cellStyle name="표준 13 7 6" xfId="0"/>
    <cellStyle name="표준 13 7 7" xfId="0"/>
    <cellStyle name="표준 13 7 8" xfId="0"/>
    <cellStyle name="표준 13 7 9" xfId="0"/>
    <cellStyle name="표준 13 8" xfId="0"/>
    <cellStyle name="표준 13 8 10" xfId="0"/>
    <cellStyle name="표준 13 8 2" xfId="0"/>
    <cellStyle name="표준 13 8 3" xfId="0"/>
    <cellStyle name="표준 13 8 4" xfId="0"/>
    <cellStyle name="표준 13 8 5" xfId="0"/>
    <cellStyle name="표준 13 8 6" xfId="0"/>
    <cellStyle name="표준 13 8 7" xfId="0"/>
    <cellStyle name="표준 13 8 8" xfId="0"/>
    <cellStyle name="표준 13 8 9" xfId="0"/>
    <cellStyle name="표준 13 9" xfId="0"/>
    <cellStyle name="표준 13 9 2" xfId="0"/>
    <cellStyle name="표준 13 9 3" xfId="0"/>
    <cellStyle name="표준 13 9 4" xfId="0"/>
    <cellStyle name="표준 13 9 5" xfId="0"/>
    <cellStyle name="표준 13 9 6" xfId="0"/>
    <cellStyle name="표준 13 9 7" xfId="0"/>
    <cellStyle name="표준 13 9 8" xfId="0"/>
    <cellStyle name="표준 13 9 9" xfId="0"/>
    <cellStyle name="표준 130" xfId="0"/>
    <cellStyle name="표준 130 10" xfId="0"/>
    <cellStyle name="표준 130 11" xfId="0"/>
    <cellStyle name="표준 130 12" xfId="0"/>
    <cellStyle name="표준 130 13" xfId="0"/>
    <cellStyle name="표준 130 14" xfId="0"/>
    <cellStyle name="표준 130 15" xfId="0"/>
    <cellStyle name="표준 130 16" xfId="0"/>
    <cellStyle name="표준 130 2" xfId="0"/>
    <cellStyle name="표준 130 2 2" xfId="0"/>
    <cellStyle name="표준 130 3" xfId="0"/>
    <cellStyle name="표준 130 3 2" xfId="0"/>
    <cellStyle name="표준 130 4" xfId="0"/>
    <cellStyle name="표준 130 4 2" xfId="0"/>
    <cellStyle name="표준 130 5" xfId="0"/>
    <cellStyle name="표준 130 5 2" xfId="0"/>
    <cellStyle name="표준 130 6" xfId="0"/>
    <cellStyle name="표준 130 6 2" xfId="0"/>
    <cellStyle name="표준 130 7" xfId="0"/>
    <cellStyle name="표준 130 8" xfId="0"/>
    <cellStyle name="표준 130 9" xfId="0"/>
    <cellStyle name="표준 131" xfId="0"/>
    <cellStyle name="표준 131 2" xfId="0"/>
    <cellStyle name="표준 132" xfId="0"/>
    <cellStyle name="표준 132 2" xfId="0"/>
    <cellStyle name="표준 133" xfId="0"/>
    <cellStyle name="표준 134" xfId="0"/>
    <cellStyle name="표준 135" xfId="0"/>
    <cellStyle name="표준 136" xfId="0"/>
    <cellStyle name="표준 137" xfId="0"/>
    <cellStyle name="표준 138" xfId="0"/>
    <cellStyle name="표준 139" xfId="0"/>
    <cellStyle name="표준 139 2" xfId="0"/>
    <cellStyle name="표준 13_운용자산별 손익분석" xfId="0"/>
    <cellStyle name="표준 14" xfId="0"/>
    <cellStyle name="표준 14 10" xfId="0"/>
    <cellStyle name="표준 14 10 10" xfId="0"/>
    <cellStyle name="표준 14 10 2" xfId="0"/>
    <cellStyle name="표준 14 10 2 2" xfId="0"/>
    <cellStyle name="표준 14 10 3" xfId="0"/>
    <cellStyle name="표준 14 10 4" xfId="0"/>
    <cellStyle name="표준 14 10 5" xfId="0"/>
    <cellStyle name="표준 14 10 6" xfId="0"/>
    <cellStyle name="표준 14 10 7" xfId="0"/>
    <cellStyle name="표준 14 10 8" xfId="0"/>
    <cellStyle name="표준 14 10 9" xfId="0"/>
    <cellStyle name="표준 14 11" xfId="0"/>
    <cellStyle name="표준 14 11 2" xfId="0"/>
    <cellStyle name="표준 14 12" xfId="0"/>
    <cellStyle name="표준 14 12 2" xfId="0"/>
    <cellStyle name="표준 14 13" xfId="0"/>
    <cellStyle name="표준 14 13 2" xfId="0"/>
    <cellStyle name="표준 14 14" xfId="0"/>
    <cellStyle name="표준 14 14 2" xfId="0"/>
    <cellStyle name="표준 14 15" xfId="0"/>
    <cellStyle name="표준 14 15 2" xfId="0"/>
    <cellStyle name="표준 14 16" xfId="0"/>
    <cellStyle name="표준 14 16 2" xfId="0"/>
    <cellStyle name="표준 14 17" xfId="0"/>
    <cellStyle name="표준 14 17 2" xfId="0"/>
    <cellStyle name="표준 14 18" xfId="0"/>
    <cellStyle name="표준 14 18 2" xfId="0"/>
    <cellStyle name="표준 14 19" xfId="0"/>
    <cellStyle name="표준 14 19 2" xfId="0"/>
    <cellStyle name="표준 14 2" xfId="0"/>
    <cellStyle name="표준 14 2 10" xfId="0"/>
    <cellStyle name="표준 14 2 11" xfId="0"/>
    <cellStyle name="표준 14 2 2" xfId="0"/>
    <cellStyle name="표준 14 2 2 10" xfId="0"/>
    <cellStyle name="표준 14 2 2 11" xfId="0"/>
    <cellStyle name="표준 14 2 2 2" xfId="0"/>
    <cellStyle name="표준 14 2 2 3" xfId="0"/>
    <cellStyle name="표준 14 2 2 4" xfId="0"/>
    <cellStyle name="표준 14 2 2 5" xfId="0"/>
    <cellStyle name="표준 14 2 2 6" xfId="0"/>
    <cellStyle name="표준 14 2 2 7" xfId="0"/>
    <cellStyle name="표준 14 2 2 8" xfId="0"/>
    <cellStyle name="표준 14 2 2 9" xfId="0"/>
    <cellStyle name="표준 14 2 3" xfId="0"/>
    <cellStyle name="표준 14 2 4" xfId="0"/>
    <cellStyle name="표준 14 2 5" xfId="0"/>
    <cellStyle name="표준 14 2 6" xfId="0"/>
    <cellStyle name="표준 14 2 7" xfId="0"/>
    <cellStyle name="표준 14 2 8" xfId="0"/>
    <cellStyle name="표준 14 2 9" xfId="0"/>
    <cellStyle name="표준 14 20" xfId="0"/>
    <cellStyle name="표준 14 20 2" xfId="0"/>
    <cellStyle name="표준 14 21" xfId="0"/>
    <cellStyle name="표준 14 21 2" xfId="0"/>
    <cellStyle name="표준 14 22" xfId="0"/>
    <cellStyle name="표준 14 22 2" xfId="0"/>
    <cellStyle name="표준 14 23" xfId="0"/>
    <cellStyle name="표준 14 23 2" xfId="0"/>
    <cellStyle name="표준 14 23 2 2" xfId="0"/>
    <cellStyle name="표준 14 23 3" xfId="0"/>
    <cellStyle name="표준 14 23 4" xfId="0"/>
    <cellStyle name="표준 14 23 5" xfId="0"/>
    <cellStyle name="표준 14 23 6" xfId="0"/>
    <cellStyle name="표준 14 24" xfId="0"/>
    <cellStyle name="표준 14 24 2" xfId="0"/>
    <cellStyle name="표준 14 24 2 2" xfId="0"/>
    <cellStyle name="표준 14 24 3" xfId="0"/>
    <cellStyle name="표준 14 24 4" xfId="0"/>
    <cellStyle name="표준 14 24 5" xfId="0"/>
    <cellStyle name="표준 14 24 6" xfId="0"/>
    <cellStyle name="표준 14 25" xfId="0"/>
    <cellStyle name="표준 14 25 2" xfId="0"/>
    <cellStyle name="표준 14 25 2 2" xfId="0"/>
    <cellStyle name="표준 14 25 3" xfId="0"/>
    <cellStyle name="표준 14 25 4" xfId="0"/>
    <cellStyle name="표준 14 25 5" xfId="0"/>
    <cellStyle name="표준 14 25 6" xfId="0"/>
    <cellStyle name="표준 14 26" xfId="0"/>
    <cellStyle name="표준 14 26 2" xfId="0"/>
    <cellStyle name="표준 14 26 2 2" xfId="0"/>
    <cellStyle name="표준 14 26 3" xfId="0"/>
    <cellStyle name="표준 14 26 4" xfId="0"/>
    <cellStyle name="표준 14 26 5" xfId="0"/>
    <cellStyle name="표준 14 26 6" xfId="0"/>
    <cellStyle name="표준 14 27" xfId="0"/>
    <cellStyle name="표준 14 28" xfId="0"/>
    <cellStyle name="표준 14 29" xfId="0"/>
    <cellStyle name="표준 14 3" xfId="0"/>
    <cellStyle name="표준 14 3 10" xfId="0"/>
    <cellStyle name="표준 14 3 11" xfId="0"/>
    <cellStyle name="표준 14 3 2" xfId="0"/>
    <cellStyle name="표준 14 3 2 10" xfId="0"/>
    <cellStyle name="표준 14 3 2 11" xfId="0"/>
    <cellStyle name="표준 14 3 2 2" xfId="0"/>
    <cellStyle name="표준 14 3 2 3" xfId="0"/>
    <cellStyle name="표준 14 3 2 4" xfId="0"/>
    <cellStyle name="표준 14 3 2 5" xfId="0"/>
    <cellStyle name="표준 14 3 2 6" xfId="0"/>
    <cellStyle name="표준 14 3 2 7" xfId="0"/>
    <cellStyle name="표준 14 3 2 8" xfId="0"/>
    <cellStyle name="표준 14 3 2 9" xfId="0"/>
    <cellStyle name="표준 14 3 3" xfId="0"/>
    <cellStyle name="표준 14 3 4" xfId="0"/>
    <cellStyle name="표준 14 3 5" xfId="0"/>
    <cellStyle name="표준 14 3 6" xfId="0"/>
    <cellStyle name="표준 14 3 7" xfId="0"/>
    <cellStyle name="표준 14 3 8" xfId="0"/>
    <cellStyle name="표준 14 3 9" xfId="0"/>
    <cellStyle name="표준 14 30" xfId="0"/>
    <cellStyle name="표준 14 31" xfId="0"/>
    <cellStyle name="표준 14 32" xfId="0"/>
    <cellStyle name="표준 14 4" xfId="0"/>
    <cellStyle name="표준 14 4 10" xfId="0"/>
    <cellStyle name="표준 14 4 11" xfId="0"/>
    <cellStyle name="표준 14 4 2" xfId="0"/>
    <cellStyle name="표준 14 4 2 10" xfId="0"/>
    <cellStyle name="표준 14 4 2 11" xfId="0"/>
    <cellStyle name="표준 14 4 2 2" xfId="0"/>
    <cellStyle name="표준 14 4 2 3" xfId="0"/>
    <cellStyle name="표준 14 4 2 4" xfId="0"/>
    <cellStyle name="표준 14 4 2 5" xfId="0"/>
    <cellStyle name="표준 14 4 2 6" xfId="0"/>
    <cellStyle name="표준 14 4 2 7" xfId="0"/>
    <cellStyle name="표준 14 4 2 8" xfId="0"/>
    <cellStyle name="표준 14 4 2 9" xfId="0"/>
    <cellStyle name="표준 14 4 3" xfId="0"/>
    <cellStyle name="표준 14 4 4" xfId="0"/>
    <cellStyle name="표준 14 4 5" xfId="0"/>
    <cellStyle name="표준 14 4 6" xfId="0"/>
    <cellStyle name="표준 14 4 7" xfId="0"/>
    <cellStyle name="표준 14 4 8" xfId="0"/>
    <cellStyle name="표준 14 4 9" xfId="0"/>
    <cellStyle name="표준 14 5" xfId="0"/>
    <cellStyle name="표준 14 5 10" xfId="0"/>
    <cellStyle name="표준 14 5 11" xfId="0"/>
    <cellStyle name="표준 14 5 2" xfId="0"/>
    <cellStyle name="표준 14 5 2 10" xfId="0"/>
    <cellStyle name="표준 14 5 2 11" xfId="0"/>
    <cellStyle name="표준 14 5 2 2" xfId="0"/>
    <cellStyle name="표준 14 5 2 3" xfId="0"/>
    <cellStyle name="표준 14 5 2 4" xfId="0"/>
    <cellStyle name="표준 14 5 2 5" xfId="0"/>
    <cellStyle name="표준 14 5 2 6" xfId="0"/>
    <cellStyle name="표준 14 5 2 7" xfId="0"/>
    <cellStyle name="표준 14 5 2 8" xfId="0"/>
    <cellStyle name="표준 14 5 2 9" xfId="0"/>
    <cellStyle name="표준 14 5 3" xfId="0"/>
    <cellStyle name="표준 14 5 4" xfId="0"/>
    <cellStyle name="표준 14 5 5" xfId="0"/>
    <cellStyle name="표준 14 5 6" xfId="0"/>
    <cellStyle name="표준 14 5 7" xfId="0"/>
    <cellStyle name="표준 14 5 8" xfId="0"/>
    <cellStyle name="표준 14 5 9" xfId="0"/>
    <cellStyle name="표준 14 6" xfId="0"/>
    <cellStyle name="표준 14 6 10" xfId="0"/>
    <cellStyle name="표준 14 6 11" xfId="0"/>
    <cellStyle name="표준 14 6 2" xfId="0"/>
    <cellStyle name="표준 14 6 2 10" xfId="0"/>
    <cellStyle name="표준 14 6 2 11" xfId="0"/>
    <cellStyle name="표준 14 6 2 2" xfId="0"/>
    <cellStyle name="표준 14 6 2 3" xfId="0"/>
    <cellStyle name="표준 14 6 2 4" xfId="0"/>
    <cellStyle name="표준 14 6 2 5" xfId="0"/>
    <cellStyle name="표준 14 6 2 6" xfId="0"/>
    <cellStyle name="표준 14 6 2 7" xfId="0"/>
    <cellStyle name="표준 14 6 2 8" xfId="0"/>
    <cellStyle name="표준 14 6 2 9" xfId="0"/>
    <cellStyle name="표준 14 6 3" xfId="0"/>
    <cellStyle name="표준 14 6 4" xfId="0"/>
    <cellStyle name="표준 14 6 5" xfId="0"/>
    <cellStyle name="표준 14 6 6" xfId="0"/>
    <cellStyle name="표준 14 6 7" xfId="0"/>
    <cellStyle name="표준 14 6 8" xfId="0"/>
    <cellStyle name="표준 14 6 9" xfId="0"/>
    <cellStyle name="표준 14 7" xfId="0"/>
    <cellStyle name="표준 14 7 10" xfId="0"/>
    <cellStyle name="표준 14 7 2" xfId="0"/>
    <cellStyle name="표준 14 7 2 10" xfId="0"/>
    <cellStyle name="표준 14 7 2 11" xfId="0"/>
    <cellStyle name="표준 14 7 2 2" xfId="0"/>
    <cellStyle name="표준 14 7 2 3" xfId="0"/>
    <cellStyle name="표준 14 7 2 4" xfId="0"/>
    <cellStyle name="표준 14 7 2 5" xfId="0"/>
    <cellStyle name="표준 14 7 2 6" xfId="0"/>
    <cellStyle name="표준 14 7 2 7" xfId="0"/>
    <cellStyle name="표준 14 7 2 8" xfId="0"/>
    <cellStyle name="표준 14 7 2 9" xfId="0"/>
    <cellStyle name="표준 14 7 3" xfId="0"/>
    <cellStyle name="표준 14 7 4" xfId="0"/>
    <cellStyle name="표준 14 7 5" xfId="0"/>
    <cellStyle name="표준 14 7 6" xfId="0"/>
    <cellStyle name="표준 14 7 7" xfId="0"/>
    <cellStyle name="표준 14 7 8" xfId="0"/>
    <cellStyle name="표준 14 7 9" xfId="0"/>
    <cellStyle name="표준 14 8" xfId="0"/>
    <cellStyle name="표준 14 8 10" xfId="0"/>
    <cellStyle name="표준 14 8 2" xfId="0"/>
    <cellStyle name="표준 14 8 2 2" xfId="0"/>
    <cellStyle name="표준 14 8 3" xfId="0"/>
    <cellStyle name="표준 14 8 4" xfId="0"/>
    <cellStyle name="표준 14 8 5" xfId="0"/>
    <cellStyle name="표준 14 8 6" xfId="0"/>
    <cellStyle name="표준 14 8 7" xfId="0"/>
    <cellStyle name="표준 14 8 8" xfId="0"/>
    <cellStyle name="표준 14 8 9" xfId="0"/>
    <cellStyle name="표준 14 9" xfId="0"/>
    <cellStyle name="표준 14 9 10" xfId="0"/>
    <cellStyle name="표준 14 9 2" xfId="0"/>
    <cellStyle name="표준 14 9 2 2" xfId="0"/>
    <cellStyle name="표준 14 9 3" xfId="0"/>
    <cellStyle name="표준 14 9 4" xfId="0"/>
    <cellStyle name="표준 14 9 5" xfId="0"/>
    <cellStyle name="표준 14 9 6" xfId="0"/>
    <cellStyle name="표준 14 9 7" xfId="0"/>
    <cellStyle name="표준 14 9 8" xfId="0"/>
    <cellStyle name="표준 14 9 9" xfId="0"/>
    <cellStyle name="표준 140" xfId="0"/>
    <cellStyle name="표준 140 2" xfId="0"/>
    <cellStyle name="표준 141" xfId="0"/>
    <cellStyle name="표준 142" xfId="0"/>
    <cellStyle name="표준 142 10" xfId="0"/>
    <cellStyle name="표준 142 11" xfId="0"/>
    <cellStyle name="표준 142 12" xfId="0"/>
    <cellStyle name="표준 142 13" xfId="0"/>
    <cellStyle name="표준 142 14" xfId="0"/>
    <cellStyle name="표준 142 15" xfId="0"/>
    <cellStyle name="표준 142 16" xfId="0"/>
    <cellStyle name="표준 142 17" xfId="0"/>
    <cellStyle name="표준 142 2" xfId="0"/>
    <cellStyle name="표준 142 2 2" xfId="0"/>
    <cellStyle name="표준 142 3" xfId="0"/>
    <cellStyle name="표준 142 3 2" xfId="0"/>
    <cellStyle name="표준 142 4" xfId="0"/>
    <cellStyle name="표준 142 4 2" xfId="0"/>
    <cellStyle name="표준 142 5" xfId="0"/>
    <cellStyle name="표준 142 5 2" xfId="0"/>
    <cellStyle name="표준 142 6" xfId="0"/>
    <cellStyle name="표준 142 6 2" xfId="0"/>
    <cellStyle name="표준 142 7" xfId="0"/>
    <cellStyle name="표준 142 7 2" xfId="0"/>
    <cellStyle name="표준 142 8" xfId="0"/>
    <cellStyle name="표준 142 9" xfId="0"/>
    <cellStyle name="표준 143" xfId="0"/>
    <cellStyle name="표준 144" xfId="0"/>
    <cellStyle name="표준 145" xfId="0"/>
    <cellStyle name="표준 145 10" xfId="0"/>
    <cellStyle name="표준 145 11" xfId="0"/>
    <cellStyle name="표준 145 12" xfId="0"/>
    <cellStyle name="표준 145 13" xfId="0"/>
    <cellStyle name="표준 145 14" xfId="0"/>
    <cellStyle name="표준 145 15" xfId="0"/>
    <cellStyle name="표준 145 16" xfId="0"/>
    <cellStyle name="표준 145 17" xfId="0"/>
    <cellStyle name="표준 145 2" xfId="0"/>
    <cellStyle name="표준 145 2 2" xfId="0"/>
    <cellStyle name="표준 145 3" xfId="0"/>
    <cellStyle name="표준 145 3 2" xfId="0"/>
    <cellStyle name="표준 145 4" xfId="0"/>
    <cellStyle name="표준 145 4 2" xfId="0"/>
    <cellStyle name="표준 145 5" xfId="0"/>
    <cellStyle name="표준 145 5 2" xfId="0"/>
    <cellStyle name="표준 145 6" xfId="0"/>
    <cellStyle name="표준 145 6 2" xfId="0"/>
    <cellStyle name="표준 145 7" xfId="0"/>
    <cellStyle name="표준 145 7 2" xfId="0"/>
    <cellStyle name="표준 145 8" xfId="0"/>
    <cellStyle name="표준 145 9" xfId="0"/>
    <cellStyle name="표준 146" xfId="0"/>
    <cellStyle name="표준 146 10" xfId="0"/>
    <cellStyle name="표준 146 11" xfId="0"/>
    <cellStyle name="표준 146 12" xfId="0"/>
    <cellStyle name="표준 146 13" xfId="0"/>
    <cellStyle name="표준 146 14" xfId="0"/>
    <cellStyle name="표준 146 15" xfId="0"/>
    <cellStyle name="표준 146 16" xfId="0"/>
    <cellStyle name="표준 146 17" xfId="0"/>
    <cellStyle name="표준 146 2" xfId="0"/>
    <cellStyle name="표준 146 2 2" xfId="0"/>
    <cellStyle name="표준 146 3" xfId="0"/>
    <cellStyle name="표준 146 3 2" xfId="0"/>
    <cellStyle name="표준 146 4" xfId="0"/>
    <cellStyle name="표준 146 4 2" xfId="0"/>
    <cellStyle name="표준 146 5" xfId="0"/>
    <cellStyle name="표준 146 5 2" xfId="0"/>
    <cellStyle name="표준 146 6" xfId="0"/>
    <cellStyle name="표준 146 6 2" xfId="0"/>
    <cellStyle name="표준 146 7" xfId="0"/>
    <cellStyle name="표준 146 7 2" xfId="0"/>
    <cellStyle name="표준 146 8" xfId="0"/>
    <cellStyle name="표준 146 9" xfId="0"/>
    <cellStyle name="표준 147" xfId="0"/>
    <cellStyle name="표준 148" xfId="0"/>
    <cellStyle name="표준 149" xfId="0"/>
    <cellStyle name="표준 149 10" xfId="0"/>
    <cellStyle name="표준 149 11" xfId="0"/>
    <cellStyle name="표준 149 12" xfId="0"/>
    <cellStyle name="표준 149 13" xfId="0"/>
    <cellStyle name="표준 149 14" xfId="0"/>
    <cellStyle name="표준 149 15" xfId="0"/>
    <cellStyle name="표준 149 16" xfId="0"/>
    <cellStyle name="표준 149 2" xfId="0"/>
    <cellStyle name="표준 149 2 2" xfId="0"/>
    <cellStyle name="표준 149 3" xfId="0"/>
    <cellStyle name="표준 149 3 2" xfId="0"/>
    <cellStyle name="표준 149 4" xfId="0"/>
    <cellStyle name="표준 149 4 2" xfId="0"/>
    <cellStyle name="표준 149 5" xfId="0"/>
    <cellStyle name="표준 149 5 2" xfId="0"/>
    <cellStyle name="표준 149 6" xfId="0"/>
    <cellStyle name="표준 149 6 2" xfId="0"/>
    <cellStyle name="표준 149 7" xfId="0"/>
    <cellStyle name="표준 149 8" xfId="0"/>
    <cellStyle name="표준 149 9" xfId="0"/>
    <cellStyle name="표준 15" xfId="0"/>
    <cellStyle name="표준 15 10" xfId="0"/>
    <cellStyle name="표준 15 10 10" xfId="0"/>
    <cellStyle name="표준 15 10 2" xfId="0"/>
    <cellStyle name="표준 15 10 2 2" xfId="0"/>
    <cellStyle name="표준 15 10 3" xfId="0"/>
    <cellStyle name="표준 15 10 4" xfId="0"/>
    <cellStyle name="표준 15 10 5" xfId="0"/>
    <cellStyle name="표준 15 10 6" xfId="0"/>
    <cellStyle name="표준 15 10 7" xfId="0"/>
    <cellStyle name="표준 15 10 8" xfId="0"/>
    <cellStyle name="표준 15 10 9" xfId="0"/>
    <cellStyle name="표준 15 11" xfId="0"/>
    <cellStyle name="표준 15 11 2" xfId="0"/>
    <cellStyle name="표준 15 12" xfId="0"/>
    <cellStyle name="표준 15 12 2" xfId="0"/>
    <cellStyle name="표준 15 13" xfId="0"/>
    <cellStyle name="표준 15 13 2" xfId="0"/>
    <cellStyle name="표준 15 14" xfId="0"/>
    <cellStyle name="표준 15 14 2" xfId="0"/>
    <cellStyle name="표준 15 15" xfId="0"/>
    <cellStyle name="표준 15 15 2" xfId="0"/>
    <cellStyle name="표준 15 16" xfId="0"/>
    <cellStyle name="표준 15 16 2" xfId="0"/>
    <cellStyle name="표준 15 17" xfId="0"/>
    <cellStyle name="표준 15 17 2" xfId="0"/>
    <cellStyle name="표준 15 18" xfId="0"/>
    <cellStyle name="표준 15 18 2" xfId="0"/>
    <cellStyle name="표준 15 19" xfId="0"/>
    <cellStyle name="표준 15 19 2" xfId="0"/>
    <cellStyle name="표준 15 2" xfId="0"/>
    <cellStyle name="표준 15 2 10" xfId="0"/>
    <cellStyle name="표준 15 2 11" xfId="0"/>
    <cellStyle name="표준 15 2 2" xfId="0"/>
    <cellStyle name="표준 15 2 2 10" xfId="0"/>
    <cellStyle name="표준 15 2 2 11" xfId="0"/>
    <cellStyle name="표준 15 2 2 2" xfId="0"/>
    <cellStyle name="표준 15 2 2 3" xfId="0"/>
    <cellStyle name="표준 15 2 2 4" xfId="0"/>
    <cellStyle name="표준 15 2 2 5" xfId="0"/>
    <cellStyle name="표준 15 2 2 6" xfId="0"/>
    <cellStyle name="표준 15 2 2 7" xfId="0"/>
    <cellStyle name="표준 15 2 2 8" xfId="0"/>
    <cellStyle name="표준 15 2 2 9" xfId="0"/>
    <cellStyle name="표준 15 2 3" xfId="0"/>
    <cellStyle name="표준 15 2 4" xfId="0"/>
    <cellStyle name="표준 15 2 5" xfId="0"/>
    <cellStyle name="표준 15 2 6" xfId="0"/>
    <cellStyle name="표준 15 2 7" xfId="0"/>
    <cellStyle name="표준 15 2 8" xfId="0"/>
    <cellStyle name="표준 15 2 9" xfId="0"/>
    <cellStyle name="표준 15 20" xfId="0"/>
    <cellStyle name="표준 15 20 2" xfId="0"/>
    <cellStyle name="표준 15 21" xfId="0"/>
    <cellStyle name="표준 15 21 2" xfId="0"/>
    <cellStyle name="표준 15 22" xfId="0"/>
    <cellStyle name="표준 15 22 2" xfId="0"/>
    <cellStyle name="표준 15 22 3" xfId="0"/>
    <cellStyle name="표준 15 23" xfId="0"/>
    <cellStyle name="표준 15 23 2" xfId="0"/>
    <cellStyle name="표준 15 23 3" xfId="0"/>
    <cellStyle name="표준 15 24" xfId="0"/>
    <cellStyle name="표준 15 24 2" xfId="0"/>
    <cellStyle name="표준 15 24 2 2" xfId="0"/>
    <cellStyle name="표준 15 24 2 3" xfId="0"/>
    <cellStyle name="표준 15 24 2 4" xfId="0"/>
    <cellStyle name="표준 15 24 2 5" xfId="0"/>
    <cellStyle name="표준 15 24 2 6" xfId="0"/>
    <cellStyle name="표준 15 24 3" xfId="0"/>
    <cellStyle name="표준 15 24 3 2" xfId="0"/>
    <cellStyle name="표준 15 24 3 3" xfId="0"/>
    <cellStyle name="표준 15 24 3 4" xfId="0"/>
    <cellStyle name="표준 15 24 3 5" xfId="0"/>
    <cellStyle name="표준 15 24 4" xfId="0"/>
    <cellStyle name="표준 15 24 4 2" xfId="0"/>
    <cellStyle name="표준 15 24 4 3" xfId="0"/>
    <cellStyle name="표준 15 24 4 4" xfId="0"/>
    <cellStyle name="표준 15 24 4 5" xfId="0"/>
    <cellStyle name="표준 15 24 5" xfId="0"/>
    <cellStyle name="표준 15 24 5 2" xfId="0"/>
    <cellStyle name="표준 15 24 5 3" xfId="0"/>
    <cellStyle name="표준 15 24 5 4" xfId="0"/>
    <cellStyle name="표준 15 24 5 5" xfId="0"/>
    <cellStyle name="표준 15 24 6" xfId="0"/>
    <cellStyle name="표준 15 24 7" xfId="0"/>
    <cellStyle name="표준 15 24 8" xfId="0"/>
    <cellStyle name="표준 15 25" xfId="0"/>
    <cellStyle name="표준 15 25 2" xfId="0"/>
    <cellStyle name="표준 15 25 3" xfId="0"/>
    <cellStyle name="표준 15 26" xfId="0"/>
    <cellStyle name="표준 15 26 2" xfId="0"/>
    <cellStyle name="표준 15 26 3" xfId="0"/>
    <cellStyle name="표준 15 27" xfId="0"/>
    <cellStyle name="표준 15 27 2" xfId="0"/>
    <cellStyle name="표준 15 27 3" xfId="0"/>
    <cellStyle name="표준 15 28" xfId="0"/>
    <cellStyle name="표준 15 29" xfId="0"/>
    <cellStyle name="표준 15 3" xfId="0"/>
    <cellStyle name="표준 15 3 10" xfId="0"/>
    <cellStyle name="표준 15 3 11" xfId="0"/>
    <cellStyle name="표준 15 3 2" xfId="0"/>
    <cellStyle name="표준 15 3 2 10" xfId="0"/>
    <cellStyle name="표준 15 3 2 11" xfId="0"/>
    <cellStyle name="표준 15 3 2 2" xfId="0"/>
    <cellStyle name="표준 15 3 2 3" xfId="0"/>
    <cellStyle name="표준 15 3 2 4" xfId="0"/>
    <cellStyle name="표준 15 3 2 5" xfId="0"/>
    <cellStyle name="표준 15 3 2 6" xfId="0"/>
    <cellStyle name="표준 15 3 2 7" xfId="0"/>
    <cellStyle name="표준 15 3 2 8" xfId="0"/>
    <cellStyle name="표준 15 3 2 9" xfId="0"/>
    <cellStyle name="표준 15 3 3" xfId="0"/>
    <cellStyle name="표준 15 3 4" xfId="0"/>
    <cellStyle name="표준 15 3 5" xfId="0"/>
    <cellStyle name="표준 15 3 6" xfId="0"/>
    <cellStyle name="표준 15 3 7" xfId="0"/>
    <cellStyle name="표준 15 3 8" xfId="0"/>
    <cellStyle name="표준 15 3 9" xfId="0"/>
    <cellStyle name="표준 15 30" xfId="0"/>
    <cellStyle name="표준 15 4" xfId="0"/>
    <cellStyle name="표준 15 4 10" xfId="0"/>
    <cellStyle name="표준 15 4 11" xfId="0"/>
    <cellStyle name="표준 15 4 2" xfId="0"/>
    <cellStyle name="표준 15 4 2 10" xfId="0"/>
    <cellStyle name="표준 15 4 2 11" xfId="0"/>
    <cellStyle name="표준 15 4 2 2" xfId="0"/>
    <cellStyle name="표준 15 4 2 3" xfId="0"/>
    <cellStyle name="표준 15 4 2 4" xfId="0"/>
    <cellStyle name="표준 15 4 2 5" xfId="0"/>
    <cellStyle name="표준 15 4 2 6" xfId="0"/>
    <cellStyle name="표준 15 4 2 7" xfId="0"/>
    <cellStyle name="표준 15 4 2 8" xfId="0"/>
    <cellStyle name="표준 15 4 2 9" xfId="0"/>
    <cellStyle name="표준 15 4 3" xfId="0"/>
    <cellStyle name="표준 15 4 4" xfId="0"/>
    <cellStyle name="표준 15 4 5" xfId="0"/>
    <cellStyle name="표준 15 4 6" xfId="0"/>
    <cellStyle name="표준 15 4 7" xfId="0"/>
    <cellStyle name="표준 15 4 8" xfId="0"/>
    <cellStyle name="표준 15 4 9" xfId="0"/>
    <cellStyle name="표준 15 5" xfId="0"/>
    <cellStyle name="표준 15 5 10" xfId="0"/>
    <cellStyle name="표준 15 5 11" xfId="0"/>
    <cellStyle name="표준 15 5 2" xfId="0"/>
    <cellStyle name="표준 15 5 2 10" xfId="0"/>
    <cellStyle name="표준 15 5 2 11" xfId="0"/>
    <cellStyle name="표준 15 5 2 2" xfId="0"/>
    <cellStyle name="표준 15 5 2 3" xfId="0"/>
    <cellStyle name="표준 15 5 2 4" xfId="0"/>
    <cellStyle name="표준 15 5 2 5" xfId="0"/>
    <cellStyle name="표준 15 5 2 6" xfId="0"/>
    <cellStyle name="표준 15 5 2 7" xfId="0"/>
    <cellStyle name="표준 15 5 2 8" xfId="0"/>
    <cellStyle name="표준 15 5 2 9" xfId="0"/>
    <cellStyle name="표준 15 5 3" xfId="0"/>
    <cellStyle name="표준 15 5 4" xfId="0"/>
    <cellStyle name="표준 15 5 5" xfId="0"/>
    <cellStyle name="표준 15 5 6" xfId="0"/>
    <cellStyle name="표준 15 5 7" xfId="0"/>
    <cellStyle name="표준 15 5 8" xfId="0"/>
    <cellStyle name="표준 15 5 9" xfId="0"/>
    <cellStyle name="표준 15 6" xfId="0"/>
    <cellStyle name="표준 15 6 10" xfId="0"/>
    <cellStyle name="표준 15 6 11" xfId="0"/>
    <cellStyle name="표준 15 6 2" xfId="0"/>
    <cellStyle name="표준 15 6 2 10" xfId="0"/>
    <cellStyle name="표준 15 6 2 11" xfId="0"/>
    <cellStyle name="표준 15 6 2 2" xfId="0"/>
    <cellStyle name="표준 15 6 2 3" xfId="0"/>
    <cellStyle name="표준 15 6 2 4" xfId="0"/>
    <cellStyle name="표준 15 6 2 5" xfId="0"/>
    <cellStyle name="표준 15 6 2 6" xfId="0"/>
    <cellStyle name="표준 15 6 2 7" xfId="0"/>
    <cellStyle name="표준 15 6 2 8" xfId="0"/>
    <cellStyle name="표준 15 6 2 9" xfId="0"/>
    <cellStyle name="표준 15 6 3" xfId="0"/>
    <cellStyle name="표준 15 6 4" xfId="0"/>
    <cellStyle name="표준 15 6 5" xfId="0"/>
    <cellStyle name="표준 15 6 6" xfId="0"/>
    <cellStyle name="표준 15 6 7" xfId="0"/>
    <cellStyle name="표준 15 6 8" xfId="0"/>
    <cellStyle name="표준 15 6 9" xfId="0"/>
    <cellStyle name="표준 15 7" xfId="0"/>
    <cellStyle name="표준 15 7 10" xfId="0"/>
    <cellStyle name="표준 15 7 2" xfId="0"/>
    <cellStyle name="표준 15 7 2 10" xfId="0"/>
    <cellStyle name="표준 15 7 2 11" xfId="0"/>
    <cellStyle name="표준 15 7 2 2" xfId="0"/>
    <cellStyle name="표준 15 7 2 3" xfId="0"/>
    <cellStyle name="표준 15 7 2 4" xfId="0"/>
    <cellStyle name="표준 15 7 2 5" xfId="0"/>
    <cellStyle name="표준 15 7 2 6" xfId="0"/>
    <cellStyle name="표준 15 7 2 7" xfId="0"/>
    <cellStyle name="표준 15 7 2 8" xfId="0"/>
    <cellStyle name="표준 15 7 2 9" xfId="0"/>
    <cellStyle name="표준 15 7 3" xfId="0"/>
    <cellStyle name="표준 15 7 4" xfId="0"/>
    <cellStyle name="표준 15 7 5" xfId="0"/>
    <cellStyle name="표준 15 7 6" xfId="0"/>
    <cellStyle name="표준 15 7 7" xfId="0"/>
    <cellStyle name="표준 15 7 8" xfId="0"/>
    <cellStyle name="표준 15 7 9" xfId="0"/>
    <cellStyle name="표준 15 8" xfId="0"/>
    <cellStyle name="표준 15 8 10" xfId="0"/>
    <cellStyle name="표준 15 8 2" xfId="0"/>
    <cellStyle name="표준 15 8 2 2" xfId="0"/>
    <cellStyle name="표준 15 8 3" xfId="0"/>
    <cellStyle name="표준 15 8 4" xfId="0"/>
    <cellStyle name="표준 15 8 5" xfId="0"/>
    <cellStyle name="표준 15 8 6" xfId="0"/>
    <cellStyle name="표준 15 8 7" xfId="0"/>
    <cellStyle name="표준 15 8 8" xfId="0"/>
    <cellStyle name="표준 15 8 9" xfId="0"/>
    <cellStyle name="표준 15 9" xfId="0"/>
    <cellStyle name="표준 15 9 10" xfId="0"/>
    <cellStyle name="표준 15 9 2" xfId="0"/>
    <cellStyle name="표준 15 9 2 2" xfId="0"/>
    <cellStyle name="표준 15 9 3" xfId="0"/>
    <cellStyle name="표준 15 9 4" xfId="0"/>
    <cellStyle name="표준 15 9 5" xfId="0"/>
    <cellStyle name="표준 15 9 6" xfId="0"/>
    <cellStyle name="표준 15 9 7" xfId="0"/>
    <cellStyle name="표준 15 9 8" xfId="0"/>
    <cellStyle name="표준 15 9 9" xfId="0"/>
    <cellStyle name="표준 150" xfId="0"/>
    <cellStyle name="표준 150 10" xfId="0"/>
    <cellStyle name="표준 150 11" xfId="0"/>
    <cellStyle name="표준 150 12" xfId="0"/>
    <cellStyle name="표준 150 13" xfId="0"/>
    <cellStyle name="표준 150 14" xfId="0"/>
    <cellStyle name="표준 150 15" xfId="0"/>
    <cellStyle name="표준 150 16" xfId="0"/>
    <cellStyle name="표준 150 2" xfId="0"/>
    <cellStyle name="표준 150 2 2" xfId="0"/>
    <cellStyle name="표준 150 3" xfId="0"/>
    <cellStyle name="표준 150 3 2" xfId="0"/>
    <cellStyle name="표준 150 4" xfId="0"/>
    <cellStyle name="표준 150 4 2" xfId="0"/>
    <cellStyle name="표준 150 5" xfId="0"/>
    <cellStyle name="표준 150 5 2" xfId="0"/>
    <cellStyle name="표준 150 6" xfId="0"/>
    <cellStyle name="표준 150 6 2" xfId="0"/>
    <cellStyle name="표준 150 7" xfId="0"/>
    <cellStyle name="표준 150 8" xfId="0"/>
    <cellStyle name="표준 150 9" xfId="0"/>
    <cellStyle name="표준 151" xfId="0"/>
    <cellStyle name="표준 151 10" xfId="0"/>
    <cellStyle name="표준 151 11" xfId="0"/>
    <cellStyle name="표준 151 12" xfId="0"/>
    <cellStyle name="표준 151 13" xfId="0"/>
    <cellStyle name="표준 151 14" xfId="0"/>
    <cellStyle name="표준 151 15" xfId="0"/>
    <cellStyle name="표준 151 16" xfId="0"/>
    <cellStyle name="표준 151 17" xfId="0"/>
    <cellStyle name="표준 151 2" xfId="0"/>
    <cellStyle name="표준 151 2 2" xfId="0"/>
    <cellStyle name="표준 151 3" xfId="0"/>
    <cellStyle name="표준 151 3 2" xfId="0"/>
    <cellStyle name="표준 151 4" xfId="0"/>
    <cellStyle name="표준 151 4 2" xfId="0"/>
    <cellStyle name="표준 151 5" xfId="0"/>
    <cellStyle name="표준 151 5 2" xfId="0"/>
    <cellStyle name="표준 151 6" xfId="0"/>
    <cellStyle name="표준 151 6 2" xfId="0"/>
    <cellStyle name="표준 151 7" xfId="0"/>
    <cellStyle name="표준 151 7 2" xfId="0"/>
    <cellStyle name="표준 151 8" xfId="0"/>
    <cellStyle name="표준 151 9" xfId="0"/>
    <cellStyle name="표준 152" xfId="0"/>
    <cellStyle name="표준 152 2" xfId="0"/>
    <cellStyle name="표준 153" xfId="0"/>
    <cellStyle name="표준 153 10" xfId="0"/>
    <cellStyle name="표준 153 11" xfId="0"/>
    <cellStyle name="표준 153 12" xfId="0"/>
    <cellStyle name="표준 153 13" xfId="0"/>
    <cellStyle name="표준 153 14" xfId="0"/>
    <cellStyle name="표준 153 15" xfId="0"/>
    <cellStyle name="표준 153 16" xfId="0"/>
    <cellStyle name="표준 153 2" xfId="0"/>
    <cellStyle name="표준 153 2 2" xfId="0"/>
    <cellStyle name="표준 153 3" xfId="0"/>
    <cellStyle name="표준 153 3 2" xfId="0"/>
    <cellStyle name="표준 153 4" xfId="0"/>
    <cellStyle name="표준 153 4 2" xfId="0"/>
    <cellStyle name="표준 153 5" xfId="0"/>
    <cellStyle name="표준 153 5 2" xfId="0"/>
    <cellStyle name="표준 153 6" xfId="0"/>
    <cellStyle name="표준 153 6 2" xfId="0"/>
    <cellStyle name="표준 153 7" xfId="0"/>
    <cellStyle name="표준 153 8" xfId="0"/>
    <cellStyle name="표준 153 9" xfId="0"/>
    <cellStyle name="표준 154" xfId="0"/>
    <cellStyle name="표준 154 10" xfId="0"/>
    <cellStyle name="표준 154 11" xfId="0"/>
    <cellStyle name="표준 154 12" xfId="0"/>
    <cellStyle name="표준 154 13" xfId="0"/>
    <cellStyle name="표준 154 14" xfId="0"/>
    <cellStyle name="표준 154 15" xfId="0"/>
    <cellStyle name="표준 154 16" xfId="0"/>
    <cellStyle name="표준 154 2" xfId="0"/>
    <cellStyle name="표준 154 2 2" xfId="0"/>
    <cellStyle name="표준 154 3" xfId="0"/>
    <cellStyle name="표준 154 3 2" xfId="0"/>
    <cellStyle name="표준 154 4" xfId="0"/>
    <cellStyle name="표준 154 4 2" xfId="0"/>
    <cellStyle name="표준 154 5" xfId="0"/>
    <cellStyle name="표준 154 5 2" xfId="0"/>
    <cellStyle name="표준 154 6" xfId="0"/>
    <cellStyle name="표준 154 6 2" xfId="0"/>
    <cellStyle name="표준 154 7" xfId="0"/>
    <cellStyle name="표준 154 8" xfId="0"/>
    <cellStyle name="표준 154 9" xfId="0"/>
    <cellStyle name="표준 155" xfId="0"/>
    <cellStyle name="표준 155 10" xfId="0"/>
    <cellStyle name="표준 155 11" xfId="0"/>
    <cellStyle name="표준 155 12" xfId="0"/>
    <cellStyle name="표준 155 13" xfId="0"/>
    <cellStyle name="표준 155 14" xfId="0"/>
    <cellStyle name="표준 155 15" xfId="0"/>
    <cellStyle name="표준 155 16" xfId="0"/>
    <cellStyle name="표준 155 17" xfId="0"/>
    <cellStyle name="표준 155 18" xfId="0"/>
    <cellStyle name="표준 155 19" xfId="0"/>
    <cellStyle name="표준 155 2" xfId="0"/>
    <cellStyle name="표준 155 2 2" xfId="0"/>
    <cellStyle name="표준 155 3" xfId="0"/>
    <cellStyle name="표준 155 3 2" xfId="0"/>
    <cellStyle name="표준 155 4" xfId="0"/>
    <cellStyle name="표준 155 4 2" xfId="0"/>
    <cellStyle name="표준 155 5" xfId="0"/>
    <cellStyle name="표준 155 5 2" xfId="0"/>
    <cellStyle name="표준 155 6" xfId="0"/>
    <cellStyle name="표준 155 6 2" xfId="0"/>
    <cellStyle name="표준 155 7" xfId="0"/>
    <cellStyle name="표준 155 7 2" xfId="0"/>
    <cellStyle name="표준 155 8" xfId="0"/>
    <cellStyle name="표준 155 9" xfId="0"/>
    <cellStyle name="표준 156" xfId="0"/>
    <cellStyle name="표준 156 10" xfId="0"/>
    <cellStyle name="표준 156 11" xfId="0"/>
    <cellStyle name="표준 156 12" xfId="0"/>
    <cellStyle name="표준 156 13" xfId="0"/>
    <cellStyle name="표준 156 14" xfId="0"/>
    <cellStyle name="표준 156 15" xfId="0"/>
    <cellStyle name="표준 156 16" xfId="0"/>
    <cellStyle name="표준 156 17" xfId="0"/>
    <cellStyle name="표준 156 18" xfId="0"/>
    <cellStyle name="표준 156 2" xfId="0"/>
    <cellStyle name="표준 156 2 2" xfId="0"/>
    <cellStyle name="표준 156 3" xfId="0"/>
    <cellStyle name="표준 156 3 2" xfId="0"/>
    <cellStyle name="표준 156 4" xfId="0"/>
    <cellStyle name="표준 156 4 2" xfId="0"/>
    <cellStyle name="표준 156 5" xfId="0"/>
    <cellStyle name="표준 156 5 2" xfId="0"/>
    <cellStyle name="표준 156 6" xfId="0"/>
    <cellStyle name="표준 156 6 2" xfId="0"/>
    <cellStyle name="표준 156 7" xfId="0"/>
    <cellStyle name="표준 156 7 2" xfId="0"/>
    <cellStyle name="표준 156 8" xfId="0"/>
    <cellStyle name="표준 156 9" xfId="0"/>
    <cellStyle name="표준 157" xfId="0"/>
    <cellStyle name="표준 157 10" xfId="0"/>
    <cellStyle name="표준 157 11" xfId="0"/>
    <cellStyle name="표준 157 12" xfId="0"/>
    <cellStyle name="표준 157 13" xfId="0"/>
    <cellStyle name="표준 157 14" xfId="0"/>
    <cellStyle name="표준 157 15" xfId="0"/>
    <cellStyle name="표준 157 16" xfId="0"/>
    <cellStyle name="표준 157 17" xfId="0"/>
    <cellStyle name="표준 157 18" xfId="0"/>
    <cellStyle name="표준 157 2" xfId="0"/>
    <cellStyle name="표준 157 2 2" xfId="0"/>
    <cellStyle name="표준 157 3" xfId="0"/>
    <cellStyle name="표준 157 3 2" xfId="0"/>
    <cellStyle name="표준 157 4" xfId="0"/>
    <cellStyle name="표준 157 4 2" xfId="0"/>
    <cellStyle name="표준 157 5" xfId="0"/>
    <cellStyle name="표준 157 5 2" xfId="0"/>
    <cellStyle name="표준 157 6" xfId="0"/>
    <cellStyle name="표준 157 6 2" xfId="0"/>
    <cellStyle name="표준 157 7" xfId="0"/>
    <cellStyle name="표준 157 7 2" xfId="0"/>
    <cellStyle name="표준 157 8" xfId="0"/>
    <cellStyle name="표준 157 9" xfId="0"/>
    <cellStyle name="표준 158" xfId="0"/>
    <cellStyle name="표준 158 10" xfId="0"/>
    <cellStyle name="표준 158 11" xfId="0"/>
    <cellStyle name="표준 158 12" xfId="0"/>
    <cellStyle name="표준 158 13" xfId="0"/>
    <cellStyle name="표준 158 14" xfId="0"/>
    <cellStyle name="표준 158 15" xfId="0"/>
    <cellStyle name="표준 158 16" xfId="0"/>
    <cellStyle name="표준 158 17" xfId="0"/>
    <cellStyle name="표준 158 2" xfId="0"/>
    <cellStyle name="표준 158 2 2" xfId="0"/>
    <cellStyle name="표준 158 3" xfId="0"/>
    <cellStyle name="표준 158 3 2" xfId="0"/>
    <cellStyle name="표준 158 4" xfId="0"/>
    <cellStyle name="표준 158 4 2" xfId="0"/>
    <cellStyle name="표준 158 5" xfId="0"/>
    <cellStyle name="표준 158 5 2" xfId="0"/>
    <cellStyle name="표준 158 6" xfId="0"/>
    <cellStyle name="표준 158 6 2" xfId="0"/>
    <cellStyle name="표준 158 7" xfId="0"/>
    <cellStyle name="표준 158 7 2" xfId="0"/>
    <cellStyle name="표준 158 8" xfId="0"/>
    <cellStyle name="표준 158 9" xfId="0"/>
    <cellStyle name="표준 159" xfId="0"/>
    <cellStyle name="표준 159 10" xfId="0"/>
    <cellStyle name="표준 159 11" xfId="0"/>
    <cellStyle name="표준 159 12" xfId="0"/>
    <cellStyle name="표준 159 13" xfId="0"/>
    <cellStyle name="표준 159 14" xfId="0"/>
    <cellStyle name="표준 159 15" xfId="0"/>
    <cellStyle name="표준 159 16" xfId="0"/>
    <cellStyle name="표준 159 17" xfId="0"/>
    <cellStyle name="표준 159 2" xfId="0"/>
    <cellStyle name="표준 159 2 2" xfId="0"/>
    <cellStyle name="표준 159 3" xfId="0"/>
    <cellStyle name="표준 159 3 2" xfId="0"/>
    <cellStyle name="표준 159 4" xfId="0"/>
    <cellStyle name="표준 159 4 2" xfId="0"/>
    <cellStyle name="표준 159 5" xfId="0"/>
    <cellStyle name="표준 159 5 2" xfId="0"/>
    <cellStyle name="표준 159 6" xfId="0"/>
    <cellStyle name="표준 159 6 2" xfId="0"/>
    <cellStyle name="표준 159 7" xfId="0"/>
    <cellStyle name="표준 159 7 2" xfId="0"/>
    <cellStyle name="표준 159 8" xfId="0"/>
    <cellStyle name="표준 159 9" xfId="0"/>
    <cellStyle name="표준 16" xfId="0"/>
    <cellStyle name="표준 16 10" xfId="0"/>
    <cellStyle name="표준 16 11" xfId="0"/>
    <cellStyle name="표준 16 12" xfId="0"/>
    <cellStyle name="표준 16 2" xfId="0"/>
    <cellStyle name="표준 16 2 10" xfId="0"/>
    <cellStyle name="표준 16 2 11" xfId="0"/>
    <cellStyle name="표준 16 2 12" xfId="0"/>
    <cellStyle name="표준 16 2 2" xfId="0"/>
    <cellStyle name="표준 16 2 3" xfId="0"/>
    <cellStyle name="표준 16 2 4" xfId="0"/>
    <cellStyle name="표준 16 2 5" xfId="0"/>
    <cellStyle name="표준 16 2 6" xfId="0"/>
    <cellStyle name="표준 16 2 7" xfId="0"/>
    <cellStyle name="표준 16 2 8" xfId="0"/>
    <cellStyle name="표준 16 2 9" xfId="0"/>
    <cellStyle name="표준 16 3" xfId="0"/>
    <cellStyle name="표준 16 3 10" xfId="0"/>
    <cellStyle name="표준 16 3 11" xfId="0"/>
    <cellStyle name="표준 16 3 2" xfId="0"/>
    <cellStyle name="표준 16 3 3" xfId="0"/>
    <cellStyle name="표준 16 3 4" xfId="0"/>
    <cellStyle name="표준 16 3 5" xfId="0"/>
    <cellStyle name="표준 16 3 6" xfId="0"/>
    <cellStyle name="표준 16 3 7" xfId="0"/>
    <cellStyle name="표준 16 3 8" xfId="0"/>
    <cellStyle name="표준 16 3 9" xfId="0"/>
    <cellStyle name="표준 16 4" xfId="0"/>
    <cellStyle name="표준 16 4 2" xfId="0"/>
    <cellStyle name="표준 16 4 3" xfId="0"/>
    <cellStyle name="표준 16 5" xfId="0"/>
    <cellStyle name="표준 16 5 2" xfId="0"/>
    <cellStyle name="표준 16 5 2 2" xfId="0"/>
    <cellStyle name="표준 16 5 2 3" xfId="0"/>
    <cellStyle name="표준 16 5 2 4" xfId="0"/>
    <cellStyle name="표준 16 5 2 5" xfId="0"/>
    <cellStyle name="표준 16 5 3" xfId="0"/>
    <cellStyle name="표준 16 5 4" xfId="0"/>
    <cellStyle name="표준 16 6" xfId="0"/>
    <cellStyle name="표준 16 6 2" xfId="0"/>
    <cellStyle name="표준 16 7" xfId="0"/>
    <cellStyle name="표준 16 8" xfId="0"/>
    <cellStyle name="표준 16 9" xfId="0"/>
    <cellStyle name="표준 160" xfId="0"/>
    <cellStyle name="표준 160 10" xfId="0"/>
    <cellStyle name="표준 160 11" xfId="0"/>
    <cellStyle name="표준 160 12" xfId="0"/>
    <cellStyle name="표준 160 13" xfId="0"/>
    <cellStyle name="표준 160 14" xfId="0"/>
    <cellStyle name="표준 160 15" xfId="0"/>
    <cellStyle name="표준 160 16" xfId="0"/>
    <cellStyle name="표준 160 17" xfId="0"/>
    <cellStyle name="표준 160 2" xfId="0"/>
    <cellStyle name="표준 160 2 2" xfId="0"/>
    <cellStyle name="표준 160 3" xfId="0"/>
    <cellStyle name="표준 160 3 2" xfId="0"/>
    <cellStyle name="표준 160 4" xfId="0"/>
    <cellStyle name="표준 160 4 2" xfId="0"/>
    <cellStyle name="표준 160 5" xfId="0"/>
    <cellStyle name="표준 160 5 2" xfId="0"/>
    <cellStyle name="표준 160 6" xfId="0"/>
    <cellStyle name="표준 160 6 2" xfId="0"/>
    <cellStyle name="표준 160 7" xfId="0"/>
    <cellStyle name="표준 160 7 2" xfId="0"/>
    <cellStyle name="표준 160 8" xfId="0"/>
    <cellStyle name="표준 160 9" xfId="0"/>
    <cellStyle name="표준 161" xfId="0"/>
    <cellStyle name="표준 161 10" xfId="0"/>
    <cellStyle name="표준 161 11" xfId="0"/>
    <cellStyle name="표준 161 12" xfId="0"/>
    <cellStyle name="표준 161 13" xfId="0"/>
    <cellStyle name="표준 161 14" xfId="0"/>
    <cellStyle name="표준 161 15" xfId="0"/>
    <cellStyle name="표준 161 16" xfId="0"/>
    <cellStyle name="표준 161 2" xfId="0"/>
    <cellStyle name="표준 161 2 2" xfId="0"/>
    <cellStyle name="표준 161 3" xfId="0"/>
    <cellStyle name="표준 161 3 2" xfId="0"/>
    <cellStyle name="표준 161 4" xfId="0"/>
    <cellStyle name="표준 161 4 2" xfId="0"/>
    <cellStyle name="표준 161 5" xfId="0"/>
    <cellStyle name="표준 161 5 2" xfId="0"/>
    <cellStyle name="표준 161 6" xfId="0"/>
    <cellStyle name="표준 161 6 2" xfId="0"/>
    <cellStyle name="표준 161 7" xfId="0"/>
    <cellStyle name="표준 161 8" xfId="0"/>
    <cellStyle name="표준 161 9" xfId="0"/>
    <cellStyle name="표준 162" xfId="0"/>
    <cellStyle name="표준 163" xfId="0"/>
    <cellStyle name="표준 163 10" xfId="0"/>
    <cellStyle name="표준 163 11" xfId="0"/>
    <cellStyle name="표준 163 12" xfId="0"/>
    <cellStyle name="표준 163 13" xfId="0"/>
    <cellStyle name="표준 163 14" xfId="0"/>
    <cellStyle name="표준 163 15" xfId="0"/>
    <cellStyle name="표준 163 16" xfId="0"/>
    <cellStyle name="표준 163 17" xfId="0"/>
    <cellStyle name="표준 163 2" xfId="0"/>
    <cellStyle name="표준 163 2 2" xfId="0"/>
    <cellStyle name="표준 163 3" xfId="0"/>
    <cellStyle name="표준 163 3 2" xfId="0"/>
    <cellStyle name="표준 163 4" xfId="0"/>
    <cellStyle name="표준 163 4 2" xfId="0"/>
    <cellStyle name="표준 163 5" xfId="0"/>
    <cellStyle name="표준 163 5 2" xfId="0"/>
    <cellStyle name="표준 163 6" xfId="0"/>
    <cellStyle name="표준 163 6 2" xfId="0"/>
    <cellStyle name="표준 163 7" xfId="0"/>
    <cellStyle name="표준 163 7 2" xfId="0"/>
    <cellStyle name="표준 163 8" xfId="0"/>
    <cellStyle name="표준 163 9" xfId="0"/>
    <cellStyle name="표준 164" xfId="0"/>
    <cellStyle name="표준 165" xfId="0"/>
    <cellStyle name="표준 165 10" xfId="0"/>
    <cellStyle name="표준 165 11" xfId="0"/>
    <cellStyle name="표준 165 12" xfId="0"/>
    <cellStyle name="표준 165 13" xfId="0"/>
    <cellStyle name="표준 165 14" xfId="0"/>
    <cellStyle name="표준 165 15" xfId="0"/>
    <cellStyle name="표준 165 16" xfId="0"/>
    <cellStyle name="표준 165 17" xfId="0"/>
    <cellStyle name="표준 165 2" xfId="0"/>
    <cellStyle name="표준 165 2 2" xfId="0"/>
    <cellStyle name="표준 165 3" xfId="0"/>
    <cellStyle name="표준 165 3 2" xfId="0"/>
    <cellStyle name="표준 165 4" xfId="0"/>
    <cellStyle name="표준 165 4 2" xfId="0"/>
    <cellStyle name="표준 165 5" xfId="0"/>
    <cellStyle name="표준 165 5 2" xfId="0"/>
    <cellStyle name="표준 165 6" xfId="0"/>
    <cellStyle name="표준 165 6 2" xfId="0"/>
    <cellStyle name="표준 165 7" xfId="0"/>
    <cellStyle name="표준 165 7 2" xfId="0"/>
    <cellStyle name="표준 165 8" xfId="0"/>
    <cellStyle name="표준 165 9" xfId="0"/>
    <cellStyle name="표준 166" xfId="0"/>
    <cellStyle name="표준 166 10" xfId="0"/>
    <cellStyle name="표준 166 11" xfId="0"/>
    <cellStyle name="표준 166 12" xfId="0"/>
    <cellStyle name="표준 166 13" xfId="0"/>
    <cellStyle name="표준 166 14" xfId="0"/>
    <cellStyle name="표준 166 15" xfId="0"/>
    <cellStyle name="표준 166 16" xfId="0"/>
    <cellStyle name="표준 166 17" xfId="0"/>
    <cellStyle name="표준 166 2" xfId="0"/>
    <cellStyle name="표준 166 2 2" xfId="0"/>
    <cellStyle name="표준 166 3" xfId="0"/>
    <cellStyle name="표준 166 3 2" xfId="0"/>
    <cellStyle name="표준 166 4" xfId="0"/>
    <cellStyle name="표준 166 4 2" xfId="0"/>
    <cellStyle name="표준 166 5" xfId="0"/>
    <cellStyle name="표준 166 5 2" xfId="0"/>
    <cellStyle name="표준 166 6" xfId="0"/>
    <cellStyle name="표준 166 6 2" xfId="0"/>
    <cellStyle name="표준 166 7" xfId="0"/>
    <cellStyle name="표준 166 7 2" xfId="0"/>
    <cellStyle name="표준 166 8" xfId="0"/>
    <cellStyle name="표준 166 9" xfId="0"/>
    <cellStyle name="표준 167" xfId="0"/>
    <cellStyle name="표준 168" xfId="0"/>
    <cellStyle name="표준 168 10" xfId="0"/>
    <cellStyle name="표준 168 11" xfId="0"/>
    <cellStyle name="표준 168 12" xfId="0"/>
    <cellStyle name="표준 168 13" xfId="0"/>
    <cellStyle name="표준 168 14" xfId="0"/>
    <cellStyle name="표준 168 15" xfId="0"/>
    <cellStyle name="표준 168 16" xfId="0"/>
    <cellStyle name="표준 168 2" xfId="0"/>
    <cellStyle name="표준 168 2 2" xfId="0"/>
    <cellStyle name="표준 168 3" xfId="0"/>
    <cellStyle name="표준 168 3 2" xfId="0"/>
    <cellStyle name="표준 168 4" xfId="0"/>
    <cellStyle name="표준 168 4 2" xfId="0"/>
    <cellStyle name="표준 168 5" xfId="0"/>
    <cellStyle name="표준 168 5 2" xfId="0"/>
    <cellStyle name="표준 168 6" xfId="0"/>
    <cellStyle name="표준 168 6 2" xfId="0"/>
    <cellStyle name="표준 168 7" xfId="0"/>
    <cellStyle name="표준 168 8" xfId="0"/>
    <cellStyle name="표준 168 9" xfId="0"/>
    <cellStyle name="표준 169" xfId="0"/>
    <cellStyle name="표준 169 10" xfId="0"/>
    <cellStyle name="표준 169 11" xfId="0"/>
    <cellStyle name="표준 169 12" xfId="0"/>
    <cellStyle name="표준 169 13" xfId="0"/>
    <cellStyle name="표준 169 14" xfId="0"/>
    <cellStyle name="표준 169 15" xfId="0"/>
    <cellStyle name="표준 169 16" xfId="0"/>
    <cellStyle name="표준 169 2" xfId="0"/>
    <cellStyle name="표준 169 2 2" xfId="0"/>
    <cellStyle name="표준 169 3" xfId="0"/>
    <cellStyle name="표준 169 3 2" xfId="0"/>
    <cellStyle name="표준 169 4" xfId="0"/>
    <cellStyle name="표준 169 4 2" xfId="0"/>
    <cellStyle name="표준 169 5" xfId="0"/>
    <cellStyle name="표준 169 5 2" xfId="0"/>
    <cellStyle name="표준 169 6" xfId="0"/>
    <cellStyle name="표준 169 6 2" xfId="0"/>
    <cellStyle name="표준 169 7" xfId="0"/>
    <cellStyle name="표준 169 8" xfId="0"/>
    <cellStyle name="표준 169 9" xfId="0"/>
    <cellStyle name="표준 17" xfId="0"/>
    <cellStyle name="표준 17 10" xfId="0"/>
    <cellStyle name="표준 17 11" xfId="0"/>
    <cellStyle name="표준 17 12" xfId="0"/>
    <cellStyle name="표준 17 13" xfId="0"/>
    <cellStyle name="표준 17 14" xfId="0"/>
    <cellStyle name="표준 17 15" xfId="0"/>
    <cellStyle name="표준 17 16" xfId="0"/>
    <cellStyle name="표준 17 17" xfId="0"/>
    <cellStyle name="표준 17 17 2" xfId="0"/>
    <cellStyle name="표준 17 2" xfId="0"/>
    <cellStyle name="표준 17 2 10" xfId="0"/>
    <cellStyle name="표준 17 2 2" xfId="0"/>
    <cellStyle name="표준 17 2 3" xfId="0"/>
    <cellStyle name="표준 17 2 4" xfId="0"/>
    <cellStyle name="표준 17 2 5" xfId="0"/>
    <cellStyle name="표준 17 2 6" xfId="0"/>
    <cellStyle name="표준 17 2 7" xfId="0"/>
    <cellStyle name="표준 17 2 8" xfId="0"/>
    <cellStyle name="표준 17 2 9" xfId="0"/>
    <cellStyle name="표준 17 3" xfId="0"/>
    <cellStyle name="표준 17 3 10" xfId="0"/>
    <cellStyle name="표준 17 3 2" xfId="0"/>
    <cellStyle name="표준 17 3 3" xfId="0"/>
    <cellStyle name="표준 17 3 4" xfId="0"/>
    <cellStyle name="표준 17 3 5" xfId="0"/>
    <cellStyle name="표준 17 3 6" xfId="0"/>
    <cellStyle name="표준 17 3 7" xfId="0"/>
    <cellStyle name="표준 17 3 8" xfId="0"/>
    <cellStyle name="표준 17 3 9" xfId="0"/>
    <cellStyle name="표준 17 4" xfId="0"/>
    <cellStyle name="표준 17 4 2" xfId="0"/>
    <cellStyle name="표준 17 5" xfId="0"/>
    <cellStyle name="표준 17 6" xfId="0"/>
    <cellStyle name="표준 17 7" xfId="0"/>
    <cellStyle name="표준 17 8" xfId="0"/>
    <cellStyle name="표준 17 9" xfId="0"/>
    <cellStyle name="표준 170" xfId="0"/>
    <cellStyle name="표준 171" xfId="0"/>
    <cellStyle name="표준 171 10" xfId="0"/>
    <cellStyle name="표준 171 11" xfId="0"/>
    <cellStyle name="표준 171 12" xfId="0"/>
    <cellStyle name="표준 171 13" xfId="0"/>
    <cellStyle name="표준 171 14" xfId="0"/>
    <cellStyle name="표준 171 15" xfId="0"/>
    <cellStyle name="표준 171 16" xfId="0"/>
    <cellStyle name="표준 171 17" xfId="0"/>
    <cellStyle name="표준 171 2" xfId="0"/>
    <cellStyle name="표준 171 2 2" xfId="0"/>
    <cellStyle name="표준 171 3" xfId="0"/>
    <cellStyle name="표준 171 3 2" xfId="0"/>
    <cellStyle name="표준 171 4" xfId="0"/>
    <cellStyle name="표준 171 4 2" xfId="0"/>
    <cellStyle name="표준 171 5" xfId="0"/>
    <cellStyle name="표준 171 5 2" xfId="0"/>
    <cellStyle name="표준 171 6" xfId="0"/>
    <cellStyle name="표준 171 6 2" xfId="0"/>
    <cellStyle name="표준 171 7" xfId="0"/>
    <cellStyle name="표준 171 7 2" xfId="0"/>
    <cellStyle name="표준 171 8" xfId="0"/>
    <cellStyle name="표준 171 9" xfId="0"/>
    <cellStyle name="표준 172" xfId="0"/>
    <cellStyle name="표준 173" xfId="0"/>
    <cellStyle name="표준 174" xfId="0"/>
    <cellStyle name="표준 174 10" xfId="0"/>
    <cellStyle name="표준 174 11" xfId="0"/>
    <cellStyle name="표준 174 12" xfId="0"/>
    <cellStyle name="표준 174 13" xfId="0"/>
    <cellStyle name="표준 174 14" xfId="0"/>
    <cellStyle name="표준 174 15" xfId="0"/>
    <cellStyle name="표준 174 16" xfId="0"/>
    <cellStyle name="표준 174 2" xfId="0"/>
    <cellStyle name="표준 174 2 2" xfId="0"/>
    <cellStyle name="표준 174 3" xfId="0"/>
    <cellStyle name="표준 174 3 2" xfId="0"/>
    <cellStyle name="표준 174 4" xfId="0"/>
    <cellStyle name="표준 174 4 2" xfId="0"/>
    <cellStyle name="표준 174 5" xfId="0"/>
    <cellStyle name="표준 174 5 2" xfId="0"/>
    <cellStyle name="표준 174 6" xfId="0"/>
    <cellStyle name="표준 174 6 2" xfId="0"/>
    <cellStyle name="표준 174 7" xfId="0"/>
    <cellStyle name="표준 174 8" xfId="0"/>
    <cellStyle name="표준 174 9" xfId="0"/>
    <cellStyle name="표준 175" xfId="0"/>
    <cellStyle name="표준 175 10" xfId="0"/>
    <cellStyle name="표준 175 11" xfId="0"/>
    <cellStyle name="표준 175 12" xfId="0"/>
    <cellStyle name="표준 175 13" xfId="0"/>
    <cellStyle name="표준 175 14" xfId="0"/>
    <cellStyle name="표준 175 15" xfId="0"/>
    <cellStyle name="표준 175 16" xfId="0"/>
    <cellStyle name="표준 175 2" xfId="0"/>
    <cellStyle name="표준 175 2 2" xfId="0"/>
    <cellStyle name="표준 175 3" xfId="0"/>
    <cellStyle name="표준 175 3 2" xfId="0"/>
    <cellStyle name="표준 175 4" xfId="0"/>
    <cellStyle name="표준 175 4 2" xfId="0"/>
    <cellStyle name="표준 175 5" xfId="0"/>
    <cellStyle name="표준 175 5 2" xfId="0"/>
    <cellStyle name="표준 175 6" xfId="0"/>
    <cellStyle name="표준 175 6 2" xfId="0"/>
    <cellStyle name="표준 175 7" xfId="0"/>
    <cellStyle name="표준 175 8" xfId="0"/>
    <cellStyle name="표준 175 9" xfId="0"/>
    <cellStyle name="표준 176" xfId="0"/>
    <cellStyle name="표준 177" xfId="0"/>
    <cellStyle name="표준 178" xfId="0"/>
    <cellStyle name="표준 178 2" xfId="0"/>
    <cellStyle name="표준 179" xfId="0"/>
    <cellStyle name="표준 179 2" xfId="0"/>
    <cellStyle name="표준 18" xfId="0"/>
    <cellStyle name="표준 18 10" xfId="0"/>
    <cellStyle name="표준 18 10 2" xfId="0"/>
    <cellStyle name="표준 18 11" xfId="0"/>
    <cellStyle name="표준 18 12" xfId="0"/>
    <cellStyle name="표준 18 12 2" xfId="0"/>
    <cellStyle name="표준 18 13" xfId="0"/>
    <cellStyle name="표준 18 14" xfId="0"/>
    <cellStyle name="표준 18 15" xfId="0"/>
    <cellStyle name="표준 18 16" xfId="0"/>
    <cellStyle name="표준 18 17" xfId="0"/>
    <cellStyle name="표준 18 18" xfId="0"/>
    <cellStyle name="표준 18 19" xfId="0"/>
    <cellStyle name="표준 18 2" xfId="0"/>
    <cellStyle name="표준 18 2 2" xfId="0"/>
    <cellStyle name="표준 18 2 2 2" xfId="0"/>
    <cellStyle name="표준 18 2 2 2 2" xfId="0"/>
    <cellStyle name="표준 18 2 2 2 3" xfId="0"/>
    <cellStyle name="표준 18 2 2 2 4" xfId="0"/>
    <cellStyle name="표준 18 2 2 2 5" xfId="0"/>
    <cellStyle name="표준 18 2 2 3" xfId="0"/>
    <cellStyle name="표준 18 2 2 4" xfId="0"/>
    <cellStyle name="표준 18 2 2 5" xfId="0"/>
    <cellStyle name="표준 18 2 2 6" xfId="0"/>
    <cellStyle name="표준 18 2 2 7" xfId="0"/>
    <cellStyle name="표준 18 2 2 8" xfId="0"/>
    <cellStyle name="표준 18 2 2 9" xfId="0"/>
    <cellStyle name="표준 18 2 3" xfId="0"/>
    <cellStyle name="표준 18 2 3 2" xfId="0"/>
    <cellStyle name="표준 18 2 3 3" xfId="0"/>
    <cellStyle name="표준 18 2 3 4" xfId="0"/>
    <cellStyle name="표준 18 2 3 5" xfId="0"/>
    <cellStyle name="표준 18 2 4" xfId="0"/>
    <cellStyle name="표준 18 2 4 2" xfId="0"/>
    <cellStyle name="표준 18 2 4 3" xfId="0"/>
    <cellStyle name="표준 18 2 4 4" xfId="0"/>
    <cellStyle name="표준 18 2 4 5" xfId="0"/>
    <cellStyle name="표준 18 2 5" xfId="0"/>
    <cellStyle name="표준 18 2 5 2" xfId="0"/>
    <cellStyle name="표준 18 2 5 3" xfId="0"/>
    <cellStyle name="표준 18 2 5 4" xfId="0"/>
    <cellStyle name="표준 18 2 5 5" xfId="0"/>
    <cellStyle name="표준 18 2 6" xfId="0"/>
    <cellStyle name="표준 18 2 6 2" xfId="0"/>
    <cellStyle name="표준 18 2 6 3" xfId="0"/>
    <cellStyle name="표준 18 2 6 4" xfId="0"/>
    <cellStyle name="표준 18 2 6 5" xfId="0"/>
    <cellStyle name="표준 18 2 7" xfId="0"/>
    <cellStyle name="표준 18 2 8" xfId="0"/>
    <cellStyle name="표준 18 2 9" xfId="0"/>
    <cellStyle name="표준 18 20" xfId="0"/>
    <cellStyle name="표준 18 21" xfId="0"/>
    <cellStyle name="표준 18 22" xfId="0"/>
    <cellStyle name="표준 18 23" xfId="0"/>
    <cellStyle name="표준 18 3" xfId="0"/>
    <cellStyle name="표준 18 3 2" xfId="0"/>
    <cellStyle name="표준 18 3 3" xfId="0"/>
    <cellStyle name="표준 18 4" xfId="0"/>
    <cellStyle name="표준 18 4 2" xfId="0"/>
    <cellStyle name="표준 18 4 3" xfId="0"/>
    <cellStyle name="표준 18 5" xfId="0"/>
    <cellStyle name="표준 18 5 2" xfId="0"/>
    <cellStyle name="표준 18 5 3" xfId="0"/>
    <cellStyle name="표준 18 6" xfId="0"/>
    <cellStyle name="표준 18 6 2" xfId="0"/>
    <cellStyle name="표준 18 6 3" xfId="0"/>
    <cellStyle name="표준 18 7" xfId="0"/>
    <cellStyle name="표준 18 7 2" xfId="0"/>
    <cellStyle name="표준 18 7 3" xfId="0"/>
    <cellStyle name="표준 18 8" xfId="0"/>
    <cellStyle name="표준 18 8 2" xfId="0"/>
    <cellStyle name="표준 18 9" xfId="0"/>
    <cellStyle name="표준 18 9 2" xfId="0"/>
    <cellStyle name="표준 180" xfId="0"/>
    <cellStyle name="표준 181" xfId="0"/>
    <cellStyle name="표준 181 2" xfId="0"/>
    <cellStyle name="표준 182" xfId="0"/>
    <cellStyle name="표준 182 2" xfId="0"/>
    <cellStyle name="표준 183" xfId="0"/>
    <cellStyle name="표준 183 2" xfId="0"/>
    <cellStyle name="표준 183 2 2" xfId="0"/>
    <cellStyle name="표준 183 3" xfId="0"/>
    <cellStyle name="표준 184" xfId="0"/>
    <cellStyle name="표준 184 2" xfId="0"/>
    <cellStyle name="표준 184 2 2" xfId="0"/>
    <cellStyle name="표준 184 3" xfId="0"/>
    <cellStyle name="표준 184 4" xfId="0"/>
    <cellStyle name="표준 185" xfId="0"/>
    <cellStyle name="표준 185 2" xfId="0"/>
    <cellStyle name="표준 186" xfId="0"/>
    <cellStyle name="표준 186 2" xfId="0"/>
    <cellStyle name="표준 186 3" xfId="0"/>
    <cellStyle name="표준 187" xfId="0"/>
    <cellStyle name="표준 187 2" xfId="0"/>
    <cellStyle name="표준 187 3" xfId="0"/>
    <cellStyle name="표준 187 3 2" xfId="0"/>
    <cellStyle name="표준 187 3 2 2" xfId="0"/>
    <cellStyle name="표준 187 3 3" xfId="0"/>
    <cellStyle name="표준 187 4" xfId="0"/>
    <cellStyle name="표준 187 4 2" xfId="0"/>
    <cellStyle name="표준 187 4 2 2" xfId="0"/>
    <cellStyle name="표준 187 4 3" xfId="0"/>
    <cellStyle name="표준 188" xfId="0"/>
    <cellStyle name="표준 188 2" xfId="0"/>
    <cellStyle name="표준 188 2 2" xfId="0"/>
    <cellStyle name="표준 188 3" xfId="0"/>
    <cellStyle name="표준 189" xfId="0"/>
    <cellStyle name="표준 18_운용자산별 손익분석" xfId="0"/>
    <cellStyle name="표준 19" xfId="0"/>
    <cellStyle name="표준 19 10" xfId="0"/>
    <cellStyle name="표준 19 11" xfId="0"/>
    <cellStyle name="표준 19 12" xfId="0"/>
    <cellStyle name="표준 19 13" xfId="0"/>
    <cellStyle name="표준 19 14" xfId="0"/>
    <cellStyle name="표준 19 15" xfId="0"/>
    <cellStyle name="표준 19 16" xfId="0"/>
    <cellStyle name="표준 19 17" xfId="0"/>
    <cellStyle name="표준 19 18" xfId="0"/>
    <cellStyle name="표준 19 19" xfId="0"/>
    <cellStyle name="표준 19 2" xfId="0"/>
    <cellStyle name="표준 19 20" xfId="0"/>
    <cellStyle name="표준 19 21" xfId="0"/>
    <cellStyle name="표준 19 3" xfId="0"/>
    <cellStyle name="표준 19 4" xfId="0"/>
    <cellStyle name="표준 19 5" xfId="0"/>
    <cellStyle name="표준 19 6" xfId="0"/>
    <cellStyle name="표준 19 7" xfId="0"/>
    <cellStyle name="표준 19 8" xfId="0"/>
    <cellStyle name="표준 19 9" xfId="0"/>
    <cellStyle name="표준 190" xfId="0"/>
    <cellStyle name="표준 190 2" xfId="0"/>
    <cellStyle name="표준 191" xfId="0"/>
    <cellStyle name="표준 191 2" xfId="0"/>
    <cellStyle name="표준 191 2 2" xfId="0"/>
    <cellStyle name="표준 192" xfId="0"/>
    <cellStyle name="표준 192 2" xfId="0"/>
    <cellStyle name="표준 192 2 2" xfId="0"/>
    <cellStyle name="표준 193" xfId="0"/>
    <cellStyle name="표준 193 2" xfId="0"/>
    <cellStyle name="표준 193 2 2" xfId="0"/>
    <cellStyle name="표준 194" xfId="0"/>
    <cellStyle name="표준 194 2" xfId="0"/>
    <cellStyle name="표준 194 2 2" xfId="0"/>
    <cellStyle name="표준 195" xfId="0"/>
    <cellStyle name="표준 195 2" xfId="0"/>
    <cellStyle name="표준 195 2 2" xfId="0"/>
    <cellStyle name="표준 195 3" xfId="0"/>
    <cellStyle name="표준 196" xfId="0"/>
    <cellStyle name="표준 196 2" xfId="0"/>
    <cellStyle name="표준 196 2 2" xfId="0"/>
    <cellStyle name="표준 196 3" xfId="0"/>
    <cellStyle name="표준 197" xfId="0"/>
    <cellStyle name="표준 197 2" xfId="0"/>
    <cellStyle name="표준 197 2 2" xfId="0"/>
    <cellStyle name="표준 198" xfId="0"/>
    <cellStyle name="표준 199" xfId="0"/>
    <cellStyle name="표준 2" xfId="0"/>
    <cellStyle name="표준 2 10" xfId="0"/>
    <cellStyle name="표준 2 10 10" xfId="0"/>
    <cellStyle name="표준 2 10 11" xfId="0"/>
    <cellStyle name="표준 2 10 12" xfId="0"/>
    <cellStyle name="표준 2 10 13" xfId="0"/>
    <cellStyle name="표준 2 10 14" xfId="0"/>
    <cellStyle name="표준 2 10 2" xfId="0"/>
    <cellStyle name="표준 2 10 3" xfId="0"/>
    <cellStyle name="표준 2 10 4" xfId="0"/>
    <cellStyle name="표준 2 10 5" xfId="0"/>
    <cellStyle name="표준 2 10 6" xfId="0"/>
    <cellStyle name="표준 2 10 7" xfId="0"/>
    <cellStyle name="표준 2 10 8" xfId="0"/>
    <cellStyle name="표준 2 10 9" xfId="0"/>
    <cellStyle name="표준 2 11" xfId="0"/>
    <cellStyle name="표준 2 11 10" xfId="0"/>
    <cellStyle name="표준 2 11 11" xfId="0"/>
    <cellStyle name="표준 2 11 12" xfId="0"/>
    <cellStyle name="표준 2 11 13" xfId="0"/>
    <cellStyle name="표준 2 11 14" xfId="0"/>
    <cellStyle name="표준 2 11 15" xfId="0"/>
    <cellStyle name="표준 2 11 2" xfId="0"/>
    <cellStyle name="표준 2 11 2 10" xfId="0"/>
    <cellStyle name="표준 2 11 2 11" xfId="0"/>
    <cellStyle name="표준 2 11 2 12" xfId="0"/>
    <cellStyle name="표준 2 11 2 13" xfId="0"/>
    <cellStyle name="표준 2 11 2 14" xfId="0"/>
    <cellStyle name="표준 2 11 2 15" xfId="0"/>
    <cellStyle name="표준 2 11 2 2" xfId="0"/>
    <cellStyle name="표준 2 11 2 3" xfId="0"/>
    <cellStyle name="표준 2 11 2 4" xfId="0"/>
    <cellStyle name="표준 2 11 2 5" xfId="0"/>
    <cellStyle name="표준 2 11 2 6" xfId="0"/>
    <cellStyle name="표준 2 11 2 7" xfId="0"/>
    <cellStyle name="표준 2 11 2 8" xfId="0"/>
    <cellStyle name="표준 2 11 2 9" xfId="0"/>
    <cellStyle name="표준 2 11 3" xfId="0"/>
    <cellStyle name="표준 2 11 3 10" xfId="0"/>
    <cellStyle name="표준 2 11 3 2" xfId="0"/>
    <cellStyle name="표준 2 11 3 3" xfId="0"/>
    <cellStyle name="표준 2 11 3 4" xfId="0"/>
    <cellStyle name="표준 2 11 3 5" xfId="0"/>
    <cellStyle name="표준 2 11 3 6" xfId="0"/>
    <cellStyle name="표준 2 11 3 7" xfId="0"/>
    <cellStyle name="표준 2 11 3 8" xfId="0"/>
    <cellStyle name="표준 2 11 3 9" xfId="0"/>
    <cellStyle name="표준 2 11 4" xfId="0"/>
    <cellStyle name="표준 2 11 4 10" xfId="0"/>
    <cellStyle name="표준 2 11 4 2" xfId="0"/>
    <cellStyle name="표준 2 11 4 3" xfId="0"/>
    <cellStyle name="표준 2 11 4 4" xfId="0"/>
    <cellStyle name="표준 2 11 4 5" xfId="0"/>
    <cellStyle name="표준 2 11 4 6" xfId="0"/>
    <cellStyle name="표준 2 11 4 7" xfId="0"/>
    <cellStyle name="표준 2 11 4 8" xfId="0"/>
    <cellStyle name="표준 2 11 4 9" xfId="0"/>
    <cellStyle name="표준 2 11 5" xfId="0"/>
    <cellStyle name="표준 2 11 5 10" xfId="0"/>
    <cellStyle name="표준 2 11 5 2" xfId="0"/>
    <cellStyle name="표준 2 11 5 3" xfId="0"/>
    <cellStyle name="표준 2 11 5 4" xfId="0"/>
    <cellStyle name="표준 2 11 5 5" xfId="0"/>
    <cellStyle name="표준 2 11 5 6" xfId="0"/>
    <cellStyle name="표준 2 11 5 7" xfId="0"/>
    <cellStyle name="표준 2 11 5 8" xfId="0"/>
    <cellStyle name="표준 2 11 5 9" xfId="0"/>
    <cellStyle name="표준 2 11 6" xfId="0"/>
    <cellStyle name="표준 2 11 6 10" xfId="0"/>
    <cellStyle name="표준 2 11 6 2" xfId="0"/>
    <cellStyle name="표준 2 11 6 3" xfId="0"/>
    <cellStyle name="표준 2 11 6 4" xfId="0"/>
    <cellStyle name="표준 2 11 6 5" xfId="0"/>
    <cellStyle name="표준 2 11 6 6" xfId="0"/>
    <cellStyle name="표준 2 11 6 7" xfId="0"/>
    <cellStyle name="표준 2 11 6 8" xfId="0"/>
    <cellStyle name="표준 2 11 6 9" xfId="0"/>
    <cellStyle name="표준 2 11 7" xfId="0"/>
    <cellStyle name="표준 2 11 8" xfId="0"/>
    <cellStyle name="표준 2 11 9" xfId="0"/>
    <cellStyle name="표준 2 12" xfId="0"/>
    <cellStyle name="표준 2 12 10" xfId="0"/>
    <cellStyle name="표준 2 12 2" xfId="0"/>
    <cellStyle name="표준 2 12 3" xfId="0"/>
    <cellStyle name="표준 2 12 4" xfId="0"/>
    <cellStyle name="표준 2 12 5" xfId="0"/>
    <cellStyle name="표준 2 12 6" xfId="0"/>
    <cellStyle name="표준 2 12 7" xfId="0"/>
    <cellStyle name="표준 2 12 8" xfId="0"/>
    <cellStyle name="표준 2 12 9" xfId="0"/>
    <cellStyle name="표준 2 13" xfId="0"/>
    <cellStyle name="표준 2 13 10" xfId="0"/>
    <cellStyle name="표준 2 13 2" xfId="0"/>
    <cellStyle name="표준 2 13 3" xfId="0"/>
    <cellStyle name="표준 2 13 4" xfId="0"/>
    <cellStyle name="표준 2 13 5" xfId="0"/>
    <cellStyle name="표준 2 13 6" xfId="0"/>
    <cellStyle name="표준 2 13 7" xfId="0"/>
    <cellStyle name="표준 2 13 8" xfId="0"/>
    <cellStyle name="표준 2 13 9" xfId="0"/>
    <cellStyle name="표준 2 14" xfId="0"/>
    <cellStyle name="표준 2 14 10" xfId="0"/>
    <cellStyle name="표준 2 14 11" xfId="0"/>
    <cellStyle name="표준 2 14 2" xfId="0"/>
    <cellStyle name="표준 2 14 3" xfId="0"/>
    <cellStyle name="표준 2 14 4" xfId="0"/>
    <cellStyle name="표준 2 14 5" xfId="0"/>
    <cellStyle name="표준 2 14 6" xfId="0"/>
    <cellStyle name="표준 2 14 7" xfId="0"/>
    <cellStyle name="표준 2 14 8" xfId="0"/>
    <cellStyle name="표준 2 14 9" xfId="0"/>
    <cellStyle name="표준 2 15" xfId="0"/>
    <cellStyle name="표준 2 16" xfId="0"/>
    <cellStyle name="표준 2 17" xfId="0"/>
    <cellStyle name="표준 2 17 10" xfId="0"/>
    <cellStyle name="표준 2 17 11" xfId="0"/>
    <cellStyle name="표준 2 17 2" xfId="0"/>
    <cellStyle name="표준 2 17 3" xfId="0"/>
    <cellStyle name="표준 2 17 4" xfId="0"/>
    <cellStyle name="표준 2 17 5" xfId="0"/>
    <cellStyle name="표준 2 17 6" xfId="0"/>
    <cellStyle name="표준 2 17 7" xfId="0"/>
    <cellStyle name="표준 2 17 8" xfId="0"/>
    <cellStyle name="표준 2 17 9" xfId="0"/>
    <cellStyle name="표준 2 18" xfId="0"/>
    <cellStyle name="표준 2 18 10" xfId="0"/>
    <cellStyle name="표준 2 18 11" xfId="0"/>
    <cellStyle name="표준 2 18 2" xfId="0"/>
    <cellStyle name="표준 2 18 3" xfId="0"/>
    <cellStyle name="표준 2 18 4" xfId="0"/>
    <cellStyle name="표준 2 18 5" xfId="0"/>
    <cellStyle name="표준 2 18 6" xfId="0"/>
    <cellStyle name="표준 2 18 7" xfId="0"/>
    <cellStyle name="표준 2 18 8" xfId="0"/>
    <cellStyle name="표준 2 18 9" xfId="0"/>
    <cellStyle name="표준 2 19" xfId="0"/>
    <cellStyle name="표준 2 19 10" xfId="0"/>
    <cellStyle name="표준 2 19 11" xfId="0"/>
    <cellStyle name="표준 2 19 2" xfId="0"/>
    <cellStyle name="표준 2 19 3" xfId="0"/>
    <cellStyle name="표준 2 19 4" xfId="0"/>
    <cellStyle name="표준 2 19 5" xfId="0"/>
    <cellStyle name="표준 2 19 6" xfId="0"/>
    <cellStyle name="표준 2 19 7" xfId="0"/>
    <cellStyle name="표준 2 19 8" xfId="0"/>
    <cellStyle name="표준 2 19 9" xfId="0"/>
    <cellStyle name="표준 2 2" xfId="0"/>
    <cellStyle name="표준 2 2 10" xfId="0"/>
    <cellStyle name="표준 2 2 10 10" xfId="0"/>
    <cellStyle name="표준 2 2 10 10 2" xfId="0"/>
    <cellStyle name="표준 2 2 10 2" xfId="0"/>
    <cellStyle name="표준 2 2 10 2 2" xfId="0"/>
    <cellStyle name="표준 2 2 10 3" xfId="0"/>
    <cellStyle name="표준 2 2 10 3 2" xfId="0"/>
    <cellStyle name="표준 2 2 10 4" xfId="0"/>
    <cellStyle name="표준 2 2 10 4 2" xfId="0"/>
    <cellStyle name="표준 2 2 10 5" xfId="0"/>
    <cellStyle name="표준 2 2 10 5 2" xfId="0"/>
    <cellStyle name="표준 2 2 10 6" xfId="0"/>
    <cellStyle name="표준 2 2 10 6 2" xfId="0"/>
    <cellStyle name="표준 2 2 10 7" xfId="0"/>
    <cellStyle name="표준 2 2 10 7 2" xfId="0"/>
    <cellStyle name="표준 2 2 10 8" xfId="0"/>
    <cellStyle name="표준 2 2 10 8 2" xfId="0"/>
    <cellStyle name="표준 2 2 10 9" xfId="0"/>
    <cellStyle name="표준 2 2 10 9 2" xfId="0"/>
    <cellStyle name="표준 2 2 11" xfId="0"/>
    <cellStyle name="표준 2 2 11 10" xfId="0"/>
    <cellStyle name="표준 2 2 11 10 2" xfId="0"/>
    <cellStyle name="표준 2 2 11 11" xfId="0"/>
    <cellStyle name="표준 2 2 11 11 2" xfId="0"/>
    <cellStyle name="표준 2 2 11 12" xfId="0"/>
    <cellStyle name="표준 2 2 11 12 2" xfId="0"/>
    <cellStyle name="표준 2 2 11 13" xfId="0"/>
    <cellStyle name="표준 2 2 11 13 2" xfId="0"/>
    <cellStyle name="표준 2 2 11 14" xfId="0"/>
    <cellStyle name="표준 2 2 11 14 2" xfId="0"/>
    <cellStyle name="표준 2 2 11 15" xfId="0"/>
    <cellStyle name="표준 2 2 11 15 2" xfId="0"/>
    <cellStyle name="표준 2 2 11 2" xfId="0"/>
    <cellStyle name="표준 2 2 11 2 2" xfId="0"/>
    <cellStyle name="표준 2 2 11 2 2 10" xfId="0"/>
    <cellStyle name="표준 2 2 11 2 2 2" xfId="0"/>
    <cellStyle name="표준 2 2 11 2 2 3" xfId="0"/>
    <cellStyle name="표준 2 2 11 2 2 4" xfId="0"/>
    <cellStyle name="표준 2 2 11 2 2 5" xfId="0"/>
    <cellStyle name="표준 2 2 11 2 2 6" xfId="0"/>
    <cellStyle name="표준 2 2 11 2 2 7" xfId="0"/>
    <cellStyle name="표준 2 2 11 2 2 8" xfId="0"/>
    <cellStyle name="표준 2 2 11 2 2 9" xfId="0"/>
    <cellStyle name="표준 2 2 11 2 3" xfId="0"/>
    <cellStyle name="표준 2 2 11 2 3 10" xfId="0"/>
    <cellStyle name="표준 2 2 11 2 3 2" xfId="0"/>
    <cellStyle name="표준 2 2 11 2 3 3" xfId="0"/>
    <cellStyle name="표준 2 2 11 2 3 4" xfId="0"/>
    <cellStyle name="표준 2 2 11 2 3 5" xfId="0"/>
    <cellStyle name="표준 2 2 11 2 3 6" xfId="0"/>
    <cellStyle name="표준 2 2 11 2 3 7" xfId="0"/>
    <cellStyle name="표준 2 2 11 2 3 8" xfId="0"/>
    <cellStyle name="표준 2 2 11 2 3 9" xfId="0"/>
    <cellStyle name="표준 2 2 11 2 4" xfId="0"/>
    <cellStyle name="표준 2 2 11 2 4 10" xfId="0"/>
    <cellStyle name="표준 2 2 11 2 4 2" xfId="0"/>
    <cellStyle name="표준 2 2 11 2 4 3" xfId="0"/>
    <cellStyle name="표준 2 2 11 2 4 4" xfId="0"/>
    <cellStyle name="표준 2 2 11 2 4 5" xfId="0"/>
    <cellStyle name="표준 2 2 11 2 4 6" xfId="0"/>
    <cellStyle name="표준 2 2 11 2 4 7" xfId="0"/>
    <cellStyle name="표준 2 2 11 2 4 8" xfId="0"/>
    <cellStyle name="표준 2 2 11 2 4 9" xfId="0"/>
    <cellStyle name="표준 2 2 11 2 5" xfId="0"/>
    <cellStyle name="표준 2 2 11 2 5 10" xfId="0"/>
    <cellStyle name="표준 2 2 11 2 5 2" xfId="0"/>
    <cellStyle name="표준 2 2 11 2 5 3" xfId="0"/>
    <cellStyle name="표준 2 2 11 2 5 4" xfId="0"/>
    <cellStyle name="표준 2 2 11 2 5 5" xfId="0"/>
    <cellStyle name="표준 2 2 11 2 5 6" xfId="0"/>
    <cellStyle name="표준 2 2 11 2 5 7" xfId="0"/>
    <cellStyle name="표준 2 2 11 2 5 8" xfId="0"/>
    <cellStyle name="표준 2 2 11 2 5 9" xfId="0"/>
    <cellStyle name="표준 2 2 11 2 6" xfId="0"/>
    <cellStyle name="표준 2 2 11 2 6 10" xfId="0"/>
    <cellStyle name="표준 2 2 11 2 6 2" xfId="0"/>
    <cellStyle name="표준 2 2 11 2 6 3" xfId="0"/>
    <cellStyle name="표준 2 2 11 2 6 4" xfId="0"/>
    <cellStyle name="표준 2 2 11 2 6 5" xfId="0"/>
    <cellStyle name="표준 2 2 11 2 6 6" xfId="0"/>
    <cellStyle name="표준 2 2 11 2 6 7" xfId="0"/>
    <cellStyle name="표준 2 2 11 2 6 8" xfId="0"/>
    <cellStyle name="표준 2 2 11 2 6 9" xfId="0"/>
    <cellStyle name="표준 2 2 11 3" xfId="0"/>
    <cellStyle name="표준 2 2 11 4" xfId="0"/>
    <cellStyle name="표준 2 2 11 5" xfId="0"/>
    <cellStyle name="표준 2 2 11 6" xfId="0"/>
    <cellStyle name="표준 2 2 11 7" xfId="0"/>
    <cellStyle name="표준 2 2 11 7 2" xfId="0"/>
    <cellStyle name="표준 2 2 11 8" xfId="0"/>
    <cellStyle name="표준 2 2 11 8 2" xfId="0"/>
    <cellStyle name="표준 2 2 11 9" xfId="0"/>
    <cellStyle name="표준 2 2 11 9 2" xfId="0"/>
    <cellStyle name="표준 2 2 12" xfId="0"/>
    <cellStyle name="표준 2 2 12 10" xfId="0"/>
    <cellStyle name="표준 2 2 12 10 2" xfId="0"/>
    <cellStyle name="표준 2 2 12 2" xfId="0"/>
    <cellStyle name="표준 2 2 12 2 2" xfId="0"/>
    <cellStyle name="표준 2 2 12 3" xfId="0"/>
    <cellStyle name="표준 2 2 12 3 2" xfId="0"/>
    <cellStyle name="표준 2 2 12 4" xfId="0"/>
    <cellStyle name="표준 2 2 12 4 2" xfId="0"/>
    <cellStyle name="표준 2 2 12 5" xfId="0"/>
    <cellStyle name="표준 2 2 12 5 2" xfId="0"/>
    <cellStyle name="표준 2 2 12 6" xfId="0"/>
    <cellStyle name="표준 2 2 12 6 2" xfId="0"/>
    <cellStyle name="표준 2 2 12 7" xfId="0"/>
    <cellStyle name="표준 2 2 12 7 2" xfId="0"/>
    <cellStyle name="표준 2 2 12 8" xfId="0"/>
    <cellStyle name="표준 2 2 12 8 2" xfId="0"/>
    <cellStyle name="표준 2 2 12 9" xfId="0"/>
    <cellStyle name="표준 2 2 12 9 2" xfId="0"/>
    <cellStyle name="표준 2 2 13" xfId="0"/>
    <cellStyle name="표준 2 2 13 10" xfId="0"/>
    <cellStyle name="표준 2 2 13 10 2" xfId="0"/>
    <cellStyle name="표준 2 2 13 2" xfId="0"/>
    <cellStyle name="표준 2 2 13 2 2" xfId="0"/>
    <cellStyle name="표준 2 2 13 3" xfId="0"/>
    <cellStyle name="표준 2 2 13 3 2" xfId="0"/>
    <cellStyle name="표준 2 2 13 4" xfId="0"/>
    <cellStyle name="표준 2 2 13 4 2" xfId="0"/>
    <cellStyle name="표준 2 2 13 5" xfId="0"/>
    <cellStyle name="표준 2 2 13 5 2" xfId="0"/>
    <cellStyle name="표준 2 2 13 6" xfId="0"/>
    <cellStyle name="표준 2 2 13 6 2" xfId="0"/>
    <cellStyle name="표준 2 2 13 7" xfId="0"/>
    <cellStyle name="표준 2 2 13 7 2" xfId="0"/>
    <cellStyle name="표준 2 2 13 8" xfId="0"/>
    <cellStyle name="표준 2 2 13 8 2" xfId="0"/>
    <cellStyle name="표준 2 2 13 9" xfId="0"/>
    <cellStyle name="표준 2 2 13 9 2" xfId="0"/>
    <cellStyle name="표준 2 2 14" xfId="0"/>
    <cellStyle name="표준 2 2 14 10" xfId="0"/>
    <cellStyle name="표준 2 2 14 10 2" xfId="0"/>
    <cellStyle name="표준 2 2 14 2" xfId="0"/>
    <cellStyle name="표준 2 2 14 2 2" xfId="0"/>
    <cellStyle name="표준 2 2 14 3" xfId="0"/>
    <cellStyle name="표준 2 2 14 3 2" xfId="0"/>
    <cellStyle name="표준 2 2 14 4" xfId="0"/>
    <cellStyle name="표준 2 2 14 4 2" xfId="0"/>
    <cellStyle name="표준 2 2 14 5" xfId="0"/>
    <cellStyle name="표준 2 2 14 5 2" xfId="0"/>
    <cellStyle name="표준 2 2 14 6" xfId="0"/>
    <cellStyle name="표준 2 2 14 6 2" xfId="0"/>
    <cellStyle name="표준 2 2 14 7" xfId="0"/>
    <cellStyle name="표준 2 2 14 7 2" xfId="0"/>
    <cellStyle name="표준 2 2 14 8" xfId="0"/>
    <cellStyle name="표준 2 2 14 8 2" xfId="0"/>
    <cellStyle name="표준 2 2 14 9" xfId="0"/>
    <cellStyle name="표준 2 2 14 9 2" xfId="0"/>
    <cellStyle name="표준 2 2 15" xfId="0"/>
    <cellStyle name="표준 2 2 15 10" xfId="0"/>
    <cellStyle name="표준 2 2 15 10 2" xfId="0"/>
    <cellStyle name="표준 2 2 15 2" xfId="0"/>
    <cellStyle name="표준 2 2 15 2 2" xfId="0"/>
    <cellStyle name="표준 2 2 15 3" xfId="0"/>
    <cellStyle name="표준 2 2 15 3 2" xfId="0"/>
    <cellStyle name="표준 2 2 15 4" xfId="0"/>
    <cellStyle name="표준 2 2 15 4 2" xfId="0"/>
    <cellStyle name="표준 2 2 15 5" xfId="0"/>
    <cellStyle name="표준 2 2 15 5 2" xfId="0"/>
    <cellStyle name="표준 2 2 15 6" xfId="0"/>
    <cellStyle name="표준 2 2 15 6 2" xfId="0"/>
    <cellStyle name="표준 2 2 15 7" xfId="0"/>
    <cellStyle name="표준 2 2 15 7 2" xfId="0"/>
    <cellStyle name="표준 2 2 15 8" xfId="0"/>
    <cellStyle name="표준 2 2 15 8 2" xfId="0"/>
    <cellStyle name="표준 2 2 15 9" xfId="0"/>
    <cellStyle name="표준 2 2 15 9 2" xfId="0"/>
    <cellStyle name="표준 2 2 16" xfId="0"/>
    <cellStyle name="표준 2 2 16 10" xfId="0"/>
    <cellStyle name="표준 2 2 16 10 2" xfId="0"/>
    <cellStyle name="표준 2 2 16 2" xfId="0"/>
    <cellStyle name="표준 2 2 16 2 2" xfId="0"/>
    <cellStyle name="표준 2 2 16 3" xfId="0"/>
    <cellStyle name="표준 2 2 16 3 2" xfId="0"/>
    <cellStyle name="표준 2 2 16 4" xfId="0"/>
    <cellStyle name="표준 2 2 16 4 2" xfId="0"/>
    <cellStyle name="표준 2 2 16 5" xfId="0"/>
    <cellStyle name="표준 2 2 16 5 2" xfId="0"/>
    <cellStyle name="표준 2 2 16 6" xfId="0"/>
    <cellStyle name="표준 2 2 16 6 2" xfId="0"/>
    <cellStyle name="표준 2 2 16 7" xfId="0"/>
    <cellStyle name="표준 2 2 16 7 2" xfId="0"/>
    <cellStyle name="표준 2 2 16 8" xfId="0"/>
    <cellStyle name="표준 2 2 16 8 2" xfId="0"/>
    <cellStyle name="표준 2 2 16 9" xfId="0"/>
    <cellStyle name="표준 2 2 16 9 2" xfId="0"/>
    <cellStyle name="표준 2 2 17" xfId="0"/>
    <cellStyle name="표준 2 2 17 10" xfId="0"/>
    <cellStyle name="표준 2 2 17 2" xfId="0"/>
    <cellStyle name="표준 2 2 17 3" xfId="0"/>
    <cellStyle name="표준 2 2 17 4" xfId="0"/>
    <cellStyle name="표준 2 2 17 5" xfId="0"/>
    <cellStyle name="표준 2 2 17 6" xfId="0"/>
    <cellStyle name="표준 2 2 17 7" xfId="0"/>
    <cellStyle name="표준 2 2 17 8" xfId="0"/>
    <cellStyle name="표준 2 2 17 9" xfId="0"/>
    <cellStyle name="표준 2 2 18" xfId="0"/>
    <cellStyle name="표준 2 2 18 10" xfId="0"/>
    <cellStyle name="표준 2 2 18 10 2" xfId="0"/>
    <cellStyle name="표준 2 2 18 2" xfId="0"/>
    <cellStyle name="표준 2 2 18 2 2" xfId="0"/>
    <cellStyle name="표준 2 2 18 3" xfId="0"/>
    <cellStyle name="표준 2 2 18 3 2" xfId="0"/>
    <cellStyle name="표준 2 2 18 4" xfId="0"/>
    <cellStyle name="표준 2 2 18 4 2" xfId="0"/>
    <cellStyle name="표준 2 2 18 5" xfId="0"/>
    <cellStyle name="표준 2 2 18 5 2" xfId="0"/>
    <cellStyle name="표준 2 2 18 6" xfId="0"/>
    <cellStyle name="표준 2 2 18 6 2" xfId="0"/>
    <cellStyle name="표준 2 2 18 7" xfId="0"/>
    <cellStyle name="표준 2 2 18 7 2" xfId="0"/>
    <cellStyle name="표준 2 2 18 8" xfId="0"/>
    <cellStyle name="표준 2 2 18 8 2" xfId="0"/>
    <cellStyle name="표준 2 2 18 9" xfId="0"/>
    <cellStyle name="표준 2 2 18 9 2" xfId="0"/>
    <cellStyle name="표준 2 2 19" xfId="0"/>
    <cellStyle name="표준 2 2 19 10" xfId="0"/>
    <cellStyle name="표준 2 2 19 10 2" xfId="0"/>
    <cellStyle name="표준 2 2 19 2" xfId="0"/>
    <cellStyle name="표준 2 2 19 2 2" xfId="0"/>
    <cellStyle name="표준 2 2 19 3" xfId="0"/>
    <cellStyle name="표준 2 2 19 3 2" xfId="0"/>
    <cellStyle name="표준 2 2 19 4" xfId="0"/>
    <cellStyle name="표준 2 2 19 4 2" xfId="0"/>
    <cellStyle name="표준 2 2 19 5" xfId="0"/>
    <cellStyle name="표준 2 2 19 5 2" xfId="0"/>
    <cellStyle name="표준 2 2 19 6" xfId="0"/>
    <cellStyle name="표준 2 2 19 6 2" xfId="0"/>
    <cellStyle name="표준 2 2 19 7" xfId="0"/>
    <cellStyle name="표준 2 2 19 7 2" xfId="0"/>
    <cellStyle name="표준 2 2 19 8" xfId="0"/>
    <cellStyle name="표준 2 2 19 8 2" xfId="0"/>
    <cellStyle name="표준 2 2 19 9" xfId="0"/>
    <cellStyle name="표준 2 2 19 9 2" xfId="0"/>
    <cellStyle name="표준 2 2 2" xfId="0"/>
    <cellStyle name="표준 2 2 2 10" xfId="0"/>
    <cellStyle name="표준 2 2 2 10 10" xfId="0"/>
    <cellStyle name="표준 2 2 2 10 11" xfId="0"/>
    <cellStyle name="표준 2 2 2 10 12" xfId="0"/>
    <cellStyle name="표준 2 2 2 10 13" xfId="0"/>
    <cellStyle name="표준 2 2 2 10 14" xfId="0"/>
    <cellStyle name="표준 2 2 2 10 15" xfId="0"/>
    <cellStyle name="표준 2 2 2 10 2" xfId="0"/>
    <cellStyle name="표준 2 2 2 10 2 10" xfId="0"/>
    <cellStyle name="표준 2 2 2 10 2 11" xfId="0"/>
    <cellStyle name="표준 2 2 2 10 2 12" xfId="0"/>
    <cellStyle name="표준 2 2 2 10 2 13" xfId="0"/>
    <cellStyle name="표준 2 2 2 10 2 14" xfId="0"/>
    <cellStyle name="표준 2 2 2 10 2 15" xfId="0"/>
    <cellStyle name="표준 2 2 2 10 2 2" xfId="0"/>
    <cellStyle name="표준 2 2 2 10 2 3" xfId="0"/>
    <cellStyle name="표준 2 2 2 10 2 4" xfId="0"/>
    <cellStyle name="표준 2 2 2 10 2 5" xfId="0"/>
    <cellStyle name="표준 2 2 2 10 2 6" xfId="0"/>
    <cellStyle name="표준 2 2 2 10 2 7" xfId="0"/>
    <cellStyle name="표준 2 2 2 10 2 8" xfId="0"/>
    <cellStyle name="표준 2 2 2 10 2 9" xfId="0"/>
    <cellStyle name="표준 2 2 2 10 3" xfId="0"/>
    <cellStyle name="표준 2 2 2 10 3 10" xfId="0"/>
    <cellStyle name="표준 2 2 2 10 3 2" xfId="0"/>
    <cellStyle name="표준 2 2 2 10 3 3" xfId="0"/>
    <cellStyle name="표준 2 2 2 10 3 4" xfId="0"/>
    <cellStyle name="표준 2 2 2 10 3 5" xfId="0"/>
    <cellStyle name="표준 2 2 2 10 3 6" xfId="0"/>
    <cellStyle name="표준 2 2 2 10 3 7" xfId="0"/>
    <cellStyle name="표준 2 2 2 10 3 8" xfId="0"/>
    <cellStyle name="표준 2 2 2 10 3 9" xfId="0"/>
    <cellStyle name="표준 2 2 2 10 4" xfId="0"/>
    <cellStyle name="표준 2 2 2 10 4 10" xfId="0"/>
    <cellStyle name="표준 2 2 2 10 4 2" xfId="0"/>
    <cellStyle name="표준 2 2 2 10 4 3" xfId="0"/>
    <cellStyle name="표준 2 2 2 10 4 4" xfId="0"/>
    <cellStyle name="표준 2 2 2 10 4 5" xfId="0"/>
    <cellStyle name="표준 2 2 2 10 4 6" xfId="0"/>
    <cellStyle name="표준 2 2 2 10 4 7" xfId="0"/>
    <cellStyle name="표준 2 2 2 10 4 8" xfId="0"/>
    <cellStyle name="표준 2 2 2 10 4 9" xfId="0"/>
    <cellStyle name="표준 2 2 2 10 5" xfId="0"/>
    <cellStyle name="표준 2 2 2 10 5 10" xfId="0"/>
    <cellStyle name="표준 2 2 2 10 5 2" xfId="0"/>
    <cellStyle name="표준 2 2 2 10 5 3" xfId="0"/>
    <cellStyle name="표준 2 2 2 10 5 4" xfId="0"/>
    <cellStyle name="표준 2 2 2 10 5 5" xfId="0"/>
    <cellStyle name="표준 2 2 2 10 5 6" xfId="0"/>
    <cellStyle name="표준 2 2 2 10 5 7" xfId="0"/>
    <cellStyle name="표준 2 2 2 10 5 8" xfId="0"/>
    <cellStyle name="표준 2 2 2 10 5 9" xfId="0"/>
    <cellStyle name="표준 2 2 2 10 6" xfId="0"/>
    <cellStyle name="표준 2 2 2 10 6 10" xfId="0"/>
    <cellStyle name="표준 2 2 2 10 6 2" xfId="0"/>
    <cellStyle name="표준 2 2 2 10 6 3" xfId="0"/>
    <cellStyle name="표준 2 2 2 10 6 4" xfId="0"/>
    <cellStyle name="표준 2 2 2 10 6 5" xfId="0"/>
    <cellStyle name="표준 2 2 2 10 6 6" xfId="0"/>
    <cellStyle name="표준 2 2 2 10 6 7" xfId="0"/>
    <cellStyle name="표준 2 2 2 10 6 8" xfId="0"/>
    <cellStyle name="표준 2 2 2 10 6 9" xfId="0"/>
    <cellStyle name="표준 2 2 2 10 7" xfId="0"/>
    <cellStyle name="표준 2 2 2 10 8" xfId="0"/>
    <cellStyle name="표준 2 2 2 10 9" xfId="0"/>
    <cellStyle name="표준 2 2 2 11" xfId="0"/>
    <cellStyle name="표준 2 2 2 11 10" xfId="0"/>
    <cellStyle name="표준 2 2 2 11 2" xfId="0"/>
    <cellStyle name="표준 2 2 2 11 3" xfId="0"/>
    <cellStyle name="표준 2 2 2 11 4" xfId="0"/>
    <cellStyle name="표준 2 2 2 11 5" xfId="0"/>
    <cellStyle name="표준 2 2 2 11 6" xfId="0"/>
    <cellStyle name="표준 2 2 2 11 7" xfId="0"/>
    <cellStyle name="표준 2 2 2 11 8" xfId="0"/>
    <cellStyle name="표준 2 2 2 11 9" xfId="0"/>
    <cellStyle name="표준 2 2 2 12" xfId="0"/>
    <cellStyle name="표준 2 2 2 12 10" xfId="0"/>
    <cellStyle name="표준 2 2 2 12 2" xfId="0"/>
    <cellStyle name="표준 2 2 2 12 3" xfId="0"/>
    <cellStyle name="표준 2 2 2 12 4" xfId="0"/>
    <cellStyle name="표준 2 2 2 12 5" xfId="0"/>
    <cellStyle name="표준 2 2 2 12 6" xfId="0"/>
    <cellStyle name="표준 2 2 2 12 7" xfId="0"/>
    <cellStyle name="표준 2 2 2 12 8" xfId="0"/>
    <cellStyle name="표준 2 2 2 12 9" xfId="0"/>
    <cellStyle name="표준 2 2 2 13" xfId="0"/>
    <cellStyle name="표준 2 2 2 13 10" xfId="0"/>
    <cellStyle name="표준 2 2 2 13 2" xfId="0"/>
    <cellStyle name="표준 2 2 2 13 3" xfId="0"/>
    <cellStyle name="표준 2 2 2 13 4" xfId="0"/>
    <cellStyle name="표준 2 2 2 13 5" xfId="0"/>
    <cellStyle name="표준 2 2 2 13 6" xfId="0"/>
    <cellStyle name="표준 2 2 2 13 7" xfId="0"/>
    <cellStyle name="표준 2 2 2 13 8" xfId="0"/>
    <cellStyle name="표준 2 2 2 13 9" xfId="0"/>
    <cellStyle name="표준 2 2 2 14" xfId="0"/>
    <cellStyle name="표준 2 2 2 14 10" xfId="0"/>
    <cellStyle name="표준 2 2 2 14 2" xfId="0"/>
    <cellStyle name="표준 2 2 2 14 3" xfId="0"/>
    <cellStyle name="표준 2 2 2 14 4" xfId="0"/>
    <cellStyle name="표준 2 2 2 14 5" xfId="0"/>
    <cellStyle name="표준 2 2 2 14 6" xfId="0"/>
    <cellStyle name="표준 2 2 2 14 7" xfId="0"/>
    <cellStyle name="표준 2 2 2 14 8" xfId="0"/>
    <cellStyle name="표준 2 2 2 14 9" xfId="0"/>
    <cellStyle name="표준 2 2 2 15" xfId="0"/>
    <cellStyle name="표준 2 2 2 15 10" xfId="0"/>
    <cellStyle name="표준 2 2 2 15 2" xfId="0"/>
    <cellStyle name="표준 2 2 2 15 3" xfId="0"/>
    <cellStyle name="표준 2 2 2 15 4" xfId="0"/>
    <cellStyle name="표준 2 2 2 15 5" xfId="0"/>
    <cellStyle name="표준 2 2 2 15 6" xfId="0"/>
    <cellStyle name="표준 2 2 2 15 7" xfId="0"/>
    <cellStyle name="표준 2 2 2 15 8" xfId="0"/>
    <cellStyle name="표준 2 2 2 15 9" xfId="0"/>
    <cellStyle name="표준 2 2 2 16" xfId="0"/>
    <cellStyle name="표준 2 2 2 16 10" xfId="0"/>
    <cellStyle name="표준 2 2 2 16 2" xfId="0"/>
    <cellStyle name="표준 2 2 2 16 3" xfId="0"/>
    <cellStyle name="표준 2 2 2 16 4" xfId="0"/>
    <cellStyle name="표준 2 2 2 16 5" xfId="0"/>
    <cellStyle name="표준 2 2 2 16 6" xfId="0"/>
    <cellStyle name="표준 2 2 2 16 7" xfId="0"/>
    <cellStyle name="표준 2 2 2 16 8" xfId="0"/>
    <cellStyle name="표준 2 2 2 16 9" xfId="0"/>
    <cellStyle name="표준 2 2 2 17" xfId="0"/>
    <cellStyle name="표준 2 2 2 17 10" xfId="0"/>
    <cellStyle name="표준 2 2 2 17 2" xfId="0"/>
    <cellStyle name="표준 2 2 2 17 3" xfId="0"/>
    <cellStyle name="표준 2 2 2 17 4" xfId="0"/>
    <cellStyle name="표준 2 2 2 17 5" xfId="0"/>
    <cellStyle name="표준 2 2 2 17 6" xfId="0"/>
    <cellStyle name="표준 2 2 2 17 7" xfId="0"/>
    <cellStyle name="표준 2 2 2 17 8" xfId="0"/>
    <cellStyle name="표준 2 2 2 17 9" xfId="0"/>
    <cellStyle name="표준 2 2 2 18" xfId="0"/>
    <cellStyle name="표준 2 2 2 18 10" xfId="0"/>
    <cellStyle name="표준 2 2 2 18 2" xfId="0"/>
    <cellStyle name="표준 2 2 2 18 3" xfId="0"/>
    <cellStyle name="표준 2 2 2 18 4" xfId="0"/>
    <cellStyle name="표준 2 2 2 18 5" xfId="0"/>
    <cellStyle name="표준 2 2 2 18 6" xfId="0"/>
    <cellStyle name="표준 2 2 2 18 7" xfId="0"/>
    <cellStyle name="표준 2 2 2 18 8" xfId="0"/>
    <cellStyle name="표준 2 2 2 18 9" xfId="0"/>
    <cellStyle name="표준 2 2 2 19" xfId="0"/>
    <cellStyle name="표준 2 2 2 19 10" xfId="0"/>
    <cellStyle name="표준 2 2 2 19 2" xfId="0"/>
    <cellStyle name="표준 2 2 2 19 3" xfId="0"/>
    <cellStyle name="표준 2 2 2 19 4" xfId="0"/>
    <cellStyle name="표준 2 2 2 19 5" xfId="0"/>
    <cellStyle name="표준 2 2 2 19 6" xfId="0"/>
    <cellStyle name="표준 2 2 2 19 7" xfId="0"/>
    <cellStyle name="표준 2 2 2 19 8" xfId="0"/>
    <cellStyle name="표준 2 2 2 19 9" xfId="0"/>
    <cellStyle name="표준 2 2 2 2" xfId="0"/>
    <cellStyle name="표준 2 2 2 2 10" xfId="0"/>
    <cellStyle name="표준 2 2 2 2 10 10" xfId="0"/>
    <cellStyle name="표준 2 2 2 2 10 10 2" xfId="0"/>
    <cellStyle name="표준 2 2 2 2 10 2" xfId="0"/>
    <cellStyle name="표준 2 2 2 2 10 2 2" xfId="0"/>
    <cellStyle name="표준 2 2 2 2 10 3" xfId="0"/>
    <cellStyle name="표준 2 2 2 2 10 3 2" xfId="0"/>
    <cellStyle name="표준 2 2 2 2 10 4" xfId="0"/>
    <cellStyle name="표준 2 2 2 2 10 4 2" xfId="0"/>
    <cellStyle name="표준 2 2 2 2 10 5" xfId="0"/>
    <cellStyle name="표준 2 2 2 2 10 5 2" xfId="0"/>
    <cellStyle name="표준 2 2 2 2 10 6" xfId="0"/>
    <cellStyle name="표준 2 2 2 2 10 6 2" xfId="0"/>
    <cellStyle name="표준 2 2 2 2 10 7" xfId="0"/>
    <cellStyle name="표준 2 2 2 2 10 7 2" xfId="0"/>
    <cellStyle name="표준 2 2 2 2 10 8" xfId="0"/>
    <cellStyle name="표준 2 2 2 2 10 8 2" xfId="0"/>
    <cellStyle name="표준 2 2 2 2 10 9" xfId="0"/>
    <cellStyle name="표준 2 2 2 2 10 9 2" xfId="0"/>
    <cellStyle name="표준 2 2 2 2 11" xfId="0"/>
    <cellStyle name="표준 2 2 2 2 11 10" xfId="0"/>
    <cellStyle name="표준 2 2 2 2 11 10 2" xfId="0"/>
    <cellStyle name="표준 2 2 2 2 11 2" xfId="0"/>
    <cellStyle name="표준 2 2 2 2 11 2 2" xfId="0"/>
    <cellStyle name="표준 2 2 2 2 11 3" xfId="0"/>
    <cellStyle name="표준 2 2 2 2 11 3 2" xfId="0"/>
    <cellStyle name="표준 2 2 2 2 11 4" xfId="0"/>
    <cellStyle name="표준 2 2 2 2 11 4 2" xfId="0"/>
    <cellStyle name="표준 2 2 2 2 11 5" xfId="0"/>
    <cellStyle name="표준 2 2 2 2 11 5 2" xfId="0"/>
    <cellStyle name="표준 2 2 2 2 11 6" xfId="0"/>
    <cellStyle name="표준 2 2 2 2 11 6 2" xfId="0"/>
    <cellStyle name="표준 2 2 2 2 11 7" xfId="0"/>
    <cellStyle name="표준 2 2 2 2 11 7 2" xfId="0"/>
    <cellStyle name="표준 2 2 2 2 11 8" xfId="0"/>
    <cellStyle name="표준 2 2 2 2 11 8 2" xfId="0"/>
    <cellStyle name="표준 2 2 2 2 11 9" xfId="0"/>
    <cellStyle name="표준 2 2 2 2 11 9 2" xfId="0"/>
    <cellStyle name="표준 2 2 2 2 12" xfId="0"/>
    <cellStyle name="표준 2 2 2 2 12 10" xfId="0"/>
    <cellStyle name="표준 2 2 2 2 12 10 2" xfId="0"/>
    <cellStyle name="표준 2 2 2 2 12 2" xfId="0"/>
    <cellStyle name="표준 2 2 2 2 12 2 2" xfId="0"/>
    <cellStyle name="표준 2 2 2 2 12 3" xfId="0"/>
    <cellStyle name="표준 2 2 2 2 12 3 2" xfId="0"/>
    <cellStyle name="표준 2 2 2 2 12 4" xfId="0"/>
    <cellStyle name="표준 2 2 2 2 12 4 2" xfId="0"/>
    <cellStyle name="표준 2 2 2 2 12 5" xfId="0"/>
    <cellStyle name="표준 2 2 2 2 12 5 2" xfId="0"/>
    <cellStyle name="표준 2 2 2 2 12 6" xfId="0"/>
    <cellStyle name="표준 2 2 2 2 12 6 2" xfId="0"/>
    <cellStyle name="표준 2 2 2 2 12 7" xfId="0"/>
    <cellStyle name="표준 2 2 2 2 12 7 2" xfId="0"/>
    <cellStyle name="표준 2 2 2 2 12 8" xfId="0"/>
    <cellStyle name="표준 2 2 2 2 12 8 2" xfId="0"/>
    <cellStyle name="표준 2 2 2 2 12 9" xfId="0"/>
    <cellStyle name="표준 2 2 2 2 12 9 2" xfId="0"/>
    <cellStyle name="표준 2 2 2 2 13" xfId="0"/>
    <cellStyle name="표준 2 2 2 2 13 10" xfId="0"/>
    <cellStyle name="표준 2 2 2 2 13 10 2" xfId="0"/>
    <cellStyle name="표준 2 2 2 2 13 2" xfId="0"/>
    <cellStyle name="표준 2 2 2 2 13 2 2" xfId="0"/>
    <cellStyle name="표준 2 2 2 2 13 3" xfId="0"/>
    <cellStyle name="표준 2 2 2 2 13 3 2" xfId="0"/>
    <cellStyle name="표준 2 2 2 2 13 4" xfId="0"/>
    <cellStyle name="표준 2 2 2 2 13 4 2" xfId="0"/>
    <cellStyle name="표준 2 2 2 2 13 5" xfId="0"/>
    <cellStyle name="표준 2 2 2 2 13 5 2" xfId="0"/>
    <cellStyle name="표준 2 2 2 2 13 6" xfId="0"/>
    <cellStyle name="표준 2 2 2 2 13 6 2" xfId="0"/>
    <cellStyle name="표준 2 2 2 2 13 7" xfId="0"/>
    <cellStyle name="표준 2 2 2 2 13 7 2" xfId="0"/>
    <cellStyle name="표준 2 2 2 2 13 8" xfId="0"/>
    <cellStyle name="표준 2 2 2 2 13 8 2" xfId="0"/>
    <cellStyle name="표준 2 2 2 2 13 9" xfId="0"/>
    <cellStyle name="표준 2 2 2 2 13 9 2" xfId="0"/>
    <cellStyle name="표준 2 2 2 2 14" xfId="0"/>
    <cellStyle name="표준 2 2 2 2 14 10" xfId="0"/>
    <cellStyle name="표준 2 2 2 2 14 2" xfId="0"/>
    <cellStyle name="표준 2 2 2 2 14 3" xfId="0"/>
    <cellStyle name="표준 2 2 2 2 14 4" xfId="0"/>
    <cellStyle name="표준 2 2 2 2 14 5" xfId="0"/>
    <cellStyle name="표준 2 2 2 2 14 6" xfId="0"/>
    <cellStyle name="표준 2 2 2 2 14 7" xfId="0"/>
    <cellStyle name="표준 2 2 2 2 14 8" xfId="0"/>
    <cellStyle name="표준 2 2 2 2 14 9" xfId="0"/>
    <cellStyle name="표준 2 2 2 2 15" xfId="0"/>
    <cellStyle name="표준 2 2 2 2 15 10" xfId="0"/>
    <cellStyle name="표준 2 2 2 2 15 10 2" xfId="0"/>
    <cellStyle name="표준 2 2 2 2 15 2" xfId="0"/>
    <cellStyle name="표준 2 2 2 2 15 2 2" xfId="0"/>
    <cellStyle name="표준 2 2 2 2 15 3" xfId="0"/>
    <cellStyle name="표준 2 2 2 2 15 3 2" xfId="0"/>
    <cellStyle name="표준 2 2 2 2 15 4" xfId="0"/>
    <cellStyle name="표준 2 2 2 2 15 4 2" xfId="0"/>
    <cellStyle name="표준 2 2 2 2 15 5" xfId="0"/>
    <cellStyle name="표준 2 2 2 2 15 5 2" xfId="0"/>
    <cellStyle name="표준 2 2 2 2 15 6" xfId="0"/>
    <cellStyle name="표준 2 2 2 2 15 6 2" xfId="0"/>
    <cellStyle name="표준 2 2 2 2 15 7" xfId="0"/>
    <cellStyle name="표준 2 2 2 2 15 7 2" xfId="0"/>
    <cellStyle name="표준 2 2 2 2 15 8" xfId="0"/>
    <cellStyle name="표준 2 2 2 2 15 8 2" xfId="0"/>
    <cellStyle name="표준 2 2 2 2 15 9" xfId="0"/>
    <cellStyle name="표준 2 2 2 2 15 9 2" xfId="0"/>
    <cellStyle name="표준 2 2 2 2 16" xfId="0"/>
    <cellStyle name="표준 2 2 2 2 16 10" xfId="0"/>
    <cellStyle name="표준 2 2 2 2 16 10 2" xfId="0"/>
    <cellStyle name="표준 2 2 2 2 16 2" xfId="0"/>
    <cellStyle name="표준 2 2 2 2 16 2 2" xfId="0"/>
    <cellStyle name="표준 2 2 2 2 16 3" xfId="0"/>
    <cellStyle name="표준 2 2 2 2 16 3 2" xfId="0"/>
    <cellStyle name="표준 2 2 2 2 16 4" xfId="0"/>
    <cellStyle name="표준 2 2 2 2 16 4 2" xfId="0"/>
    <cellStyle name="표준 2 2 2 2 16 5" xfId="0"/>
    <cellStyle name="표준 2 2 2 2 16 5 2" xfId="0"/>
    <cellStyle name="표준 2 2 2 2 16 6" xfId="0"/>
    <cellStyle name="표준 2 2 2 2 16 6 2" xfId="0"/>
    <cellStyle name="표준 2 2 2 2 16 7" xfId="0"/>
    <cellStyle name="표준 2 2 2 2 16 7 2" xfId="0"/>
    <cellStyle name="표준 2 2 2 2 16 8" xfId="0"/>
    <cellStyle name="표준 2 2 2 2 16 8 2" xfId="0"/>
    <cellStyle name="표준 2 2 2 2 16 9" xfId="0"/>
    <cellStyle name="표준 2 2 2 2 16 9 2" xfId="0"/>
    <cellStyle name="표준 2 2 2 2 17" xfId="0"/>
    <cellStyle name="표준 2 2 2 2 17 2" xfId="0"/>
    <cellStyle name="표준 2 2 2 2 17 2 2" xfId="0"/>
    <cellStyle name="표준 2 2 2 2 17 2 2 2" xfId="0"/>
    <cellStyle name="표준 2 2 2 2 17 2 2 3" xfId="0"/>
    <cellStyle name="표준 2 2 2 2 17 2 2 4" xfId="0"/>
    <cellStyle name="표준 2 2 2 2 17 2 2 5" xfId="0"/>
    <cellStyle name="표준 2 2 2 2 17 2 3" xfId="0"/>
    <cellStyle name="표준 2 2 2 2 17 2 4" xfId="0"/>
    <cellStyle name="표준 2 2 2 2 17 2 5" xfId="0"/>
    <cellStyle name="표준 2 2 2 2 17 3" xfId="0"/>
    <cellStyle name="표준 2 2 2 2 17 4" xfId="0"/>
    <cellStyle name="표준 2 2 2 2 17 5" xfId="0"/>
    <cellStyle name="표준 2 2 2 2 17 6" xfId="0"/>
    <cellStyle name="표준 2 2 2 2 17 7" xfId="0"/>
    <cellStyle name="표준 2 2 2 2 18" xfId="0"/>
    <cellStyle name="표준 2 2 2 2 18 2" xfId="0"/>
    <cellStyle name="표준 2 2 2 2 18 3" xfId="0"/>
    <cellStyle name="표준 2 2 2 2 18 4" xfId="0"/>
    <cellStyle name="표준 2 2 2 2 18 5" xfId="0"/>
    <cellStyle name="표준 2 2 2 2 18 6" xfId="0"/>
    <cellStyle name="표준 2 2 2 2 19" xfId="0"/>
    <cellStyle name="표준 2 2 2 2 19 2" xfId="0"/>
    <cellStyle name="표준 2 2 2 2 19 3" xfId="0"/>
    <cellStyle name="표준 2 2 2 2 19 4" xfId="0"/>
    <cellStyle name="표준 2 2 2 2 19 5" xfId="0"/>
    <cellStyle name="표준 2 2 2 2 19 6" xfId="0"/>
    <cellStyle name="표준 2 2 2 2 2" xfId="0"/>
    <cellStyle name="표준 2 2 2 2 2 10" xfId="0"/>
    <cellStyle name="표준 2 2 2 2 2 10 10" xfId="0"/>
    <cellStyle name="표준 2 2 2 2 2 10 2" xfId="0"/>
    <cellStyle name="표준 2 2 2 2 2 10 3" xfId="0"/>
    <cellStyle name="표준 2 2 2 2 2 10 4" xfId="0"/>
    <cellStyle name="표준 2 2 2 2 2 10 5" xfId="0"/>
    <cellStyle name="표준 2 2 2 2 2 10 6" xfId="0"/>
    <cellStyle name="표준 2 2 2 2 2 10 7" xfId="0"/>
    <cellStyle name="표준 2 2 2 2 2 10 8" xfId="0"/>
    <cellStyle name="표준 2 2 2 2 2 10 9" xfId="0"/>
    <cellStyle name="표준 2 2 2 2 2 11" xfId="0"/>
    <cellStyle name="표준 2 2 2 2 2 11 10" xfId="0"/>
    <cellStyle name="표준 2 2 2 2 2 11 2" xfId="0"/>
    <cellStyle name="표준 2 2 2 2 2 11 3" xfId="0"/>
    <cellStyle name="표준 2 2 2 2 2 11 4" xfId="0"/>
    <cellStyle name="표준 2 2 2 2 2 11 5" xfId="0"/>
    <cellStyle name="표준 2 2 2 2 2 11 6" xfId="0"/>
    <cellStyle name="표준 2 2 2 2 2 11 7" xfId="0"/>
    <cellStyle name="표준 2 2 2 2 2 11 8" xfId="0"/>
    <cellStyle name="표준 2 2 2 2 2 11 9" xfId="0"/>
    <cellStyle name="표준 2 2 2 2 2 12" xfId="0"/>
    <cellStyle name="표준 2 2 2 2 2 12 10" xfId="0"/>
    <cellStyle name="표준 2 2 2 2 2 12 2" xfId="0"/>
    <cellStyle name="표준 2 2 2 2 2 12 3" xfId="0"/>
    <cellStyle name="표준 2 2 2 2 2 12 4" xfId="0"/>
    <cellStyle name="표준 2 2 2 2 2 12 5" xfId="0"/>
    <cellStyle name="표준 2 2 2 2 2 12 6" xfId="0"/>
    <cellStyle name="표준 2 2 2 2 2 12 7" xfId="0"/>
    <cellStyle name="표준 2 2 2 2 2 12 8" xfId="0"/>
    <cellStyle name="표준 2 2 2 2 2 12 9" xfId="0"/>
    <cellStyle name="표준 2 2 2 2 2 13" xfId="0"/>
    <cellStyle name="표준 2 2 2 2 2 13 10" xfId="0"/>
    <cellStyle name="표준 2 2 2 2 2 13 2" xfId="0"/>
    <cellStyle name="표준 2 2 2 2 2 13 3" xfId="0"/>
    <cellStyle name="표준 2 2 2 2 2 13 4" xfId="0"/>
    <cellStyle name="표준 2 2 2 2 2 13 5" xfId="0"/>
    <cellStyle name="표준 2 2 2 2 2 13 6" xfId="0"/>
    <cellStyle name="표준 2 2 2 2 2 13 7" xfId="0"/>
    <cellStyle name="표준 2 2 2 2 2 13 8" xfId="0"/>
    <cellStyle name="표준 2 2 2 2 2 13 9" xfId="0"/>
    <cellStyle name="표준 2 2 2 2 2 14" xfId="0"/>
    <cellStyle name="표준 2 2 2 2 2 14 10" xfId="0"/>
    <cellStyle name="표준 2 2 2 2 2 14 2" xfId="0"/>
    <cellStyle name="표준 2 2 2 2 2 14 3" xfId="0"/>
    <cellStyle name="표준 2 2 2 2 2 14 4" xfId="0"/>
    <cellStyle name="표준 2 2 2 2 2 14 5" xfId="0"/>
    <cellStyle name="표준 2 2 2 2 2 14 6" xfId="0"/>
    <cellStyle name="표준 2 2 2 2 2 14 7" xfId="0"/>
    <cellStyle name="표준 2 2 2 2 2 14 8" xfId="0"/>
    <cellStyle name="표준 2 2 2 2 2 14 9" xfId="0"/>
    <cellStyle name="표준 2 2 2 2 2 15" xfId="0"/>
    <cellStyle name="표준 2 2 2 2 2 15 10" xfId="0"/>
    <cellStyle name="표준 2 2 2 2 2 15 2" xfId="0"/>
    <cellStyle name="표준 2 2 2 2 2 15 3" xfId="0"/>
    <cellStyle name="표준 2 2 2 2 2 15 4" xfId="0"/>
    <cellStyle name="표준 2 2 2 2 2 15 5" xfId="0"/>
    <cellStyle name="표준 2 2 2 2 2 15 6" xfId="0"/>
    <cellStyle name="표준 2 2 2 2 2 15 7" xfId="0"/>
    <cellStyle name="표준 2 2 2 2 2 15 8" xfId="0"/>
    <cellStyle name="표준 2 2 2 2 2 15 9" xfId="0"/>
    <cellStyle name="표준 2 2 2 2 2 16" xfId="0"/>
    <cellStyle name="표준 2 2 2 2 2 16 10" xfId="0"/>
    <cellStyle name="표준 2 2 2 2 2 16 11" xfId="0"/>
    <cellStyle name="표준 2 2 2 2 2 16 2" xfId="0"/>
    <cellStyle name="표준 2 2 2 2 2 16 2 2" xfId="0"/>
    <cellStyle name="표준 2 2 2 2 2 16 3" xfId="0"/>
    <cellStyle name="표준 2 2 2 2 2 16 3 2" xfId="0"/>
    <cellStyle name="표준 2 2 2 2 2 16 4" xfId="0"/>
    <cellStyle name="표준 2 2 2 2 2 16 4 2" xfId="0"/>
    <cellStyle name="표준 2 2 2 2 2 16 5" xfId="0"/>
    <cellStyle name="표준 2 2 2 2 2 16 5 2" xfId="0"/>
    <cellStyle name="표준 2 2 2 2 2 16 6" xfId="0"/>
    <cellStyle name="표준 2 2 2 2 2 16 6 2" xfId="0"/>
    <cellStyle name="표준 2 2 2 2 2 16 7" xfId="0"/>
    <cellStyle name="표준 2 2 2 2 2 16 7 2" xfId="0"/>
    <cellStyle name="표준 2 2 2 2 2 16 8" xfId="0"/>
    <cellStyle name="표준 2 2 2 2 2 16 8 2" xfId="0"/>
    <cellStyle name="표준 2 2 2 2 2 16 9" xfId="0"/>
    <cellStyle name="표준 2 2 2 2 2 16 9 2" xfId="0"/>
    <cellStyle name="표준 2 2 2 2 2 17" xfId="0"/>
    <cellStyle name="표준 2 2 2 2 2 17 10" xfId="0"/>
    <cellStyle name="표준 2 2 2 2 2 17 2" xfId="0"/>
    <cellStyle name="표준 2 2 2 2 2 17 3" xfId="0"/>
    <cellStyle name="표준 2 2 2 2 2 17 4" xfId="0"/>
    <cellStyle name="표준 2 2 2 2 2 17 5" xfId="0"/>
    <cellStyle name="표준 2 2 2 2 2 17 6" xfId="0"/>
    <cellStyle name="표준 2 2 2 2 2 17 7" xfId="0"/>
    <cellStyle name="표준 2 2 2 2 2 17 8" xfId="0"/>
    <cellStyle name="표준 2 2 2 2 2 17 9" xfId="0"/>
    <cellStyle name="표준 2 2 2 2 2 18" xfId="0"/>
    <cellStyle name="표준 2 2 2 2 2 18 2" xfId="0"/>
    <cellStyle name="표준 2 2 2 2 2 18 3" xfId="0"/>
    <cellStyle name="표준 2 2 2 2 2 18 4" xfId="0"/>
    <cellStyle name="표준 2 2 2 2 2 18 5" xfId="0"/>
    <cellStyle name="표준 2 2 2 2 2 18 6" xfId="0"/>
    <cellStyle name="표준 2 2 2 2 2 19" xfId="0"/>
    <cellStyle name="표준 2 2 2 2 2 19 2" xfId="0"/>
    <cellStyle name="표준 2 2 2 2 2 19 3" xfId="0"/>
    <cellStyle name="표준 2 2 2 2 2 19 4" xfId="0"/>
    <cellStyle name="표준 2 2 2 2 2 19 5" xfId="0"/>
    <cellStyle name="표준 2 2 2 2 2 19 6" xfId="0"/>
    <cellStyle name="표준 2 2 2 2 2 2" xfId="0"/>
    <cellStyle name="표준 2 2 2 2 2 2 10" xfId="0"/>
    <cellStyle name="표준 2 2 2 2 2 2 10 10" xfId="0"/>
    <cellStyle name="표준 2 2 2 2 2 2 10 10 2" xfId="0"/>
    <cellStyle name="표준 2 2 2 2 2 2 10 2" xfId="0"/>
    <cellStyle name="표준 2 2 2 2 2 2 10 2 2" xfId="0"/>
    <cellStyle name="표준 2 2 2 2 2 2 10 3" xfId="0"/>
    <cellStyle name="표준 2 2 2 2 2 2 10 3 2" xfId="0"/>
    <cellStyle name="표준 2 2 2 2 2 2 10 4" xfId="0"/>
    <cellStyle name="표준 2 2 2 2 2 2 10 4 2" xfId="0"/>
    <cellStyle name="표준 2 2 2 2 2 2 10 5" xfId="0"/>
    <cellStyle name="표준 2 2 2 2 2 2 10 5 2" xfId="0"/>
    <cellStyle name="표준 2 2 2 2 2 2 10 6" xfId="0"/>
    <cellStyle name="표준 2 2 2 2 2 2 10 6 2" xfId="0"/>
    <cellStyle name="표준 2 2 2 2 2 2 10 7" xfId="0"/>
    <cellStyle name="표준 2 2 2 2 2 2 10 7 2" xfId="0"/>
    <cellStyle name="표준 2 2 2 2 2 2 10 8" xfId="0"/>
    <cellStyle name="표준 2 2 2 2 2 2 10 8 2" xfId="0"/>
    <cellStyle name="표준 2 2 2 2 2 2 10 9" xfId="0"/>
    <cellStyle name="표준 2 2 2 2 2 2 10 9 2" xfId="0"/>
    <cellStyle name="표준 2 2 2 2 2 2 11" xfId="0"/>
    <cellStyle name="표준 2 2 2 2 2 2 11 10" xfId="0"/>
    <cellStyle name="표준 2 2 2 2 2 2 11 10 2" xfId="0"/>
    <cellStyle name="표준 2 2 2 2 2 2 11 2" xfId="0"/>
    <cellStyle name="표준 2 2 2 2 2 2 11 2 2" xfId="0"/>
    <cellStyle name="표준 2 2 2 2 2 2 11 3" xfId="0"/>
    <cellStyle name="표준 2 2 2 2 2 2 11 3 2" xfId="0"/>
    <cellStyle name="표준 2 2 2 2 2 2 11 4" xfId="0"/>
    <cellStyle name="표준 2 2 2 2 2 2 11 4 2" xfId="0"/>
    <cellStyle name="표준 2 2 2 2 2 2 11 5" xfId="0"/>
    <cellStyle name="표준 2 2 2 2 2 2 11 5 2" xfId="0"/>
    <cellStyle name="표준 2 2 2 2 2 2 11 6" xfId="0"/>
    <cellStyle name="표준 2 2 2 2 2 2 11 6 2" xfId="0"/>
    <cellStyle name="표준 2 2 2 2 2 2 11 7" xfId="0"/>
    <cellStyle name="표준 2 2 2 2 2 2 11 7 2" xfId="0"/>
    <cellStyle name="표준 2 2 2 2 2 2 11 8" xfId="0"/>
    <cellStyle name="표준 2 2 2 2 2 2 11 8 2" xfId="0"/>
    <cellStyle name="표준 2 2 2 2 2 2 11 9" xfId="0"/>
    <cellStyle name="표준 2 2 2 2 2 2 11 9 2" xfId="0"/>
    <cellStyle name="표준 2 2 2 2 2 2 12" xfId="0"/>
    <cellStyle name="표준 2 2 2 2 2 2 12 10" xfId="0"/>
    <cellStyle name="표준 2 2 2 2 2 2 12 10 2" xfId="0"/>
    <cellStyle name="표준 2 2 2 2 2 2 12 2" xfId="0"/>
    <cellStyle name="표준 2 2 2 2 2 2 12 2 2" xfId="0"/>
    <cellStyle name="표준 2 2 2 2 2 2 12 3" xfId="0"/>
    <cellStyle name="표준 2 2 2 2 2 2 12 3 2" xfId="0"/>
    <cellStyle name="표준 2 2 2 2 2 2 12 4" xfId="0"/>
    <cellStyle name="표준 2 2 2 2 2 2 12 4 2" xfId="0"/>
    <cellStyle name="표준 2 2 2 2 2 2 12 5" xfId="0"/>
    <cellStyle name="표준 2 2 2 2 2 2 12 5 2" xfId="0"/>
    <cellStyle name="표준 2 2 2 2 2 2 12 6" xfId="0"/>
    <cellStyle name="표준 2 2 2 2 2 2 12 6 2" xfId="0"/>
    <cellStyle name="표준 2 2 2 2 2 2 12 7" xfId="0"/>
    <cellStyle name="표준 2 2 2 2 2 2 12 7 2" xfId="0"/>
    <cellStyle name="표준 2 2 2 2 2 2 12 8" xfId="0"/>
    <cellStyle name="표준 2 2 2 2 2 2 12 8 2" xfId="0"/>
    <cellStyle name="표준 2 2 2 2 2 2 12 9" xfId="0"/>
    <cellStyle name="표준 2 2 2 2 2 2 12 9 2" xfId="0"/>
    <cellStyle name="표준 2 2 2 2 2 2 13" xfId="0"/>
    <cellStyle name="표준 2 2 2 2 2 2 13 10" xfId="0"/>
    <cellStyle name="표준 2 2 2 2 2 2 13 10 2" xfId="0"/>
    <cellStyle name="표준 2 2 2 2 2 2 13 2" xfId="0"/>
    <cellStyle name="표준 2 2 2 2 2 2 13 2 2" xfId="0"/>
    <cellStyle name="표준 2 2 2 2 2 2 13 3" xfId="0"/>
    <cellStyle name="표준 2 2 2 2 2 2 13 3 2" xfId="0"/>
    <cellStyle name="표준 2 2 2 2 2 2 13 4" xfId="0"/>
    <cellStyle name="표준 2 2 2 2 2 2 13 4 2" xfId="0"/>
    <cellStyle name="표준 2 2 2 2 2 2 13 5" xfId="0"/>
    <cellStyle name="표준 2 2 2 2 2 2 13 5 2" xfId="0"/>
    <cellStyle name="표준 2 2 2 2 2 2 13 6" xfId="0"/>
    <cellStyle name="표준 2 2 2 2 2 2 13 6 2" xfId="0"/>
    <cellStyle name="표준 2 2 2 2 2 2 13 7" xfId="0"/>
    <cellStyle name="표준 2 2 2 2 2 2 13 7 2" xfId="0"/>
    <cellStyle name="표준 2 2 2 2 2 2 13 8" xfId="0"/>
    <cellStyle name="표준 2 2 2 2 2 2 13 8 2" xfId="0"/>
    <cellStyle name="표준 2 2 2 2 2 2 13 9" xfId="0"/>
    <cellStyle name="표준 2 2 2 2 2 2 13 9 2" xfId="0"/>
    <cellStyle name="표준 2 2 2 2 2 2 14" xfId="0"/>
    <cellStyle name="표준 2 2 2 2 2 2 14 10" xfId="0"/>
    <cellStyle name="표준 2 2 2 2 2 2 14 2" xfId="0"/>
    <cellStyle name="표준 2 2 2 2 2 2 14 2 2" xfId="0"/>
    <cellStyle name="표준 2 2 2 2 2 2 14 3" xfId="0"/>
    <cellStyle name="표준 2 2 2 2 2 2 14 3 2" xfId="0"/>
    <cellStyle name="표준 2 2 2 2 2 2 14 4" xfId="0"/>
    <cellStyle name="표준 2 2 2 2 2 2 14 4 2" xfId="0"/>
    <cellStyle name="표준 2 2 2 2 2 2 14 5" xfId="0"/>
    <cellStyle name="표준 2 2 2 2 2 2 14 5 2" xfId="0"/>
    <cellStyle name="표준 2 2 2 2 2 2 14 6" xfId="0"/>
    <cellStyle name="표준 2 2 2 2 2 2 14 6 2" xfId="0"/>
    <cellStyle name="표준 2 2 2 2 2 2 14 7" xfId="0"/>
    <cellStyle name="표준 2 2 2 2 2 2 14 7 2" xfId="0"/>
    <cellStyle name="표준 2 2 2 2 2 2 14 8" xfId="0"/>
    <cellStyle name="표준 2 2 2 2 2 2 14 8 2" xfId="0"/>
    <cellStyle name="표준 2 2 2 2 2 2 14 9" xfId="0"/>
    <cellStyle name="표준 2 2 2 2 2 2 14 9 2" xfId="0"/>
    <cellStyle name="표준 2 2 2 2 2 2 15" xfId="0"/>
    <cellStyle name="표준 2 2 2 2 2 2 15 10" xfId="0"/>
    <cellStyle name="표준 2 2 2 2 2 2 15 2" xfId="0"/>
    <cellStyle name="표준 2 2 2 2 2 2 15 2 2" xfId="0"/>
    <cellStyle name="표준 2 2 2 2 2 2 15 3" xfId="0"/>
    <cellStyle name="표준 2 2 2 2 2 2 15 3 2" xfId="0"/>
    <cellStyle name="표준 2 2 2 2 2 2 15 4" xfId="0"/>
    <cellStyle name="표준 2 2 2 2 2 2 15 4 2" xfId="0"/>
    <cellStyle name="표준 2 2 2 2 2 2 15 5" xfId="0"/>
    <cellStyle name="표준 2 2 2 2 2 2 15 5 2" xfId="0"/>
    <cellStyle name="표준 2 2 2 2 2 2 15 6" xfId="0"/>
    <cellStyle name="표준 2 2 2 2 2 2 15 6 2" xfId="0"/>
    <cellStyle name="표준 2 2 2 2 2 2 15 7" xfId="0"/>
    <cellStyle name="표준 2 2 2 2 2 2 15 7 2" xfId="0"/>
    <cellStyle name="표준 2 2 2 2 2 2 15 8" xfId="0"/>
    <cellStyle name="표준 2 2 2 2 2 2 15 8 2" xfId="0"/>
    <cellStyle name="표준 2 2 2 2 2 2 15 9" xfId="0"/>
    <cellStyle name="표준 2 2 2 2 2 2 15 9 2" xfId="0"/>
    <cellStyle name="표준 2 2 2 2 2 2 16" xfId="0"/>
    <cellStyle name="표준 2 2 2 2 2 2 16 10" xfId="0"/>
    <cellStyle name="표준 2 2 2 2 2 2 16 2" xfId="0"/>
    <cellStyle name="표준 2 2 2 2 2 2 16 2 2" xfId="0"/>
    <cellStyle name="표준 2 2 2 2 2 2 16 3" xfId="0"/>
    <cellStyle name="표준 2 2 2 2 2 2 16 3 2" xfId="0"/>
    <cellStyle name="표준 2 2 2 2 2 2 16 4" xfId="0"/>
    <cellStyle name="표준 2 2 2 2 2 2 16 4 2" xfId="0"/>
    <cellStyle name="표준 2 2 2 2 2 2 16 5" xfId="0"/>
    <cellStyle name="표준 2 2 2 2 2 2 16 5 2" xfId="0"/>
    <cellStyle name="표준 2 2 2 2 2 2 16 6" xfId="0"/>
    <cellStyle name="표준 2 2 2 2 2 2 16 7" xfId="0"/>
    <cellStyle name="표준 2 2 2 2 2 2 16 8" xfId="0"/>
    <cellStyle name="표준 2 2 2 2 2 2 16 9" xfId="0"/>
    <cellStyle name="표준 2 2 2 2 2 2 17" xfId="0"/>
    <cellStyle name="표준 2 2 2 2 2 2 17 2" xfId="0"/>
    <cellStyle name="표준 2 2 2 2 2 2 17 3" xfId="0"/>
    <cellStyle name="표준 2 2 2 2 2 2 17 4" xfId="0"/>
    <cellStyle name="표준 2 2 2 2 2 2 17 5" xfId="0"/>
    <cellStyle name="표준 2 2 2 2 2 2 18" xfId="0"/>
    <cellStyle name="표준 2 2 2 2 2 2 18 2" xfId="0"/>
    <cellStyle name="표준 2 2 2 2 2 2 18 3" xfId="0"/>
    <cellStyle name="표준 2 2 2 2 2 2 18 4" xfId="0"/>
    <cellStyle name="표준 2 2 2 2 2 2 18 5" xfId="0"/>
    <cellStyle name="표준 2 2 2 2 2 2 18 6" xfId="0"/>
    <cellStyle name="표준 2 2 2 2 2 2 19" xfId="0"/>
    <cellStyle name="표준 2 2 2 2 2 2 19 2" xfId="0"/>
    <cellStyle name="표준 2 2 2 2 2 2 19 3" xfId="0"/>
    <cellStyle name="표준 2 2 2 2 2 2 19 4" xfId="0"/>
    <cellStyle name="표준 2 2 2 2 2 2 19 5" xfId="0"/>
    <cellStyle name="표준 2 2 2 2 2 2 19 6" xfId="0"/>
    <cellStyle name="표준 2 2 2 2 2 2 2" xfId="0"/>
    <cellStyle name="표준 2 2 2 2 2 2 2 10" xfId="0"/>
    <cellStyle name="표준 2 2 2 2 2 2 2 10 10" xfId="0"/>
    <cellStyle name="표준 2 2 2 2 2 2 2 10 11" xfId="0"/>
    <cellStyle name="표준 2 2 2 2 2 2 2 10 2" xfId="0"/>
    <cellStyle name="표준 2 2 2 2 2 2 2 10 2 2" xfId="0"/>
    <cellStyle name="표준 2 2 2 2 2 2 2 10 3" xfId="0"/>
    <cellStyle name="표준 2 2 2 2 2 2 2 10 3 2" xfId="0"/>
    <cellStyle name="표준 2 2 2 2 2 2 2 10 4" xfId="0"/>
    <cellStyle name="표준 2 2 2 2 2 2 2 10 4 2" xfId="0"/>
    <cellStyle name="표준 2 2 2 2 2 2 2 10 5" xfId="0"/>
    <cellStyle name="표준 2 2 2 2 2 2 2 10 5 2" xfId="0"/>
    <cellStyle name="표준 2 2 2 2 2 2 2 10 6" xfId="0"/>
    <cellStyle name="표준 2 2 2 2 2 2 2 10 6 2" xfId="0"/>
    <cellStyle name="표준 2 2 2 2 2 2 2 10 7" xfId="0"/>
    <cellStyle name="표준 2 2 2 2 2 2 2 10 7 2" xfId="0"/>
    <cellStyle name="표준 2 2 2 2 2 2 2 10 8" xfId="0"/>
    <cellStyle name="표준 2 2 2 2 2 2 2 10 8 2" xfId="0"/>
    <cellStyle name="표준 2 2 2 2 2 2 2 10 9" xfId="0"/>
    <cellStyle name="표준 2 2 2 2 2 2 2 10 9 2" xfId="0"/>
    <cellStyle name="표준 2 2 2 2 2 2 2 11" xfId="0"/>
    <cellStyle name="표준 2 2 2 2 2 2 2 11 10" xfId="0"/>
    <cellStyle name="표준 2 2 2 2 2 2 2 11 11" xfId="0"/>
    <cellStyle name="표준 2 2 2 2 2 2 2 11 2" xfId="0"/>
    <cellStyle name="표준 2 2 2 2 2 2 2 11 2 2" xfId="0"/>
    <cellStyle name="표준 2 2 2 2 2 2 2 11 3" xfId="0"/>
    <cellStyle name="표준 2 2 2 2 2 2 2 11 3 2" xfId="0"/>
    <cellStyle name="표준 2 2 2 2 2 2 2 11 4" xfId="0"/>
    <cellStyle name="표준 2 2 2 2 2 2 2 11 4 2" xfId="0"/>
    <cellStyle name="표준 2 2 2 2 2 2 2 11 5" xfId="0"/>
    <cellStyle name="표준 2 2 2 2 2 2 2 11 5 2" xfId="0"/>
    <cellStyle name="표준 2 2 2 2 2 2 2 11 6" xfId="0"/>
    <cellStyle name="표준 2 2 2 2 2 2 2 11 6 2" xfId="0"/>
    <cellStyle name="표준 2 2 2 2 2 2 2 11 7" xfId="0"/>
    <cellStyle name="표준 2 2 2 2 2 2 2 11 7 2" xfId="0"/>
    <cellStyle name="표준 2 2 2 2 2 2 2 11 8" xfId="0"/>
    <cellStyle name="표준 2 2 2 2 2 2 2 11 8 2" xfId="0"/>
    <cellStyle name="표준 2 2 2 2 2 2 2 11 9" xfId="0"/>
    <cellStyle name="표준 2 2 2 2 2 2 2 11 9 2" xfId="0"/>
    <cellStyle name="표준 2 2 2 2 2 2 2 12" xfId="0"/>
    <cellStyle name="표준 2 2 2 2 2 2 2 12 10" xfId="0"/>
    <cellStyle name="표준 2 2 2 2 2 2 2 12 11" xfId="0"/>
    <cellStyle name="표준 2 2 2 2 2 2 2 12 2" xfId="0"/>
    <cellStyle name="표준 2 2 2 2 2 2 2 12 2 2" xfId="0"/>
    <cellStyle name="표준 2 2 2 2 2 2 2 12 3" xfId="0"/>
    <cellStyle name="표준 2 2 2 2 2 2 2 12 3 2" xfId="0"/>
    <cellStyle name="표준 2 2 2 2 2 2 2 12 4" xfId="0"/>
    <cellStyle name="표준 2 2 2 2 2 2 2 12 4 2" xfId="0"/>
    <cellStyle name="표준 2 2 2 2 2 2 2 12 5" xfId="0"/>
    <cellStyle name="표준 2 2 2 2 2 2 2 12 5 2" xfId="0"/>
    <cellStyle name="표준 2 2 2 2 2 2 2 12 6" xfId="0"/>
    <cellStyle name="표준 2 2 2 2 2 2 2 12 7" xfId="0"/>
    <cellStyle name="표준 2 2 2 2 2 2 2 12 8" xfId="0"/>
    <cellStyle name="표준 2 2 2 2 2 2 2 12 9" xfId="0"/>
    <cellStyle name="표준 2 2 2 2 2 2 2 13" xfId="0"/>
    <cellStyle name="표준 2 2 2 2 2 2 2 13 10" xfId="0"/>
    <cellStyle name="표준 2 2 2 2 2 2 2 13 11" xfId="0"/>
    <cellStyle name="표준 2 2 2 2 2 2 2 13 2" xfId="0"/>
    <cellStyle name="표준 2 2 2 2 2 2 2 13 2 2" xfId="0"/>
    <cellStyle name="표준 2 2 2 2 2 2 2 13 3" xfId="0"/>
    <cellStyle name="표준 2 2 2 2 2 2 2 13 3 2" xfId="0"/>
    <cellStyle name="표준 2 2 2 2 2 2 2 13 4" xfId="0"/>
    <cellStyle name="표준 2 2 2 2 2 2 2 13 4 2" xfId="0"/>
    <cellStyle name="표준 2 2 2 2 2 2 2 13 5" xfId="0"/>
    <cellStyle name="표준 2 2 2 2 2 2 2 13 5 2" xfId="0"/>
    <cellStyle name="표준 2 2 2 2 2 2 2 13 6" xfId="0"/>
    <cellStyle name="표준 2 2 2 2 2 2 2 13 7" xfId="0"/>
    <cellStyle name="표준 2 2 2 2 2 2 2 13 8" xfId="0"/>
    <cellStyle name="표준 2 2 2 2 2 2 2 13 9" xfId="0"/>
    <cellStyle name="표준 2 2 2 2 2 2 2 14" xfId="0"/>
    <cellStyle name="표준 2 2 2 2 2 2 2 14 2" xfId="0"/>
    <cellStyle name="표준 2 2 2 2 2 2 2 14 3" xfId="0"/>
    <cellStyle name="표준 2 2 2 2 2 2 2 14 4" xfId="0"/>
    <cellStyle name="표준 2 2 2 2 2 2 2 14 5" xfId="0"/>
    <cellStyle name="표준 2 2 2 2 2 2 2 14 6" xfId="0"/>
    <cellStyle name="표준 2 2 2 2 2 2 2 15" xfId="0"/>
    <cellStyle name="표준 2 2 2 2 2 2 2 15 2" xfId="0"/>
    <cellStyle name="표준 2 2 2 2 2 2 2 15 3" xfId="0"/>
    <cellStyle name="표준 2 2 2 2 2 2 2 15 4" xfId="0"/>
    <cellStyle name="표준 2 2 2 2 2 2 2 15 5" xfId="0"/>
    <cellStyle name="표준 2 2 2 2 2 2 2 15 6" xfId="0"/>
    <cellStyle name="표준 2 2 2 2 2 2 2 16" xfId="0"/>
    <cellStyle name="표준 2 2 2 2 2 2 2 16 2" xfId="0"/>
    <cellStyle name="표준 2 2 2 2 2 2 2 16 3" xfId="0"/>
    <cellStyle name="표준 2 2 2 2 2 2 2 17" xfId="0"/>
    <cellStyle name="표준 2 2 2 2 2 2 2 17 2" xfId="0"/>
    <cellStyle name="표준 2 2 2 2 2 2 2 18" xfId="0"/>
    <cellStyle name="표준 2 2 2 2 2 2 2 18 2" xfId="0"/>
    <cellStyle name="표준 2 2 2 2 2 2 2 19" xfId="0"/>
    <cellStyle name="표준 2 2 2 2 2 2 2 19 2" xfId="0"/>
    <cellStyle name="표준 2 2 2 2 2 2 2 2" xfId="0"/>
    <cellStyle name="표준 2 2 2 2 2 2 2 2 10" xfId="0"/>
    <cellStyle name="표준 2 2 2 2 2 2 2 2 10 2" xfId="0"/>
    <cellStyle name="표준 2 2 2 2 2 2 2 2 10 3" xfId="0"/>
    <cellStyle name="표준 2 2 2 2 2 2 2 2 10 4" xfId="0"/>
    <cellStyle name="표준 2 2 2 2 2 2 2 2 10 5" xfId="0"/>
    <cellStyle name="표준 2 2 2 2 2 2 2 2 10 6" xfId="0"/>
    <cellStyle name="표준 2 2 2 2 2 2 2 2 10 7" xfId="0"/>
    <cellStyle name="표준 2 2 2 2 2 2 2 2 10 8" xfId="0"/>
    <cellStyle name="표준 2 2 2 2 2 2 2 2 10 9" xfId="0"/>
    <cellStyle name="표준 2 2 2 2 2 2 2 2 11" xfId="0"/>
    <cellStyle name="표준 2 2 2 2 2 2 2 2 11 2" xfId="0"/>
    <cellStyle name="표준 2 2 2 2 2 2 2 2 11 3" xfId="0"/>
    <cellStyle name="표준 2 2 2 2 2 2 2 2 11 4" xfId="0"/>
    <cellStyle name="표준 2 2 2 2 2 2 2 2 11 5" xfId="0"/>
    <cellStyle name="표준 2 2 2 2 2 2 2 2 11 6" xfId="0"/>
    <cellStyle name="표준 2 2 2 2 2 2 2 2 11 7" xfId="0"/>
    <cellStyle name="표준 2 2 2 2 2 2 2 2 11 8" xfId="0"/>
    <cellStyle name="표준 2 2 2 2 2 2 2 2 11 9" xfId="0"/>
    <cellStyle name="표준 2 2 2 2 2 2 2 2 12" xfId="0"/>
    <cellStyle name="표준 2 2 2 2 2 2 2 2 12 2" xfId="0"/>
    <cellStyle name="표준 2 2 2 2 2 2 2 2 12 3" xfId="0"/>
    <cellStyle name="표준 2 2 2 2 2 2 2 2 12 4" xfId="0"/>
    <cellStyle name="표준 2 2 2 2 2 2 2 2 12 5" xfId="0"/>
    <cellStyle name="표준 2 2 2 2 2 2 2 2 13" xfId="0"/>
    <cellStyle name="표준 2 2 2 2 2 2 2 2 13 2" xfId="0"/>
    <cellStyle name="표준 2 2 2 2 2 2 2 2 13 3" xfId="0"/>
    <cellStyle name="표준 2 2 2 2 2 2 2 2 13 4" xfId="0"/>
    <cellStyle name="표준 2 2 2 2 2 2 2 2 13 5" xfId="0"/>
    <cellStyle name="표준 2 2 2 2 2 2 2 2 14" xfId="0"/>
    <cellStyle name="표준 2 2 2 2 2 2 2 2 14 2" xfId="0"/>
    <cellStyle name="표준 2 2 2 2 2 2 2 2 14 3" xfId="0"/>
    <cellStyle name="표준 2 2 2 2 2 2 2 2 14 4" xfId="0"/>
    <cellStyle name="표준 2 2 2 2 2 2 2 2 14 5" xfId="0"/>
    <cellStyle name="표준 2 2 2 2 2 2 2 2 14 6" xfId="0"/>
    <cellStyle name="표준 2 2 2 2 2 2 2 2 15" xfId="0"/>
    <cellStyle name="표준 2 2 2 2 2 2 2 2 15 2" xfId="0"/>
    <cellStyle name="표준 2 2 2 2 2 2 2 2 15 3" xfId="0"/>
    <cellStyle name="표준 2 2 2 2 2 2 2 2 15 4" xfId="0"/>
    <cellStyle name="표준 2 2 2 2 2 2 2 2 15 5" xfId="0"/>
    <cellStyle name="표준 2 2 2 2 2 2 2 2 15 6" xfId="0"/>
    <cellStyle name="표준 2 2 2 2 2 2 2 2 16" xfId="0"/>
    <cellStyle name="표준 2 2 2 2 2 2 2 2 16 2" xfId="0"/>
    <cellStyle name="표준 2 2 2 2 2 2 2 2 16 3" xfId="0"/>
    <cellStyle name="표준 2 2 2 2 2 2 2 2 17" xfId="0"/>
    <cellStyle name="표준 2 2 2 2 2 2 2 2 17 2" xfId="0"/>
    <cellStyle name="표준 2 2 2 2 2 2 2 2 18" xfId="0"/>
    <cellStyle name="표준 2 2 2 2 2 2 2 2 18 2" xfId="0"/>
    <cellStyle name="표준 2 2 2 2 2 2 2 2 19" xfId="0"/>
    <cellStyle name="표준 2 2 2 2 2 2 2 2 19 2" xfId="0"/>
    <cellStyle name="표준 2 2 2 2 2 2 2 2 2" xfId="0"/>
    <cellStyle name="표준 2 2 2 2 2 2 2 2 2 10" xfId="0"/>
    <cellStyle name="표준 2 2 2 2 2 2 2 2 2 10 2" xfId="0"/>
    <cellStyle name="표준 2 2 2 2 2 2 2 2 2 10 3" xfId="0"/>
    <cellStyle name="표준 2 2 2 2 2 2 2 2 2 10 4" xfId="0"/>
    <cellStyle name="표준 2 2 2 2 2 2 2 2 2 10 5" xfId="0"/>
    <cellStyle name="표준 2 2 2 2 2 2 2 2 2 10 6" xfId="0"/>
    <cellStyle name="표준 2 2 2 2 2 2 2 2 2 11" xfId="0"/>
    <cellStyle name="표준 2 2 2 2 2 2 2 2 2 11 2" xfId="0"/>
    <cellStyle name="표준 2 2 2 2 2 2 2 2 2 11 3" xfId="0"/>
    <cellStyle name="표준 2 2 2 2 2 2 2 2 2 11 4" xfId="0"/>
    <cellStyle name="표준 2 2 2 2 2 2 2 2 2 11 5" xfId="0"/>
    <cellStyle name="표준 2 2 2 2 2 2 2 2 2 11 6" xfId="0"/>
    <cellStyle name="표준 2 2 2 2 2 2 2 2 2 12" xfId="0"/>
    <cellStyle name="표준 2 2 2 2 2 2 2 2 2 12 2" xfId="0"/>
    <cellStyle name="표준 2 2 2 2 2 2 2 2 2 12 3" xfId="0"/>
    <cellStyle name="표준 2 2 2 2 2 2 2 2 2 12 4" xfId="0"/>
    <cellStyle name="표준 2 2 2 2 2 2 2 2 2 12 5" xfId="0"/>
    <cellStyle name="표준 2 2 2 2 2 2 2 2 2 12 6" xfId="0"/>
    <cellStyle name="표준 2 2 2 2 2 2 2 2 2 13" xfId="0"/>
    <cellStyle name="표준 2 2 2 2 2 2 2 2 2 13 2" xfId="0"/>
    <cellStyle name="표준 2 2 2 2 2 2 2 2 2 13 3" xfId="0"/>
    <cellStyle name="표준 2 2 2 2 2 2 2 2 2 13 4" xfId="0"/>
    <cellStyle name="표준 2 2 2 2 2 2 2 2 2 13 5" xfId="0"/>
    <cellStyle name="표준 2 2 2 2 2 2 2 2 2 13 6" xfId="0"/>
    <cellStyle name="표준 2 2 2 2 2 2 2 2 2 14" xfId="0"/>
    <cellStyle name="표준 2 2 2 2 2 2 2 2 2 14 2" xfId="0"/>
    <cellStyle name="표준 2 2 2 2 2 2 2 2 2 14 3" xfId="0"/>
    <cellStyle name="표준 2 2 2 2 2 2 2 2 2 15" xfId="0"/>
    <cellStyle name="표준 2 2 2 2 2 2 2 2 2 15 2" xfId="0"/>
    <cellStyle name="표준 2 2 2 2 2 2 2 2 2 16" xfId="0"/>
    <cellStyle name="표준 2 2 2 2 2 2 2 2 2 16 2" xfId="0"/>
    <cellStyle name="표준 2 2 2 2 2 2 2 2 2 17" xfId="0"/>
    <cellStyle name="표준 2 2 2 2 2 2 2 2 2 17 2" xfId="0"/>
    <cellStyle name="표준 2 2 2 2 2 2 2 2 2 18" xfId="0"/>
    <cellStyle name="표준 2 2 2 2 2 2 2 2 2 18 2" xfId="0"/>
    <cellStyle name="표준 2 2 2 2 2 2 2 2 2 19" xfId="0"/>
    <cellStyle name="표준 2 2 2 2 2 2 2 2 2 19 2" xfId="0"/>
    <cellStyle name="표준 2 2 2 2 2 2 2 2 2 2" xfId="0"/>
    <cellStyle name="표준 2 2 2 2 2 2 2 2 2 2 10" xfId="0"/>
    <cellStyle name="표준 2 2 2 2 2 2 2 2 2 2 10 2" xfId="0"/>
    <cellStyle name="표준 2 2 2 2 2 2 2 2 2 2 10 3" xfId="0"/>
    <cellStyle name="표준 2 2 2 2 2 2 2 2 2 2 10 4" xfId="0"/>
    <cellStyle name="표준 2 2 2 2 2 2 2 2 2 2 10 5" xfId="0"/>
    <cellStyle name="표준 2 2 2 2 2 2 2 2 2 2 11" xfId="0"/>
    <cellStyle name="표준 2 2 2 2 2 2 2 2 2 2 11 2" xfId="0"/>
    <cellStyle name="표준 2 2 2 2 2 2 2 2 2 2 11 3" xfId="0"/>
    <cellStyle name="표준 2 2 2 2 2 2 2 2 2 2 11 4" xfId="0"/>
    <cellStyle name="표준 2 2 2 2 2 2 2 2 2 2 11 5" xfId="0"/>
    <cellStyle name="표준 2 2 2 2 2 2 2 2 2 2 12" xfId="0"/>
    <cellStyle name="표준 2 2 2 2 2 2 2 2 2 2 12 2" xfId="0"/>
    <cellStyle name="표준 2 2 2 2 2 2 2 2 2 2 12 3" xfId="0"/>
    <cellStyle name="표준 2 2 2 2 2 2 2 2 2 2 12 4" xfId="0"/>
    <cellStyle name="표준 2 2 2 2 2 2 2 2 2 2 12 5" xfId="0"/>
    <cellStyle name="표준 2 2 2 2 2 2 2 2 2 2 12 6" xfId="0"/>
    <cellStyle name="표준 2 2 2 2 2 2 2 2 2 2 13" xfId="0"/>
    <cellStyle name="표준 2 2 2 2 2 2 2 2 2 2 13 2" xfId="0"/>
    <cellStyle name="표준 2 2 2 2 2 2 2 2 2 2 13 3" xfId="0"/>
    <cellStyle name="표준 2 2 2 2 2 2 2 2 2 2 13 4" xfId="0"/>
    <cellStyle name="표준 2 2 2 2 2 2 2 2 2 2 13 5" xfId="0"/>
    <cellStyle name="표준 2 2 2 2 2 2 2 2 2 2 13 6" xfId="0"/>
    <cellStyle name="표준 2 2 2 2 2 2 2 2 2 2 14" xfId="0"/>
    <cellStyle name="표준 2 2 2 2 2 2 2 2 2 2 14 2" xfId="0"/>
    <cellStyle name="표준 2 2 2 2 2 2 2 2 2 2 14 3" xfId="0"/>
    <cellStyle name="표준 2 2 2 2 2 2 2 2 2 2 15" xfId="0"/>
    <cellStyle name="표준 2 2 2 2 2 2 2 2 2 2 15 2" xfId="0"/>
    <cellStyle name="표준 2 2 2 2 2 2 2 2 2 2 16" xfId="0"/>
    <cellStyle name="표준 2 2 2 2 2 2 2 2 2 2 16 2" xfId="0"/>
    <cellStyle name="표준 2 2 2 2 2 2 2 2 2 2 17" xfId="0"/>
    <cellStyle name="표준 2 2 2 2 2 2 2 2 2 2 17 2" xfId="0"/>
    <cellStyle name="표준 2 2 2 2 2 2 2 2 2 2 18" xfId="0"/>
    <cellStyle name="표준 2 2 2 2 2 2 2 2 2 2 18 2" xfId="0"/>
    <cellStyle name="표준 2 2 2 2 2 2 2 2 2 2 19" xfId="0"/>
    <cellStyle name="표준 2 2 2 2 2 2 2 2 2 2 19 2" xfId="0"/>
    <cellStyle name="표준 2 2 2 2 2 2 2 2 2 2 2" xfId="0"/>
    <cellStyle name="표준 2 2 2 2 2 2 2 2 2 2 2 10" xfId="0"/>
    <cellStyle name="표준 2 2 2 2 2 2 2 2 2 2 2 10 2" xfId="0"/>
    <cellStyle name="표준 2 2 2 2 2 2 2 2 2 2 2 10 3" xfId="0"/>
    <cellStyle name="표준 2 2 2 2 2 2 2 2 2 2 2 11" xfId="0"/>
    <cellStyle name="표준 2 2 2 2 2 2 2 2 2 2 2 11 2" xfId="0"/>
    <cellStyle name="표준 2 2 2 2 2 2 2 2 2 2 2 12" xfId="0"/>
    <cellStyle name="표준 2 2 2 2 2 2 2 2 2 2 2 12 2" xfId="0"/>
    <cellStyle name="표준 2 2 2 2 2 2 2 2 2 2 2 13" xfId="0"/>
    <cellStyle name="표준 2 2 2 2 2 2 2 2 2 2 2 13 2" xfId="0"/>
    <cellStyle name="표준 2 2 2 2 2 2 2 2 2 2 2 14" xfId="0"/>
    <cellStyle name="표준 2 2 2 2 2 2 2 2 2 2 2 14 2" xfId="0"/>
    <cellStyle name="표준 2 2 2 2 2 2 2 2 2 2 2 15" xfId="0"/>
    <cellStyle name="표준 2 2 2 2 2 2 2 2 2 2 2 15 2" xfId="0"/>
    <cellStyle name="표준 2 2 2 2 2 2 2 2 2 2 2 16" xfId="0"/>
    <cellStyle name="표준 2 2 2 2 2 2 2 2 2 2 2 16 2" xfId="0"/>
    <cellStyle name="표준 2 2 2 2 2 2 2 2 2 2 2 17" xfId="0"/>
    <cellStyle name="표준 2 2 2 2 2 2 2 2 2 2 2 2" xfId="0"/>
    <cellStyle name="표준 2 2 2 2 2 2 2 2 2 2 2 2 10" xfId="0"/>
    <cellStyle name="표준 2 2 2 2 2 2 2 2 2 2 2 2 10 2" xfId="0"/>
    <cellStyle name="표준 2 2 2 2 2 2 2 2 2 2 2 2 10 3" xfId="0"/>
    <cellStyle name="표준 2 2 2 2 2 2 2 2 2 2 2 2 11" xfId="0"/>
    <cellStyle name="표준 2 2 2 2 2 2 2 2 2 2 2 2 11 2" xfId="0"/>
    <cellStyle name="표준 2 2 2 2 2 2 2 2 2 2 2 2 12" xfId="0"/>
    <cellStyle name="표준 2 2 2 2 2 2 2 2 2 2 2 2 12 2" xfId="0"/>
    <cellStyle name="표준 2 2 2 2 2 2 2 2 2 2 2 2 13" xfId="0"/>
    <cellStyle name="표준 2 2 2 2 2 2 2 2 2 2 2 2 13 2" xfId="0"/>
    <cellStyle name="표준 2 2 2 2 2 2 2 2 2 2 2 2 14" xfId="0"/>
    <cellStyle name="표준 2 2 2 2 2 2 2 2 2 2 2 2 14 2" xfId="0"/>
    <cellStyle name="표준 2 2 2 2 2 2 2 2 2 2 2 2 15" xfId="0"/>
    <cellStyle name="표준 2 2 2 2 2 2 2 2 2 2 2 2 15 2" xfId="0"/>
    <cellStyle name="표준 2 2 2 2 2 2 2 2 2 2 2 2 16" xfId="0"/>
    <cellStyle name="표준 2 2 2 2 2 2 2 2 2 2 2 2 16 2" xfId="0"/>
    <cellStyle name="표준 2 2 2 2 2 2 2 2 2 2 2 2 17" xfId="0"/>
    <cellStyle name="표준 2 2 2 2 2 2 2 2 2 2 2 2 2" xfId="0"/>
    <cellStyle name="표준 2 2 2 2 2 2 2 2 2 2 2 2 2 10" xfId="0"/>
    <cellStyle name="표준 2 2 2 2 2 2 2 2 2 2 2 2 2 10 2" xfId="0"/>
    <cellStyle name="표준 2 2 2 2 2 2 2 2 2 2 2 2 2 11" xfId="0"/>
    <cellStyle name="표준 2 2 2 2 2 2 2 2 2 2 2 2 2 11 2" xfId="0"/>
    <cellStyle name="표준 2 2 2 2 2 2 2 2 2 2 2 2 2 12" xfId="0"/>
    <cellStyle name="표준 2 2 2 2 2 2 2 2 2 2 2 2 2 12 2" xfId="0"/>
    <cellStyle name="표준 2 2 2 2 2 2 2 2 2 2 2 2 2 13" xfId="0"/>
    <cellStyle name="표준 2 2 2 2 2 2 2 2 2 2 2 2 2 13 2" xfId="0"/>
    <cellStyle name="표준 2 2 2 2 2 2 2 2 2 2 2 2 2 14" xfId="0"/>
    <cellStyle name="표준 2 2 2 2 2 2 2 2 2 2 2 2 2 14 2" xfId="0"/>
    <cellStyle name="표준 2 2 2 2 2 2 2 2 2 2 2 2 2 15" xfId="0"/>
    <cellStyle name="표준 2 2 2 2 2 2 2 2 2 2 2 2 2 15 2" xfId="0"/>
    <cellStyle name="표준 2 2 2 2 2 2 2 2 2 2 2 2 2 16" xfId="0"/>
    <cellStyle name="표준 2 2 2 2 2 2 2 2 2 2 2 2 2 2" xfId="0"/>
    <cellStyle name="표준 2 2 2 2 2 2 2 2 2 2 2 2 2 2 10" xfId="0"/>
    <cellStyle name="표준 2 2 2 2 2 2 2 2 2 2 2 2 2 2 2" xfId="0"/>
    <cellStyle name="표준 2 2 2 2 2 2 2 2 2 2 2 2 2 2 2 2" xfId="0"/>
    <cellStyle name="표준 2 2 2 2 2 2 2 2 2 2 2 2 2 2 2 2 2" xfId="0"/>
    <cellStyle name="표준 2 2 2 2 2 2 2 2 2 2 2 2 2 2 2 2 2 2" xfId="0"/>
    <cellStyle name="표준 2 2 2 2 2 2 2 2 2 2 2 2 2 2 2 2 2 2 2" xfId="0"/>
    <cellStyle name="표준 2 2 2 2 2 2 2 2 2 2 2 2 2 2 2 2 2 2 3" xfId="0"/>
    <cellStyle name="표준 2 2 2 2 2 2 2 2 2 2 2 2 2 2 2 2 2 3" xfId="0"/>
    <cellStyle name="표준 2 2 2 2 2 2 2 2 2 2 2 2 2 2 2 2 2 4" xfId="0"/>
    <cellStyle name="표준 2 2 2 2 2 2 2 2 2 2 2 2 2 2 2 2 2 5" xfId="0"/>
    <cellStyle name="표준 2 2 2 2 2 2 2 2 2 2 2 2 2 2 2 2 3" xfId="0"/>
    <cellStyle name="표준 2 2 2 2 2 2 2 2 2 2 2 2 2 2 2 2 4" xfId="0"/>
    <cellStyle name="표준 2 2 2 2 2 2 2 2 2 2 2 2 2 2 2 2 5" xfId="0"/>
    <cellStyle name="표준 2 2 2 2 2 2 2 2 2 2 2 2 2 2 2 2 6" xfId="0"/>
    <cellStyle name="표준 2 2 2 2 2 2 2 2 2 2 2 2 2 2 2 2 6 2" xfId="0"/>
    <cellStyle name="표준 2 2 2 2 2 2 2 2 2 2 2 2 2 2 2 2 7" xfId="0"/>
    <cellStyle name="표준 2 2 2 2 2 2 2 2 2 2 2 2 2 2 2 2 8" xfId="0"/>
    <cellStyle name="표준 2 2 2 2 2 2 2 2 2 2 2 2 2 2 2 3" xfId="0"/>
    <cellStyle name="표준 2 2 2 2 2 2 2 2 2 2 2 2 2 2 2 3 2" xfId="0"/>
    <cellStyle name="표준 2 2 2 2 2 2 2 2 2 2 2 2 2 2 2 3 3" xfId="0"/>
    <cellStyle name="표준 2 2 2 2 2 2 2 2 2 2 2 2 2 2 2 3 4" xfId="0"/>
    <cellStyle name="표준 2 2 2 2 2 2 2 2 2 2 2 2 2 2 2 3 5" xfId="0"/>
    <cellStyle name="표준 2 2 2 2 2 2 2 2 2 2 2 2 2 2 2 4" xfId="0"/>
    <cellStyle name="표준 2 2 2 2 2 2 2 2 2 2 2 2 2 2 2 4 2" xfId="0"/>
    <cellStyle name="표준 2 2 2 2 2 2 2 2 2 2 2 2 2 2 2 4 3" xfId="0"/>
    <cellStyle name="표준 2 2 2 2 2 2 2 2 2 2 2 2 2 2 2 4 4" xfId="0"/>
    <cellStyle name="표준 2 2 2 2 2 2 2 2 2 2 2 2 2 2 2 4 5" xfId="0"/>
    <cellStyle name="표준 2 2 2 2 2 2 2 2 2 2 2 2 2 2 2 5" xfId="0"/>
    <cellStyle name="표준 2 2 2 2 2 2 2 2 2 2 2 2 2 2 2 5 2" xfId="0"/>
    <cellStyle name="표준 2 2 2 2 2 2 2 2 2 2 2 2 2 2 2 5 3" xfId="0"/>
    <cellStyle name="표준 2 2 2 2 2 2 2 2 2 2 2 2 2 2 2 5 4" xfId="0"/>
    <cellStyle name="표준 2 2 2 2 2 2 2 2 2 2 2 2 2 2 2 5 5" xfId="0"/>
    <cellStyle name="표준 2 2 2 2 2 2 2 2 2 2 2 2 2 2 2 6" xfId="0"/>
    <cellStyle name="표준 2 2 2 2 2 2 2 2 2 2 2 2 2 2 2 6 2" xfId="0"/>
    <cellStyle name="표준 2 2 2 2 2 2 2 2 2 2 2 2 2 2 2 7" xfId="0"/>
    <cellStyle name="표준 2 2 2 2 2 2 2 2 2 2 2 2 2 2 2 8" xfId="0"/>
    <cellStyle name="표준 2 2 2 2 2 2 2 2 2 2 2 2 2 2 2 9" xfId="0"/>
    <cellStyle name="표준 2 2 2 2 2 2 2 2 2 2 2 2 2 2 3" xfId="0"/>
    <cellStyle name="표준 2 2 2 2 2 2 2 2 2 2 2 2 2 2 4" xfId="0"/>
    <cellStyle name="표준 2 2 2 2 2 2 2 2 2 2 2 2 2 2 4 2" xfId="0"/>
    <cellStyle name="표준 2 2 2 2 2 2 2 2 2 2 2 2 2 2 4 3" xfId="0"/>
    <cellStyle name="표준 2 2 2 2 2 2 2 2 2 2 2 2 2 2 4 4" xfId="0"/>
    <cellStyle name="표준 2 2 2 2 2 2 2 2 2 2 2 2 2 2 4 5" xfId="0"/>
    <cellStyle name="표준 2 2 2 2 2 2 2 2 2 2 2 2 2 2 5" xfId="0"/>
    <cellStyle name="표준 2 2 2 2 2 2 2 2 2 2 2 2 2 2 5 2" xfId="0"/>
    <cellStyle name="표준 2 2 2 2 2 2 2 2 2 2 2 2 2 2 5 3" xfId="0"/>
    <cellStyle name="표준 2 2 2 2 2 2 2 2 2 2 2 2 2 2 5 4" xfId="0"/>
    <cellStyle name="표준 2 2 2 2 2 2 2 2 2 2 2 2 2 2 5 5" xfId="0"/>
    <cellStyle name="표준 2 2 2 2 2 2 2 2 2 2 2 2 2 2 6" xfId="0"/>
    <cellStyle name="표준 2 2 2 2 2 2 2 2 2 2 2 2 2 2 6 2" xfId="0"/>
    <cellStyle name="표준 2 2 2 2 2 2 2 2 2 2 2 2 2 2 6 3" xfId="0"/>
    <cellStyle name="표준 2 2 2 2 2 2 2 2 2 2 2 2 2 2 6 4" xfId="0"/>
    <cellStyle name="표준 2 2 2 2 2 2 2 2 2 2 2 2 2 2 6 5" xfId="0"/>
    <cellStyle name="표준 2 2 2 2 2 2 2 2 2 2 2 2 2 2 7" xfId="0"/>
    <cellStyle name="표준 2 2 2 2 2 2 2 2 2 2 2 2 2 2 7 2" xfId="0"/>
    <cellStyle name="표준 2 2 2 2 2 2 2 2 2 2 2 2 2 2 7 3" xfId="0"/>
    <cellStyle name="표준 2 2 2 2 2 2 2 2 2 2 2 2 2 2 7 4" xfId="0"/>
    <cellStyle name="표준 2 2 2 2 2 2 2 2 2 2 2 2 2 2 7 5" xfId="0"/>
    <cellStyle name="표준 2 2 2 2 2 2 2 2 2 2 2 2 2 2 8" xfId="0"/>
    <cellStyle name="표준 2 2 2 2 2 2 2 2 2 2 2 2 2 2 8 2" xfId="0"/>
    <cellStyle name="표준 2 2 2 2 2 2 2 2 2 2 2 2 2 2 9" xfId="0"/>
    <cellStyle name="표준 2 2 2 2 2 2 2 2 2 2 2 2 2 3" xfId="0"/>
    <cellStyle name="표준 2 2 2 2 2 2 2 2 2 2 2 2 2 3 10" xfId="0"/>
    <cellStyle name="표준 2 2 2 2 2 2 2 2 2 2 2 2 2 3 2" xfId="0"/>
    <cellStyle name="표준 2 2 2 2 2 2 2 2 2 2 2 2 2 3 3" xfId="0"/>
    <cellStyle name="표준 2 2 2 2 2 2 2 2 2 2 2 2 2 3 4" xfId="0"/>
    <cellStyle name="표준 2 2 2 2 2 2 2 2 2 2 2 2 2 3 5" xfId="0"/>
    <cellStyle name="표준 2 2 2 2 2 2 2 2 2 2 2 2 2 3 6" xfId="0"/>
    <cellStyle name="표준 2 2 2 2 2 2 2 2 2 2 2 2 2 3 7" xfId="0"/>
    <cellStyle name="표준 2 2 2 2 2 2 2 2 2 2 2 2 2 3 8" xfId="0"/>
    <cellStyle name="표준 2 2 2 2 2 2 2 2 2 2 2 2 2 3 9" xfId="0"/>
    <cellStyle name="표준 2 2 2 2 2 2 2 2 2 2 2 2 2 4" xfId="0"/>
    <cellStyle name="표준 2 2 2 2 2 2 2 2 2 2 2 2 2 4 2" xfId="0"/>
    <cellStyle name="표준 2 2 2 2 2 2 2 2 2 2 2 2 2 4 3" xfId="0"/>
    <cellStyle name="표준 2 2 2 2 2 2 2 2 2 2 2 2 2 4 4" xfId="0"/>
    <cellStyle name="표준 2 2 2 2 2 2 2 2 2 2 2 2 2 4 5" xfId="0"/>
    <cellStyle name="표준 2 2 2 2 2 2 2 2 2 2 2 2 2 4 6" xfId="0"/>
    <cellStyle name="표준 2 2 2 2 2 2 2 2 2 2 2 2 2 5" xfId="0"/>
    <cellStyle name="표준 2 2 2 2 2 2 2 2 2 2 2 2 2 5 2" xfId="0"/>
    <cellStyle name="표준 2 2 2 2 2 2 2 2 2 2 2 2 2 5 3" xfId="0"/>
    <cellStyle name="표준 2 2 2 2 2 2 2 2 2 2 2 2 2 5 4" xfId="0"/>
    <cellStyle name="표준 2 2 2 2 2 2 2 2 2 2 2 2 2 5 5" xfId="0"/>
    <cellStyle name="표준 2 2 2 2 2 2 2 2 2 2 2 2 2 5 6" xfId="0"/>
    <cellStyle name="표준 2 2 2 2 2 2 2 2 2 2 2 2 2 6" xfId="0"/>
    <cellStyle name="표준 2 2 2 2 2 2 2 2 2 2 2 2 2 6 2" xfId="0"/>
    <cellStyle name="표준 2 2 2 2 2 2 2 2 2 2 2 2 2 6 3" xfId="0"/>
    <cellStyle name="표준 2 2 2 2 2 2 2 2 2 2 2 2 2 6 4" xfId="0"/>
    <cellStyle name="표준 2 2 2 2 2 2 2 2 2 2 2 2 2 6 5" xfId="0"/>
    <cellStyle name="표준 2 2 2 2 2 2 2 2 2 2 2 2 2 6 6" xfId="0"/>
    <cellStyle name="표준 2 2 2 2 2 2 2 2 2 2 2 2 2 7" xfId="0"/>
    <cellStyle name="표준 2 2 2 2 2 2 2 2 2 2 2 2 2 7 2" xfId="0"/>
    <cellStyle name="표준 2 2 2 2 2 2 2 2 2 2 2 2 2 7 3" xfId="0"/>
    <cellStyle name="표준 2 2 2 2 2 2 2 2 2 2 2 2 2 7 4" xfId="0"/>
    <cellStyle name="표준 2 2 2 2 2 2 2 2 2 2 2 2 2 7 5" xfId="0"/>
    <cellStyle name="표준 2 2 2 2 2 2 2 2 2 2 2 2 2 7 6" xfId="0"/>
    <cellStyle name="표준 2 2 2 2 2 2 2 2 2 2 2 2 2 8" xfId="0"/>
    <cellStyle name="표준 2 2 2 2 2 2 2 2 2 2 2 2 2 8 2" xfId="0"/>
    <cellStyle name="표준 2 2 2 2 2 2 2 2 2 2 2 2 2 8 3" xfId="0"/>
    <cellStyle name="표준 2 2 2 2 2 2 2 2 2 2 2 2 2 9" xfId="0"/>
    <cellStyle name="표준 2 2 2 2 2 2 2 2 2 2 2 2 2 9 2" xfId="0"/>
    <cellStyle name="표준 2 2 2 2 2 2 2 2 2 2 2 2 3" xfId="0"/>
    <cellStyle name="표준 2 2 2 2 2 2 2 2 2 2 2 2 3 10" xfId="0"/>
    <cellStyle name="표준 2 2 2 2 2 2 2 2 2 2 2 2 3 10 2" xfId="0"/>
    <cellStyle name="표준 2 2 2 2 2 2 2 2 2 2 2 2 3 2" xfId="0"/>
    <cellStyle name="표준 2 2 2 2 2 2 2 2 2 2 2 2 3 2 2" xfId="0"/>
    <cellStyle name="표준 2 2 2 2 2 2 2 2 2 2 2 2 3 3" xfId="0"/>
    <cellStyle name="표준 2 2 2 2 2 2 2 2 2 2 2 2 3 3 2" xfId="0"/>
    <cellStyle name="표준 2 2 2 2 2 2 2 2 2 2 2 2 3 4" xfId="0"/>
    <cellStyle name="표준 2 2 2 2 2 2 2 2 2 2 2 2 3 4 2" xfId="0"/>
    <cellStyle name="표준 2 2 2 2 2 2 2 2 2 2 2 2 3 5" xfId="0"/>
    <cellStyle name="표준 2 2 2 2 2 2 2 2 2 2 2 2 3 5 2" xfId="0"/>
    <cellStyle name="표준 2 2 2 2 2 2 2 2 2 2 2 2 3 6" xfId="0"/>
    <cellStyle name="표준 2 2 2 2 2 2 2 2 2 2 2 2 3 6 2" xfId="0"/>
    <cellStyle name="표준 2 2 2 2 2 2 2 2 2 2 2 2 3 7" xfId="0"/>
    <cellStyle name="표준 2 2 2 2 2 2 2 2 2 2 2 2 3 7 2" xfId="0"/>
    <cellStyle name="표준 2 2 2 2 2 2 2 2 2 2 2 2 3 8" xfId="0"/>
    <cellStyle name="표준 2 2 2 2 2 2 2 2 2 2 2 2 3 8 2" xfId="0"/>
    <cellStyle name="표준 2 2 2 2 2 2 2 2 2 2 2 2 3 9" xfId="0"/>
    <cellStyle name="표준 2 2 2 2 2 2 2 2 2 2 2 2 3 9 2" xfId="0"/>
    <cellStyle name="표준 2 2 2 2 2 2 2 2 2 2 2 2 4" xfId="0"/>
    <cellStyle name="표준 2 2 2 2 2 2 2 2 2 2 2 2 4 10" xfId="0"/>
    <cellStyle name="표준 2 2 2 2 2 2 2 2 2 2 2 2 4 2" xfId="0"/>
    <cellStyle name="표준 2 2 2 2 2 2 2 2 2 2 2 2 4 2 2" xfId="0"/>
    <cellStyle name="표준 2 2 2 2 2 2 2 2 2 2 2 2 4 3" xfId="0"/>
    <cellStyle name="표준 2 2 2 2 2 2 2 2 2 2 2 2 4 3 2" xfId="0"/>
    <cellStyle name="표준 2 2 2 2 2 2 2 2 2 2 2 2 4 4" xfId="0"/>
    <cellStyle name="표준 2 2 2 2 2 2 2 2 2 2 2 2 4 4 2" xfId="0"/>
    <cellStyle name="표준 2 2 2 2 2 2 2 2 2 2 2 2 4 5" xfId="0"/>
    <cellStyle name="표준 2 2 2 2 2 2 2 2 2 2 2 2 4 5 2" xfId="0"/>
    <cellStyle name="표준 2 2 2 2 2 2 2 2 2 2 2 2 4 6" xfId="0"/>
    <cellStyle name="표준 2 2 2 2 2 2 2 2 2 2 2 2 4 6 2" xfId="0"/>
    <cellStyle name="표준 2 2 2 2 2 2 2 2 2 2 2 2 4 7" xfId="0"/>
    <cellStyle name="표준 2 2 2 2 2 2 2 2 2 2 2 2 4 7 2" xfId="0"/>
    <cellStyle name="표준 2 2 2 2 2 2 2 2 2 2 2 2 4 8" xfId="0"/>
    <cellStyle name="표준 2 2 2 2 2 2 2 2 2 2 2 2 4 8 2" xfId="0"/>
    <cellStyle name="표준 2 2 2 2 2 2 2 2 2 2 2 2 4 9" xfId="0"/>
    <cellStyle name="표준 2 2 2 2 2 2 2 2 2 2 2 2 4 9 2" xfId="0"/>
    <cellStyle name="표준 2 2 2 2 2 2 2 2 2 2 2 2 5" xfId="0"/>
    <cellStyle name="표준 2 2 2 2 2 2 2 2 2 2 2 2 5 2" xfId="0"/>
    <cellStyle name="표준 2 2 2 2 2 2 2 2 2 2 2 2 5 3" xfId="0"/>
    <cellStyle name="표준 2 2 2 2 2 2 2 2 2 2 2 2 5 4" xfId="0"/>
    <cellStyle name="표준 2 2 2 2 2 2 2 2 2 2 2 2 5 5" xfId="0"/>
    <cellStyle name="표준 2 2 2 2 2 2 2 2 2 2 2 2 5 6" xfId="0"/>
    <cellStyle name="표준 2 2 2 2 2 2 2 2 2 2 2 2 5 7" xfId="0"/>
    <cellStyle name="표준 2 2 2 2 2 2 2 2 2 2 2 2 5 8" xfId="0"/>
    <cellStyle name="표준 2 2 2 2 2 2 2 2 2 2 2 2 5 9" xfId="0"/>
    <cellStyle name="표준 2 2 2 2 2 2 2 2 2 2 2 2 6" xfId="0"/>
    <cellStyle name="표준 2 2 2 2 2 2 2 2 2 2 2 2 6 2" xfId="0"/>
    <cellStyle name="표준 2 2 2 2 2 2 2 2 2 2 2 2 6 3" xfId="0"/>
    <cellStyle name="표준 2 2 2 2 2 2 2 2 2 2 2 2 6 4" xfId="0"/>
    <cellStyle name="표준 2 2 2 2 2 2 2 2 2 2 2 2 6 5" xfId="0"/>
    <cellStyle name="표준 2 2 2 2 2 2 2 2 2 2 2 2 7" xfId="0"/>
    <cellStyle name="표준 2 2 2 2 2 2 2 2 2 2 2 2 7 2" xfId="0"/>
    <cellStyle name="표준 2 2 2 2 2 2 2 2 2 2 2 2 7 3" xfId="0"/>
    <cellStyle name="표준 2 2 2 2 2 2 2 2 2 2 2 2 7 4" xfId="0"/>
    <cellStyle name="표준 2 2 2 2 2 2 2 2 2 2 2 2 7 5" xfId="0"/>
    <cellStyle name="표준 2 2 2 2 2 2 2 2 2 2 2 2 8" xfId="0"/>
    <cellStyle name="표준 2 2 2 2 2 2 2 2 2 2 2 2 8 2" xfId="0"/>
    <cellStyle name="표준 2 2 2 2 2 2 2 2 2 2 2 2 8 3" xfId="0"/>
    <cellStyle name="표준 2 2 2 2 2 2 2 2 2 2 2 2 8 4" xfId="0"/>
    <cellStyle name="표준 2 2 2 2 2 2 2 2 2 2 2 2 8 5" xfId="0"/>
    <cellStyle name="표준 2 2 2 2 2 2 2 2 2 2 2 2 8 6" xfId="0"/>
    <cellStyle name="표준 2 2 2 2 2 2 2 2 2 2 2 2 9" xfId="0"/>
    <cellStyle name="표준 2 2 2 2 2 2 2 2 2 2 2 2 9 2" xfId="0"/>
    <cellStyle name="표준 2 2 2 2 2 2 2 2 2 2 2 2 9 3" xfId="0"/>
    <cellStyle name="표준 2 2 2 2 2 2 2 2 2 2 2 2 9 4" xfId="0"/>
    <cellStyle name="표준 2 2 2 2 2 2 2 2 2 2 2 2 9 5" xfId="0"/>
    <cellStyle name="표준 2 2 2 2 2 2 2 2 2 2 2 2 9 6" xfId="0"/>
    <cellStyle name="표준 2 2 2 2 2 2 2 2 2 2 2 3" xfId="0"/>
    <cellStyle name="표준 2 2 2 2 2 2 2 2 2 2 2 3 10" xfId="0"/>
    <cellStyle name="표준 2 2 2 2 2 2 2 2 2 2 2 3 2" xfId="0"/>
    <cellStyle name="표준 2 2 2 2 2 2 2 2 2 2 2 3 3" xfId="0"/>
    <cellStyle name="표준 2 2 2 2 2 2 2 2 2 2 2 3 4" xfId="0"/>
    <cellStyle name="표준 2 2 2 2 2 2 2 2 2 2 2 3 5" xfId="0"/>
    <cellStyle name="표준 2 2 2 2 2 2 2 2 2 2 2 3 6" xfId="0"/>
    <cellStyle name="표준 2 2 2 2 2 2 2 2 2 2 2 3 7" xfId="0"/>
    <cellStyle name="표준 2 2 2 2 2 2 2 2 2 2 2 3 8" xfId="0"/>
    <cellStyle name="표준 2 2 2 2 2 2 2 2 2 2 2 3 9" xfId="0"/>
    <cellStyle name="표준 2 2 2 2 2 2 2 2 2 2 2 4" xfId="0"/>
    <cellStyle name="표준 2 2 2 2 2 2 2 2 2 2 2 4 10" xfId="0"/>
    <cellStyle name="표준 2 2 2 2 2 2 2 2 2 2 2 4 11" xfId="0"/>
    <cellStyle name="표준 2 2 2 2 2 2 2 2 2 2 2 4 2" xfId="0"/>
    <cellStyle name="표준 2 2 2 2 2 2 2 2 2 2 2 4 2 2" xfId="0"/>
    <cellStyle name="표준 2 2 2 2 2 2 2 2 2 2 2 4 3" xfId="0"/>
    <cellStyle name="표준 2 2 2 2 2 2 2 2 2 2 2 4 3 2" xfId="0"/>
    <cellStyle name="표준 2 2 2 2 2 2 2 2 2 2 2 4 4" xfId="0"/>
    <cellStyle name="표준 2 2 2 2 2 2 2 2 2 2 2 4 4 2" xfId="0"/>
    <cellStyle name="표준 2 2 2 2 2 2 2 2 2 2 2 4 5" xfId="0"/>
    <cellStyle name="표준 2 2 2 2 2 2 2 2 2 2 2 4 5 2" xfId="0"/>
    <cellStyle name="표준 2 2 2 2 2 2 2 2 2 2 2 4 6" xfId="0"/>
    <cellStyle name="표준 2 2 2 2 2 2 2 2 2 2 2 4 6 2" xfId="0"/>
    <cellStyle name="표준 2 2 2 2 2 2 2 2 2 2 2 4 7" xfId="0"/>
    <cellStyle name="표준 2 2 2 2 2 2 2 2 2 2 2 4 7 2" xfId="0"/>
    <cellStyle name="표준 2 2 2 2 2 2 2 2 2 2 2 4 8" xfId="0"/>
    <cellStyle name="표준 2 2 2 2 2 2 2 2 2 2 2 4 8 2" xfId="0"/>
    <cellStyle name="표준 2 2 2 2 2 2 2 2 2 2 2 4 9" xfId="0"/>
    <cellStyle name="표준 2 2 2 2 2 2 2 2 2 2 2 4 9 2" xfId="0"/>
    <cellStyle name="표준 2 2 2 2 2 2 2 2 2 2 2 5" xfId="0"/>
    <cellStyle name="표준 2 2 2 2 2 2 2 2 2 2 2 5 10" xfId="0"/>
    <cellStyle name="표준 2 2 2 2 2 2 2 2 2 2 2 5 2" xfId="0"/>
    <cellStyle name="표준 2 2 2 2 2 2 2 2 2 2 2 5 3" xfId="0"/>
    <cellStyle name="표준 2 2 2 2 2 2 2 2 2 2 2 5 4" xfId="0"/>
    <cellStyle name="표준 2 2 2 2 2 2 2 2 2 2 2 5 5" xfId="0"/>
    <cellStyle name="표준 2 2 2 2 2 2 2 2 2 2 2 5 6" xfId="0"/>
    <cellStyle name="표준 2 2 2 2 2 2 2 2 2 2 2 5 7" xfId="0"/>
    <cellStyle name="표준 2 2 2 2 2 2 2 2 2 2 2 5 8" xfId="0"/>
    <cellStyle name="표준 2 2 2 2 2 2 2 2 2 2 2 5 9" xfId="0"/>
    <cellStyle name="표준 2 2 2 2 2 2 2 2 2 2 2 6" xfId="0"/>
    <cellStyle name="표준 2 2 2 2 2 2 2 2 2 2 2 6 2" xfId="0"/>
    <cellStyle name="표준 2 2 2 2 2 2 2 2 2 2 2 6 3" xfId="0"/>
    <cellStyle name="표준 2 2 2 2 2 2 2 2 2 2 2 6 4" xfId="0"/>
    <cellStyle name="표준 2 2 2 2 2 2 2 2 2 2 2 6 5" xfId="0"/>
    <cellStyle name="표준 2 2 2 2 2 2 2 2 2 2 2 6 6" xfId="0"/>
    <cellStyle name="표준 2 2 2 2 2 2 2 2 2 2 2 7" xfId="0"/>
    <cellStyle name="표준 2 2 2 2 2 2 2 2 2 2 2 7 2" xfId="0"/>
    <cellStyle name="표준 2 2 2 2 2 2 2 2 2 2 2 7 3" xfId="0"/>
    <cellStyle name="표준 2 2 2 2 2 2 2 2 2 2 2 7 4" xfId="0"/>
    <cellStyle name="표준 2 2 2 2 2 2 2 2 2 2 2 7 5" xfId="0"/>
    <cellStyle name="표준 2 2 2 2 2 2 2 2 2 2 2 7 6" xfId="0"/>
    <cellStyle name="표준 2 2 2 2 2 2 2 2 2 2 2 8" xfId="0"/>
    <cellStyle name="표준 2 2 2 2 2 2 2 2 2 2 2 8 2" xfId="0"/>
    <cellStyle name="표준 2 2 2 2 2 2 2 2 2 2 2 8 3" xfId="0"/>
    <cellStyle name="표준 2 2 2 2 2 2 2 2 2 2 2 8 4" xfId="0"/>
    <cellStyle name="표준 2 2 2 2 2 2 2 2 2 2 2 8 5" xfId="0"/>
    <cellStyle name="표준 2 2 2 2 2 2 2 2 2 2 2 8 6" xfId="0"/>
    <cellStyle name="표준 2 2 2 2 2 2 2 2 2 2 2 9" xfId="0"/>
    <cellStyle name="표준 2 2 2 2 2 2 2 2 2 2 2 9 2" xfId="0"/>
    <cellStyle name="표준 2 2 2 2 2 2 2 2 2 2 2 9 3" xfId="0"/>
    <cellStyle name="표준 2 2 2 2 2 2 2 2 2 2 2 9 4" xfId="0"/>
    <cellStyle name="표준 2 2 2 2 2 2 2 2 2 2 2 9 5" xfId="0"/>
    <cellStyle name="표준 2 2 2 2 2 2 2 2 2 2 2 9 6" xfId="0"/>
    <cellStyle name="표준 2 2 2 2 2 2 2 2 2 2 20" xfId="0"/>
    <cellStyle name="표준 2 2 2 2 2 2 2 2 2 2 20 2" xfId="0"/>
    <cellStyle name="표준 2 2 2 2 2 2 2 2 2 2 21" xfId="0"/>
    <cellStyle name="표준 2 2 2 2 2 2 2 2 2 2 3" xfId="0"/>
    <cellStyle name="표준 2 2 2 2 2 2 2 2 2 2 3 10" xfId="0"/>
    <cellStyle name="표준 2 2 2 2 2 2 2 2 2 2 3 10 2" xfId="0"/>
    <cellStyle name="표준 2 2 2 2 2 2 2 2 2 2 3 2" xfId="0"/>
    <cellStyle name="표준 2 2 2 2 2 2 2 2 2 2 3 2 2" xfId="0"/>
    <cellStyle name="표준 2 2 2 2 2 2 2 2 2 2 3 3" xfId="0"/>
    <cellStyle name="표준 2 2 2 2 2 2 2 2 2 2 3 3 2" xfId="0"/>
    <cellStyle name="표준 2 2 2 2 2 2 2 2 2 2 3 4" xfId="0"/>
    <cellStyle name="표준 2 2 2 2 2 2 2 2 2 2 3 4 2" xfId="0"/>
    <cellStyle name="표준 2 2 2 2 2 2 2 2 2 2 3 5" xfId="0"/>
    <cellStyle name="표준 2 2 2 2 2 2 2 2 2 2 3 5 2" xfId="0"/>
    <cellStyle name="표준 2 2 2 2 2 2 2 2 2 2 3 6" xfId="0"/>
    <cellStyle name="표준 2 2 2 2 2 2 2 2 2 2 3 6 2" xfId="0"/>
    <cellStyle name="표준 2 2 2 2 2 2 2 2 2 2 3 7" xfId="0"/>
    <cellStyle name="표준 2 2 2 2 2 2 2 2 2 2 3 7 2" xfId="0"/>
    <cellStyle name="표준 2 2 2 2 2 2 2 2 2 2 3 8" xfId="0"/>
    <cellStyle name="표준 2 2 2 2 2 2 2 2 2 2 3 8 2" xfId="0"/>
    <cellStyle name="표준 2 2 2 2 2 2 2 2 2 2 3 9" xfId="0"/>
    <cellStyle name="표준 2 2 2 2 2 2 2 2 2 2 3 9 2" xfId="0"/>
    <cellStyle name="표준 2 2 2 2 2 2 2 2 2 2 4" xfId="0"/>
    <cellStyle name="표준 2 2 2 2 2 2 2 2 2 2 4 10" xfId="0"/>
    <cellStyle name="표준 2 2 2 2 2 2 2 2 2 2 4 10 2" xfId="0"/>
    <cellStyle name="표준 2 2 2 2 2 2 2 2 2 2 4 2" xfId="0"/>
    <cellStyle name="표준 2 2 2 2 2 2 2 2 2 2 4 2 2" xfId="0"/>
    <cellStyle name="표준 2 2 2 2 2 2 2 2 2 2 4 3" xfId="0"/>
    <cellStyle name="표준 2 2 2 2 2 2 2 2 2 2 4 3 2" xfId="0"/>
    <cellStyle name="표준 2 2 2 2 2 2 2 2 2 2 4 4" xfId="0"/>
    <cellStyle name="표준 2 2 2 2 2 2 2 2 2 2 4 4 2" xfId="0"/>
    <cellStyle name="표준 2 2 2 2 2 2 2 2 2 2 4 5" xfId="0"/>
    <cellStyle name="표준 2 2 2 2 2 2 2 2 2 2 4 5 2" xfId="0"/>
    <cellStyle name="표준 2 2 2 2 2 2 2 2 2 2 4 6" xfId="0"/>
    <cellStyle name="표준 2 2 2 2 2 2 2 2 2 2 4 6 2" xfId="0"/>
    <cellStyle name="표준 2 2 2 2 2 2 2 2 2 2 4 7" xfId="0"/>
    <cellStyle name="표준 2 2 2 2 2 2 2 2 2 2 4 7 2" xfId="0"/>
    <cellStyle name="표준 2 2 2 2 2 2 2 2 2 2 4 8" xfId="0"/>
    <cellStyle name="표준 2 2 2 2 2 2 2 2 2 2 4 8 2" xfId="0"/>
    <cellStyle name="표준 2 2 2 2 2 2 2 2 2 2 4 9" xfId="0"/>
    <cellStyle name="표준 2 2 2 2 2 2 2 2 2 2 4 9 2" xfId="0"/>
    <cellStyle name="표준 2 2 2 2 2 2 2 2 2 2 5" xfId="0"/>
    <cellStyle name="표준 2 2 2 2 2 2 2 2 2 2 5 10" xfId="0"/>
    <cellStyle name="표준 2 2 2 2 2 2 2 2 2 2 5 10 2" xfId="0"/>
    <cellStyle name="표준 2 2 2 2 2 2 2 2 2 2 5 2" xfId="0"/>
    <cellStyle name="표준 2 2 2 2 2 2 2 2 2 2 5 2 2" xfId="0"/>
    <cellStyle name="표준 2 2 2 2 2 2 2 2 2 2 5 3" xfId="0"/>
    <cellStyle name="표준 2 2 2 2 2 2 2 2 2 2 5 3 2" xfId="0"/>
    <cellStyle name="표준 2 2 2 2 2 2 2 2 2 2 5 4" xfId="0"/>
    <cellStyle name="표준 2 2 2 2 2 2 2 2 2 2 5 4 2" xfId="0"/>
    <cellStyle name="표준 2 2 2 2 2 2 2 2 2 2 5 5" xfId="0"/>
    <cellStyle name="표준 2 2 2 2 2 2 2 2 2 2 5 5 2" xfId="0"/>
    <cellStyle name="표준 2 2 2 2 2 2 2 2 2 2 5 6" xfId="0"/>
    <cellStyle name="표준 2 2 2 2 2 2 2 2 2 2 5 6 2" xfId="0"/>
    <cellStyle name="표준 2 2 2 2 2 2 2 2 2 2 5 7" xfId="0"/>
    <cellStyle name="표준 2 2 2 2 2 2 2 2 2 2 5 7 2" xfId="0"/>
    <cellStyle name="표준 2 2 2 2 2 2 2 2 2 2 5 8" xfId="0"/>
    <cellStyle name="표준 2 2 2 2 2 2 2 2 2 2 5 8 2" xfId="0"/>
    <cellStyle name="표준 2 2 2 2 2 2 2 2 2 2 5 9" xfId="0"/>
    <cellStyle name="표준 2 2 2 2 2 2 2 2 2 2 5 9 2" xfId="0"/>
    <cellStyle name="표준 2 2 2 2 2 2 2 2 2 2 6" xfId="0"/>
    <cellStyle name="표준 2 2 2 2 2 2 2 2 2 2 6 10" xfId="0"/>
    <cellStyle name="표준 2 2 2 2 2 2 2 2 2 2 6 2" xfId="0"/>
    <cellStyle name="표준 2 2 2 2 2 2 2 2 2 2 6 3" xfId="0"/>
    <cellStyle name="표준 2 2 2 2 2 2 2 2 2 2 6 4" xfId="0"/>
    <cellStyle name="표준 2 2 2 2 2 2 2 2 2 2 6 5" xfId="0"/>
    <cellStyle name="표준 2 2 2 2 2 2 2 2 2 2 6 6" xfId="0"/>
    <cellStyle name="표준 2 2 2 2 2 2 2 2 2 2 6 7" xfId="0"/>
    <cellStyle name="표준 2 2 2 2 2 2 2 2 2 2 6 8" xfId="0"/>
    <cellStyle name="표준 2 2 2 2 2 2 2 2 2 2 6 9" xfId="0"/>
    <cellStyle name="표준 2 2 2 2 2 2 2 2 2 2 7" xfId="0"/>
    <cellStyle name="표준 2 2 2 2 2 2 2 2 2 2 7 10" xfId="0"/>
    <cellStyle name="표준 2 2 2 2 2 2 2 2 2 2 7 2" xfId="0"/>
    <cellStyle name="표준 2 2 2 2 2 2 2 2 2 2 7 3" xfId="0"/>
    <cellStyle name="표준 2 2 2 2 2 2 2 2 2 2 7 4" xfId="0"/>
    <cellStyle name="표준 2 2 2 2 2 2 2 2 2 2 7 5" xfId="0"/>
    <cellStyle name="표준 2 2 2 2 2 2 2 2 2 2 7 6" xfId="0"/>
    <cellStyle name="표준 2 2 2 2 2 2 2 2 2 2 7 7" xfId="0"/>
    <cellStyle name="표준 2 2 2 2 2 2 2 2 2 2 7 8" xfId="0"/>
    <cellStyle name="표준 2 2 2 2 2 2 2 2 2 2 7 9" xfId="0"/>
    <cellStyle name="표준 2 2 2 2 2 2 2 2 2 2 8" xfId="0"/>
    <cellStyle name="표준 2 2 2 2 2 2 2 2 2 2 8 2" xfId="0"/>
    <cellStyle name="표준 2 2 2 2 2 2 2 2 2 2 8 3" xfId="0"/>
    <cellStyle name="표준 2 2 2 2 2 2 2 2 2 2 8 4" xfId="0"/>
    <cellStyle name="표준 2 2 2 2 2 2 2 2 2 2 8 5" xfId="0"/>
    <cellStyle name="표준 2 2 2 2 2 2 2 2 2 2 8 6" xfId="0"/>
    <cellStyle name="표준 2 2 2 2 2 2 2 2 2 2 8 7" xfId="0"/>
    <cellStyle name="표준 2 2 2 2 2 2 2 2 2 2 8 8" xfId="0"/>
    <cellStyle name="표준 2 2 2 2 2 2 2 2 2 2 8 9" xfId="0"/>
    <cellStyle name="표준 2 2 2 2 2 2 2 2 2 2 9" xfId="0"/>
    <cellStyle name="표준 2 2 2 2 2 2 2 2 2 2 9 2" xfId="0"/>
    <cellStyle name="표준 2 2 2 2 2 2 2 2 2 2 9 3" xfId="0"/>
    <cellStyle name="표준 2 2 2 2 2 2 2 2 2 2 9 4" xfId="0"/>
    <cellStyle name="표준 2 2 2 2 2 2 2 2 2 2 9 5" xfId="0"/>
    <cellStyle name="표준 2 2 2 2 2 2 2 2 2 2 9 6" xfId="0"/>
    <cellStyle name="표준 2 2 2 2 2 2 2 2 2 2 9 7" xfId="0"/>
    <cellStyle name="표준 2 2 2 2 2 2 2 2 2 2 9 8" xfId="0"/>
    <cellStyle name="표준 2 2 2 2 2 2 2 2 2 2 9 9" xfId="0"/>
    <cellStyle name="표준 2 2 2 2 2 2 2 2 2 20" xfId="0"/>
    <cellStyle name="표준 2 2 2 2 2 2 2 2 2 20 2" xfId="0"/>
    <cellStyle name="표준 2 2 2 2 2 2 2 2 2 21" xfId="0"/>
    <cellStyle name="표준 2 2 2 2 2 2 2 2 2 3" xfId="0"/>
    <cellStyle name="표준 2 2 2 2 2 2 2 2 2 3 10" xfId="0"/>
    <cellStyle name="표준 2 2 2 2 2 2 2 2 2 3 2" xfId="0"/>
    <cellStyle name="표준 2 2 2 2 2 2 2 2 2 3 3" xfId="0"/>
    <cellStyle name="표준 2 2 2 2 2 2 2 2 2 3 4" xfId="0"/>
    <cellStyle name="표준 2 2 2 2 2 2 2 2 2 3 5" xfId="0"/>
    <cellStyle name="표준 2 2 2 2 2 2 2 2 2 3 6" xfId="0"/>
    <cellStyle name="표준 2 2 2 2 2 2 2 2 2 3 7" xfId="0"/>
    <cellStyle name="표준 2 2 2 2 2 2 2 2 2 3 8" xfId="0"/>
    <cellStyle name="표준 2 2 2 2 2 2 2 2 2 3 9" xfId="0"/>
    <cellStyle name="표준 2 2 2 2 2 2 2 2 2 4" xfId="0"/>
    <cellStyle name="표준 2 2 2 2 2 2 2 2 2 4 10" xfId="0"/>
    <cellStyle name="표준 2 2 2 2 2 2 2 2 2 4 2" xfId="0"/>
    <cellStyle name="표준 2 2 2 2 2 2 2 2 2 4 3" xfId="0"/>
    <cellStyle name="표준 2 2 2 2 2 2 2 2 2 4 4" xfId="0"/>
    <cellStyle name="표준 2 2 2 2 2 2 2 2 2 4 5" xfId="0"/>
    <cellStyle name="표준 2 2 2 2 2 2 2 2 2 4 6" xfId="0"/>
    <cellStyle name="표준 2 2 2 2 2 2 2 2 2 4 7" xfId="0"/>
    <cellStyle name="표준 2 2 2 2 2 2 2 2 2 4 8" xfId="0"/>
    <cellStyle name="표준 2 2 2 2 2 2 2 2 2 4 9" xfId="0"/>
    <cellStyle name="표준 2 2 2 2 2 2 2 2 2 5" xfId="0"/>
    <cellStyle name="표준 2 2 2 2 2 2 2 2 2 5 10" xfId="0"/>
    <cellStyle name="표준 2 2 2 2 2 2 2 2 2 5 2" xfId="0"/>
    <cellStyle name="표준 2 2 2 2 2 2 2 2 2 5 3" xfId="0"/>
    <cellStyle name="표준 2 2 2 2 2 2 2 2 2 5 4" xfId="0"/>
    <cellStyle name="표준 2 2 2 2 2 2 2 2 2 5 5" xfId="0"/>
    <cellStyle name="표준 2 2 2 2 2 2 2 2 2 5 6" xfId="0"/>
    <cellStyle name="표준 2 2 2 2 2 2 2 2 2 5 7" xfId="0"/>
    <cellStyle name="표준 2 2 2 2 2 2 2 2 2 5 8" xfId="0"/>
    <cellStyle name="표준 2 2 2 2 2 2 2 2 2 5 9" xfId="0"/>
    <cellStyle name="표준 2 2 2 2 2 2 2 2 2 6" xfId="0"/>
    <cellStyle name="표준 2 2 2 2 2 2 2 2 2 7" xfId="0"/>
    <cellStyle name="표준 2 2 2 2 2 2 2 2 2 8" xfId="0"/>
    <cellStyle name="표준 2 2 2 2 2 2 2 2 2 8 10" xfId="0"/>
    <cellStyle name="표준 2 2 2 2 2 2 2 2 2 8 2" xfId="0"/>
    <cellStyle name="표준 2 2 2 2 2 2 2 2 2 8 3" xfId="0"/>
    <cellStyle name="표준 2 2 2 2 2 2 2 2 2 8 4" xfId="0"/>
    <cellStyle name="표준 2 2 2 2 2 2 2 2 2 8 5" xfId="0"/>
    <cellStyle name="표준 2 2 2 2 2 2 2 2 2 8 6" xfId="0"/>
    <cellStyle name="표준 2 2 2 2 2 2 2 2 2 8 7" xfId="0"/>
    <cellStyle name="표준 2 2 2 2 2 2 2 2 2 8 8" xfId="0"/>
    <cellStyle name="표준 2 2 2 2 2 2 2 2 2 8 9" xfId="0"/>
    <cellStyle name="표준 2 2 2 2 2 2 2 2 2 9" xfId="0"/>
    <cellStyle name="표준 2 2 2 2 2 2 2 2 2 9 10" xfId="0"/>
    <cellStyle name="표준 2 2 2 2 2 2 2 2 2 9 2" xfId="0"/>
    <cellStyle name="표준 2 2 2 2 2 2 2 2 2 9 3" xfId="0"/>
    <cellStyle name="표준 2 2 2 2 2 2 2 2 2 9 4" xfId="0"/>
    <cellStyle name="표준 2 2 2 2 2 2 2 2 2 9 5" xfId="0"/>
    <cellStyle name="표준 2 2 2 2 2 2 2 2 2 9 6" xfId="0"/>
    <cellStyle name="표준 2 2 2 2 2 2 2 2 2 9 7" xfId="0"/>
    <cellStyle name="표준 2 2 2 2 2 2 2 2 2 9 8" xfId="0"/>
    <cellStyle name="표준 2 2 2 2 2 2 2 2 2 9 9" xfId="0"/>
    <cellStyle name="표준 2 2 2 2 2 2 2 2 20" xfId="0"/>
    <cellStyle name="표준 2 2 2 2 2 2 2 2 20 2" xfId="0"/>
    <cellStyle name="표준 2 2 2 2 2 2 2 2 21" xfId="0"/>
    <cellStyle name="표준 2 2 2 2 2 2 2 2 21 2" xfId="0"/>
    <cellStyle name="표준 2 2 2 2 2 2 2 2 22" xfId="0"/>
    <cellStyle name="표준 2 2 2 2 2 2 2 2 22 2" xfId="0"/>
    <cellStyle name="표준 2 2 2 2 2 2 2 2 23" xfId="0"/>
    <cellStyle name="표준 2 2 2 2 2 2 2 2 3" xfId="0"/>
    <cellStyle name="표준 2 2 2 2 2 2 2 2 3 10" xfId="0"/>
    <cellStyle name="표준 2 2 2 2 2 2 2 2 3 10 2" xfId="0"/>
    <cellStyle name="표준 2 2 2 2 2 2 2 2 3 2" xfId="0"/>
    <cellStyle name="표준 2 2 2 2 2 2 2 2 3 2 2" xfId="0"/>
    <cellStyle name="표준 2 2 2 2 2 2 2 2 3 3" xfId="0"/>
    <cellStyle name="표준 2 2 2 2 2 2 2 2 3 3 2" xfId="0"/>
    <cellStyle name="표준 2 2 2 2 2 2 2 2 3 4" xfId="0"/>
    <cellStyle name="표준 2 2 2 2 2 2 2 2 3 4 2" xfId="0"/>
    <cellStyle name="표준 2 2 2 2 2 2 2 2 3 5" xfId="0"/>
    <cellStyle name="표준 2 2 2 2 2 2 2 2 3 5 2" xfId="0"/>
    <cellStyle name="표준 2 2 2 2 2 2 2 2 3 6" xfId="0"/>
    <cellStyle name="표준 2 2 2 2 2 2 2 2 3 6 2" xfId="0"/>
    <cellStyle name="표준 2 2 2 2 2 2 2 2 3 7" xfId="0"/>
    <cellStyle name="표준 2 2 2 2 2 2 2 2 3 7 2" xfId="0"/>
    <cellStyle name="표준 2 2 2 2 2 2 2 2 3 8" xfId="0"/>
    <cellStyle name="표준 2 2 2 2 2 2 2 2 3 8 2" xfId="0"/>
    <cellStyle name="표준 2 2 2 2 2 2 2 2 3 9" xfId="0"/>
    <cellStyle name="표준 2 2 2 2 2 2 2 2 3 9 2" xfId="0"/>
    <cellStyle name="표준 2 2 2 2 2 2 2 2 4" xfId="0"/>
    <cellStyle name="표준 2 2 2 2 2 2 2 2 4 10" xfId="0"/>
    <cellStyle name="표준 2 2 2 2 2 2 2 2 4 10 2" xfId="0"/>
    <cellStyle name="표준 2 2 2 2 2 2 2 2 4 2" xfId="0"/>
    <cellStyle name="표준 2 2 2 2 2 2 2 2 4 2 2" xfId="0"/>
    <cellStyle name="표준 2 2 2 2 2 2 2 2 4 3" xfId="0"/>
    <cellStyle name="표준 2 2 2 2 2 2 2 2 4 3 2" xfId="0"/>
    <cellStyle name="표준 2 2 2 2 2 2 2 2 4 4" xfId="0"/>
    <cellStyle name="표준 2 2 2 2 2 2 2 2 4 4 2" xfId="0"/>
    <cellStyle name="표준 2 2 2 2 2 2 2 2 4 5" xfId="0"/>
    <cellStyle name="표준 2 2 2 2 2 2 2 2 4 5 2" xfId="0"/>
    <cellStyle name="표준 2 2 2 2 2 2 2 2 4 6" xfId="0"/>
    <cellStyle name="표준 2 2 2 2 2 2 2 2 4 6 2" xfId="0"/>
    <cellStyle name="표준 2 2 2 2 2 2 2 2 4 7" xfId="0"/>
    <cellStyle name="표준 2 2 2 2 2 2 2 2 4 7 2" xfId="0"/>
    <cellStyle name="표준 2 2 2 2 2 2 2 2 4 8" xfId="0"/>
    <cellStyle name="표준 2 2 2 2 2 2 2 2 4 8 2" xfId="0"/>
    <cellStyle name="표준 2 2 2 2 2 2 2 2 4 9" xfId="0"/>
    <cellStyle name="표준 2 2 2 2 2 2 2 2 4 9 2" xfId="0"/>
    <cellStyle name="표준 2 2 2 2 2 2 2 2 5" xfId="0"/>
    <cellStyle name="표준 2 2 2 2 2 2 2 2 5 10" xfId="0"/>
    <cellStyle name="표준 2 2 2 2 2 2 2 2 5 10 2" xfId="0"/>
    <cellStyle name="표준 2 2 2 2 2 2 2 2 5 2" xfId="0"/>
    <cellStyle name="표준 2 2 2 2 2 2 2 2 5 2 2" xfId="0"/>
    <cellStyle name="표준 2 2 2 2 2 2 2 2 5 3" xfId="0"/>
    <cellStyle name="표준 2 2 2 2 2 2 2 2 5 3 2" xfId="0"/>
    <cellStyle name="표준 2 2 2 2 2 2 2 2 5 4" xfId="0"/>
    <cellStyle name="표준 2 2 2 2 2 2 2 2 5 4 2" xfId="0"/>
    <cellStyle name="표준 2 2 2 2 2 2 2 2 5 5" xfId="0"/>
    <cellStyle name="표준 2 2 2 2 2 2 2 2 5 5 2" xfId="0"/>
    <cellStyle name="표준 2 2 2 2 2 2 2 2 5 6" xfId="0"/>
    <cellStyle name="표준 2 2 2 2 2 2 2 2 5 6 2" xfId="0"/>
    <cellStyle name="표준 2 2 2 2 2 2 2 2 5 7" xfId="0"/>
    <cellStyle name="표준 2 2 2 2 2 2 2 2 5 7 2" xfId="0"/>
    <cellStyle name="표준 2 2 2 2 2 2 2 2 5 8" xfId="0"/>
    <cellStyle name="표준 2 2 2 2 2 2 2 2 5 8 2" xfId="0"/>
    <cellStyle name="표준 2 2 2 2 2 2 2 2 5 9" xfId="0"/>
    <cellStyle name="표준 2 2 2 2 2 2 2 2 5 9 2" xfId="0"/>
    <cellStyle name="표준 2 2 2 2 2 2 2 2 6" xfId="0"/>
    <cellStyle name="표준 2 2 2 2 2 2 2 2 6 10" xfId="0"/>
    <cellStyle name="표준 2 2 2 2 2 2 2 2 6 10 2" xfId="0"/>
    <cellStyle name="표준 2 2 2 2 2 2 2 2 6 2" xfId="0"/>
    <cellStyle name="표준 2 2 2 2 2 2 2 2 6 2 2" xfId="0"/>
    <cellStyle name="표준 2 2 2 2 2 2 2 2 6 3" xfId="0"/>
    <cellStyle name="표준 2 2 2 2 2 2 2 2 6 3 2" xfId="0"/>
    <cellStyle name="표준 2 2 2 2 2 2 2 2 6 4" xfId="0"/>
    <cellStyle name="표준 2 2 2 2 2 2 2 2 6 4 2" xfId="0"/>
    <cellStyle name="표준 2 2 2 2 2 2 2 2 6 5" xfId="0"/>
    <cellStyle name="표준 2 2 2 2 2 2 2 2 6 5 2" xfId="0"/>
    <cellStyle name="표준 2 2 2 2 2 2 2 2 6 6" xfId="0"/>
    <cellStyle name="표준 2 2 2 2 2 2 2 2 6 6 2" xfId="0"/>
    <cellStyle name="표준 2 2 2 2 2 2 2 2 6 7" xfId="0"/>
    <cellStyle name="표준 2 2 2 2 2 2 2 2 6 7 2" xfId="0"/>
    <cellStyle name="표준 2 2 2 2 2 2 2 2 6 8" xfId="0"/>
    <cellStyle name="표준 2 2 2 2 2 2 2 2 6 8 2" xfId="0"/>
    <cellStyle name="표준 2 2 2 2 2 2 2 2 6 9" xfId="0"/>
    <cellStyle name="표준 2 2 2 2 2 2 2 2 6 9 2" xfId="0"/>
    <cellStyle name="표준 2 2 2 2 2 2 2 2 7" xfId="0"/>
    <cellStyle name="표준 2 2 2 2 2 2 2 2 7 10" xfId="0"/>
    <cellStyle name="표준 2 2 2 2 2 2 2 2 7 10 2" xfId="0"/>
    <cellStyle name="표준 2 2 2 2 2 2 2 2 7 2" xfId="0"/>
    <cellStyle name="표준 2 2 2 2 2 2 2 2 7 2 2" xfId="0"/>
    <cellStyle name="표준 2 2 2 2 2 2 2 2 7 3" xfId="0"/>
    <cellStyle name="표준 2 2 2 2 2 2 2 2 7 3 2" xfId="0"/>
    <cellStyle name="표준 2 2 2 2 2 2 2 2 7 4" xfId="0"/>
    <cellStyle name="표준 2 2 2 2 2 2 2 2 7 4 2" xfId="0"/>
    <cellStyle name="표준 2 2 2 2 2 2 2 2 7 5" xfId="0"/>
    <cellStyle name="표준 2 2 2 2 2 2 2 2 7 5 2" xfId="0"/>
    <cellStyle name="표준 2 2 2 2 2 2 2 2 7 6" xfId="0"/>
    <cellStyle name="표준 2 2 2 2 2 2 2 2 7 6 2" xfId="0"/>
    <cellStyle name="표준 2 2 2 2 2 2 2 2 7 7" xfId="0"/>
    <cellStyle name="표준 2 2 2 2 2 2 2 2 7 7 2" xfId="0"/>
    <cellStyle name="표준 2 2 2 2 2 2 2 2 7 8" xfId="0"/>
    <cellStyle name="표준 2 2 2 2 2 2 2 2 7 8 2" xfId="0"/>
    <cellStyle name="표준 2 2 2 2 2 2 2 2 7 9" xfId="0"/>
    <cellStyle name="표준 2 2 2 2 2 2 2 2 7 9 2" xfId="0"/>
    <cellStyle name="표준 2 2 2 2 2 2 2 2 8" xfId="0"/>
    <cellStyle name="표준 2 2 2 2 2 2 2 2 8 10" xfId="0"/>
    <cellStyle name="표준 2 2 2 2 2 2 2 2 8 10 2" xfId="0"/>
    <cellStyle name="표준 2 2 2 2 2 2 2 2 8 2" xfId="0"/>
    <cellStyle name="표준 2 2 2 2 2 2 2 2 8 2 2" xfId="0"/>
    <cellStyle name="표준 2 2 2 2 2 2 2 2 8 3" xfId="0"/>
    <cellStyle name="표준 2 2 2 2 2 2 2 2 8 3 2" xfId="0"/>
    <cellStyle name="표준 2 2 2 2 2 2 2 2 8 4" xfId="0"/>
    <cellStyle name="표준 2 2 2 2 2 2 2 2 8 4 2" xfId="0"/>
    <cellStyle name="표준 2 2 2 2 2 2 2 2 8 5" xfId="0"/>
    <cellStyle name="표준 2 2 2 2 2 2 2 2 8 5 2" xfId="0"/>
    <cellStyle name="표준 2 2 2 2 2 2 2 2 8 6" xfId="0"/>
    <cellStyle name="표준 2 2 2 2 2 2 2 2 8 6 2" xfId="0"/>
    <cellStyle name="표준 2 2 2 2 2 2 2 2 8 7" xfId="0"/>
    <cellStyle name="표준 2 2 2 2 2 2 2 2 8 7 2" xfId="0"/>
    <cellStyle name="표준 2 2 2 2 2 2 2 2 8 8" xfId="0"/>
    <cellStyle name="표준 2 2 2 2 2 2 2 2 8 8 2" xfId="0"/>
    <cellStyle name="표준 2 2 2 2 2 2 2 2 8 9" xfId="0"/>
    <cellStyle name="표준 2 2 2 2 2 2 2 2 8 9 2" xfId="0"/>
    <cellStyle name="표준 2 2 2 2 2 2 2 2 9" xfId="0"/>
    <cellStyle name="표준 2 2 2 2 2 2 2 2 9 10" xfId="0"/>
    <cellStyle name="표준 2 2 2 2 2 2 2 2 9 10 2" xfId="0"/>
    <cellStyle name="표준 2 2 2 2 2 2 2 2 9 2" xfId="0"/>
    <cellStyle name="표준 2 2 2 2 2 2 2 2 9 2 2" xfId="0"/>
    <cellStyle name="표준 2 2 2 2 2 2 2 2 9 3" xfId="0"/>
    <cellStyle name="표준 2 2 2 2 2 2 2 2 9 3 2" xfId="0"/>
    <cellStyle name="표준 2 2 2 2 2 2 2 2 9 4" xfId="0"/>
    <cellStyle name="표준 2 2 2 2 2 2 2 2 9 4 2" xfId="0"/>
    <cellStyle name="표준 2 2 2 2 2 2 2 2 9 5" xfId="0"/>
    <cellStyle name="표준 2 2 2 2 2 2 2 2 9 5 2" xfId="0"/>
    <cellStyle name="표준 2 2 2 2 2 2 2 2 9 6" xfId="0"/>
    <cellStyle name="표준 2 2 2 2 2 2 2 2 9 6 2" xfId="0"/>
    <cellStyle name="표준 2 2 2 2 2 2 2 2 9 7" xfId="0"/>
    <cellStyle name="표준 2 2 2 2 2 2 2 2 9 7 2" xfId="0"/>
    <cellStyle name="표준 2 2 2 2 2 2 2 2 9 8" xfId="0"/>
    <cellStyle name="표준 2 2 2 2 2 2 2 2 9 8 2" xfId="0"/>
    <cellStyle name="표준 2 2 2 2 2 2 2 2 9 9" xfId="0"/>
    <cellStyle name="표준 2 2 2 2 2 2 2 2 9 9 2" xfId="0"/>
    <cellStyle name="표준 2 2 2 2 2 2 2 20" xfId="0"/>
    <cellStyle name="표준 2 2 2 2 2 2 2 20 2" xfId="0"/>
    <cellStyle name="표준 2 2 2 2 2 2 2 21" xfId="0"/>
    <cellStyle name="표준 2 2 2 2 2 2 2 21 2" xfId="0"/>
    <cellStyle name="표준 2 2 2 2 2 2 2 22" xfId="0"/>
    <cellStyle name="표준 2 2 2 2 2 2 2 22 2" xfId="0"/>
    <cellStyle name="표준 2 2 2 2 2 2 2 23" xfId="0"/>
    <cellStyle name="표준 2 2 2 2 2 2 2 3" xfId="0"/>
    <cellStyle name="표준 2 2 2 2 2 2 2 3 10" xfId="0"/>
    <cellStyle name="표준 2 2 2 2 2 2 2 3 11" xfId="0"/>
    <cellStyle name="표준 2 2 2 2 2 2 2 3 12" xfId="0"/>
    <cellStyle name="표준 2 2 2 2 2 2 2 3 13" xfId="0"/>
    <cellStyle name="표준 2 2 2 2 2 2 2 3 14" xfId="0"/>
    <cellStyle name="표준 2 2 2 2 2 2 2 3 15" xfId="0"/>
    <cellStyle name="표준 2 2 2 2 2 2 2 3 2" xfId="0"/>
    <cellStyle name="표준 2 2 2 2 2 2 2 3 2 10" xfId="0"/>
    <cellStyle name="표준 2 2 2 2 2 2 2 3 2 11" xfId="0"/>
    <cellStyle name="표준 2 2 2 2 2 2 2 3 2 12" xfId="0"/>
    <cellStyle name="표준 2 2 2 2 2 2 2 3 2 13" xfId="0"/>
    <cellStyle name="표준 2 2 2 2 2 2 2 3 2 14" xfId="0"/>
    <cellStyle name="표준 2 2 2 2 2 2 2 3 2 15" xfId="0"/>
    <cellStyle name="표준 2 2 2 2 2 2 2 3 2 2" xfId="0"/>
    <cellStyle name="표준 2 2 2 2 2 2 2 3 2 3" xfId="0"/>
    <cellStyle name="표준 2 2 2 2 2 2 2 3 2 4" xfId="0"/>
    <cellStyle name="표준 2 2 2 2 2 2 2 3 2 5" xfId="0"/>
    <cellStyle name="표준 2 2 2 2 2 2 2 3 2 6" xfId="0"/>
    <cellStyle name="표준 2 2 2 2 2 2 2 3 2 7" xfId="0"/>
    <cellStyle name="표준 2 2 2 2 2 2 2 3 2 8" xfId="0"/>
    <cellStyle name="표준 2 2 2 2 2 2 2 3 2 9" xfId="0"/>
    <cellStyle name="표준 2 2 2 2 2 2 2 3 3" xfId="0"/>
    <cellStyle name="표준 2 2 2 2 2 2 2 3 3 10" xfId="0"/>
    <cellStyle name="표준 2 2 2 2 2 2 2 3 3 2" xfId="0"/>
    <cellStyle name="표준 2 2 2 2 2 2 2 3 3 3" xfId="0"/>
    <cellStyle name="표준 2 2 2 2 2 2 2 3 3 4" xfId="0"/>
    <cellStyle name="표준 2 2 2 2 2 2 2 3 3 5" xfId="0"/>
    <cellStyle name="표준 2 2 2 2 2 2 2 3 3 6" xfId="0"/>
    <cellStyle name="표준 2 2 2 2 2 2 2 3 3 7" xfId="0"/>
    <cellStyle name="표준 2 2 2 2 2 2 2 3 3 8" xfId="0"/>
    <cellStyle name="표준 2 2 2 2 2 2 2 3 3 9" xfId="0"/>
    <cellStyle name="표준 2 2 2 2 2 2 2 3 4" xfId="0"/>
    <cellStyle name="표준 2 2 2 2 2 2 2 3 4 10" xfId="0"/>
    <cellStyle name="표준 2 2 2 2 2 2 2 3 4 2" xfId="0"/>
    <cellStyle name="표준 2 2 2 2 2 2 2 3 4 3" xfId="0"/>
    <cellStyle name="표준 2 2 2 2 2 2 2 3 4 4" xfId="0"/>
    <cellStyle name="표준 2 2 2 2 2 2 2 3 4 5" xfId="0"/>
    <cellStyle name="표준 2 2 2 2 2 2 2 3 4 6" xfId="0"/>
    <cellStyle name="표준 2 2 2 2 2 2 2 3 4 7" xfId="0"/>
    <cellStyle name="표준 2 2 2 2 2 2 2 3 4 8" xfId="0"/>
    <cellStyle name="표준 2 2 2 2 2 2 2 3 4 9" xfId="0"/>
    <cellStyle name="표준 2 2 2 2 2 2 2 3 5" xfId="0"/>
    <cellStyle name="표준 2 2 2 2 2 2 2 3 5 10" xfId="0"/>
    <cellStyle name="표준 2 2 2 2 2 2 2 3 5 2" xfId="0"/>
    <cellStyle name="표준 2 2 2 2 2 2 2 3 5 3" xfId="0"/>
    <cellStyle name="표준 2 2 2 2 2 2 2 3 5 4" xfId="0"/>
    <cellStyle name="표준 2 2 2 2 2 2 2 3 5 5" xfId="0"/>
    <cellStyle name="표준 2 2 2 2 2 2 2 3 5 6" xfId="0"/>
    <cellStyle name="표준 2 2 2 2 2 2 2 3 5 7" xfId="0"/>
    <cellStyle name="표준 2 2 2 2 2 2 2 3 5 8" xfId="0"/>
    <cellStyle name="표준 2 2 2 2 2 2 2 3 5 9" xfId="0"/>
    <cellStyle name="표준 2 2 2 2 2 2 2 3 6" xfId="0"/>
    <cellStyle name="표준 2 2 2 2 2 2 2 3 6 10" xfId="0"/>
    <cellStyle name="표준 2 2 2 2 2 2 2 3 6 2" xfId="0"/>
    <cellStyle name="표준 2 2 2 2 2 2 2 3 6 3" xfId="0"/>
    <cellStyle name="표준 2 2 2 2 2 2 2 3 6 4" xfId="0"/>
    <cellStyle name="표준 2 2 2 2 2 2 2 3 6 5" xfId="0"/>
    <cellStyle name="표준 2 2 2 2 2 2 2 3 6 6" xfId="0"/>
    <cellStyle name="표준 2 2 2 2 2 2 2 3 6 7" xfId="0"/>
    <cellStyle name="표준 2 2 2 2 2 2 2 3 6 8" xfId="0"/>
    <cellStyle name="표준 2 2 2 2 2 2 2 3 6 9" xfId="0"/>
    <cellStyle name="표준 2 2 2 2 2 2 2 3 7" xfId="0"/>
    <cellStyle name="표준 2 2 2 2 2 2 2 3 8" xfId="0"/>
    <cellStyle name="표준 2 2 2 2 2 2 2 3 9" xfId="0"/>
    <cellStyle name="표준 2 2 2 2 2 2 2 4" xfId="0"/>
    <cellStyle name="표준 2 2 2 2 2 2 2 4 10" xfId="0"/>
    <cellStyle name="표준 2 2 2 2 2 2 2 4 2" xfId="0"/>
    <cellStyle name="표준 2 2 2 2 2 2 2 4 3" xfId="0"/>
    <cellStyle name="표준 2 2 2 2 2 2 2 4 4" xfId="0"/>
    <cellStyle name="표준 2 2 2 2 2 2 2 4 5" xfId="0"/>
    <cellStyle name="표준 2 2 2 2 2 2 2 4 6" xfId="0"/>
    <cellStyle name="표준 2 2 2 2 2 2 2 4 7" xfId="0"/>
    <cellStyle name="표준 2 2 2 2 2 2 2 4 8" xfId="0"/>
    <cellStyle name="표준 2 2 2 2 2 2 2 4 9" xfId="0"/>
    <cellStyle name="표준 2 2 2 2 2 2 2 5" xfId="0"/>
    <cellStyle name="표준 2 2 2 2 2 2 2 5 10" xfId="0"/>
    <cellStyle name="표준 2 2 2 2 2 2 2 5 2" xfId="0"/>
    <cellStyle name="표준 2 2 2 2 2 2 2 5 3" xfId="0"/>
    <cellStyle name="표준 2 2 2 2 2 2 2 5 4" xfId="0"/>
    <cellStyle name="표준 2 2 2 2 2 2 2 5 5" xfId="0"/>
    <cellStyle name="표준 2 2 2 2 2 2 2 5 6" xfId="0"/>
    <cellStyle name="표준 2 2 2 2 2 2 2 5 7" xfId="0"/>
    <cellStyle name="표준 2 2 2 2 2 2 2 5 8" xfId="0"/>
    <cellStyle name="표준 2 2 2 2 2 2 2 5 9" xfId="0"/>
    <cellStyle name="표준 2 2 2 2 2 2 2 6" xfId="0"/>
    <cellStyle name="표준 2 2 2 2 2 2 2 6 10" xfId="0"/>
    <cellStyle name="표준 2 2 2 2 2 2 2 6 2" xfId="0"/>
    <cellStyle name="표준 2 2 2 2 2 2 2 6 3" xfId="0"/>
    <cellStyle name="표준 2 2 2 2 2 2 2 6 4" xfId="0"/>
    <cellStyle name="표준 2 2 2 2 2 2 2 6 5" xfId="0"/>
    <cellStyle name="표준 2 2 2 2 2 2 2 6 6" xfId="0"/>
    <cellStyle name="표준 2 2 2 2 2 2 2 6 7" xfId="0"/>
    <cellStyle name="표준 2 2 2 2 2 2 2 6 8" xfId="0"/>
    <cellStyle name="표준 2 2 2 2 2 2 2 6 9" xfId="0"/>
    <cellStyle name="표준 2 2 2 2 2 2 2 7" xfId="0"/>
    <cellStyle name="표준 2 2 2 2 2 2 2 7 10" xfId="0"/>
    <cellStyle name="표준 2 2 2 2 2 2 2 7 2" xfId="0"/>
    <cellStyle name="표준 2 2 2 2 2 2 2 7 3" xfId="0"/>
    <cellStyle name="표준 2 2 2 2 2 2 2 7 4" xfId="0"/>
    <cellStyle name="표준 2 2 2 2 2 2 2 7 5" xfId="0"/>
    <cellStyle name="표준 2 2 2 2 2 2 2 7 6" xfId="0"/>
    <cellStyle name="표준 2 2 2 2 2 2 2 7 7" xfId="0"/>
    <cellStyle name="표준 2 2 2 2 2 2 2 7 8" xfId="0"/>
    <cellStyle name="표준 2 2 2 2 2 2 2 7 9" xfId="0"/>
    <cellStyle name="표준 2 2 2 2 2 2 2 8" xfId="0"/>
    <cellStyle name="표준 2 2 2 2 2 2 2 8 10" xfId="0"/>
    <cellStyle name="표준 2 2 2 2 2 2 2 8 2" xfId="0"/>
    <cellStyle name="표준 2 2 2 2 2 2 2 8 3" xfId="0"/>
    <cellStyle name="표준 2 2 2 2 2 2 2 8 4" xfId="0"/>
    <cellStyle name="표준 2 2 2 2 2 2 2 8 5" xfId="0"/>
    <cellStyle name="표준 2 2 2 2 2 2 2 8 6" xfId="0"/>
    <cellStyle name="표준 2 2 2 2 2 2 2 8 7" xfId="0"/>
    <cellStyle name="표준 2 2 2 2 2 2 2 8 8" xfId="0"/>
    <cellStyle name="표준 2 2 2 2 2 2 2 8 9" xfId="0"/>
    <cellStyle name="표준 2 2 2 2 2 2 2 9" xfId="0"/>
    <cellStyle name="표준 2 2 2 2 2 2 2 9 10" xfId="0"/>
    <cellStyle name="표준 2 2 2 2 2 2 2 9 2" xfId="0"/>
    <cellStyle name="표준 2 2 2 2 2 2 2 9 3" xfId="0"/>
    <cellStyle name="표준 2 2 2 2 2 2 2 9 4" xfId="0"/>
    <cellStyle name="표준 2 2 2 2 2 2 2 9 5" xfId="0"/>
    <cellStyle name="표준 2 2 2 2 2 2 2 9 6" xfId="0"/>
    <cellStyle name="표준 2 2 2 2 2 2 2 9 7" xfId="0"/>
    <cellStyle name="표준 2 2 2 2 2 2 2 9 8" xfId="0"/>
    <cellStyle name="표준 2 2 2 2 2 2 2 9 9" xfId="0"/>
    <cellStyle name="표준 2 2 2 2 2 2 20" xfId="0"/>
    <cellStyle name="표준 2 2 2 2 2 2 20 2" xfId="0"/>
    <cellStyle name="표준 2 2 2 2 2 2 20 3" xfId="0"/>
    <cellStyle name="표준 2 2 2 2 2 2 21" xfId="0"/>
    <cellStyle name="표준 2 2 2 2 2 2 21 2" xfId="0"/>
    <cellStyle name="표준 2 2 2 2 2 2 22" xfId="0"/>
    <cellStyle name="표준 2 2 2 2 2 2 22 2" xfId="0"/>
    <cellStyle name="표준 2 2 2 2 2 2 23" xfId="0"/>
    <cellStyle name="표준 2 2 2 2 2 2 23 2" xfId="0"/>
    <cellStyle name="표준 2 2 2 2 2 2 24" xfId="0"/>
    <cellStyle name="표준 2 2 2 2 2 2 24 2" xfId="0"/>
    <cellStyle name="표준 2 2 2 2 2 2 25" xfId="0"/>
    <cellStyle name="표준 2 2 2 2 2 2 25 2" xfId="0"/>
    <cellStyle name="표준 2 2 2 2 2 2 26" xfId="0"/>
    <cellStyle name="표준 2 2 2 2 2 2 26 2" xfId="0"/>
    <cellStyle name="표준 2 2 2 2 2 2 27" xfId="0"/>
    <cellStyle name="표준 2 2 2 2 2 2 3" xfId="0"/>
    <cellStyle name="표준 2 2 2 2 2 2 3 10" xfId="0"/>
    <cellStyle name="표준 2 2 2 2 2 2 3 10 2" xfId="0"/>
    <cellStyle name="표준 2 2 2 2 2 2 3 2" xfId="0"/>
    <cellStyle name="표준 2 2 2 2 2 2 3 2 2" xfId="0"/>
    <cellStyle name="표준 2 2 2 2 2 2 3 3" xfId="0"/>
    <cellStyle name="표준 2 2 2 2 2 2 3 3 2" xfId="0"/>
    <cellStyle name="표준 2 2 2 2 2 2 3 4" xfId="0"/>
    <cellStyle name="표준 2 2 2 2 2 2 3 4 2" xfId="0"/>
    <cellStyle name="표준 2 2 2 2 2 2 3 5" xfId="0"/>
    <cellStyle name="표준 2 2 2 2 2 2 3 5 2" xfId="0"/>
    <cellStyle name="표준 2 2 2 2 2 2 3 6" xfId="0"/>
    <cellStyle name="표준 2 2 2 2 2 2 3 6 2" xfId="0"/>
    <cellStyle name="표준 2 2 2 2 2 2 3 7" xfId="0"/>
    <cellStyle name="표준 2 2 2 2 2 2 3 7 2" xfId="0"/>
    <cellStyle name="표준 2 2 2 2 2 2 3 8" xfId="0"/>
    <cellStyle name="표준 2 2 2 2 2 2 3 8 2" xfId="0"/>
    <cellStyle name="표준 2 2 2 2 2 2 3 9" xfId="0"/>
    <cellStyle name="표준 2 2 2 2 2 2 3 9 2" xfId="0"/>
    <cellStyle name="표준 2 2 2 2 2 2 4" xfId="0"/>
    <cellStyle name="표준 2 2 2 2 2 2 4 10" xfId="0"/>
    <cellStyle name="표준 2 2 2 2 2 2 4 10 2" xfId="0"/>
    <cellStyle name="표준 2 2 2 2 2 2 4 2" xfId="0"/>
    <cellStyle name="표준 2 2 2 2 2 2 4 2 2" xfId="0"/>
    <cellStyle name="표준 2 2 2 2 2 2 4 3" xfId="0"/>
    <cellStyle name="표준 2 2 2 2 2 2 4 3 2" xfId="0"/>
    <cellStyle name="표준 2 2 2 2 2 2 4 4" xfId="0"/>
    <cellStyle name="표준 2 2 2 2 2 2 4 4 2" xfId="0"/>
    <cellStyle name="표준 2 2 2 2 2 2 4 5" xfId="0"/>
    <cellStyle name="표준 2 2 2 2 2 2 4 5 2" xfId="0"/>
    <cellStyle name="표준 2 2 2 2 2 2 4 6" xfId="0"/>
    <cellStyle name="표준 2 2 2 2 2 2 4 6 2" xfId="0"/>
    <cellStyle name="표준 2 2 2 2 2 2 4 7" xfId="0"/>
    <cellStyle name="표준 2 2 2 2 2 2 4 7 2" xfId="0"/>
    <cellStyle name="표준 2 2 2 2 2 2 4 8" xfId="0"/>
    <cellStyle name="표준 2 2 2 2 2 2 4 8 2" xfId="0"/>
    <cellStyle name="표준 2 2 2 2 2 2 4 9" xfId="0"/>
    <cellStyle name="표준 2 2 2 2 2 2 4 9 2" xfId="0"/>
    <cellStyle name="표준 2 2 2 2 2 2 5" xfId="0"/>
    <cellStyle name="표준 2 2 2 2 2 2 5 10" xfId="0"/>
    <cellStyle name="표준 2 2 2 2 2 2 5 10 2" xfId="0"/>
    <cellStyle name="표준 2 2 2 2 2 2 5 2" xfId="0"/>
    <cellStyle name="표준 2 2 2 2 2 2 5 2 2" xfId="0"/>
    <cellStyle name="표준 2 2 2 2 2 2 5 3" xfId="0"/>
    <cellStyle name="표준 2 2 2 2 2 2 5 3 2" xfId="0"/>
    <cellStyle name="표준 2 2 2 2 2 2 5 4" xfId="0"/>
    <cellStyle name="표준 2 2 2 2 2 2 5 4 2" xfId="0"/>
    <cellStyle name="표준 2 2 2 2 2 2 5 5" xfId="0"/>
    <cellStyle name="표준 2 2 2 2 2 2 5 5 2" xfId="0"/>
    <cellStyle name="표준 2 2 2 2 2 2 5 6" xfId="0"/>
    <cellStyle name="표준 2 2 2 2 2 2 5 6 2" xfId="0"/>
    <cellStyle name="표준 2 2 2 2 2 2 5 7" xfId="0"/>
    <cellStyle name="표준 2 2 2 2 2 2 5 7 2" xfId="0"/>
    <cellStyle name="표준 2 2 2 2 2 2 5 8" xfId="0"/>
    <cellStyle name="표준 2 2 2 2 2 2 5 8 2" xfId="0"/>
    <cellStyle name="표준 2 2 2 2 2 2 5 9" xfId="0"/>
    <cellStyle name="표준 2 2 2 2 2 2 5 9 2" xfId="0"/>
    <cellStyle name="표준 2 2 2 2 2 2 6" xfId="0"/>
    <cellStyle name="표준 2 2 2 2 2 2 6 10" xfId="0"/>
    <cellStyle name="표준 2 2 2 2 2 2 6 10 2" xfId="0"/>
    <cellStyle name="표준 2 2 2 2 2 2 6 11" xfId="0"/>
    <cellStyle name="표준 2 2 2 2 2 2 6 11 2" xfId="0"/>
    <cellStyle name="표준 2 2 2 2 2 2 6 12" xfId="0"/>
    <cellStyle name="표준 2 2 2 2 2 2 6 12 2" xfId="0"/>
    <cellStyle name="표준 2 2 2 2 2 2 6 13" xfId="0"/>
    <cellStyle name="표준 2 2 2 2 2 2 6 13 2" xfId="0"/>
    <cellStyle name="표준 2 2 2 2 2 2 6 14" xfId="0"/>
    <cellStyle name="표준 2 2 2 2 2 2 6 14 2" xfId="0"/>
    <cellStyle name="표준 2 2 2 2 2 2 6 15" xfId="0"/>
    <cellStyle name="표준 2 2 2 2 2 2 6 15 2" xfId="0"/>
    <cellStyle name="표준 2 2 2 2 2 2 6 2" xfId="0"/>
    <cellStyle name="표준 2 2 2 2 2 2 6 2 10" xfId="0"/>
    <cellStyle name="표준 2 2 2 2 2 2 6 2 11" xfId="0"/>
    <cellStyle name="표준 2 2 2 2 2 2 6 2 12" xfId="0"/>
    <cellStyle name="표준 2 2 2 2 2 2 6 2 13" xfId="0"/>
    <cellStyle name="표준 2 2 2 2 2 2 6 2 14" xfId="0"/>
    <cellStyle name="표준 2 2 2 2 2 2 6 2 15" xfId="0"/>
    <cellStyle name="표준 2 2 2 2 2 2 6 2 2" xfId="0"/>
    <cellStyle name="표준 2 2 2 2 2 2 6 2 2 10" xfId="0"/>
    <cellStyle name="표준 2 2 2 2 2 2 6 2 2 2" xfId="0"/>
    <cellStyle name="표준 2 2 2 2 2 2 6 2 2 3" xfId="0"/>
    <cellStyle name="표준 2 2 2 2 2 2 6 2 2 4" xfId="0"/>
    <cellStyle name="표준 2 2 2 2 2 2 6 2 2 5" xfId="0"/>
    <cellStyle name="표준 2 2 2 2 2 2 6 2 2 6" xfId="0"/>
    <cellStyle name="표준 2 2 2 2 2 2 6 2 2 7" xfId="0"/>
    <cellStyle name="표준 2 2 2 2 2 2 6 2 2 8" xfId="0"/>
    <cellStyle name="표준 2 2 2 2 2 2 6 2 2 9" xfId="0"/>
    <cellStyle name="표준 2 2 2 2 2 2 6 2 3" xfId="0"/>
    <cellStyle name="표준 2 2 2 2 2 2 6 2 3 10" xfId="0"/>
    <cellStyle name="표준 2 2 2 2 2 2 6 2 3 2" xfId="0"/>
    <cellStyle name="표준 2 2 2 2 2 2 6 2 3 3" xfId="0"/>
    <cellStyle name="표준 2 2 2 2 2 2 6 2 3 4" xfId="0"/>
    <cellStyle name="표준 2 2 2 2 2 2 6 2 3 5" xfId="0"/>
    <cellStyle name="표준 2 2 2 2 2 2 6 2 3 6" xfId="0"/>
    <cellStyle name="표준 2 2 2 2 2 2 6 2 3 7" xfId="0"/>
    <cellStyle name="표준 2 2 2 2 2 2 6 2 3 8" xfId="0"/>
    <cellStyle name="표준 2 2 2 2 2 2 6 2 3 9" xfId="0"/>
    <cellStyle name="표준 2 2 2 2 2 2 6 2 4" xfId="0"/>
    <cellStyle name="표준 2 2 2 2 2 2 6 2 4 10" xfId="0"/>
    <cellStyle name="표준 2 2 2 2 2 2 6 2 4 2" xfId="0"/>
    <cellStyle name="표준 2 2 2 2 2 2 6 2 4 3" xfId="0"/>
    <cellStyle name="표준 2 2 2 2 2 2 6 2 4 4" xfId="0"/>
    <cellStyle name="표준 2 2 2 2 2 2 6 2 4 5" xfId="0"/>
    <cellStyle name="표준 2 2 2 2 2 2 6 2 4 6" xfId="0"/>
    <cellStyle name="표준 2 2 2 2 2 2 6 2 4 7" xfId="0"/>
    <cellStyle name="표준 2 2 2 2 2 2 6 2 4 8" xfId="0"/>
    <cellStyle name="표준 2 2 2 2 2 2 6 2 4 9" xfId="0"/>
    <cellStyle name="표준 2 2 2 2 2 2 6 2 5" xfId="0"/>
    <cellStyle name="표준 2 2 2 2 2 2 6 2 5 10" xfId="0"/>
    <cellStyle name="표준 2 2 2 2 2 2 6 2 5 2" xfId="0"/>
    <cellStyle name="표준 2 2 2 2 2 2 6 2 5 3" xfId="0"/>
    <cellStyle name="표준 2 2 2 2 2 2 6 2 5 4" xfId="0"/>
    <cellStyle name="표준 2 2 2 2 2 2 6 2 5 5" xfId="0"/>
    <cellStyle name="표준 2 2 2 2 2 2 6 2 5 6" xfId="0"/>
    <cellStyle name="표준 2 2 2 2 2 2 6 2 5 7" xfId="0"/>
    <cellStyle name="표준 2 2 2 2 2 2 6 2 5 8" xfId="0"/>
    <cellStyle name="표준 2 2 2 2 2 2 6 2 5 9" xfId="0"/>
    <cellStyle name="표준 2 2 2 2 2 2 6 2 6" xfId="0"/>
    <cellStyle name="표준 2 2 2 2 2 2 6 2 6 10" xfId="0"/>
    <cellStyle name="표준 2 2 2 2 2 2 6 2 6 2" xfId="0"/>
    <cellStyle name="표준 2 2 2 2 2 2 6 2 6 3" xfId="0"/>
    <cellStyle name="표준 2 2 2 2 2 2 6 2 6 4" xfId="0"/>
    <cellStyle name="표준 2 2 2 2 2 2 6 2 6 5" xfId="0"/>
    <cellStyle name="표준 2 2 2 2 2 2 6 2 6 6" xfId="0"/>
    <cellStyle name="표준 2 2 2 2 2 2 6 2 6 7" xfId="0"/>
    <cellStyle name="표준 2 2 2 2 2 2 6 2 6 8" xfId="0"/>
    <cellStyle name="표준 2 2 2 2 2 2 6 2 6 9" xfId="0"/>
    <cellStyle name="표준 2 2 2 2 2 2 6 2 7" xfId="0"/>
    <cellStyle name="표준 2 2 2 2 2 2 6 2 8" xfId="0"/>
    <cellStyle name="표준 2 2 2 2 2 2 6 2 9" xfId="0"/>
    <cellStyle name="표준 2 2 2 2 2 2 6 3" xfId="0"/>
    <cellStyle name="표준 2 2 2 2 2 2 6 3 10" xfId="0"/>
    <cellStyle name="표준 2 2 2 2 2 2 6 3 2" xfId="0"/>
    <cellStyle name="표준 2 2 2 2 2 2 6 3 3" xfId="0"/>
    <cellStyle name="표준 2 2 2 2 2 2 6 3 4" xfId="0"/>
    <cellStyle name="표준 2 2 2 2 2 2 6 3 5" xfId="0"/>
    <cellStyle name="표준 2 2 2 2 2 2 6 3 6" xfId="0"/>
    <cellStyle name="표준 2 2 2 2 2 2 6 3 7" xfId="0"/>
    <cellStyle name="표준 2 2 2 2 2 2 6 3 8" xfId="0"/>
    <cellStyle name="표준 2 2 2 2 2 2 6 3 9" xfId="0"/>
    <cellStyle name="표준 2 2 2 2 2 2 6 4" xfId="0"/>
    <cellStyle name="표준 2 2 2 2 2 2 6 4 10" xfId="0"/>
    <cellStyle name="표준 2 2 2 2 2 2 6 4 2" xfId="0"/>
    <cellStyle name="표준 2 2 2 2 2 2 6 4 3" xfId="0"/>
    <cellStyle name="표준 2 2 2 2 2 2 6 4 4" xfId="0"/>
    <cellStyle name="표준 2 2 2 2 2 2 6 4 5" xfId="0"/>
    <cellStyle name="표준 2 2 2 2 2 2 6 4 6" xfId="0"/>
    <cellStyle name="표준 2 2 2 2 2 2 6 4 7" xfId="0"/>
    <cellStyle name="표준 2 2 2 2 2 2 6 4 8" xfId="0"/>
    <cellStyle name="표준 2 2 2 2 2 2 6 4 9" xfId="0"/>
    <cellStyle name="표준 2 2 2 2 2 2 6 5" xfId="0"/>
    <cellStyle name="표준 2 2 2 2 2 2 6 5 10" xfId="0"/>
    <cellStyle name="표준 2 2 2 2 2 2 6 5 2" xfId="0"/>
    <cellStyle name="표준 2 2 2 2 2 2 6 5 3" xfId="0"/>
    <cellStyle name="표준 2 2 2 2 2 2 6 5 4" xfId="0"/>
    <cellStyle name="표준 2 2 2 2 2 2 6 5 5" xfId="0"/>
    <cellStyle name="표준 2 2 2 2 2 2 6 5 6" xfId="0"/>
    <cellStyle name="표준 2 2 2 2 2 2 6 5 7" xfId="0"/>
    <cellStyle name="표준 2 2 2 2 2 2 6 5 8" xfId="0"/>
    <cellStyle name="표준 2 2 2 2 2 2 6 5 9" xfId="0"/>
    <cellStyle name="표준 2 2 2 2 2 2 6 6" xfId="0"/>
    <cellStyle name="표준 2 2 2 2 2 2 6 7" xfId="0"/>
    <cellStyle name="표준 2 2 2 2 2 2 6 7 2" xfId="0"/>
    <cellStyle name="표준 2 2 2 2 2 2 6 8" xfId="0"/>
    <cellStyle name="표준 2 2 2 2 2 2 6 8 2" xfId="0"/>
    <cellStyle name="표준 2 2 2 2 2 2 6 9" xfId="0"/>
    <cellStyle name="표준 2 2 2 2 2 2 6 9 2" xfId="0"/>
    <cellStyle name="표준 2 2 2 2 2 2 7" xfId="0"/>
    <cellStyle name="표준 2 2 2 2 2 2 7 10" xfId="0"/>
    <cellStyle name="표준 2 2 2 2 2 2 7 10 2" xfId="0"/>
    <cellStyle name="표준 2 2 2 2 2 2 7 2" xfId="0"/>
    <cellStyle name="표준 2 2 2 2 2 2 7 2 2" xfId="0"/>
    <cellStyle name="표준 2 2 2 2 2 2 7 3" xfId="0"/>
    <cellStyle name="표준 2 2 2 2 2 2 7 3 2" xfId="0"/>
    <cellStyle name="표준 2 2 2 2 2 2 7 4" xfId="0"/>
    <cellStyle name="표준 2 2 2 2 2 2 7 4 2" xfId="0"/>
    <cellStyle name="표준 2 2 2 2 2 2 7 5" xfId="0"/>
    <cellStyle name="표준 2 2 2 2 2 2 7 5 2" xfId="0"/>
    <cellStyle name="표준 2 2 2 2 2 2 7 6" xfId="0"/>
    <cellStyle name="표준 2 2 2 2 2 2 7 6 2" xfId="0"/>
    <cellStyle name="표준 2 2 2 2 2 2 7 7" xfId="0"/>
    <cellStyle name="표준 2 2 2 2 2 2 7 7 2" xfId="0"/>
    <cellStyle name="표준 2 2 2 2 2 2 7 8" xfId="0"/>
    <cellStyle name="표준 2 2 2 2 2 2 7 8 2" xfId="0"/>
    <cellStyle name="표준 2 2 2 2 2 2 7 9" xfId="0"/>
    <cellStyle name="표준 2 2 2 2 2 2 7 9 2" xfId="0"/>
    <cellStyle name="표준 2 2 2 2 2 2 8" xfId="0"/>
    <cellStyle name="표준 2 2 2 2 2 2 8 10" xfId="0"/>
    <cellStyle name="표준 2 2 2 2 2 2 8 10 2" xfId="0"/>
    <cellStyle name="표준 2 2 2 2 2 2 8 2" xfId="0"/>
    <cellStyle name="표준 2 2 2 2 2 2 8 2 2" xfId="0"/>
    <cellStyle name="표준 2 2 2 2 2 2 8 3" xfId="0"/>
    <cellStyle name="표준 2 2 2 2 2 2 8 3 2" xfId="0"/>
    <cellStyle name="표준 2 2 2 2 2 2 8 4" xfId="0"/>
    <cellStyle name="표준 2 2 2 2 2 2 8 4 2" xfId="0"/>
    <cellStyle name="표준 2 2 2 2 2 2 8 5" xfId="0"/>
    <cellStyle name="표준 2 2 2 2 2 2 8 5 2" xfId="0"/>
    <cellStyle name="표준 2 2 2 2 2 2 8 6" xfId="0"/>
    <cellStyle name="표준 2 2 2 2 2 2 8 6 2" xfId="0"/>
    <cellStyle name="표준 2 2 2 2 2 2 8 7" xfId="0"/>
    <cellStyle name="표준 2 2 2 2 2 2 8 7 2" xfId="0"/>
    <cellStyle name="표준 2 2 2 2 2 2 8 8" xfId="0"/>
    <cellStyle name="표준 2 2 2 2 2 2 8 8 2" xfId="0"/>
    <cellStyle name="표준 2 2 2 2 2 2 8 9" xfId="0"/>
    <cellStyle name="표준 2 2 2 2 2 2 8 9 2" xfId="0"/>
    <cellStyle name="표준 2 2 2 2 2 2 9" xfId="0"/>
    <cellStyle name="표준 2 2 2 2 2 2 9 10" xfId="0"/>
    <cellStyle name="표준 2 2 2 2 2 2 9 10 2" xfId="0"/>
    <cellStyle name="표준 2 2 2 2 2 2 9 2" xfId="0"/>
    <cellStyle name="표준 2 2 2 2 2 2 9 2 2" xfId="0"/>
    <cellStyle name="표준 2 2 2 2 2 2 9 3" xfId="0"/>
    <cellStyle name="표준 2 2 2 2 2 2 9 3 2" xfId="0"/>
    <cellStyle name="표준 2 2 2 2 2 2 9 4" xfId="0"/>
    <cellStyle name="표준 2 2 2 2 2 2 9 4 2" xfId="0"/>
    <cellStyle name="표준 2 2 2 2 2 2 9 5" xfId="0"/>
    <cellStyle name="표준 2 2 2 2 2 2 9 5 2" xfId="0"/>
    <cellStyle name="표준 2 2 2 2 2 2 9 6" xfId="0"/>
    <cellStyle name="표준 2 2 2 2 2 2 9 6 2" xfId="0"/>
    <cellStyle name="표준 2 2 2 2 2 2 9 7" xfId="0"/>
    <cellStyle name="표준 2 2 2 2 2 2 9 7 2" xfId="0"/>
    <cellStyle name="표준 2 2 2 2 2 2 9 8" xfId="0"/>
    <cellStyle name="표준 2 2 2 2 2 2 9 8 2" xfId="0"/>
    <cellStyle name="표준 2 2 2 2 2 2 9 9" xfId="0"/>
    <cellStyle name="표준 2 2 2 2 2 2 9 9 2" xfId="0"/>
    <cellStyle name="표준 2 2 2 2 2 20" xfId="0"/>
    <cellStyle name="표준 2 2 2 2 2 20 2" xfId="0"/>
    <cellStyle name="표준 2 2 2 2 2 20 3" xfId="0"/>
    <cellStyle name="표준 2 2 2 2 2 20 4" xfId="0"/>
    <cellStyle name="표준 2 2 2 2 2 20 5" xfId="0"/>
    <cellStyle name="표준 2 2 2 2 2 20 6" xfId="0"/>
    <cellStyle name="표준 2 2 2 2 2 21" xfId="0"/>
    <cellStyle name="표준 2 2 2 2 2 21 2" xfId="0"/>
    <cellStyle name="표준 2 2 2 2 2 21 3" xfId="0"/>
    <cellStyle name="표준 2 2 2 2 2 21 4" xfId="0"/>
    <cellStyle name="표준 2 2 2 2 2 21 5" xfId="0"/>
    <cellStyle name="표준 2 2 2 2 2 21 6" xfId="0"/>
    <cellStyle name="표준 2 2 2 2 2 22" xfId="0"/>
    <cellStyle name="표준 2 2 2 2 2 22 2" xfId="0"/>
    <cellStyle name="표준 2 2 2 2 2 22 3" xfId="0"/>
    <cellStyle name="표준 2 2 2 2 2 23" xfId="0"/>
    <cellStyle name="표준 2 2 2 2 2 23 2" xfId="0"/>
    <cellStyle name="표준 2 2 2 2 2 24" xfId="0"/>
    <cellStyle name="표준 2 2 2 2 2 24 2" xfId="0"/>
    <cellStyle name="표준 2 2 2 2 2 25" xfId="0"/>
    <cellStyle name="표준 2 2 2 2 2 25 2" xfId="0"/>
    <cellStyle name="표준 2 2 2 2 2 26" xfId="0"/>
    <cellStyle name="표준 2 2 2 2 2 26 2" xfId="0"/>
    <cellStyle name="표준 2 2 2 2 2 27" xfId="0"/>
    <cellStyle name="표준 2 2 2 2 2 27 2" xfId="0"/>
    <cellStyle name="표준 2 2 2 2 2 28" xfId="0"/>
    <cellStyle name="표준 2 2 2 2 2 28 2" xfId="0"/>
    <cellStyle name="표준 2 2 2 2 2 29" xfId="0"/>
    <cellStyle name="표준 2 2 2 2 2 29 2" xfId="0"/>
    <cellStyle name="표준 2 2 2 2 2 3" xfId="0"/>
    <cellStyle name="표준 2 2 2 2 2 3 10" xfId="0"/>
    <cellStyle name="표준 2 2 2 2 2 3 10 2" xfId="0"/>
    <cellStyle name="표준 2 2 2 2 2 3 2" xfId="0"/>
    <cellStyle name="표준 2 2 2 2 2 3 2 2" xfId="0"/>
    <cellStyle name="표준 2 2 2 2 2 3 3" xfId="0"/>
    <cellStyle name="표준 2 2 2 2 2 3 3 2" xfId="0"/>
    <cellStyle name="표준 2 2 2 2 2 3 4" xfId="0"/>
    <cellStyle name="표준 2 2 2 2 2 3 4 2" xfId="0"/>
    <cellStyle name="표준 2 2 2 2 2 3 5" xfId="0"/>
    <cellStyle name="표준 2 2 2 2 2 3 5 2" xfId="0"/>
    <cellStyle name="표준 2 2 2 2 2 3 6" xfId="0"/>
    <cellStyle name="표준 2 2 2 2 2 3 6 2" xfId="0"/>
    <cellStyle name="표준 2 2 2 2 2 3 7" xfId="0"/>
    <cellStyle name="표준 2 2 2 2 2 3 7 2" xfId="0"/>
    <cellStyle name="표준 2 2 2 2 2 3 8" xfId="0"/>
    <cellStyle name="표준 2 2 2 2 2 3 8 2" xfId="0"/>
    <cellStyle name="표준 2 2 2 2 2 3 9" xfId="0"/>
    <cellStyle name="표준 2 2 2 2 2 3 9 2" xfId="0"/>
    <cellStyle name="표준 2 2 2 2 2 30" xfId="0"/>
    <cellStyle name="표준 2 2 2 2 2 31" xfId="0"/>
    <cellStyle name="표준 2 2 2 2 2 32" xfId="0"/>
    <cellStyle name="표준 2 2 2 2 2 33" xfId="0"/>
    <cellStyle name="표준 2 2 2 2 2 4" xfId="0"/>
    <cellStyle name="표준 2 2 2 2 2 4 10" xfId="0"/>
    <cellStyle name="표준 2 2 2 2 2 4 10 2" xfId="0"/>
    <cellStyle name="표준 2 2 2 2 2 4 2" xfId="0"/>
    <cellStyle name="표준 2 2 2 2 2 4 2 2" xfId="0"/>
    <cellStyle name="표준 2 2 2 2 2 4 3" xfId="0"/>
    <cellStyle name="표준 2 2 2 2 2 4 3 2" xfId="0"/>
    <cellStyle name="표준 2 2 2 2 2 4 4" xfId="0"/>
    <cellStyle name="표준 2 2 2 2 2 4 4 2" xfId="0"/>
    <cellStyle name="표준 2 2 2 2 2 4 5" xfId="0"/>
    <cellStyle name="표준 2 2 2 2 2 4 5 2" xfId="0"/>
    <cellStyle name="표준 2 2 2 2 2 4 6" xfId="0"/>
    <cellStyle name="표준 2 2 2 2 2 4 6 2" xfId="0"/>
    <cellStyle name="표준 2 2 2 2 2 4 7" xfId="0"/>
    <cellStyle name="표준 2 2 2 2 2 4 7 2" xfId="0"/>
    <cellStyle name="표준 2 2 2 2 2 4 8" xfId="0"/>
    <cellStyle name="표준 2 2 2 2 2 4 8 2" xfId="0"/>
    <cellStyle name="표준 2 2 2 2 2 4 9" xfId="0"/>
    <cellStyle name="표준 2 2 2 2 2 4 9 2" xfId="0"/>
    <cellStyle name="표준 2 2 2 2 2 5" xfId="0"/>
    <cellStyle name="표준 2 2 2 2 2 5 10" xfId="0"/>
    <cellStyle name="표준 2 2 2 2 2 5 2" xfId="0"/>
    <cellStyle name="표준 2 2 2 2 2 5 3" xfId="0"/>
    <cellStyle name="표준 2 2 2 2 2 5 4" xfId="0"/>
    <cellStyle name="표준 2 2 2 2 2 5 5" xfId="0"/>
    <cellStyle name="표준 2 2 2 2 2 5 6" xfId="0"/>
    <cellStyle name="표준 2 2 2 2 2 5 7" xfId="0"/>
    <cellStyle name="표준 2 2 2 2 2 5 8" xfId="0"/>
    <cellStyle name="표준 2 2 2 2 2 5 9" xfId="0"/>
    <cellStyle name="표준 2 2 2 2 2 6" xfId="0"/>
    <cellStyle name="표준 2 2 2 2 2 6 10" xfId="0"/>
    <cellStyle name="표준 2 2 2 2 2 6 11" xfId="0"/>
    <cellStyle name="표준 2 2 2 2 2 6 12" xfId="0"/>
    <cellStyle name="표준 2 2 2 2 2 6 13" xfId="0"/>
    <cellStyle name="표준 2 2 2 2 2 6 2" xfId="0"/>
    <cellStyle name="표준 2 2 2 2 2 6 3" xfId="0"/>
    <cellStyle name="표준 2 2 2 2 2 6 4" xfId="0"/>
    <cellStyle name="표준 2 2 2 2 2 6 5" xfId="0"/>
    <cellStyle name="표준 2 2 2 2 2 6 6" xfId="0"/>
    <cellStyle name="표준 2 2 2 2 2 6 7" xfId="0"/>
    <cellStyle name="표준 2 2 2 2 2 6 8" xfId="0"/>
    <cellStyle name="표준 2 2 2 2 2 6 9" xfId="0"/>
    <cellStyle name="표준 2 2 2 2 2 7" xfId="0"/>
    <cellStyle name="표준 2 2 2 2 2 7 10" xfId="0"/>
    <cellStyle name="표준 2 2 2 2 2 7 2" xfId="0"/>
    <cellStyle name="표준 2 2 2 2 2 7 3" xfId="0"/>
    <cellStyle name="표준 2 2 2 2 2 7 4" xfId="0"/>
    <cellStyle name="표준 2 2 2 2 2 7 5" xfId="0"/>
    <cellStyle name="표준 2 2 2 2 2 7 6" xfId="0"/>
    <cellStyle name="표준 2 2 2 2 2 7 7" xfId="0"/>
    <cellStyle name="표준 2 2 2 2 2 7 8" xfId="0"/>
    <cellStyle name="표준 2 2 2 2 2 7 9" xfId="0"/>
    <cellStyle name="표준 2 2 2 2 2 8" xfId="0"/>
    <cellStyle name="표준 2 2 2 2 2 8 10" xfId="0"/>
    <cellStyle name="표준 2 2 2 2 2 8 11" xfId="0"/>
    <cellStyle name="표준 2 2 2 2 2 8 12" xfId="0"/>
    <cellStyle name="표준 2 2 2 2 2 8 13" xfId="0"/>
    <cellStyle name="표준 2 2 2 2 2 8 14" xfId="0"/>
    <cellStyle name="표준 2 2 2 2 2 8 15" xfId="0"/>
    <cellStyle name="표준 2 2 2 2 2 8 2" xfId="0"/>
    <cellStyle name="표준 2 2 2 2 2 8 2 10" xfId="0"/>
    <cellStyle name="표준 2 2 2 2 2 8 2 11" xfId="0"/>
    <cellStyle name="표준 2 2 2 2 2 8 2 12" xfId="0"/>
    <cellStyle name="표준 2 2 2 2 2 8 2 13" xfId="0"/>
    <cellStyle name="표준 2 2 2 2 2 8 2 14" xfId="0"/>
    <cellStyle name="표준 2 2 2 2 2 8 2 15" xfId="0"/>
    <cellStyle name="표준 2 2 2 2 2 8 2 2" xfId="0"/>
    <cellStyle name="표준 2 2 2 2 2 8 2 3" xfId="0"/>
    <cellStyle name="표준 2 2 2 2 2 8 2 4" xfId="0"/>
    <cellStyle name="표준 2 2 2 2 2 8 2 5" xfId="0"/>
    <cellStyle name="표준 2 2 2 2 2 8 2 6" xfId="0"/>
    <cellStyle name="표준 2 2 2 2 2 8 2 7" xfId="0"/>
    <cellStyle name="표준 2 2 2 2 2 8 2 8" xfId="0"/>
    <cellStyle name="표준 2 2 2 2 2 8 2 9" xfId="0"/>
    <cellStyle name="표준 2 2 2 2 2 8 3" xfId="0"/>
    <cellStyle name="표준 2 2 2 2 2 8 3 10" xfId="0"/>
    <cellStyle name="표준 2 2 2 2 2 8 3 2" xfId="0"/>
    <cellStyle name="표준 2 2 2 2 2 8 3 3" xfId="0"/>
    <cellStyle name="표준 2 2 2 2 2 8 3 4" xfId="0"/>
    <cellStyle name="표준 2 2 2 2 2 8 3 5" xfId="0"/>
    <cellStyle name="표준 2 2 2 2 2 8 3 6" xfId="0"/>
    <cellStyle name="표준 2 2 2 2 2 8 3 7" xfId="0"/>
    <cellStyle name="표준 2 2 2 2 2 8 3 8" xfId="0"/>
    <cellStyle name="표준 2 2 2 2 2 8 3 9" xfId="0"/>
    <cellStyle name="표준 2 2 2 2 2 8 4" xfId="0"/>
    <cellStyle name="표준 2 2 2 2 2 8 4 10" xfId="0"/>
    <cellStyle name="표준 2 2 2 2 2 8 4 2" xfId="0"/>
    <cellStyle name="표준 2 2 2 2 2 8 4 3" xfId="0"/>
    <cellStyle name="표준 2 2 2 2 2 8 4 4" xfId="0"/>
    <cellStyle name="표준 2 2 2 2 2 8 4 5" xfId="0"/>
    <cellStyle name="표준 2 2 2 2 2 8 4 6" xfId="0"/>
    <cellStyle name="표준 2 2 2 2 2 8 4 7" xfId="0"/>
    <cellStyle name="표준 2 2 2 2 2 8 4 8" xfId="0"/>
    <cellStyle name="표준 2 2 2 2 2 8 4 9" xfId="0"/>
    <cellStyle name="표준 2 2 2 2 2 8 5" xfId="0"/>
    <cellStyle name="표준 2 2 2 2 2 8 5 10" xfId="0"/>
    <cellStyle name="표준 2 2 2 2 2 8 5 2" xfId="0"/>
    <cellStyle name="표준 2 2 2 2 2 8 5 3" xfId="0"/>
    <cellStyle name="표준 2 2 2 2 2 8 5 4" xfId="0"/>
    <cellStyle name="표준 2 2 2 2 2 8 5 5" xfId="0"/>
    <cellStyle name="표준 2 2 2 2 2 8 5 6" xfId="0"/>
    <cellStyle name="표준 2 2 2 2 2 8 5 7" xfId="0"/>
    <cellStyle name="표준 2 2 2 2 2 8 5 8" xfId="0"/>
    <cellStyle name="표준 2 2 2 2 2 8 5 9" xfId="0"/>
    <cellStyle name="표준 2 2 2 2 2 8 6" xfId="0"/>
    <cellStyle name="표준 2 2 2 2 2 8 6 10" xfId="0"/>
    <cellStyle name="표준 2 2 2 2 2 8 6 2" xfId="0"/>
    <cellStyle name="표준 2 2 2 2 2 8 6 3" xfId="0"/>
    <cellStyle name="표준 2 2 2 2 2 8 6 4" xfId="0"/>
    <cellStyle name="표준 2 2 2 2 2 8 6 5" xfId="0"/>
    <cellStyle name="표준 2 2 2 2 2 8 6 6" xfId="0"/>
    <cellStyle name="표준 2 2 2 2 2 8 6 7" xfId="0"/>
    <cellStyle name="표준 2 2 2 2 2 8 6 8" xfId="0"/>
    <cellStyle name="표준 2 2 2 2 2 8 6 9" xfId="0"/>
    <cellStyle name="표준 2 2 2 2 2 8 7" xfId="0"/>
    <cellStyle name="표준 2 2 2 2 2 8 8" xfId="0"/>
    <cellStyle name="표준 2 2 2 2 2 8 9" xfId="0"/>
    <cellStyle name="표준 2 2 2 2 2 9" xfId="0"/>
    <cellStyle name="표준 2 2 2 2 2 9 10" xfId="0"/>
    <cellStyle name="표준 2 2 2 2 2 9 2" xfId="0"/>
    <cellStyle name="표준 2 2 2 2 2 9 3" xfId="0"/>
    <cellStyle name="표준 2 2 2 2 2 9 4" xfId="0"/>
    <cellStyle name="표준 2 2 2 2 2 9 5" xfId="0"/>
    <cellStyle name="표준 2 2 2 2 2 9 6" xfId="0"/>
    <cellStyle name="표준 2 2 2 2 2 9 7" xfId="0"/>
    <cellStyle name="표준 2 2 2 2 2 9 8" xfId="0"/>
    <cellStyle name="표준 2 2 2 2 2 9 9" xfId="0"/>
    <cellStyle name="표준 2 2 2 2 20" xfId="0"/>
    <cellStyle name="표준 2 2 2 2 20 2" xfId="0"/>
    <cellStyle name="표준 2 2 2 2 20 3" xfId="0"/>
    <cellStyle name="표준 2 2 2 2 20 4" xfId="0"/>
    <cellStyle name="표준 2 2 2 2 20 5" xfId="0"/>
    <cellStyle name="표준 2 2 2 2 20 6" xfId="0"/>
    <cellStyle name="표준 2 2 2 2 21" xfId="0"/>
    <cellStyle name="표준 2 2 2 2 21 2" xfId="0"/>
    <cellStyle name="표준 2 2 2 2 21 3" xfId="0"/>
    <cellStyle name="표준 2 2 2 2 21 4" xfId="0"/>
    <cellStyle name="표준 2 2 2 2 21 5" xfId="0"/>
    <cellStyle name="표준 2 2 2 2 21 6" xfId="0"/>
    <cellStyle name="표준 2 2 2 2 22" xfId="0"/>
    <cellStyle name="표준 2 2 2 2 22 2" xfId="0"/>
    <cellStyle name="표준 2 2 2 2 22 3" xfId="0"/>
    <cellStyle name="표준 2 2 2 2 22 4" xfId="0"/>
    <cellStyle name="표준 2 2 2 2 22 5" xfId="0"/>
    <cellStyle name="표준 2 2 2 2 22 6" xfId="0"/>
    <cellStyle name="표준 2 2 2 2 23" xfId="0"/>
    <cellStyle name="표준 2 2 2 2 23 2" xfId="0"/>
    <cellStyle name="표준 2 2 2 2 23 2 2" xfId="0"/>
    <cellStyle name="표준 2 2 2 2 23 2 3" xfId="0"/>
    <cellStyle name="표준 2 2 2 2 23 2 4" xfId="0"/>
    <cellStyle name="표준 2 2 2 2 23 2 5" xfId="0"/>
    <cellStyle name="표준 2 2 2 2 23 3" xfId="0"/>
    <cellStyle name="표준 2 2 2 2 23 4" xfId="0"/>
    <cellStyle name="표준 2 2 2 2 23 5" xfId="0"/>
    <cellStyle name="표준 2 2 2 2 23 6" xfId="0"/>
    <cellStyle name="표준 2 2 2 2 24" xfId="0"/>
    <cellStyle name="표준 2 2 2 2 24 2" xfId="0"/>
    <cellStyle name="표준 2 2 2 2 25" xfId="0"/>
    <cellStyle name="표준 2 2 2 2 3" xfId="0"/>
    <cellStyle name="표준 2 2 2 2 3 10" xfId="0"/>
    <cellStyle name="표준 2 2 2 2 3 10 2" xfId="0"/>
    <cellStyle name="표준 2 2 2 2 3 11" xfId="0"/>
    <cellStyle name="표준 2 2 2 2 3 11 2" xfId="0"/>
    <cellStyle name="표준 2 2 2 2 3 12" xfId="0"/>
    <cellStyle name="표준 2 2 2 2 3 12 2" xfId="0"/>
    <cellStyle name="표준 2 2 2 2 3 13" xfId="0"/>
    <cellStyle name="표준 2 2 2 2 3 13 2" xfId="0"/>
    <cellStyle name="표준 2 2 2 2 3 14" xfId="0"/>
    <cellStyle name="표준 2 2 2 2 3 14 2" xfId="0"/>
    <cellStyle name="표준 2 2 2 2 3 2" xfId="0"/>
    <cellStyle name="표준 2 2 2 2 3 3" xfId="0"/>
    <cellStyle name="표준 2 2 2 2 3 4" xfId="0"/>
    <cellStyle name="표준 2 2 2 2 3 5" xfId="0"/>
    <cellStyle name="표준 2 2 2 2 3 6" xfId="0"/>
    <cellStyle name="표준 2 2 2 2 3 6 2" xfId="0"/>
    <cellStyle name="표준 2 2 2 2 3 7" xfId="0"/>
    <cellStyle name="표준 2 2 2 2 3 7 2" xfId="0"/>
    <cellStyle name="표준 2 2 2 2 3 8" xfId="0"/>
    <cellStyle name="표준 2 2 2 2 3 8 2" xfId="0"/>
    <cellStyle name="표준 2 2 2 2 3 9" xfId="0"/>
    <cellStyle name="표준 2 2 2 2 3 9 2" xfId="0"/>
    <cellStyle name="표준 2 2 2 2 4" xfId="0"/>
    <cellStyle name="표준 2 2 2 2 4 10" xfId="0"/>
    <cellStyle name="표준 2 2 2 2 4 2" xfId="0"/>
    <cellStyle name="표준 2 2 2 2 4 3" xfId="0"/>
    <cellStyle name="표준 2 2 2 2 4 4" xfId="0"/>
    <cellStyle name="표준 2 2 2 2 4 5" xfId="0"/>
    <cellStyle name="표준 2 2 2 2 4 6" xfId="0"/>
    <cellStyle name="표준 2 2 2 2 4 7" xfId="0"/>
    <cellStyle name="표준 2 2 2 2 4 8" xfId="0"/>
    <cellStyle name="표준 2 2 2 2 4 9" xfId="0"/>
    <cellStyle name="표준 2 2 2 2 5" xfId="0"/>
    <cellStyle name="표준 2 2 2 2 5 10" xfId="0"/>
    <cellStyle name="표준 2 2 2 2 5 10 2" xfId="0"/>
    <cellStyle name="표준 2 2 2 2 5 2" xfId="0"/>
    <cellStyle name="표준 2 2 2 2 5 2 2" xfId="0"/>
    <cellStyle name="표준 2 2 2 2 5 3" xfId="0"/>
    <cellStyle name="표준 2 2 2 2 5 3 2" xfId="0"/>
    <cellStyle name="표준 2 2 2 2 5 4" xfId="0"/>
    <cellStyle name="표준 2 2 2 2 5 4 2" xfId="0"/>
    <cellStyle name="표준 2 2 2 2 5 5" xfId="0"/>
    <cellStyle name="표준 2 2 2 2 5 5 2" xfId="0"/>
    <cellStyle name="표준 2 2 2 2 5 6" xfId="0"/>
    <cellStyle name="표준 2 2 2 2 5 6 2" xfId="0"/>
    <cellStyle name="표준 2 2 2 2 5 7" xfId="0"/>
    <cellStyle name="표준 2 2 2 2 5 7 2" xfId="0"/>
    <cellStyle name="표준 2 2 2 2 5 8" xfId="0"/>
    <cellStyle name="표준 2 2 2 2 5 8 2" xfId="0"/>
    <cellStyle name="표준 2 2 2 2 5 9" xfId="0"/>
    <cellStyle name="표준 2 2 2 2 5 9 2" xfId="0"/>
    <cellStyle name="표준 2 2 2 2 6" xfId="0"/>
    <cellStyle name="표준 2 2 2 2 6 10" xfId="0"/>
    <cellStyle name="표준 2 2 2 2 6 10 2" xfId="0"/>
    <cellStyle name="표준 2 2 2 2 6 2" xfId="0"/>
    <cellStyle name="표준 2 2 2 2 6 2 2" xfId="0"/>
    <cellStyle name="표준 2 2 2 2 6 3" xfId="0"/>
    <cellStyle name="표준 2 2 2 2 6 3 2" xfId="0"/>
    <cellStyle name="표준 2 2 2 2 6 4" xfId="0"/>
    <cellStyle name="표준 2 2 2 2 6 4 2" xfId="0"/>
    <cellStyle name="표준 2 2 2 2 6 5" xfId="0"/>
    <cellStyle name="표준 2 2 2 2 6 5 2" xfId="0"/>
    <cellStyle name="표준 2 2 2 2 6 6" xfId="0"/>
    <cellStyle name="표준 2 2 2 2 6 6 2" xfId="0"/>
    <cellStyle name="표준 2 2 2 2 6 7" xfId="0"/>
    <cellStyle name="표준 2 2 2 2 6 7 2" xfId="0"/>
    <cellStyle name="표준 2 2 2 2 6 8" xfId="0"/>
    <cellStyle name="표준 2 2 2 2 6 8 2" xfId="0"/>
    <cellStyle name="표준 2 2 2 2 6 9" xfId="0"/>
    <cellStyle name="표준 2 2 2 2 6 9 2" xfId="0"/>
    <cellStyle name="표준 2 2 2 2 7" xfId="0"/>
    <cellStyle name="표준 2 2 2 2 7 10" xfId="0"/>
    <cellStyle name="표준 2 2 2 2 7 10 2" xfId="0"/>
    <cellStyle name="표준 2 2 2 2 7 11" xfId="0"/>
    <cellStyle name="표준 2 2 2 2 7 12" xfId="0"/>
    <cellStyle name="표준 2 2 2 2 7 13" xfId="0"/>
    <cellStyle name="표준 2 2 2 2 7 2" xfId="0"/>
    <cellStyle name="표준 2 2 2 2 7 2 2" xfId="0"/>
    <cellStyle name="표준 2 2 2 2 7 3" xfId="0"/>
    <cellStyle name="표준 2 2 2 2 7 3 2" xfId="0"/>
    <cellStyle name="표준 2 2 2 2 7 4" xfId="0"/>
    <cellStyle name="표준 2 2 2 2 7 4 2" xfId="0"/>
    <cellStyle name="표준 2 2 2 2 7 5" xfId="0"/>
    <cellStyle name="표준 2 2 2 2 7 5 2" xfId="0"/>
    <cellStyle name="표준 2 2 2 2 7 6" xfId="0"/>
    <cellStyle name="표준 2 2 2 2 7 6 2" xfId="0"/>
    <cellStyle name="표준 2 2 2 2 7 7" xfId="0"/>
    <cellStyle name="표준 2 2 2 2 7 7 2" xfId="0"/>
    <cellStyle name="표준 2 2 2 2 7 8" xfId="0"/>
    <cellStyle name="표준 2 2 2 2 7 8 2" xfId="0"/>
    <cellStyle name="표준 2 2 2 2 7 9" xfId="0"/>
    <cellStyle name="표준 2 2 2 2 7 9 2" xfId="0"/>
    <cellStyle name="표준 2 2 2 2 8" xfId="0"/>
    <cellStyle name="표준 2 2 2 2 8 10" xfId="0"/>
    <cellStyle name="표준 2 2 2 2 8 10 2" xfId="0"/>
    <cellStyle name="표준 2 2 2 2 8 11" xfId="0"/>
    <cellStyle name="표준 2 2 2 2 8 11 2" xfId="0"/>
    <cellStyle name="표준 2 2 2 2 8 12" xfId="0"/>
    <cellStyle name="표준 2 2 2 2 8 12 2" xfId="0"/>
    <cellStyle name="표준 2 2 2 2 8 13" xfId="0"/>
    <cellStyle name="표준 2 2 2 2 8 13 2" xfId="0"/>
    <cellStyle name="표준 2 2 2 2 8 14" xfId="0"/>
    <cellStyle name="표준 2 2 2 2 8 14 2" xfId="0"/>
    <cellStyle name="표준 2 2 2 2 8 15" xfId="0"/>
    <cellStyle name="표준 2 2 2 2 8 15 2" xfId="0"/>
    <cellStyle name="표준 2 2 2 2 8 2" xfId="0"/>
    <cellStyle name="표준 2 2 2 2 8 2 2" xfId="0"/>
    <cellStyle name="표준 2 2 2 2 8 2 2 10" xfId="0"/>
    <cellStyle name="표준 2 2 2 2 8 2 2 2" xfId="0"/>
    <cellStyle name="표준 2 2 2 2 8 2 2 3" xfId="0"/>
    <cellStyle name="표준 2 2 2 2 8 2 2 4" xfId="0"/>
    <cellStyle name="표준 2 2 2 2 8 2 2 5" xfId="0"/>
    <cellStyle name="표준 2 2 2 2 8 2 2 6" xfId="0"/>
    <cellStyle name="표준 2 2 2 2 8 2 2 7" xfId="0"/>
    <cellStyle name="표준 2 2 2 2 8 2 2 8" xfId="0"/>
    <cellStyle name="표준 2 2 2 2 8 2 2 9" xfId="0"/>
    <cellStyle name="표준 2 2 2 2 8 2 3" xfId="0"/>
    <cellStyle name="표준 2 2 2 2 8 2 3 10" xfId="0"/>
    <cellStyle name="표준 2 2 2 2 8 2 3 2" xfId="0"/>
    <cellStyle name="표준 2 2 2 2 8 2 3 3" xfId="0"/>
    <cellStyle name="표준 2 2 2 2 8 2 3 4" xfId="0"/>
    <cellStyle name="표준 2 2 2 2 8 2 3 5" xfId="0"/>
    <cellStyle name="표준 2 2 2 2 8 2 3 6" xfId="0"/>
    <cellStyle name="표준 2 2 2 2 8 2 3 7" xfId="0"/>
    <cellStyle name="표준 2 2 2 2 8 2 3 8" xfId="0"/>
    <cellStyle name="표준 2 2 2 2 8 2 3 9" xfId="0"/>
    <cellStyle name="표준 2 2 2 2 8 2 4" xfId="0"/>
    <cellStyle name="표준 2 2 2 2 8 2 4 10" xfId="0"/>
    <cellStyle name="표준 2 2 2 2 8 2 4 2" xfId="0"/>
    <cellStyle name="표준 2 2 2 2 8 2 4 3" xfId="0"/>
    <cellStyle name="표준 2 2 2 2 8 2 4 4" xfId="0"/>
    <cellStyle name="표준 2 2 2 2 8 2 4 5" xfId="0"/>
    <cellStyle name="표준 2 2 2 2 8 2 4 6" xfId="0"/>
    <cellStyle name="표준 2 2 2 2 8 2 4 7" xfId="0"/>
    <cellStyle name="표준 2 2 2 2 8 2 4 8" xfId="0"/>
    <cellStyle name="표준 2 2 2 2 8 2 4 9" xfId="0"/>
    <cellStyle name="표준 2 2 2 2 8 2 5" xfId="0"/>
    <cellStyle name="표준 2 2 2 2 8 2 5 10" xfId="0"/>
    <cellStyle name="표준 2 2 2 2 8 2 5 2" xfId="0"/>
    <cellStyle name="표준 2 2 2 2 8 2 5 3" xfId="0"/>
    <cellStyle name="표준 2 2 2 2 8 2 5 4" xfId="0"/>
    <cellStyle name="표준 2 2 2 2 8 2 5 5" xfId="0"/>
    <cellStyle name="표준 2 2 2 2 8 2 5 6" xfId="0"/>
    <cellStyle name="표준 2 2 2 2 8 2 5 7" xfId="0"/>
    <cellStyle name="표준 2 2 2 2 8 2 5 8" xfId="0"/>
    <cellStyle name="표준 2 2 2 2 8 2 5 9" xfId="0"/>
    <cellStyle name="표준 2 2 2 2 8 2 6" xfId="0"/>
    <cellStyle name="표준 2 2 2 2 8 2 6 10" xfId="0"/>
    <cellStyle name="표준 2 2 2 2 8 2 6 2" xfId="0"/>
    <cellStyle name="표준 2 2 2 2 8 2 6 3" xfId="0"/>
    <cellStyle name="표준 2 2 2 2 8 2 6 4" xfId="0"/>
    <cellStyle name="표준 2 2 2 2 8 2 6 5" xfId="0"/>
    <cellStyle name="표준 2 2 2 2 8 2 6 6" xfId="0"/>
    <cellStyle name="표준 2 2 2 2 8 2 6 7" xfId="0"/>
    <cellStyle name="표준 2 2 2 2 8 2 6 8" xfId="0"/>
    <cellStyle name="표준 2 2 2 2 8 2 6 9" xfId="0"/>
    <cellStyle name="표준 2 2 2 2 8 3" xfId="0"/>
    <cellStyle name="표준 2 2 2 2 8 4" xfId="0"/>
    <cellStyle name="표준 2 2 2 2 8 5" xfId="0"/>
    <cellStyle name="표준 2 2 2 2 8 6" xfId="0"/>
    <cellStyle name="표준 2 2 2 2 8 7" xfId="0"/>
    <cellStyle name="표준 2 2 2 2 8 7 2" xfId="0"/>
    <cellStyle name="표준 2 2 2 2 8 8" xfId="0"/>
    <cellStyle name="표준 2 2 2 2 8 8 2" xfId="0"/>
    <cellStyle name="표준 2 2 2 2 8 9" xfId="0"/>
    <cellStyle name="표준 2 2 2 2 8 9 2" xfId="0"/>
    <cellStyle name="표준 2 2 2 2 9" xfId="0"/>
    <cellStyle name="표준 2 2 2 2 9 10" xfId="0"/>
    <cellStyle name="표준 2 2 2 2 9 10 2" xfId="0"/>
    <cellStyle name="표준 2 2 2 2 9 2" xfId="0"/>
    <cellStyle name="표준 2 2 2 2 9 2 2" xfId="0"/>
    <cellStyle name="표준 2 2 2 2 9 3" xfId="0"/>
    <cellStyle name="표준 2 2 2 2 9 3 2" xfId="0"/>
    <cellStyle name="표준 2 2 2 2 9 4" xfId="0"/>
    <cellStyle name="표준 2 2 2 2 9 4 2" xfId="0"/>
    <cellStyle name="표준 2 2 2 2 9 5" xfId="0"/>
    <cellStyle name="표준 2 2 2 2 9 5 2" xfId="0"/>
    <cellStyle name="표준 2 2 2 2 9 6" xfId="0"/>
    <cellStyle name="표준 2 2 2 2 9 6 2" xfId="0"/>
    <cellStyle name="표준 2 2 2 2 9 7" xfId="0"/>
    <cellStyle name="표준 2 2 2 2 9 7 2" xfId="0"/>
    <cellStyle name="표준 2 2 2 2 9 8" xfId="0"/>
    <cellStyle name="표준 2 2 2 2 9 8 2" xfId="0"/>
    <cellStyle name="표준 2 2 2 2 9 9" xfId="0"/>
    <cellStyle name="표준 2 2 2 2 9 9 2" xfId="0"/>
    <cellStyle name="표준 2 2 2 20" xfId="0"/>
    <cellStyle name="표준 2 2 2 20 10" xfId="0"/>
    <cellStyle name="표준 2 2 2 20 2" xfId="0"/>
    <cellStyle name="표준 2 2 2 20 3" xfId="0"/>
    <cellStyle name="표준 2 2 2 20 4" xfId="0"/>
    <cellStyle name="표준 2 2 2 20 5" xfId="0"/>
    <cellStyle name="표준 2 2 2 20 6" xfId="0"/>
    <cellStyle name="표준 2 2 2 20 7" xfId="0"/>
    <cellStyle name="표준 2 2 2 20 8" xfId="0"/>
    <cellStyle name="표준 2 2 2 20 9" xfId="0"/>
    <cellStyle name="표준 2 2 2 21" xfId="0"/>
    <cellStyle name="표준 2 2 2 21 2" xfId="0"/>
    <cellStyle name="표준 2 2 2 21 3" xfId="0"/>
    <cellStyle name="표준 2 2 2 21 4" xfId="0"/>
    <cellStyle name="표준 2 2 2 21 5" xfId="0"/>
    <cellStyle name="표준 2 2 2 21 6" xfId="0"/>
    <cellStyle name="표준 2 2 2 22" xfId="0"/>
    <cellStyle name="표준 2 2 2 22 2" xfId="0"/>
    <cellStyle name="표준 2 2 2 22 3" xfId="0"/>
    <cellStyle name="표준 2 2 2 22 4" xfId="0"/>
    <cellStyle name="표준 2 2 2 22 5" xfId="0"/>
    <cellStyle name="표준 2 2 2 22 6" xfId="0"/>
    <cellStyle name="표준 2 2 2 23" xfId="0"/>
    <cellStyle name="표준 2 2 2 23 2" xfId="0"/>
    <cellStyle name="표준 2 2 2 23 2 2" xfId="0"/>
    <cellStyle name="표준 2 2 2 23 2 3" xfId="0"/>
    <cellStyle name="표준 2 2 2 23 2 4" xfId="0"/>
    <cellStyle name="표준 2 2 2 23 2 5" xfId="0"/>
    <cellStyle name="표준 2 2 2 23 2 6" xfId="0"/>
    <cellStyle name="표준 2 2 2 23 3" xfId="0"/>
    <cellStyle name="표준 2 2 2 23 3 2" xfId="0"/>
    <cellStyle name="표준 2 2 2 23 4" xfId="0"/>
    <cellStyle name="표준 2 2 2 23 4 2" xfId="0"/>
    <cellStyle name="표준 2 2 2 23 5" xfId="0"/>
    <cellStyle name="표준 2 2 2 23 5 2" xfId="0"/>
    <cellStyle name="표준 2 2 2 23 6" xfId="0"/>
    <cellStyle name="표준 2 2 2 23 7" xfId="0"/>
    <cellStyle name="표준 2 2 2 24" xfId="0"/>
    <cellStyle name="표준 2 2 2 24 2" xfId="0"/>
    <cellStyle name="표준 2 2 2 24 2 2" xfId="0"/>
    <cellStyle name="표준 2 2 2 24 3" xfId="0"/>
    <cellStyle name="표준 2 2 2 24 3 2" xfId="0"/>
    <cellStyle name="표준 2 2 2 24 4" xfId="0"/>
    <cellStyle name="표준 2 2 2 24 4 2" xfId="0"/>
    <cellStyle name="표준 2 2 2 24 5" xfId="0"/>
    <cellStyle name="표준 2 2 2 24 5 2" xfId="0"/>
    <cellStyle name="표준 2 2 2 24 6" xfId="0"/>
    <cellStyle name="표준 2 2 2 25" xfId="0"/>
    <cellStyle name="표준 2 2 2 25 2" xfId="0"/>
    <cellStyle name="표준 2 2 2 25 2 2" xfId="0"/>
    <cellStyle name="표준 2 2 2 25 3" xfId="0"/>
    <cellStyle name="표준 2 2 2 25 4" xfId="0"/>
    <cellStyle name="표준 2 2 2 25 5" xfId="0"/>
    <cellStyle name="표준 2 2 2 25 6" xfId="0"/>
    <cellStyle name="표준 2 2 2 26" xfId="0"/>
    <cellStyle name="표준 2 2 2 26 2" xfId="0"/>
    <cellStyle name="표준 2 2 2 26 3" xfId="0"/>
    <cellStyle name="표준 2 2 2 26 4" xfId="0"/>
    <cellStyle name="표준 2 2 2 26 5" xfId="0"/>
    <cellStyle name="표준 2 2 2 26 6" xfId="0"/>
    <cellStyle name="표준 2 2 2 27" xfId="0"/>
    <cellStyle name="표준 2 2 2 27 2" xfId="0"/>
    <cellStyle name="표준 2 2 2 27 3" xfId="0"/>
    <cellStyle name="표준 2 2 2 27 4" xfId="0"/>
    <cellStyle name="표준 2 2 2 27 5" xfId="0"/>
    <cellStyle name="표준 2 2 2 27 6" xfId="0"/>
    <cellStyle name="표준 2 2 2 28" xfId="0"/>
    <cellStyle name="표준 2 2 2 28 2" xfId="0"/>
    <cellStyle name="표준 2 2 2 28 3" xfId="0"/>
    <cellStyle name="표준 2 2 2 28 4" xfId="0"/>
    <cellStyle name="표준 2 2 2 28 5" xfId="0"/>
    <cellStyle name="표준 2 2 2 28 6" xfId="0"/>
    <cellStyle name="표준 2 2 2 29" xfId="0"/>
    <cellStyle name="표준 2 2 2 29 2" xfId="0"/>
    <cellStyle name="표준 2 2 2 29 2 2" xfId="0"/>
    <cellStyle name="표준 2 2 2 29 2 3" xfId="0"/>
    <cellStyle name="표준 2 2 2 29 2 4" xfId="0"/>
    <cellStyle name="표준 2 2 2 29 2 5" xfId="0"/>
    <cellStyle name="표준 2 2 2 29 3" xfId="0"/>
    <cellStyle name="표준 2 2 2 29 4" xfId="0"/>
    <cellStyle name="표준 2 2 2 29 5" xfId="0"/>
    <cellStyle name="표준 2 2 2 29 6" xfId="0"/>
    <cellStyle name="표준 2 2 2 3" xfId="0"/>
    <cellStyle name="표준 2 2 2 3 10" xfId="0"/>
    <cellStyle name="표준 2 2 2 3 10 2" xfId="0"/>
    <cellStyle name="표준 2 2 2 3 11" xfId="0"/>
    <cellStyle name="표준 2 2 2 3 11 2" xfId="0"/>
    <cellStyle name="표준 2 2 2 3 12" xfId="0"/>
    <cellStyle name="표준 2 2 2 3 12 2" xfId="0"/>
    <cellStyle name="표준 2 2 2 3 13" xfId="0"/>
    <cellStyle name="표준 2 2 2 3 13 2" xfId="0"/>
    <cellStyle name="표준 2 2 2 3 14" xfId="0"/>
    <cellStyle name="표준 2 2 2 3 14 2" xfId="0"/>
    <cellStyle name="표준 2 2 2 3 2" xfId="0"/>
    <cellStyle name="표준 2 2 2 3 2 2" xfId="0"/>
    <cellStyle name="표준 2 2 2 3 2 2 10" xfId="0"/>
    <cellStyle name="표준 2 2 2 3 2 2 2" xfId="0"/>
    <cellStyle name="표준 2 2 2 3 2 2 3" xfId="0"/>
    <cellStyle name="표준 2 2 2 3 2 2 4" xfId="0"/>
    <cellStyle name="표준 2 2 2 3 2 2 5" xfId="0"/>
    <cellStyle name="표준 2 2 2 3 2 2 6" xfId="0"/>
    <cellStyle name="표준 2 2 2 3 2 2 7" xfId="0"/>
    <cellStyle name="표준 2 2 2 3 2 2 8" xfId="0"/>
    <cellStyle name="표준 2 2 2 3 2 2 9" xfId="0"/>
    <cellStyle name="표준 2 2 2 3 3" xfId="0"/>
    <cellStyle name="표준 2 2 2 3 3 10" xfId="0"/>
    <cellStyle name="표준 2 2 2 3 3 2" xfId="0"/>
    <cellStyle name="표준 2 2 2 3 3 3" xfId="0"/>
    <cellStyle name="표준 2 2 2 3 3 4" xfId="0"/>
    <cellStyle name="표준 2 2 2 3 3 5" xfId="0"/>
    <cellStyle name="표준 2 2 2 3 3 6" xfId="0"/>
    <cellStyle name="표준 2 2 2 3 3 7" xfId="0"/>
    <cellStyle name="표준 2 2 2 3 3 8" xfId="0"/>
    <cellStyle name="표준 2 2 2 3 3 9" xfId="0"/>
    <cellStyle name="표준 2 2 2 3 4" xfId="0"/>
    <cellStyle name="표준 2 2 2 3 4 10" xfId="0"/>
    <cellStyle name="표준 2 2 2 3 4 2" xfId="0"/>
    <cellStyle name="표준 2 2 2 3 4 3" xfId="0"/>
    <cellStyle name="표준 2 2 2 3 4 4" xfId="0"/>
    <cellStyle name="표준 2 2 2 3 4 5" xfId="0"/>
    <cellStyle name="표준 2 2 2 3 4 6" xfId="0"/>
    <cellStyle name="표준 2 2 2 3 4 7" xfId="0"/>
    <cellStyle name="표준 2 2 2 3 4 8" xfId="0"/>
    <cellStyle name="표준 2 2 2 3 4 9" xfId="0"/>
    <cellStyle name="표준 2 2 2 3 5" xfId="0"/>
    <cellStyle name="표준 2 2 2 3 5 10" xfId="0"/>
    <cellStyle name="표준 2 2 2 3 5 2" xfId="0"/>
    <cellStyle name="표준 2 2 2 3 5 3" xfId="0"/>
    <cellStyle name="표준 2 2 2 3 5 4" xfId="0"/>
    <cellStyle name="표준 2 2 2 3 5 5" xfId="0"/>
    <cellStyle name="표준 2 2 2 3 5 6" xfId="0"/>
    <cellStyle name="표준 2 2 2 3 5 7" xfId="0"/>
    <cellStyle name="표준 2 2 2 3 5 8" xfId="0"/>
    <cellStyle name="표준 2 2 2 3 5 9" xfId="0"/>
    <cellStyle name="표준 2 2 2 3 6" xfId="0"/>
    <cellStyle name="표준 2 2 2 3 6 2" xfId="0"/>
    <cellStyle name="표준 2 2 2 3 7" xfId="0"/>
    <cellStyle name="표준 2 2 2 3 7 2" xfId="0"/>
    <cellStyle name="표준 2 2 2 3 8" xfId="0"/>
    <cellStyle name="표준 2 2 2 3 8 2" xfId="0"/>
    <cellStyle name="표준 2 2 2 3 9" xfId="0"/>
    <cellStyle name="표준 2 2 2 3 9 2" xfId="0"/>
    <cellStyle name="표준 2 2 2 30" xfId="0"/>
    <cellStyle name="표준 2 2 2 30 2" xfId="0"/>
    <cellStyle name="표준 2 2 2 31" xfId="0"/>
    <cellStyle name="표준 2 2 2 31 2" xfId="0"/>
    <cellStyle name="표준 2 2 2 32" xfId="0"/>
    <cellStyle name="표준 2 2 2 33" xfId="0"/>
    <cellStyle name="표준 2 2 2 34" xfId="0"/>
    <cellStyle name="표준 2 2 2 35" xfId="0"/>
    <cellStyle name="표준 2 2 2 36" xfId="0"/>
    <cellStyle name="표준 2 2 2 4" xfId="0"/>
    <cellStyle name="표준 2 2 2 4 10" xfId="0"/>
    <cellStyle name="표준 2 2 2 4 11" xfId="0"/>
    <cellStyle name="표준 2 2 2 4 12" xfId="0"/>
    <cellStyle name="표준 2 2 2 4 13" xfId="0"/>
    <cellStyle name="표준 2 2 2 4 14" xfId="0"/>
    <cellStyle name="표준 2 2 2 4 15" xfId="0"/>
    <cellStyle name="표준 2 2 2 4 16" xfId="0"/>
    <cellStyle name="표준 2 2 2 4 17" xfId="0"/>
    <cellStyle name="표준 2 2 2 4 2" xfId="0"/>
    <cellStyle name="표준 2 2 2 4 2 10" xfId="0"/>
    <cellStyle name="표준 2 2 2 4 2 10 2" xfId="0"/>
    <cellStyle name="표준 2 2 2 4 2 11" xfId="0"/>
    <cellStyle name="표준 2 2 2 4 2 11 2" xfId="0"/>
    <cellStyle name="표준 2 2 2 4 2 12" xfId="0"/>
    <cellStyle name="표준 2 2 2 4 2 12 2" xfId="0"/>
    <cellStyle name="표준 2 2 2 4 2 13" xfId="0"/>
    <cellStyle name="표준 2 2 2 4 2 13 2" xfId="0"/>
    <cellStyle name="표준 2 2 2 4 2 14" xfId="0"/>
    <cellStyle name="표준 2 2 2 4 2 14 2" xfId="0"/>
    <cellStyle name="표준 2 2 2 4 2 2" xfId="0"/>
    <cellStyle name="표준 2 2 2 4 2 2 2" xfId="0"/>
    <cellStyle name="표준 2 2 2 4 2 2 2 10" xfId="0"/>
    <cellStyle name="표준 2 2 2 4 2 2 2 2" xfId="0"/>
    <cellStyle name="표준 2 2 2 4 2 2 2 3" xfId="0"/>
    <cellStyle name="표준 2 2 2 4 2 2 2 4" xfId="0"/>
    <cellStyle name="표준 2 2 2 4 2 2 2 5" xfId="0"/>
    <cellStyle name="표준 2 2 2 4 2 2 2 6" xfId="0"/>
    <cellStyle name="표준 2 2 2 4 2 2 2 7" xfId="0"/>
    <cellStyle name="표준 2 2 2 4 2 2 2 8" xfId="0"/>
    <cellStyle name="표준 2 2 2 4 2 2 2 9" xfId="0"/>
    <cellStyle name="표준 2 2 2 4 2 3" xfId="0"/>
    <cellStyle name="표준 2 2 2 4 2 3 10" xfId="0"/>
    <cellStyle name="표준 2 2 2 4 2 3 2" xfId="0"/>
    <cellStyle name="표준 2 2 2 4 2 3 3" xfId="0"/>
    <cellStyle name="표준 2 2 2 4 2 3 4" xfId="0"/>
    <cellStyle name="표준 2 2 2 4 2 3 5" xfId="0"/>
    <cellStyle name="표준 2 2 2 4 2 3 6" xfId="0"/>
    <cellStyle name="표준 2 2 2 4 2 3 7" xfId="0"/>
    <cellStyle name="표준 2 2 2 4 2 3 8" xfId="0"/>
    <cellStyle name="표준 2 2 2 4 2 3 9" xfId="0"/>
    <cellStyle name="표준 2 2 2 4 2 4" xfId="0"/>
    <cellStyle name="표준 2 2 2 4 2 4 10" xfId="0"/>
    <cellStyle name="표준 2 2 2 4 2 4 2" xfId="0"/>
    <cellStyle name="표준 2 2 2 4 2 4 3" xfId="0"/>
    <cellStyle name="표준 2 2 2 4 2 4 4" xfId="0"/>
    <cellStyle name="표준 2 2 2 4 2 4 5" xfId="0"/>
    <cellStyle name="표준 2 2 2 4 2 4 6" xfId="0"/>
    <cellStyle name="표준 2 2 2 4 2 4 7" xfId="0"/>
    <cellStyle name="표준 2 2 2 4 2 4 8" xfId="0"/>
    <cellStyle name="표준 2 2 2 4 2 4 9" xfId="0"/>
    <cellStyle name="표준 2 2 2 4 2 5" xfId="0"/>
    <cellStyle name="표준 2 2 2 4 2 5 10" xfId="0"/>
    <cellStyle name="표준 2 2 2 4 2 5 2" xfId="0"/>
    <cellStyle name="표준 2 2 2 4 2 5 3" xfId="0"/>
    <cellStyle name="표준 2 2 2 4 2 5 4" xfId="0"/>
    <cellStyle name="표준 2 2 2 4 2 5 5" xfId="0"/>
    <cellStyle name="표준 2 2 2 4 2 5 6" xfId="0"/>
    <cellStyle name="표준 2 2 2 4 2 5 7" xfId="0"/>
    <cellStyle name="표준 2 2 2 4 2 5 8" xfId="0"/>
    <cellStyle name="표준 2 2 2 4 2 5 9" xfId="0"/>
    <cellStyle name="표준 2 2 2 4 2 6" xfId="0"/>
    <cellStyle name="표준 2 2 2 4 2 6 2" xfId="0"/>
    <cellStyle name="표준 2 2 2 4 2 7" xfId="0"/>
    <cellStyle name="표준 2 2 2 4 2 7 2" xfId="0"/>
    <cellStyle name="표준 2 2 2 4 2 8" xfId="0"/>
    <cellStyle name="표준 2 2 2 4 2 8 2" xfId="0"/>
    <cellStyle name="표준 2 2 2 4 2 9" xfId="0"/>
    <cellStyle name="표준 2 2 2 4 2 9 2" xfId="0"/>
    <cellStyle name="표준 2 2 2 4 3" xfId="0"/>
    <cellStyle name="표준 2 2 2 4 3 10" xfId="0"/>
    <cellStyle name="표준 2 2 2 4 3 10 2" xfId="0"/>
    <cellStyle name="표준 2 2 2 4 3 2" xfId="0"/>
    <cellStyle name="표준 2 2 2 4 3 2 2" xfId="0"/>
    <cellStyle name="표준 2 2 2 4 3 3" xfId="0"/>
    <cellStyle name="표준 2 2 2 4 3 3 2" xfId="0"/>
    <cellStyle name="표준 2 2 2 4 3 4" xfId="0"/>
    <cellStyle name="표준 2 2 2 4 3 4 2" xfId="0"/>
    <cellStyle name="표준 2 2 2 4 3 5" xfId="0"/>
    <cellStyle name="표준 2 2 2 4 3 5 2" xfId="0"/>
    <cellStyle name="표준 2 2 2 4 3 6" xfId="0"/>
    <cellStyle name="표준 2 2 2 4 3 6 2" xfId="0"/>
    <cellStyle name="표준 2 2 2 4 3 7" xfId="0"/>
    <cellStyle name="표준 2 2 2 4 3 7 2" xfId="0"/>
    <cellStyle name="표준 2 2 2 4 3 8" xfId="0"/>
    <cellStyle name="표준 2 2 2 4 3 8 2" xfId="0"/>
    <cellStyle name="표준 2 2 2 4 3 9" xfId="0"/>
    <cellStyle name="표준 2 2 2 4 3 9 2" xfId="0"/>
    <cellStyle name="표준 2 2 2 4 4" xfId="0"/>
    <cellStyle name="표준 2 2 2 4 4 10" xfId="0"/>
    <cellStyle name="표준 2 2 2 4 4 10 2" xfId="0"/>
    <cellStyle name="표준 2 2 2 4 4 2" xfId="0"/>
    <cellStyle name="표준 2 2 2 4 4 2 2" xfId="0"/>
    <cellStyle name="표준 2 2 2 4 4 3" xfId="0"/>
    <cellStyle name="표준 2 2 2 4 4 3 2" xfId="0"/>
    <cellStyle name="표준 2 2 2 4 4 4" xfId="0"/>
    <cellStyle name="표준 2 2 2 4 4 4 2" xfId="0"/>
    <cellStyle name="표준 2 2 2 4 4 5" xfId="0"/>
    <cellStyle name="표준 2 2 2 4 4 5 2" xfId="0"/>
    <cellStyle name="표준 2 2 2 4 4 6" xfId="0"/>
    <cellStyle name="표준 2 2 2 4 4 6 2" xfId="0"/>
    <cellStyle name="표준 2 2 2 4 4 7" xfId="0"/>
    <cellStyle name="표준 2 2 2 4 4 7 2" xfId="0"/>
    <cellStyle name="표준 2 2 2 4 4 8" xfId="0"/>
    <cellStyle name="표준 2 2 2 4 4 8 2" xfId="0"/>
    <cellStyle name="표준 2 2 2 4 4 9" xfId="0"/>
    <cellStyle name="표준 2 2 2 4 4 9 2" xfId="0"/>
    <cellStyle name="표준 2 2 2 4 5" xfId="0"/>
    <cellStyle name="표준 2 2 2 4 5 10" xfId="0"/>
    <cellStyle name="표준 2 2 2 4 5 10 2" xfId="0"/>
    <cellStyle name="표준 2 2 2 4 5 2" xfId="0"/>
    <cellStyle name="표준 2 2 2 4 5 2 2" xfId="0"/>
    <cellStyle name="표준 2 2 2 4 5 3" xfId="0"/>
    <cellStyle name="표준 2 2 2 4 5 3 2" xfId="0"/>
    <cellStyle name="표준 2 2 2 4 5 4" xfId="0"/>
    <cellStyle name="표준 2 2 2 4 5 4 2" xfId="0"/>
    <cellStyle name="표준 2 2 2 4 5 5" xfId="0"/>
    <cellStyle name="표준 2 2 2 4 5 5 2" xfId="0"/>
    <cellStyle name="표준 2 2 2 4 5 6" xfId="0"/>
    <cellStyle name="표준 2 2 2 4 5 6 2" xfId="0"/>
    <cellStyle name="표준 2 2 2 4 5 7" xfId="0"/>
    <cellStyle name="표준 2 2 2 4 5 7 2" xfId="0"/>
    <cellStyle name="표준 2 2 2 4 5 8" xfId="0"/>
    <cellStyle name="표준 2 2 2 4 5 8 2" xfId="0"/>
    <cellStyle name="표준 2 2 2 4 5 9" xfId="0"/>
    <cellStyle name="표준 2 2 2 4 5 9 2" xfId="0"/>
    <cellStyle name="표준 2 2 2 4 6" xfId="0"/>
    <cellStyle name="표준 2 2 2 4 6 2" xfId="0"/>
    <cellStyle name="표준 2 2 2 4 7" xfId="0"/>
    <cellStyle name="표준 2 2 2 4 8" xfId="0"/>
    <cellStyle name="표준 2 2 2 4 9" xfId="0"/>
    <cellStyle name="표준 2 2 2 5" xfId="0"/>
    <cellStyle name="표준 2 2 2 5 10" xfId="0"/>
    <cellStyle name="표준 2 2 2 5 10 2" xfId="0"/>
    <cellStyle name="표준 2 2 2 5 11" xfId="0"/>
    <cellStyle name="표준 2 2 2 5 11 2" xfId="0"/>
    <cellStyle name="표준 2 2 2 5 12" xfId="0"/>
    <cellStyle name="표준 2 2 2 5 12 2" xfId="0"/>
    <cellStyle name="표준 2 2 2 5 13" xfId="0"/>
    <cellStyle name="표준 2 2 2 5 13 2" xfId="0"/>
    <cellStyle name="표준 2 2 2 5 14" xfId="0"/>
    <cellStyle name="표준 2 2 2 5 14 2" xfId="0"/>
    <cellStyle name="표준 2 2 2 5 2" xfId="0"/>
    <cellStyle name="표준 2 2 2 5 2 2" xfId="0"/>
    <cellStyle name="표준 2 2 2 5 2 2 10" xfId="0"/>
    <cellStyle name="표준 2 2 2 5 2 2 2" xfId="0"/>
    <cellStyle name="표준 2 2 2 5 2 2 3" xfId="0"/>
    <cellStyle name="표준 2 2 2 5 2 2 4" xfId="0"/>
    <cellStyle name="표준 2 2 2 5 2 2 5" xfId="0"/>
    <cellStyle name="표준 2 2 2 5 2 2 6" xfId="0"/>
    <cellStyle name="표준 2 2 2 5 2 2 7" xfId="0"/>
    <cellStyle name="표준 2 2 2 5 2 2 8" xfId="0"/>
    <cellStyle name="표준 2 2 2 5 2 2 9" xfId="0"/>
    <cellStyle name="표준 2 2 2 5 3" xfId="0"/>
    <cellStyle name="표준 2 2 2 5 3 10" xfId="0"/>
    <cellStyle name="표준 2 2 2 5 3 2" xfId="0"/>
    <cellStyle name="표준 2 2 2 5 3 3" xfId="0"/>
    <cellStyle name="표준 2 2 2 5 3 4" xfId="0"/>
    <cellStyle name="표준 2 2 2 5 3 5" xfId="0"/>
    <cellStyle name="표준 2 2 2 5 3 6" xfId="0"/>
    <cellStyle name="표준 2 2 2 5 3 7" xfId="0"/>
    <cellStyle name="표준 2 2 2 5 3 8" xfId="0"/>
    <cellStyle name="표준 2 2 2 5 3 9" xfId="0"/>
    <cellStyle name="표준 2 2 2 5 4" xfId="0"/>
    <cellStyle name="표준 2 2 2 5 4 10" xfId="0"/>
    <cellStyle name="표준 2 2 2 5 4 2" xfId="0"/>
    <cellStyle name="표준 2 2 2 5 4 3" xfId="0"/>
    <cellStyle name="표준 2 2 2 5 4 4" xfId="0"/>
    <cellStyle name="표준 2 2 2 5 4 5" xfId="0"/>
    <cellStyle name="표준 2 2 2 5 4 6" xfId="0"/>
    <cellStyle name="표준 2 2 2 5 4 7" xfId="0"/>
    <cellStyle name="표준 2 2 2 5 4 8" xfId="0"/>
    <cellStyle name="표준 2 2 2 5 4 9" xfId="0"/>
    <cellStyle name="표준 2 2 2 5 5" xfId="0"/>
    <cellStyle name="표준 2 2 2 5 5 10" xfId="0"/>
    <cellStyle name="표준 2 2 2 5 5 2" xfId="0"/>
    <cellStyle name="표준 2 2 2 5 5 3" xfId="0"/>
    <cellStyle name="표준 2 2 2 5 5 4" xfId="0"/>
    <cellStyle name="표준 2 2 2 5 5 5" xfId="0"/>
    <cellStyle name="표준 2 2 2 5 5 6" xfId="0"/>
    <cellStyle name="표준 2 2 2 5 5 7" xfId="0"/>
    <cellStyle name="표준 2 2 2 5 5 8" xfId="0"/>
    <cellStyle name="표준 2 2 2 5 5 9" xfId="0"/>
    <cellStyle name="표준 2 2 2 5 6" xfId="0"/>
    <cellStyle name="표준 2 2 2 5 6 2" xfId="0"/>
    <cellStyle name="표준 2 2 2 5 7" xfId="0"/>
    <cellStyle name="표준 2 2 2 5 7 2" xfId="0"/>
    <cellStyle name="표준 2 2 2 5 8" xfId="0"/>
    <cellStyle name="표준 2 2 2 5 8 2" xfId="0"/>
    <cellStyle name="표준 2 2 2 5 9" xfId="0"/>
    <cellStyle name="표준 2 2 2 5 9 2" xfId="0"/>
    <cellStyle name="표준 2 2 2 6" xfId="0"/>
    <cellStyle name="표준 2 2 2 6 10" xfId="0"/>
    <cellStyle name="표준 2 2 2 6 10 2" xfId="0"/>
    <cellStyle name="표준 2 2 2 6 11" xfId="0"/>
    <cellStyle name="표준 2 2 2 6 11 2" xfId="0"/>
    <cellStyle name="표준 2 2 2 6 12" xfId="0"/>
    <cellStyle name="표준 2 2 2 6 12 2" xfId="0"/>
    <cellStyle name="표준 2 2 2 6 13" xfId="0"/>
    <cellStyle name="표준 2 2 2 6 13 2" xfId="0"/>
    <cellStyle name="표준 2 2 2 6 14" xfId="0"/>
    <cellStyle name="표준 2 2 2 6 14 2" xfId="0"/>
    <cellStyle name="표준 2 2 2 6 2" xfId="0"/>
    <cellStyle name="표준 2 2 2 6 2 2" xfId="0"/>
    <cellStyle name="표준 2 2 2 6 2 2 10" xfId="0"/>
    <cellStyle name="표준 2 2 2 6 2 2 2" xfId="0"/>
    <cellStyle name="표준 2 2 2 6 2 2 3" xfId="0"/>
    <cellStyle name="표준 2 2 2 6 2 2 4" xfId="0"/>
    <cellStyle name="표준 2 2 2 6 2 2 5" xfId="0"/>
    <cellStyle name="표준 2 2 2 6 2 2 6" xfId="0"/>
    <cellStyle name="표준 2 2 2 6 2 2 7" xfId="0"/>
    <cellStyle name="표준 2 2 2 6 2 2 8" xfId="0"/>
    <cellStyle name="표준 2 2 2 6 2 2 9" xfId="0"/>
    <cellStyle name="표준 2 2 2 6 3" xfId="0"/>
    <cellStyle name="표준 2 2 2 6 3 10" xfId="0"/>
    <cellStyle name="표준 2 2 2 6 3 2" xfId="0"/>
    <cellStyle name="표준 2 2 2 6 3 3" xfId="0"/>
    <cellStyle name="표준 2 2 2 6 3 4" xfId="0"/>
    <cellStyle name="표준 2 2 2 6 3 5" xfId="0"/>
    <cellStyle name="표준 2 2 2 6 3 6" xfId="0"/>
    <cellStyle name="표준 2 2 2 6 3 7" xfId="0"/>
    <cellStyle name="표준 2 2 2 6 3 8" xfId="0"/>
    <cellStyle name="표준 2 2 2 6 3 9" xfId="0"/>
    <cellStyle name="표준 2 2 2 6 4" xfId="0"/>
    <cellStyle name="표준 2 2 2 6 4 10" xfId="0"/>
    <cellStyle name="표준 2 2 2 6 4 2" xfId="0"/>
    <cellStyle name="표준 2 2 2 6 4 3" xfId="0"/>
    <cellStyle name="표준 2 2 2 6 4 4" xfId="0"/>
    <cellStyle name="표준 2 2 2 6 4 5" xfId="0"/>
    <cellStyle name="표준 2 2 2 6 4 6" xfId="0"/>
    <cellStyle name="표준 2 2 2 6 4 7" xfId="0"/>
    <cellStyle name="표준 2 2 2 6 4 8" xfId="0"/>
    <cellStyle name="표준 2 2 2 6 4 9" xfId="0"/>
    <cellStyle name="표준 2 2 2 6 5" xfId="0"/>
    <cellStyle name="표준 2 2 2 6 5 10" xfId="0"/>
    <cellStyle name="표준 2 2 2 6 5 2" xfId="0"/>
    <cellStyle name="표준 2 2 2 6 5 3" xfId="0"/>
    <cellStyle name="표준 2 2 2 6 5 4" xfId="0"/>
    <cellStyle name="표준 2 2 2 6 5 5" xfId="0"/>
    <cellStyle name="표준 2 2 2 6 5 6" xfId="0"/>
    <cellStyle name="표준 2 2 2 6 5 7" xfId="0"/>
    <cellStyle name="표준 2 2 2 6 5 8" xfId="0"/>
    <cellStyle name="표준 2 2 2 6 5 9" xfId="0"/>
    <cellStyle name="표준 2 2 2 6 6" xfId="0"/>
    <cellStyle name="표준 2 2 2 6 6 2" xfId="0"/>
    <cellStyle name="표준 2 2 2 6 7" xfId="0"/>
    <cellStyle name="표준 2 2 2 6 7 2" xfId="0"/>
    <cellStyle name="표준 2 2 2 6 8" xfId="0"/>
    <cellStyle name="표준 2 2 2 6 8 2" xfId="0"/>
    <cellStyle name="표준 2 2 2 6 9" xfId="0"/>
    <cellStyle name="표준 2 2 2 6 9 2" xfId="0"/>
    <cellStyle name="표준 2 2 2 7" xfId="0"/>
    <cellStyle name="표준 2 2 2 7 10" xfId="0"/>
    <cellStyle name="표준 2 2 2 7 11" xfId="0"/>
    <cellStyle name="표준 2 2 2 7 12" xfId="0"/>
    <cellStyle name="표준 2 2 2 7 13" xfId="0"/>
    <cellStyle name="표준 2 2 2 7 14" xfId="0"/>
    <cellStyle name="표준 2 2 2 7 2" xfId="0"/>
    <cellStyle name="표준 2 2 2 7 2 2" xfId="0"/>
    <cellStyle name="표준 2 2 2 7 3" xfId="0"/>
    <cellStyle name="표준 2 2 2 7 4" xfId="0"/>
    <cellStyle name="표준 2 2 2 7 5" xfId="0"/>
    <cellStyle name="표준 2 2 2 7 6" xfId="0"/>
    <cellStyle name="표준 2 2 2 7 7" xfId="0"/>
    <cellStyle name="표준 2 2 2 7 8" xfId="0"/>
    <cellStyle name="표준 2 2 2 7 9" xfId="0"/>
    <cellStyle name="표준 2 2 2 8" xfId="0"/>
    <cellStyle name="표준 2 2 2 8 10" xfId="0"/>
    <cellStyle name="표준 2 2 2 8 11" xfId="0"/>
    <cellStyle name="표준 2 2 2 8 12" xfId="0"/>
    <cellStyle name="표준 2 2 2 8 13" xfId="0"/>
    <cellStyle name="표준 2 2 2 8 2" xfId="0"/>
    <cellStyle name="표준 2 2 2 8 3" xfId="0"/>
    <cellStyle name="표준 2 2 2 8 4" xfId="0"/>
    <cellStyle name="표준 2 2 2 8 5" xfId="0"/>
    <cellStyle name="표준 2 2 2 8 6" xfId="0"/>
    <cellStyle name="표준 2 2 2 8 7" xfId="0"/>
    <cellStyle name="표준 2 2 2 8 8" xfId="0"/>
    <cellStyle name="표준 2 2 2 8 9" xfId="0"/>
    <cellStyle name="표준 2 2 2 9" xfId="0"/>
    <cellStyle name="표준 2 2 2 9 10" xfId="0"/>
    <cellStyle name="표준 2 2 2 9 2" xfId="0"/>
    <cellStyle name="표준 2 2 2 9 3" xfId="0"/>
    <cellStyle name="표준 2 2 2 9 4" xfId="0"/>
    <cellStyle name="표준 2 2 2 9 5" xfId="0"/>
    <cellStyle name="표준 2 2 2 9 6" xfId="0"/>
    <cellStyle name="표준 2 2 2 9 7" xfId="0"/>
    <cellStyle name="표준 2 2 2 9 8" xfId="0"/>
    <cellStyle name="표준 2 2 2 9 9" xfId="0"/>
    <cellStyle name="표준 2 2 20" xfId="0"/>
    <cellStyle name="표준 2 2 20 2" xfId="0"/>
    <cellStyle name="표준 2 2 20 2 2" xfId="0"/>
    <cellStyle name="표준 2 2 20 2 2 2" xfId="0"/>
    <cellStyle name="표준 2 2 20 2 2 3" xfId="0"/>
    <cellStyle name="표준 2 2 20 2 2 4" xfId="0"/>
    <cellStyle name="표준 2 2 20 2 2 5" xfId="0"/>
    <cellStyle name="표준 2 2 20 2 3" xfId="0"/>
    <cellStyle name="표준 2 2 20 2 4" xfId="0"/>
    <cellStyle name="표준 2 2 20 2 5" xfId="0"/>
    <cellStyle name="표준 2 2 20 3" xfId="0"/>
    <cellStyle name="표준 2 2 20 4" xfId="0"/>
    <cellStyle name="표준 2 2 20 5" xfId="0"/>
    <cellStyle name="표준 2 2 20 6" xfId="0"/>
    <cellStyle name="표준 2 2 20 7" xfId="0"/>
    <cellStyle name="표준 2 2 21" xfId="0"/>
    <cellStyle name="표준 2 2 21 2" xfId="0"/>
    <cellStyle name="표준 2 2 21 2 2" xfId="0"/>
    <cellStyle name="표준 2 2 21 2 3" xfId="0"/>
    <cellStyle name="표준 2 2 21 2 4" xfId="0"/>
    <cellStyle name="표준 2 2 21 2 5" xfId="0"/>
    <cellStyle name="표준 2 2 21 3" xfId="0"/>
    <cellStyle name="표준 2 2 21 4" xfId="0"/>
    <cellStyle name="표준 2 2 21 5" xfId="0"/>
    <cellStyle name="표준 2 2 21 6" xfId="0"/>
    <cellStyle name="표준 2 2 22" xfId="0"/>
    <cellStyle name="표준 2 2 22 2" xfId="0"/>
    <cellStyle name="표준 2 2 22 2 2" xfId="0"/>
    <cellStyle name="표준 2 2 22 2 3" xfId="0"/>
    <cellStyle name="표준 2 2 22 2 4" xfId="0"/>
    <cellStyle name="표준 2 2 22 2 5" xfId="0"/>
    <cellStyle name="표준 2 2 22 3" xfId="0"/>
    <cellStyle name="표준 2 2 22 4" xfId="0"/>
    <cellStyle name="표준 2 2 22 5" xfId="0"/>
    <cellStyle name="표준 2 2 22 6" xfId="0"/>
    <cellStyle name="표준 2 2 23" xfId="0"/>
    <cellStyle name="표준 2 2 23 2" xfId="0"/>
    <cellStyle name="표준 2 2 23 2 2" xfId="0"/>
    <cellStyle name="표준 2 2 23 2 3" xfId="0"/>
    <cellStyle name="표준 2 2 23 2 4" xfId="0"/>
    <cellStyle name="표준 2 2 23 2 5" xfId="0"/>
    <cellStyle name="표준 2 2 23 3" xfId="0"/>
    <cellStyle name="표준 2 2 23 4" xfId="0"/>
    <cellStyle name="표준 2 2 23 5" xfId="0"/>
    <cellStyle name="표준 2 2 23 6" xfId="0"/>
    <cellStyle name="표준 2 2 24" xfId="0"/>
    <cellStyle name="표준 2 2 24 2" xfId="0"/>
    <cellStyle name="표준 2 2 24 2 2" xfId="0"/>
    <cellStyle name="표준 2 2 24 2 3" xfId="0"/>
    <cellStyle name="표준 2 2 24 2 4" xfId="0"/>
    <cellStyle name="표준 2 2 24 2 5" xfId="0"/>
    <cellStyle name="표준 2 2 24 3" xfId="0"/>
    <cellStyle name="표준 2 2 24 4" xfId="0"/>
    <cellStyle name="표준 2 2 24 5" xfId="0"/>
    <cellStyle name="표준 2 2 24 6" xfId="0"/>
    <cellStyle name="표준 2 2 25" xfId="0"/>
    <cellStyle name="표준 2 2 25 2" xfId="0"/>
    <cellStyle name="표준 2 2 25 2 2" xfId="0"/>
    <cellStyle name="표준 2 2 25 2 3" xfId="0"/>
    <cellStyle name="표준 2 2 25 2 4" xfId="0"/>
    <cellStyle name="표준 2 2 25 2 5" xfId="0"/>
    <cellStyle name="표준 2 2 25 3" xfId="0"/>
    <cellStyle name="표준 2 2 25 4" xfId="0"/>
    <cellStyle name="표준 2 2 25 5" xfId="0"/>
    <cellStyle name="표준 2 2 25 6" xfId="0"/>
    <cellStyle name="표준 2 2 26" xfId="0"/>
    <cellStyle name="표준 2 2 26 2" xfId="0"/>
    <cellStyle name="표준 2 2 26 2 2" xfId="0"/>
    <cellStyle name="표준 2 2 26 2 3" xfId="0"/>
    <cellStyle name="표준 2 2 26 2 4" xfId="0"/>
    <cellStyle name="표준 2 2 26 2 5" xfId="0"/>
    <cellStyle name="표준 2 2 26 3" xfId="0"/>
    <cellStyle name="표준 2 2 26 4" xfId="0"/>
    <cellStyle name="표준 2 2 26 5" xfId="0"/>
    <cellStyle name="표준 2 2 26 6" xfId="0"/>
    <cellStyle name="표준 2 2 27" xfId="0"/>
    <cellStyle name="표준 2 2 28" xfId="0"/>
    <cellStyle name="표준 2 2 29" xfId="0"/>
    <cellStyle name="표준 2 2 29 2" xfId="0"/>
    <cellStyle name="표준 2 2 29 2 2" xfId="0"/>
    <cellStyle name="표준 2 2 29 2 2 2" xfId="0"/>
    <cellStyle name="표준 2 2 29 2 2 3" xfId="0"/>
    <cellStyle name="표준 2 2 29 2 2 4" xfId="0"/>
    <cellStyle name="표준 2 2 29 2 2 5" xfId="0"/>
    <cellStyle name="표준 2 2 29 2 3" xfId="0"/>
    <cellStyle name="표준 2 2 29 2 4" xfId="0"/>
    <cellStyle name="표준 2 2 29 2 5" xfId="0"/>
    <cellStyle name="표준 2 2 29 3" xfId="0"/>
    <cellStyle name="표준 2 2 29 4" xfId="0"/>
    <cellStyle name="표준 2 2 29 5" xfId="0"/>
    <cellStyle name="표준 2 2 29 6" xfId="0"/>
    <cellStyle name="표준 2 2 3" xfId="0"/>
    <cellStyle name="표준 2 2 3 10" xfId="0"/>
    <cellStyle name="표준 2 2 3 10 2" xfId="0"/>
    <cellStyle name="표준 2 2 3 10 3" xfId="0"/>
    <cellStyle name="표준 2 2 3 10 4" xfId="0"/>
    <cellStyle name="표준 2 2 3 10 5" xfId="0"/>
    <cellStyle name="표준 2 2 3 10 6" xfId="0"/>
    <cellStyle name="표준 2 2 3 11" xfId="0"/>
    <cellStyle name="표준 2 2 3 11 2" xfId="0"/>
    <cellStyle name="표준 2 2 3 12" xfId="0"/>
    <cellStyle name="표준 2 2 3 12 2" xfId="0"/>
    <cellStyle name="표준 2 2 3 13" xfId="0"/>
    <cellStyle name="표준 2 2 3 13 2" xfId="0"/>
    <cellStyle name="표준 2 2 3 14" xfId="0"/>
    <cellStyle name="표준 2 2 3 14 2" xfId="0"/>
    <cellStyle name="표준 2 2 3 15" xfId="0"/>
    <cellStyle name="표준 2 2 3 15 2" xfId="0"/>
    <cellStyle name="표준 2 2 3 16" xfId="0"/>
    <cellStyle name="표준 2 2 3 16 2" xfId="0"/>
    <cellStyle name="표준 2 2 3 17" xfId="0"/>
    <cellStyle name="표준 2 2 3 17 2" xfId="0"/>
    <cellStyle name="표준 2 2 3 18" xfId="0"/>
    <cellStyle name="표준 2 2 3 18 2" xfId="0"/>
    <cellStyle name="표준 2 2 3 19" xfId="0"/>
    <cellStyle name="표준 2 2 3 19 2" xfId="0"/>
    <cellStyle name="표준 2 2 3 2" xfId="0"/>
    <cellStyle name="표준 2 2 3 2 10" xfId="0"/>
    <cellStyle name="표준 2 2 3 2 11" xfId="0"/>
    <cellStyle name="표준 2 2 3 2 12" xfId="0"/>
    <cellStyle name="표준 2 2 3 2 13" xfId="0"/>
    <cellStyle name="표준 2 2 3 2 14" xfId="0"/>
    <cellStyle name="표준 2 2 3 2 15" xfId="0"/>
    <cellStyle name="표준 2 2 3 2 16" xfId="0"/>
    <cellStyle name="표준 2 2 3 2 2" xfId="0"/>
    <cellStyle name="표준 2 2 3 2 2 10" xfId="0"/>
    <cellStyle name="표준 2 2 3 2 2 11" xfId="0"/>
    <cellStyle name="표준 2 2 3 2 2 12" xfId="0"/>
    <cellStyle name="표준 2 2 3 2 2 13" xfId="0"/>
    <cellStyle name="표준 2 2 3 2 2 14" xfId="0"/>
    <cellStyle name="표준 2 2 3 2 2 15" xfId="0"/>
    <cellStyle name="표준 2 2 3 2 2 16" xfId="0"/>
    <cellStyle name="표준 2 2 3 2 2 2" xfId="0"/>
    <cellStyle name="표준 2 2 3 2 2 2 2" xfId="0"/>
    <cellStyle name="표준 2 2 3 2 2 3" xfId="0"/>
    <cellStyle name="표준 2 2 3 2 2 3 2" xfId="0"/>
    <cellStyle name="표준 2 2 3 2 2 4" xfId="0"/>
    <cellStyle name="표준 2 2 3 2 2 4 2" xfId="0"/>
    <cellStyle name="표준 2 2 3 2 2 5" xfId="0"/>
    <cellStyle name="표준 2 2 3 2 2 5 2" xfId="0"/>
    <cellStyle name="표준 2 2 3 2 2 6" xfId="0"/>
    <cellStyle name="표준 2 2 3 2 2 6 2" xfId="0"/>
    <cellStyle name="표준 2 2 3 2 2 7" xfId="0"/>
    <cellStyle name="표준 2 2 3 2 2 8" xfId="0"/>
    <cellStyle name="표준 2 2 3 2 2 9" xfId="0"/>
    <cellStyle name="표준 2 2 3 2 3" xfId="0"/>
    <cellStyle name="표준 2 2 3 2 4" xfId="0"/>
    <cellStyle name="표준 2 2 3 2 5" xfId="0"/>
    <cellStyle name="표준 2 2 3 2 6" xfId="0"/>
    <cellStyle name="표준 2 2 3 2 7" xfId="0"/>
    <cellStyle name="표준 2 2 3 2 8" xfId="0"/>
    <cellStyle name="표준 2 2 3 2 9" xfId="0"/>
    <cellStyle name="표준 2 2 3 20" xfId="0"/>
    <cellStyle name="표준 2 2 3 21" xfId="0"/>
    <cellStyle name="표준 2 2 3 22" xfId="0"/>
    <cellStyle name="표준 2 2 3 23" xfId="0"/>
    <cellStyle name="표준 2 2 3 24" xfId="0"/>
    <cellStyle name="표준 2 2 3 3" xfId="0"/>
    <cellStyle name="표준 2 2 3 3 10" xfId="0"/>
    <cellStyle name="표준 2 2 3 3 2" xfId="0"/>
    <cellStyle name="표준 2 2 3 3 3" xfId="0"/>
    <cellStyle name="표준 2 2 3 3 4" xfId="0"/>
    <cellStyle name="표준 2 2 3 3 5" xfId="0"/>
    <cellStyle name="표준 2 2 3 3 6" xfId="0"/>
    <cellStyle name="표준 2 2 3 3 7" xfId="0"/>
    <cellStyle name="표준 2 2 3 3 8" xfId="0"/>
    <cellStyle name="표준 2 2 3 3 9" xfId="0"/>
    <cellStyle name="표준 2 2 3 4" xfId="0"/>
    <cellStyle name="표준 2 2 3 4 10" xfId="0"/>
    <cellStyle name="표준 2 2 3 4 2" xfId="0"/>
    <cellStyle name="표준 2 2 3 4 3" xfId="0"/>
    <cellStyle name="표준 2 2 3 4 4" xfId="0"/>
    <cellStyle name="표준 2 2 3 4 5" xfId="0"/>
    <cellStyle name="표준 2 2 3 4 6" xfId="0"/>
    <cellStyle name="표준 2 2 3 4 7" xfId="0"/>
    <cellStyle name="표준 2 2 3 4 8" xfId="0"/>
    <cellStyle name="표준 2 2 3 4 9" xfId="0"/>
    <cellStyle name="표준 2 2 3 5" xfId="0"/>
    <cellStyle name="표준 2 2 3 5 10" xfId="0"/>
    <cellStyle name="표준 2 2 3 5 2" xfId="0"/>
    <cellStyle name="표준 2 2 3 5 3" xfId="0"/>
    <cellStyle name="표준 2 2 3 5 4" xfId="0"/>
    <cellStyle name="표준 2 2 3 5 5" xfId="0"/>
    <cellStyle name="표준 2 2 3 5 6" xfId="0"/>
    <cellStyle name="표준 2 2 3 5 7" xfId="0"/>
    <cellStyle name="표준 2 2 3 5 8" xfId="0"/>
    <cellStyle name="표준 2 2 3 5 9" xfId="0"/>
    <cellStyle name="표준 2 2 3 6" xfId="0"/>
    <cellStyle name="표준 2 2 3 6 2" xfId="0"/>
    <cellStyle name="표준 2 2 3 7" xfId="0"/>
    <cellStyle name="표준 2 2 3 7 2" xfId="0"/>
    <cellStyle name="표준 2 2 3 8" xfId="0"/>
    <cellStyle name="표준 2 2 3 8 2" xfId="0"/>
    <cellStyle name="표준 2 2 3 9" xfId="0"/>
    <cellStyle name="표준 2 2 3 9 2" xfId="0"/>
    <cellStyle name="표준 2 2 30" xfId="0"/>
    <cellStyle name="표준 2 2 30 2" xfId="0"/>
    <cellStyle name="표준 2 2 30 3" xfId="0"/>
    <cellStyle name="표준 2 2 30 4" xfId="0"/>
    <cellStyle name="표준 2 2 30 5" xfId="0"/>
    <cellStyle name="표준 2 2 31" xfId="0"/>
    <cellStyle name="표준 2 2 32" xfId="0"/>
    <cellStyle name="표준 2 2 33" xfId="0"/>
    <cellStyle name="표준 2 2 34" xfId="0"/>
    <cellStyle name="표준 2 2 35" xfId="0"/>
    <cellStyle name="표준 2 2 36" xfId="0"/>
    <cellStyle name="표준 2 2 37" xfId="0"/>
    <cellStyle name="표준 2 2 38" xfId="0"/>
    <cellStyle name="표준 2 2 39" xfId="0"/>
    <cellStyle name="표준 2 2 39 2" xfId="0"/>
    <cellStyle name="표준 2 2 39 3" xfId="0"/>
    <cellStyle name="표준 2 2 39 4" xfId="0"/>
    <cellStyle name="표준 2 2 39 5" xfId="0"/>
    <cellStyle name="표준 2 2 4" xfId="0"/>
    <cellStyle name="표준 2 2 4 10" xfId="0"/>
    <cellStyle name="표준 2 2 4 10 10" xfId="0"/>
    <cellStyle name="표준 2 2 4 10 2" xfId="0"/>
    <cellStyle name="표준 2 2 4 10 3" xfId="0"/>
    <cellStyle name="표준 2 2 4 10 4" xfId="0"/>
    <cellStyle name="표준 2 2 4 10 5" xfId="0"/>
    <cellStyle name="표준 2 2 4 10 6" xfId="0"/>
    <cellStyle name="표준 2 2 4 10 7" xfId="0"/>
    <cellStyle name="표준 2 2 4 10 8" xfId="0"/>
    <cellStyle name="표준 2 2 4 10 9" xfId="0"/>
    <cellStyle name="표준 2 2 4 11" xfId="0"/>
    <cellStyle name="표준 2 2 4 11 2" xfId="0"/>
    <cellStyle name="표준 2 2 4 12" xfId="0"/>
    <cellStyle name="표준 2 2 4 12 2" xfId="0"/>
    <cellStyle name="표준 2 2 4 13" xfId="0"/>
    <cellStyle name="표준 2 2 4 13 2" xfId="0"/>
    <cellStyle name="표준 2 2 4 14" xfId="0"/>
    <cellStyle name="표준 2 2 4 14 2" xfId="0"/>
    <cellStyle name="표준 2 2 4 15" xfId="0"/>
    <cellStyle name="표준 2 2 4 15 2" xfId="0"/>
    <cellStyle name="표준 2 2 4 16" xfId="0"/>
    <cellStyle name="표준 2 2 4 16 2" xfId="0"/>
    <cellStyle name="표준 2 2 4 17" xfId="0"/>
    <cellStyle name="표준 2 2 4 17 2" xfId="0"/>
    <cellStyle name="표준 2 2 4 18" xfId="0"/>
    <cellStyle name="표준 2 2 4 18 2" xfId="0"/>
    <cellStyle name="표준 2 2 4 19" xfId="0"/>
    <cellStyle name="표준 2 2 4 19 2" xfId="0"/>
    <cellStyle name="표준 2 2 4 2" xfId="0"/>
    <cellStyle name="표준 2 2 4 2 10" xfId="0"/>
    <cellStyle name="표준 2 2 4 2 2" xfId="0"/>
    <cellStyle name="표준 2 2 4 2 2 10" xfId="0"/>
    <cellStyle name="표준 2 2 4 2 2 11" xfId="0"/>
    <cellStyle name="표준 2 2 4 2 2 12" xfId="0"/>
    <cellStyle name="표준 2 2 4 2 2 13" xfId="0"/>
    <cellStyle name="표준 2 2 4 2 2 14" xfId="0"/>
    <cellStyle name="표준 2 2 4 2 2 15" xfId="0"/>
    <cellStyle name="표준 2 2 4 2 2 16" xfId="0"/>
    <cellStyle name="표준 2 2 4 2 2 17" xfId="0"/>
    <cellStyle name="표준 2 2 4 2 2 2" xfId="0"/>
    <cellStyle name="표준 2 2 4 2 2 2 2" xfId="0"/>
    <cellStyle name="표준 2 2 4 2 2 2 2 10" xfId="0"/>
    <cellStyle name="표준 2 2 4 2 2 2 2 11" xfId="0"/>
    <cellStyle name="표준 2 2 4 2 2 2 2 2" xfId="0"/>
    <cellStyle name="표준 2 2 4 2 2 2 2 3" xfId="0"/>
    <cellStyle name="표준 2 2 4 2 2 2 2 4" xfId="0"/>
    <cellStyle name="표준 2 2 4 2 2 2 2 5" xfId="0"/>
    <cellStyle name="표준 2 2 4 2 2 2 2 6" xfId="0"/>
    <cellStyle name="표준 2 2 4 2 2 2 2 7" xfId="0"/>
    <cellStyle name="표준 2 2 4 2 2 2 2 8" xfId="0"/>
    <cellStyle name="표준 2 2 4 2 2 2 2 9" xfId="0"/>
    <cellStyle name="표준 2 2 4 2 2 2 3" xfId="0"/>
    <cellStyle name="표준 2 2 4 2 2 2 4" xfId="0"/>
    <cellStyle name="표준 2 2 4 2 2 2 5" xfId="0"/>
    <cellStyle name="표준 2 2 4 2 2 3" xfId="0"/>
    <cellStyle name="표준 2 2 4 2 2 4" xfId="0"/>
    <cellStyle name="표준 2 2 4 2 2 5" xfId="0"/>
    <cellStyle name="표준 2 2 4 2 2 6" xfId="0"/>
    <cellStyle name="표준 2 2 4 2 2 6 2" xfId="0"/>
    <cellStyle name="표준 2 2 4 2 2 6 2 10" xfId="0"/>
    <cellStyle name="표준 2 2 4 2 2 6 2 2" xfId="0"/>
    <cellStyle name="표준 2 2 4 2 2 6 2 3" xfId="0"/>
    <cellStyle name="표준 2 2 4 2 2 6 2 4" xfId="0"/>
    <cellStyle name="표준 2 2 4 2 2 6 2 5" xfId="0"/>
    <cellStyle name="표준 2 2 4 2 2 6 2 6" xfId="0"/>
    <cellStyle name="표준 2 2 4 2 2 6 2 7" xfId="0"/>
    <cellStyle name="표준 2 2 4 2 2 6 2 8" xfId="0"/>
    <cellStyle name="표준 2 2 4 2 2 6 2 9" xfId="0"/>
    <cellStyle name="표준 2 2 4 2 2 7" xfId="0"/>
    <cellStyle name="표준 2 2 4 2 2 7 10" xfId="0"/>
    <cellStyle name="표준 2 2 4 2 2 7 2" xfId="0"/>
    <cellStyle name="표준 2 2 4 2 2 7 3" xfId="0"/>
    <cellStyle name="표준 2 2 4 2 2 7 4" xfId="0"/>
    <cellStyle name="표준 2 2 4 2 2 7 5" xfId="0"/>
    <cellStyle name="표준 2 2 4 2 2 7 6" xfId="0"/>
    <cellStyle name="표준 2 2 4 2 2 7 7" xfId="0"/>
    <cellStyle name="표준 2 2 4 2 2 7 8" xfId="0"/>
    <cellStyle name="표준 2 2 4 2 2 7 9" xfId="0"/>
    <cellStyle name="표준 2 2 4 2 2 8" xfId="0"/>
    <cellStyle name="표준 2 2 4 2 2 8 10" xfId="0"/>
    <cellStyle name="표준 2 2 4 2 2 8 2" xfId="0"/>
    <cellStyle name="표준 2 2 4 2 2 8 3" xfId="0"/>
    <cellStyle name="표준 2 2 4 2 2 8 4" xfId="0"/>
    <cellStyle name="표준 2 2 4 2 2 8 5" xfId="0"/>
    <cellStyle name="표준 2 2 4 2 2 8 6" xfId="0"/>
    <cellStyle name="표준 2 2 4 2 2 8 7" xfId="0"/>
    <cellStyle name="표준 2 2 4 2 2 8 8" xfId="0"/>
    <cellStyle name="표준 2 2 4 2 2 8 9" xfId="0"/>
    <cellStyle name="표준 2 2 4 2 2 9" xfId="0"/>
    <cellStyle name="표준 2 2 4 2 3" xfId="0"/>
    <cellStyle name="표준 2 2 4 2 4" xfId="0"/>
    <cellStyle name="표준 2 2 4 2 5" xfId="0"/>
    <cellStyle name="표준 2 2 4 2 5 10" xfId="0"/>
    <cellStyle name="표준 2 2 4 2 5 2" xfId="0"/>
    <cellStyle name="표준 2 2 4 2 5 3" xfId="0"/>
    <cellStyle name="표준 2 2 4 2 5 4" xfId="0"/>
    <cellStyle name="표준 2 2 4 2 5 5" xfId="0"/>
    <cellStyle name="표준 2 2 4 2 5 6" xfId="0"/>
    <cellStyle name="표준 2 2 4 2 5 7" xfId="0"/>
    <cellStyle name="표준 2 2 4 2 5 8" xfId="0"/>
    <cellStyle name="표준 2 2 4 2 5 9" xfId="0"/>
    <cellStyle name="표준 2 2 4 2 6" xfId="0"/>
    <cellStyle name="표준 2 2 4 2 6 10" xfId="0"/>
    <cellStyle name="표준 2 2 4 2 6 2" xfId="0"/>
    <cellStyle name="표준 2 2 4 2 6 3" xfId="0"/>
    <cellStyle name="표준 2 2 4 2 6 4" xfId="0"/>
    <cellStyle name="표준 2 2 4 2 6 5" xfId="0"/>
    <cellStyle name="표준 2 2 4 2 6 6" xfId="0"/>
    <cellStyle name="표준 2 2 4 2 6 7" xfId="0"/>
    <cellStyle name="표준 2 2 4 2 6 8" xfId="0"/>
    <cellStyle name="표준 2 2 4 2 6 9" xfId="0"/>
    <cellStyle name="표준 2 2 4 2 7" xfId="0"/>
    <cellStyle name="표준 2 2 4 2 7 10" xfId="0"/>
    <cellStyle name="표준 2 2 4 2 7 2" xfId="0"/>
    <cellStyle name="표준 2 2 4 2 7 3" xfId="0"/>
    <cellStyle name="표준 2 2 4 2 7 4" xfId="0"/>
    <cellStyle name="표준 2 2 4 2 7 5" xfId="0"/>
    <cellStyle name="표준 2 2 4 2 7 6" xfId="0"/>
    <cellStyle name="표준 2 2 4 2 7 7" xfId="0"/>
    <cellStyle name="표준 2 2 4 2 7 8" xfId="0"/>
    <cellStyle name="표준 2 2 4 2 7 9" xfId="0"/>
    <cellStyle name="표준 2 2 4 2 8" xfId="0"/>
    <cellStyle name="표준 2 2 4 2 8 10" xfId="0"/>
    <cellStyle name="표준 2 2 4 2 8 11" xfId="0"/>
    <cellStyle name="표준 2 2 4 2 8 2" xfId="0"/>
    <cellStyle name="표준 2 2 4 2 8 3" xfId="0"/>
    <cellStyle name="표준 2 2 4 2 8 4" xfId="0"/>
    <cellStyle name="표준 2 2 4 2 8 5" xfId="0"/>
    <cellStyle name="표준 2 2 4 2 8 6" xfId="0"/>
    <cellStyle name="표준 2 2 4 2 8 7" xfId="0"/>
    <cellStyle name="표준 2 2 4 2 8 8" xfId="0"/>
    <cellStyle name="표준 2 2 4 2 8 9" xfId="0"/>
    <cellStyle name="표준 2 2 4 2 9" xfId="0"/>
    <cellStyle name="표준 2 2 4 20" xfId="0"/>
    <cellStyle name="표준 2 2 4 3" xfId="0"/>
    <cellStyle name="표준 2 2 4 3 2" xfId="0"/>
    <cellStyle name="표준 2 2 4 3 2 10" xfId="0"/>
    <cellStyle name="표준 2 2 4 3 2 2" xfId="0"/>
    <cellStyle name="표준 2 2 4 3 2 3" xfId="0"/>
    <cellStyle name="표준 2 2 4 3 2 4" xfId="0"/>
    <cellStyle name="표준 2 2 4 3 2 5" xfId="0"/>
    <cellStyle name="표준 2 2 4 3 2 6" xfId="0"/>
    <cellStyle name="표준 2 2 4 3 2 7" xfId="0"/>
    <cellStyle name="표준 2 2 4 3 2 8" xfId="0"/>
    <cellStyle name="표준 2 2 4 3 2 9" xfId="0"/>
    <cellStyle name="표준 2 2 4 3 3" xfId="0"/>
    <cellStyle name="표준 2 2 4 3 3 10" xfId="0"/>
    <cellStyle name="표준 2 2 4 3 3 2" xfId="0"/>
    <cellStyle name="표준 2 2 4 3 3 3" xfId="0"/>
    <cellStyle name="표준 2 2 4 3 3 4" xfId="0"/>
    <cellStyle name="표준 2 2 4 3 3 5" xfId="0"/>
    <cellStyle name="표준 2 2 4 3 3 6" xfId="0"/>
    <cellStyle name="표준 2 2 4 3 3 7" xfId="0"/>
    <cellStyle name="표준 2 2 4 3 3 8" xfId="0"/>
    <cellStyle name="표준 2 2 4 3 3 9" xfId="0"/>
    <cellStyle name="표준 2 2 4 3 4" xfId="0"/>
    <cellStyle name="표준 2 2 4 3 4 10" xfId="0"/>
    <cellStyle name="표준 2 2 4 3 4 2" xfId="0"/>
    <cellStyle name="표준 2 2 4 3 4 3" xfId="0"/>
    <cellStyle name="표준 2 2 4 3 4 4" xfId="0"/>
    <cellStyle name="표준 2 2 4 3 4 5" xfId="0"/>
    <cellStyle name="표준 2 2 4 3 4 6" xfId="0"/>
    <cellStyle name="표준 2 2 4 3 4 7" xfId="0"/>
    <cellStyle name="표준 2 2 4 3 4 8" xfId="0"/>
    <cellStyle name="표준 2 2 4 3 4 9" xfId="0"/>
    <cellStyle name="표준 2 2 4 3 5" xfId="0"/>
    <cellStyle name="표준 2 2 4 3 5 10" xfId="0"/>
    <cellStyle name="표준 2 2 4 3 5 2" xfId="0"/>
    <cellStyle name="표준 2 2 4 3 5 3" xfId="0"/>
    <cellStyle name="표준 2 2 4 3 5 4" xfId="0"/>
    <cellStyle name="표준 2 2 4 3 5 5" xfId="0"/>
    <cellStyle name="표준 2 2 4 3 5 6" xfId="0"/>
    <cellStyle name="표준 2 2 4 3 5 7" xfId="0"/>
    <cellStyle name="표준 2 2 4 3 5 8" xfId="0"/>
    <cellStyle name="표준 2 2 4 3 5 9" xfId="0"/>
    <cellStyle name="표준 2 2 4 4" xfId="0"/>
    <cellStyle name="표준 2 2 4 4 10" xfId="0"/>
    <cellStyle name="표준 2 2 4 4 2" xfId="0"/>
    <cellStyle name="표준 2 2 4 4 3" xfId="0"/>
    <cellStyle name="표준 2 2 4 4 4" xfId="0"/>
    <cellStyle name="표준 2 2 4 4 5" xfId="0"/>
    <cellStyle name="표준 2 2 4 4 6" xfId="0"/>
    <cellStyle name="표준 2 2 4 4 7" xfId="0"/>
    <cellStyle name="표준 2 2 4 4 8" xfId="0"/>
    <cellStyle name="표준 2 2 4 4 9" xfId="0"/>
    <cellStyle name="표준 2 2 4 5" xfId="0"/>
    <cellStyle name="표준 2 2 4 6" xfId="0"/>
    <cellStyle name="표준 2 2 4 7" xfId="0"/>
    <cellStyle name="표준 2 2 4 8" xfId="0"/>
    <cellStyle name="표준 2 2 4 8 2" xfId="0"/>
    <cellStyle name="표준 2 2 4 8 2 10" xfId="0"/>
    <cellStyle name="표준 2 2 4 8 2 2" xfId="0"/>
    <cellStyle name="표준 2 2 4 8 2 3" xfId="0"/>
    <cellStyle name="표준 2 2 4 8 2 4" xfId="0"/>
    <cellStyle name="표준 2 2 4 8 2 5" xfId="0"/>
    <cellStyle name="표준 2 2 4 8 2 6" xfId="0"/>
    <cellStyle name="표준 2 2 4 8 2 7" xfId="0"/>
    <cellStyle name="표준 2 2 4 8 2 8" xfId="0"/>
    <cellStyle name="표준 2 2 4 8 2 9" xfId="0"/>
    <cellStyle name="표준 2 2 4 9" xfId="0"/>
    <cellStyle name="표준 2 2 4 9 10" xfId="0"/>
    <cellStyle name="표준 2 2 4 9 2" xfId="0"/>
    <cellStyle name="표준 2 2 4 9 3" xfId="0"/>
    <cellStyle name="표준 2 2 4 9 4" xfId="0"/>
    <cellStyle name="표준 2 2 4 9 5" xfId="0"/>
    <cellStyle name="표준 2 2 4 9 6" xfId="0"/>
    <cellStyle name="표준 2 2 4 9 7" xfId="0"/>
    <cellStyle name="표준 2 2 4 9 8" xfId="0"/>
    <cellStyle name="표준 2 2 4 9 9" xfId="0"/>
    <cellStyle name="표준 2 2 40" xfId="0"/>
    <cellStyle name="표준 2 2 41" xfId="0"/>
    <cellStyle name="표준 2 2 42" xfId="0"/>
    <cellStyle name="표준 2 2 43" xfId="0"/>
    <cellStyle name="표준 2 2 44" xfId="0"/>
    <cellStyle name="표준 2 2 45" xfId="0"/>
    <cellStyle name="표준 2 2 46" xfId="0"/>
    <cellStyle name="표준 2 2 47" xfId="0"/>
    <cellStyle name="표준 2 2 48" xfId="0"/>
    <cellStyle name="표준 2 2 49" xfId="0"/>
    <cellStyle name="표준 2 2 5" xfId="0"/>
    <cellStyle name="표준 2 2 5 10" xfId="0"/>
    <cellStyle name="표준 2 2 5 10 2" xfId="0"/>
    <cellStyle name="표준 2 2 5 11" xfId="0"/>
    <cellStyle name="표준 2 2 5 11 2" xfId="0"/>
    <cellStyle name="표준 2 2 5 12" xfId="0"/>
    <cellStyle name="표준 2 2 5 12 2" xfId="0"/>
    <cellStyle name="표준 2 2 5 13" xfId="0"/>
    <cellStyle name="표준 2 2 5 13 2" xfId="0"/>
    <cellStyle name="표준 2 2 5 14" xfId="0"/>
    <cellStyle name="표준 2 2 5 14 2" xfId="0"/>
    <cellStyle name="표준 2 2 5 15" xfId="0"/>
    <cellStyle name="표준 2 2 5 15 2" xfId="0"/>
    <cellStyle name="표준 2 2 5 16" xfId="0"/>
    <cellStyle name="표준 2 2 5 16 2" xfId="0"/>
    <cellStyle name="표준 2 2 5 17" xfId="0"/>
    <cellStyle name="표준 2 2 5 17 2" xfId="0"/>
    <cellStyle name="표준 2 2 5 18" xfId="0"/>
    <cellStyle name="표준 2 2 5 2" xfId="0"/>
    <cellStyle name="표준 2 2 5 2 2" xfId="0"/>
    <cellStyle name="표준 2 2 5 2 2 10" xfId="0"/>
    <cellStyle name="표준 2 2 5 2 2 11" xfId="0"/>
    <cellStyle name="표준 2 2 5 2 2 2" xfId="0"/>
    <cellStyle name="표준 2 2 5 2 2 3" xfId="0"/>
    <cellStyle name="표준 2 2 5 2 2 4" xfId="0"/>
    <cellStyle name="표준 2 2 5 2 2 5" xfId="0"/>
    <cellStyle name="표준 2 2 5 2 2 6" xfId="0"/>
    <cellStyle name="표준 2 2 5 2 2 7" xfId="0"/>
    <cellStyle name="표준 2 2 5 2 2 8" xfId="0"/>
    <cellStyle name="표준 2 2 5 2 2 9" xfId="0"/>
    <cellStyle name="표준 2 2 5 2 3" xfId="0"/>
    <cellStyle name="표준 2 2 5 2 4" xfId="0"/>
    <cellStyle name="표준 2 2 5 2 5" xfId="0"/>
    <cellStyle name="표준 2 2 5 3" xfId="0"/>
    <cellStyle name="표준 2 2 5 4" xfId="0"/>
    <cellStyle name="표준 2 2 5 5" xfId="0"/>
    <cellStyle name="표준 2 2 5 6" xfId="0"/>
    <cellStyle name="표준 2 2 5 6 2" xfId="0"/>
    <cellStyle name="표준 2 2 5 6 2 10" xfId="0"/>
    <cellStyle name="표준 2 2 5 6 2 2" xfId="0"/>
    <cellStyle name="표준 2 2 5 6 2 3" xfId="0"/>
    <cellStyle name="표준 2 2 5 6 2 4" xfId="0"/>
    <cellStyle name="표준 2 2 5 6 2 5" xfId="0"/>
    <cellStyle name="표준 2 2 5 6 2 6" xfId="0"/>
    <cellStyle name="표준 2 2 5 6 2 7" xfId="0"/>
    <cellStyle name="표준 2 2 5 6 2 8" xfId="0"/>
    <cellStyle name="표준 2 2 5 6 2 9" xfId="0"/>
    <cellStyle name="표준 2 2 5 7" xfId="0"/>
    <cellStyle name="표준 2 2 5 7 10" xfId="0"/>
    <cellStyle name="표준 2 2 5 7 2" xfId="0"/>
    <cellStyle name="표준 2 2 5 7 3" xfId="0"/>
    <cellStyle name="표준 2 2 5 7 4" xfId="0"/>
    <cellStyle name="표준 2 2 5 7 5" xfId="0"/>
    <cellStyle name="표준 2 2 5 7 6" xfId="0"/>
    <cellStyle name="표준 2 2 5 7 7" xfId="0"/>
    <cellStyle name="표준 2 2 5 7 8" xfId="0"/>
    <cellStyle name="표준 2 2 5 7 9" xfId="0"/>
    <cellStyle name="표준 2 2 5 8" xfId="0"/>
    <cellStyle name="표준 2 2 5 8 10" xfId="0"/>
    <cellStyle name="표준 2 2 5 8 2" xfId="0"/>
    <cellStyle name="표준 2 2 5 8 3" xfId="0"/>
    <cellStyle name="표준 2 2 5 8 4" xfId="0"/>
    <cellStyle name="표준 2 2 5 8 5" xfId="0"/>
    <cellStyle name="표준 2 2 5 8 6" xfId="0"/>
    <cellStyle name="표준 2 2 5 8 7" xfId="0"/>
    <cellStyle name="표준 2 2 5 8 8" xfId="0"/>
    <cellStyle name="표준 2 2 5 8 9" xfId="0"/>
    <cellStyle name="표준 2 2 5 9" xfId="0"/>
    <cellStyle name="표준 2 2 5 9 2" xfId="0"/>
    <cellStyle name="표준 2 2 50" xfId="0"/>
    <cellStyle name="표준 2 2 51" xfId="0"/>
    <cellStyle name="표준 2 2 52" xfId="0"/>
    <cellStyle name="표준 2 2 53" xfId="0"/>
    <cellStyle name="표준 2 2 54" xfId="0"/>
    <cellStyle name="표준 2 2 55" xfId="0"/>
    <cellStyle name="표준 2 2 56" xfId="0"/>
    <cellStyle name="표준 2 2 57" xfId="0"/>
    <cellStyle name="표준 2 2 58" xfId="0"/>
    <cellStyle name="표준 2 2 59" xfId="0"/>
    <cellStyle name="표준 2 2 6" xfId="0"/>
    <cellStyle name="표준 2 2 6 10" xfId="0"/>
    <cellStyle name="표준 2 2 6 11" xfId="0"/>
    <cellStyle name="표준 2 2 6 2" xfId="0"/>
    <cellStyle name="표준 2 2 6 3" xfId="0"/>
    <cellStyle name="표준 2 2 6 4" xfId="0"/>
    <cellStyle name="표준 2 2 6 5" xfId="0"/>
    <cellStyle name="표준 2 2 6 6" xfId="0"/>
    <cellStyle name="표준 2 2 6 7" xfId="0"/>
    <cellStyle name="표준 2 2 6 8" xfId="0"/>
    <cellStyle name="표준 2 2 6 9" xfId="0"/>
    <cellStyle name="표준 2 2 60" xfId="0"/>
    <cellStyle name="표준 2 2 61" xfId="0"/>
    <cellStyle name="표준 2 2 7" xfId="0"/>
    <cellStyle name="표준 2 2 7 10" xfId="0"/>
    <cellStyle name="표준 2 2 7 11" xfId="0"/>
    <cellStyle name="표준 2 2 7 2" xfId="0"/>
    <cellStyle name="표준 2 2 7 3" xfId="0"/>
    <cellStyle name="표준 2 2 7 4" xfId="0"/>
    <cellStyle name="표준 2 2 7 5" xfId="0"/>
    <cellStyle name="표준 2 2 7 6" xfId="0"/>
    <cellStyle name="표준 2 2 7 7" xfId="0"/>
    <cellStyle name="표준 2 2 7 8" xfId="0"/>
    <cellStyle name="표준 2 2 7 9" xfId="0"/>
    <cellStyle name="표준 2 2 8" xfId="0"/>
    <cellStyle name="표준 2 2 8 10" xfId="0"/>
    <cellStyle name="표준 2 2 8 10 2" xfId="0"/>
    <cellStyle name="표준 2 2 8 11" xfId="0"/>
    <cellStyle name="표준 2 2 8 2" xfId="0"/>
    <cellStyle name="표준 2 2 8 2 2" xfId="0"/>
    <cellStyle name="표준 2 2 8 3" xfId="0"/>
    <cellStyle name="표준 2 2 8 3 2" xfId="0"/>
    <cellStyle name="표준 2 2 8 4" xfId="0"/>
    <cellStyle name="표준 2 2 8 4 2" xfId="0"/>
    <cellStyle name="표준 2 2 8 5" xfId="0"/>
    <cellStyle name="표준 2 2 8 5 2" xfId="0"/>
    <cellStyle name="표준 2 2 8 6" xfId="0"/>
    <cellStyle name="표준 2 2 8 6 2" xfId="0"/>
    <cellStyle name="표준 2 2 8 7" xfId="0"/>
    <cellStyle name="표준 2 2 8 7 2" xfId="0"/>
    <cellStyle name="표준 2 2 8 8" xfId="0"/>
    <cellStyle name="표준 2 2 8 8 2" xfId="0"/>
    <cellStyle name="표준 2 2 8 9" xfId="0"/>
    <cellStyle name="표준 2 2 8 9 2" xfId="0"/>
    <cellStyle name="표준 2 2 9" xfId="0"/>
    <cellStyle name="표준 2 2 9 10" xfId="0"/>
    <cellStyle name="표준 2 2 9 10 2" xfId="0"/>
    <cellStyle name="표준 2 2 9 2" xfId="0"/>
    <cellStyle name="표준 2 2 9 2 2" xfId="0"/>
    <cellStyle name="표준 2 2 9 3" xfId="0"/>
    <cellStyle name="표준 2 2 9 3 2" xfId="0"/>
    <cellStyle name="표준 2 2 9 4" xfId="0"/>
    <cellStyle name="표준 2 2 9 4 2" xfId="0"/>
    <cellStyle name="표준 2 2 9 5" xfId="0"/>
    <cellStyle name="표준 2 2 9 5 2" xfId="0"/>
    <cellStyle name="표준 2 2 9 6" xfId="0"/>
    <cellStyle name="표준 2 2 9 6 2" xfId="0"/>
    <cellStyle name="표준 2 2 9 7" xfId="0"/>
    <cellStyle name="표준 2 2 9 7 2" xfId="0"/>
    <cellStyle name="표준 2 2 9 8" xfId="0"/>
    <cellStyle name="표준 2 2 9 8 2" xfId="0"/>
    <cellStyle name="표준 2 2 9 9" xfId="0"/>
    <cellStyle name="표준 2 2 9 9 2" xfId="0"/>
    <cellStyle name="표준 2 20" xfId="0"/>
    <cellStyle name="표준 2 20 10" xfId="0"/>
    <cellStyle name="표준 2 20 11" xfId="0"/>
    <cellStyle name="표준 2 20 2" xfId="0"/>
    <cellStyle name="표준 2 20 3" xfId="0"/>
    <cellStyle name="표준 2 20 4" xfId="0"/>
    <cellStyle name="표준 2 20 5" xfId="0"/>
    <cellStyle name="표준 2 20 6" xfId="0"/>
    <cellStyle name="표준 2 20 7" xfId="0"/>
    <cellStyle name="표준 2 20 8" xfId="0"/>
    <cellStyle name="표준 2 20 9" xfId="0"/>
    <cellStyle name="표준 2 21" xfId="0"/>
    <cellStyle name="표준 2 21 10" xfId="0"/>
    <cellStyle name="표준 2 21 11" xfId="0"/>
    <cellStyle name="표준 2 21 12" xfId="0"/>
    <cellStyle name="표준 2 21 13" xfId="0"/>
    <cellStyle name="표준 2 21 14" xfId="0"/>
    <cellStyle name="표준 2 21 15" xfId="0"/>
    <cellStyle name="표준 2 21 2" xfId="0"/>
    <cellStyle name="표준 2 21 2 2" xfId="0"/>
    <cellStyle name="표준 2 21 2 2 2" xfId="0"/>
    <cellStyle name="표준 2 21 2 2 3" xfId="0"/>
    <cellStyle name="표준 2 21 2 2 4" xfId="0"/>
    <cellStyle name="표준 2 21 2 2 5" xfId="0"/>
    <cellStyle name="표준 2 21 2 3" xfId="0"/>
    <cellStyle name="표준 2 21 2 4" xfId="0"/>
    <cellStyle name="표준 2 21 2 5" xfId="0"/>
    <cellStyle name="표준 2 21 2 6" xfId="0"/>
    <cellStyle name="표준 2 21 3" xfId="0"/>
    <cellStyle name="표준 2 21 3 2" xfId="0"/>
    <cellStyle name="표준 2 21 3 3" xfId="0"/>
    <cellStyle name="표준 2 21 3 4" xfId="0"/>
    <cellStyle name="표준 2 21 3 5" xfId="0"/>
    <cellStyle name="표준 2 21 3 6" xfId="0"/>
    <cellStyle name="표준 2 21 4" xfId="0"/>
    <cellStyle name="표준 2 21 4 2" xfId="0"/>
    <cellStyle name="표준 2 21 5" xfId="0"/>
    <cellStyle name="표준 2 21 5 2" xfId="0"/>
    <cellStyle name="표준 2 21 6" xfId="0"/>
    <cellStyle name="표준 2 21 7" xfId="0"/>
    <cellStyle name="표준 2 21 8" xfId="0"/>
    <cellStyle name="표준 2 21 9" xfId="0"/>
    <cellStyle name="표준 2 22" xfId="0"/>
    <cellStyle name="표준 2 22 2" xfId="0"/>
    <cellStyle name="표준 2 22 2 2" xfId="0"/>
    <cellStyle name="표준 2 22 2 3" xfId="0"/>
    <cellStyle name="표준 2 22 2 4" xfId="0"/>
    <cellStyle name="표준 2 22 2 5" xfId="0"/>
    <cellStyle name="표준 2 22 2 6" xfId="0"/>
    <cellStyle name="표준 2 22 3" xfId="0"/>
    <cellStyle name="표준 2 22 3 2" xfId="0"/>
    <cellStyle name="표준 2 22 4" xfId="0"/>
    <cellStyle name="표준 2 22 4 2" xfId="0"/>
    <cellStyle name="표준 2 22 5" xfId="0"/>
    <cellStyle name="표준 2 22 5 2" xfId="0"/>
    <cellStyle name="표준 2 22 6" xfId="0"/>
    <cellStyle name="표준 2 23" xfId="0"/>
    <cellStyle name="표준 2 23 2" xfId="0"/>
    <cellStyle name="표준 2 23 2 2" xfId="0"/>
    <cellStyle name="표준 2 23 2 3" xfId="0"/>
    <cellStyle name="표준 2 23 2 4" xfId="0"/>
    <cellStyle name="표준 2 23 2 5" xfId="0"/>
    <cellStyle name="표준 2 23 2 6" xfId="0"/>
    <cellStyle name="표준 2 23 3" xfId="0"/>
    <cellStyle name="표준 2 23 4" xfId="0"/>
    <cellStyle name="표준 2 23 5" xfId="0"/>
    <cellStyle name="표준 2 23 6" xfId="0"/>
    <cellStyle name="표준 2 24" xfId="0"/>
    <cellStyle name="표준 2 24 2" xfId="0"/>
    <cellStyle name="표준 2 24 2 2" xfId="0"/>
    <cellStyle name="표준 2 24 2 3" xfId="0"/>
    <cellStyle name="표준 2 24 2 4" xfId="0"/>
    <cellStyle name="표준 2 24 2 5" xfId="0"/>
    <cellStyle name="표준 2 24 3" xfId="0"/>
    <cellStyle name="표준 2 24 4" xfId="0"/>
    <cellStyle name="표준 2 24 5" xfId="0"/>
    <cellStyle name="표준 2 24 6" xfId="0"/>
    <cellStyle name="표준 2 25" xfId="0"/>
    <cellStyle name="표준 2 25 2" xfId="0"/>
    <cellStyle name="표준 2 25 2 2" xfId="0"/>
    <cellStyle name="표준 2 25 2 3" xfId="0"/>
    <cellStyle name="표준 2 25 2 4" xfId="0"/>
    <cellStyle name="표준 2 25 2 5" xfId="0"/>
    <cellStyle name="표준 2 25 3" xfId="0"/>
    <cellStyle name="표준 2 25 4" xfId="0"/>
    <cellStyle name="표준 2 25 5" xfId="0"/>
    <cellStyle name="표준 2 25 6" xfId="0"/>
    <cellStyle name="표준 2 26" xfId="0"/>
    <cellStyle name="표준 2 26 2" xfId="0"/>
    <cellStyle name="표준 2 26 2 2" xfId="0"/>
    <cellStyle name="표준 2 26 2 3" xfId="0"/>
    <cellStyle name="표준 2 26 2 4" xfId="0"/>
    <cellStyle name="표준 2 26 2 5" xfId="0"/>
    <cellStyle name="표준 2 26 3" xfId="0"/>
    <cellStyle name="표준 2 26 4" xfId="0"/>
    <cellStyle name="표준 2 26 5" xfId="0"/>
    <cellStyle name="표준 2 26 6" xfId="0"/>
    <cellStyle name="표준 2 27" xfId="0"/>
    <cellStyle name="표준 2 27 2" xfId="0"/>
    <cellStyle name="표준 2 27 2 2" xfId="0"/>
    <cellStyle name="표준 2 27 2 3" xfId="0"/>
    <cellStyle name="표준 2 27 2 4" xfId="0"/>
    <cellStyle name="표준 2 27 2 5" xfId="0"/>
    <cellStyle name="표준 2 27 3" xfId="0"/>
    <cellStyle name="표준 2 27 4" xfId="0"/>
    <cellStyle name="표준 2 27 5" xfId="0"/>
    <cellStyle name="표준 2 27 6" xfId="0"/>
    <cellStyle name="표준 2 28" xfId="0"/>
    <cellStyle name="표준 2 28 2" xfId="0"/>
    <cellStyle name="표준 2 29" xfId="0"/>
    <cellStyle name="표준 2 29 2" xfId="0"/>
    <cellStyle name="표준 2 2_Sheet1" xfId="0"/>
    <cellStyle name="표준 2 3" xfId="0"/>
    <cellStyle name="표준 2 3 10" xfId="0"/>
    <cellStyle name="표준 2 3 10 2" xfId="0"/>
    <cellStyle name="표준 2 3 11" xfId="0"/>
    <cellStyle name="표준 2 3 11 2" xfId="0"/>
    <cellStyle name="표준 2 3 12" xfId="0"/>
    <cellStyle name="표준 2 3 12 2" xfId="0"/>
    <cellStyle name="표준 2 3 13" xfId="0"/>
    <cellStyle name="표준 2 3 13 2" xfId="0"/>
    <cellStyle name="표준 2 3 14" xfId="0"/>
    <cellStyle name="표준 2 3 14 2" xfId="0"/>
    <cellStyle name="표준 2 3 15" xfId="0"/>
    <cellStyle name="표준 2 3 15 2" xfId="0"/>
    <cellStyle name="표준 2 3 16" xfId="0"/>
    <cellStyle name="표준 2 3 16 2" xfId="0"/>
    <cellStyle name="표준 2 3 17" xfId="0"/>
    <cellStyle name="표준 2 3 17 2" xfId="0"/>
    <cellStyle name="표준 2 3 18" xfId="0"/>
    <cellStyle name="표준 2 3 18 2" xfId="0"/>
    <cellStyle name="표준 2 3 19" xfId="0"/>
    <cellStyle name="표준 2 3 2" xfId="0"/>
    <cellStyle name="표준 2 3 2 10" xfId="0"/>
    <cellStyle name="표준 2 3 2 11" xfId="0"/>
    <cellStyle name="표준 2 3 2 12" xfId="0"/>
    <cellStyle name="표준 2 3 2 13" xfId="0"/>
    <cellStyle name="표준 2 3 2 14" xfId="0"/>
    <cellStyle name="표준 2 3 2 15" xfId="0"/>
    <cellStyle name="표준 2 3 2 16" xfId="0"/>
    <cellStyle name="표준 2 3 2 17" xfId="0"/>
    <cellStyle name="표준 2 3 2 18" xfId="0"/>
    <cellStyle name="표준 2 3 2 2" xfId="0"/>
    <cellStyle name="표준 2 3 2 2 10" xfId="0"/>
    <cellStyle name="표준 2 3 2 2 11" xfId="0"/>
    <cellStyle name="표준 2 3 2 2 12" xfId="0"/>
    <cellStyle name="표준 2 3 2 2 13" xfId="0"/>
    <cellStyle name="표준 2 3 2 2 14" xfId="0"/>
    <cellStyle name="표준 2 3 2 2 15" xfId="0"/>
    <cellStyle name="표준 2 3 2 2 16" xfId="0"/>
    <cellStyle name="표준 2 3 2 2 2" xfId="0"/>
    <cellStyle name="표준 2 3 2 2 3" xfId="0"/>
    <cellStyle name="표준 2 3 2 2 4" xfId="0"/>
    <cellStyle name="표준 2 3 2 2 5" xfId="0"/>
    <cellStyle name="표준 2 3 2 2 6" xfId="0"/>
    <cellStyle name="표준 2 3 2 2 7" xfId="0"/>
    <cellStyle name="표준 2 3 2 2 8" xfId="0"/>
    <cellStyle name="표준 2 3 2 2 9" xfId="0"/>
    <cellStyle name="표준 2 3 2 3" xfId="0"/>
    <cellStyle name="표준 2 3 2 4" xfId="0"/>
    <cellStyle name="표준 2 3 2 5" xfId="0"/>
    <cellStyle name="표준 2 3 2 6" xfId="0"/>
    <cellStyle name="표준 2 3 2 7" xfId="0"/>
    <cellStyle name="표준 2 3 2 8" xfId="0"/>
    <cellStyle name="표준 2 3 2 9" xfId="0"/>
    <cellStyle name="표준 2 3 20" xfId="0"/>
    <cellStyle name="표준 2 3 21" xfId="0"/>
    <cellStyle name="표준 2 3 3" xfId="0"/>
    <cellStyle name="표준 2 3 3 2" xfId="0"/>
    <cellStyle name="표준 2 3 3 3" xfId="0"/>
    <cellStyle name="표준 2 3 4" xfId="0"/>
    <cellStyle name="표준 2 3 4 2" xfId="0"/>
    <cellStyle name="표준 2 3 5" xfId="0"/>
    <cellStyle name="표준 2 3 6" xfId="0"/>
    <cellStyle name="표준 2 3 7" xfId="0"/>
    <cellStyle name="표준 2 3 8" xfId="0"/>
    <cellStyle name="표준 2 3 9" xfId="0"/>
    <cellStyle name="표준 2 30" xfId="0"/>
    <cellStyle name="표준 2 30 2" xfId="0"/>
    <cellStyle name="표준 2 31" xfId="0"/>
    <cellStyle name="표준 2 32" xfId="0"/>
    <cellStyle name="표준 2 33" xfId="0"/>
    <cellStyle name="표준 2 34" xfId="0"/>
    <cellStyle name="표준 2 35" xfId="0"/>
    <cellStyle name="표준 2 36" xfId="0"/>
    <cellStyle name="표준 2 37" xfId="0"/>
    <cellStyle name="표준 2 38" xfId="0"/>
    <cellStyle name="표준 2 4" xfId="0"/>
    <cellStyle name="표준 2 4 10" xfId="0"/>
    <cellStyle name="표준 2 4 11" xfId="0"/>
    <cellStyle name="표준 2 4 12" xfId="0"/>
    <cellStyle name="표준 2 4 13" xfId="0"/>
    <cellStyle name="표준 2 4 14" xfId="0"/>
    <cellStyle name="표준 2 4 15" xfId="0"/>
    <cellStyle name="표준 2 4 16" xfId="0"/>
    <cellStyle name="표준 2 4 17" xfId="0"/>
    <cellStyle name="표준 2 4 18" xfId="0"/>
    <cellStyle name="표준 2 4 19" xfId="0"/>
    <cellStyle name="표준 2 4 2" xfId="0"/>
    <cellStyle name="표준 2 4 2 10" xfId="0"/>
    <cellStyle name="표준 2 4 2 10 10" xfId="0"/>
    <cellStyle name="표준 2 4 2 10 2" xfId="0"/>
    <cellStyle name="표준 2 4 2 10 3" xfId="0"/>
    <cellStyle name="표준 2 4 2 10 4" xfId="0"/>
    <cellStyle name="표준 2 4 2 10 5" xfId="0"/>
    <cellStyle name="표준 2 4 2 10 6" xfId="0"/>
    <cellStyle name="표준 2 4 2 10 7" xfId="0"/>
    <cellStyle name="표준 2 4 2 10 8" xfId="0"/>
    <cellStyle name="표준 2 4 2 10 9" xfId="0"/>
    <cellStyle name="표준 2 4 2 11" xfId="0"/>
    <cellStyle name="표준 2 4 2 12" xfId="0"/>
    <cellStyle name="표준 2 4 2 13" xfId="0"/>
    <cellStyle name="표준 2 4 2 14" xfId="0"/>
    <cellStyle name="표준 2 4 2 15" xfId="0"/>
    <cellStyle name="표준 2 4 2 16" xfId="0"/>
    <cellStyle name="표준 2 4 2 17" xfId="0"/>
    <cellStyle name="표준 2 4 2 18" xfId="0"/>
    <cellStyle name="표준 2 4 2 19" xfId="0"/>
    <cellStyle name="표준 2 4 2 2" xfId="0"/>
    <cellStyle name="표준 2 4 2 2 2" xfId="0"/>
    <cellStyle name="표준 2 4 2 2 2 10" xfId="0"/>
    <cellStyle name="표준 2 4 2 2 2 11" xfId="0"/>
    <cellStyle name="표준 2 4 2 2 2 12" xfId="0"/>
    <cellStyle name="표준 2 4 2 2 2 13" xfId="0"/>
    <cellStyle name="표준 2 4 2 2 2 14" xfId="0"/>
    <cellStyle name="표준 2 4 2 2 2 2" xfId="0"/>
    <cellStyle name="표준 2 4 2 2 2 2 2" xfId="0"/>
    <cellStyle name="표준 2 4 2 2 2 2 2 10" xfId="0"/>
    <cellStyle name="표준 2 4 2 2 2 2 2 2" xfId="0"/>
    <cellStyle name="표준 2 4 2 2 2 2 2 3" xfId="0"/>
    <cellStyle name="표준 2 4 2 2 2 2 2 4" xfId="0"/>
    <cellStyle name="표준 2 4 2 2 2 2 2 5" xfId="0"/>
    <cellStyle name="표준 2 4 2 2 2 2 2 6" xfId="0"/>
    <cellStyle name="표준 2 4 2 2 2 2 2 7" xfId="0"/>
    <cellStyle name="표준 2 4 2 2 2 2 2 8" xfId="0"/>
    <cellStyle name="표준 2 4 2 2 2 2 2 9" xfId="0"/>
    <cellStyle name="표준 2 4 2 2 2 3" xfId="0"/>
    <cellStyle name="표준 2 4 2 2 2 3 10" xfId="0"/>
    <cellStyle name="표준 2 4 2 2 2 3 2" xfId="0"/>
    <cellStyle name="표준 2 4 2 2 2 3 3" xfId="0"/>
    <cellStyle name="표준 2 4 2 2 2 3 4" xfId="0"/>
    <cellStyle name="표준 2 4 2 2 2 3 5" xfId="0"/>
    <cellStyle name="표준 2 4 2 2 2 3 6" xfId="0"/>
    <cellStyle name="표준 2 4 2 2 2 3 7" xfId="0"/>
    <cellStyle name="표준 2 4 2 2 2 3 8" xfId="0"/>
    <cellStyle name="표준 2 4 2 2 2 3 9" xfId="0"/>
    <cellStyle name="표준 2 4 2 2 2 4" xfId="0"/>
    <cellStyle name="표준 2 4 2 2 2 4 10" xfId="0"/>
    <cellStyle name="표준 2 4 2 2 2 4 2" xfId="0"/>
    <cellStyle name="표준 2 4 2 2 2 4 3" xfId="0"/>
    <cellStyle name="표준 2 4 2 2 2 4 4" xfId="0"/>
    <cellStyle name="표준 2 4 2 2 2 4 5" xfId="0"/>
    <cellStyle name="표준 2 4 2 2 2 4 6" xfId="0"/>
    <cellStyle name="표준 2 4 2 2 2 4 7" xfId="0"/>
    <cellStyle name="표준 2 4 2 2 2 4 8" xfId="0"/>
    <cellStyle name="표준 2 4 2 2 2 4 9" xfId="0"/>
    <cellStyle name="표준 2 4 2 2 2 5" xfId="0"/>
    <cellStyle name="표준 2 4 2 2 2 5 10" xfId="0"/>
    <cellStyle name="표준 2 4 2 2 2 5 2" xfId="0"/>
    <cellStyle name="표준 2 4 2 2 2 5 3" xfId="0"/>
    <cellStyle name="표준 2 4 2 2 2 5 4" xfId="0"/>
    <cellStyle name="표준 2 4 2 2 2 5 5" xfId="0"/>
    <cellStyle name="표준 2 4 2 2 2 5 6" xfId="0"/>
    <cellStyle name="표준 2 4 2 2 2 5 7" xfId="0"/>
    <cellStyle name="표준 2 4 2 2 2 5 8" xfId="0"/>
    <cellStyle name="표준 2 4 2 2 2 5 9" xfId="0"/>
    <cellStyle name="표준 2 4 2 2 2 6" xfId="0"/>
    <cellStyle name="표준 2 4 2 2 2 7" xfId="0"/>
    <cellStyle name="표준 2 4 2 2 2 8" xfId="0"/>
    <cellStyle name="표준 2 4 2 2 2 9" xfId="0"/>
    <cellStyle name="표준 2 4 2 2 3" xfId="0"/>
    <cellStyle name="표준 2 4 2 2 3 10" xfId="0"/>
    <cellStyle name="표준 2 4 2 2 3 2" xfId="0"/>
    <cellStyle name="표준 2 4 2 2 3 3" xfId="0"/>
    <cellStyle name="표준 2 4 2 2 3 4" xfId="0"/>
    <cellStyle name="표준 2 4 2 2 3 5" xfId="0"/>
    <cellStyle name="표준 2 4 2 2 3 6" xfId="0"/>
    <cellStyle name="표준 2 4 2 2 3 7" xfId="0"/>
    <cellStyle name="표준 2 4 2 2 3 8" xfId="0"/>
    <cellStyle name="표준 2 4 2 2 3 9" xfId="0"/>
    <cellStyle name="표준 2 4 2 2 4" xfId="0"/>
    <cellStyle name="표준 2 4 2 2 4 10" xfId="0"/>
    <cellStyle name="표준 2 4 2 2 4 2" xfId="0"/>
    <cellStyle name="표준 2 4 2 2 4 3" xfId="0"/>
    <cellStyle name="표준 2 4 2 2 4 4" xfId="0"/>
    <cellStyle name="표준 2 4 2 2 4 5" xfId="0"/>
    <cellStyle name="표준 2 4 2 2 4 6" xfId="0"/>
    <cellStyle name="표준 2 4 2 2 4 7" xfId="0"/>
    <cellStyle name="표준 2 4 2 2 4 8" xfId="0"/>
    <cellStyle name="표준 2 4 2 2 4 9" xfId="0"/>
    <cellStyle name="표준 2 4 2 2 5" xfId="0"/>
    <cellStyle name="표준 2 4 2 2 5 10" xfId="0"/>
    <cellStyle name="표준 2 4 2 2 5 2" xfId="0"/>
    <cellStyle name="표준 2 4 2 2 5 3" xfId="0"/>
    <cellStyle name="표준 2 4 2 2 5 4" xfId="0"/>
    <cellStyle name="표준 2 4 2 2 5 5" xfId="0"/>
    <cellStyle name="표준 2 4 2 2 5 6" xfId="0"/>
    <cellStyle name="표준 2 4 2 2 5 7" xfId="0"/>
    <cellStyle name="표준 2 4 2 2 5 8" xfId="0"/>
    <cellStyle name="표준 2 4 2 2 5 9" xfId="0"/>
    <cellStyle name="표준 2 4 2 2 6" xfId="0"/>
    <cellStyle name="표준 2 4 2 2 6 10" xfId="0"/>
    <cellStyle name="표준 2 4 2 2 6 11" xfId="0"/>
    <cellStyle name="표준 2 4 2 2 6 2" xfId="0"/>
    <cellStyle name="표준 2 4 2 2 6 3" xfId="0"/>
    <cellStyle name="표준 2 4 2 2 6 4" xfId="0"/>
    <cellStyle name="표준 2 4 2 2 6 5" xfId="0"/>
    <cellStyle name="표준 2 4 2 2 6 6" xfId="0"/>
    <cellStyle name="표준 2 4 2 2 6 7" xfId="0"/>
    <cellStyle name="표준 2 4 2 2 6 8" xfId="0"/>
    <cellStyle name="표준 2 4 2 2 6 9" xfId="0"/>
    <cellStyle name="표준 2 4 2 2 7" xfId="0"/>
    <cellStyle name="표준 2 4 2 2 8" xfId="0"/>
    <cellStyle name="표준 2 4 2 20" xfId="0"/>
    <cellStyle name="표준 2 4 2 3" xfId="0"/>
    <cellStyle name="표준 2 4 2 3 10" xfId="0"/>
    <cellStyle name="표준 2 4 2 3 2" xfId="0"/>
    <cellStyle name="표준 2 4 2 3 3" xfId="0"/>
    <cellStyle name="표준 2 4 2 3 4" xfId="0"/>
    <cellStyle name="표준 2 4 2 3 5" xfId="0"/>
    <cellStyle name="표준 2 4 2 3 6" xfId="0"/>
    <cellStyle name="표준 2 4 2 3 7" xfId="0"/>
    <cellStyle name="표준 2 4 2 3 8" xfId="0"/>
    <cellStyle name="표준 2 4 2 3 9" xfId="0"/>
    <cellStyle name="표준 2 4 2 4" xfId="0"/>
    <cellStyle name="표준 2 4 2 4 10" xfId="0"/>
    <cellStyle name="표준 2 4 2 4 2" xfId="0"/>
    <cellStyle name="표준 2 4 2 4 3" xfId="0"/>
    <cellStyle name="표준 2 4 2 4 4" xfId="0"/>
    <cellStyle name="표준 2 4 2 4 5" xfId="0"/>
    <cellStyle name="표준 2 4 2 4 6" xfId="0"/>
    <cellStyle name="표준 2 4 2 4 7" xfId="0"/>
    <cellStyle name="표준 2 4 2 4 8" xfId="0"/>
    <cellStyle name="표준 2 4 2 4 9" xfId="0"/>
    <cellStyle name="표준 2 4 2 5" xfId="0"/>
    <cellStyle name="표준 2 4 2 6" xfId="0"/>
    <cellStyle name="표준 2 4 2 7" xfId="0"/>
    <cellStyle name="표준 2 4 2 8" xfId="0"/>
    <cellStyle name="표준 2 4 2 8 2" xfId="0"/>
    <cellStyle name="표준 2 4 2 8 2 10" xfId="0"/>
    <cellStyle name="표준 2 4 2 8 2 2" xfId="0"/>
    <cellStyle name="표준 2 4 2 8 2 3" xfId="0"/>
    <cellStyle name="표준 2 4 2 8 2 4" xfId="0"/>
    <cellStyle name="표준 2 4 2 8 2 5" xfId="0"/>
    <cellStyle name="표준 2 4 2 8 2 6" xfId="0"/>
    <cellStyle name="표준 2 4 2 8 2 7" xfId="0"/>
    <cellStyle name="표준 2 4 2 8 2 8" xfId="0"/>
    <cellStyle name="표준 2 4 2 8 2 9" xfId="0"/>
    <cellStyle name="표준 2 4 2 9" xfId="0"/>
    <cellStyle name="표준 2 4 2 9 10" xfId="0"/>
    <cellStyle name="표준 2 4 2 9 2" xfId="0"/>
    <cellStyle name="표준 2 4 2 9 3" xfId="0"/>
    <cellStyle name="표준 2 4 2 9 4" xfId="0"/>
    <cellStyle name="표준 2 4 2 9 5" xfId="0"/>
    <cellStyle name="표준 2 4 2 9 6" xfId="0"/>
    <cellStyle name="표준 2 4 2 9 7" xfId="0"/>
    <cellStyle name="표준 2 4 2 9 8" xfId="0"/>
    <cellStyle name="표준 2 4 2 9 9" xfId="0"/>
    <cellStyle name="표준 2 4 20" xfId="0"/>
    <cellStyle name="표준 2 4 3" xfId="0"/>
    <cellStyle name="표준 2 4 3 10" xfId="0"/>
    <cellStyle name="표준 2 4 3 11" xfId="0"/>
    <cellStyle name="표준 2 4 3 12" xfId="0"/>
    <cellStyle name="표준 2 4 3 13" xfId="0"/>
    <cellStyle name="표준 2 4 3 14" xfId="0"/>
    <cellStyle name="표준 2 4 3 15" xfId="0"/>
    <cellStyle name="표준 2 4 3 2" xfId="0"/>
    <cellStyle name="표준 2 4 3 3" xfId="0"/>
    <cellStyle name="표준 2 4 3 4" xfId="0"/>
    <cellStyle name="표준 2 4 3 5" xfId="0"/>
    <cellStyle name="표준 2 4 3 6" xfId="0"/>
    <cellStyle name="표준 2 4 3 7" xfId="0"/>
    <cellStyle name="표준 2 4 3 8" xfId="0"/>
    <cellStyle name="표준 2 4 3 9" xfId="0"/>
    <cellStyle name="표준 2 4 4" xfId="0"/>
    <cellStyle name="표준 2 4 5" xfId="0"/>
    <cellStyle name="표준 2 4 5 10" xfId="0"/>
    <cellStyle name="표준 2 4 5 2" xfId="0"/>
    <cellStyle name="표준 2 4 5 3" xfId="0"/>
    <cellStyle name="표준 2 4 5 4" xfId="0"/>
    <cellStyle name="표준 2 4 5 5" xfId="0"/>
    <cellStyle name="표준 2 4 5 6" xfId="0"/>
    <cellStyle name="표준 2 4 5 7" xfId="0"/>
    <cellStyle name="표준 2 4 5 8" xfId="0"/>
    <cellStyle name="표준 2 4 5 9" xfId="0"/>
    <cellStyle name="표준 2 4 6" xfId="0"/>
    <cellStyle name="표준 2 4 6 10" xfId="0"/>
    <cellStyle name="표준 2 4 6 2" xfId="0"/>
    <cellStyle name="표준 2 4 6 3" xfId="0"/>
    <cellStyle name="표준 2 4 6 4" xfId="0"/>
    <cellStyle name="표준 2 4 6 5" xfId="0"/>
    <cellStyle name="표준 2 4 6 6" xfId="0"/>
    <cellStyle name="표준 2 4 6 7" xfId="0"/>
    <cellStyle name="표준 2 4 6 8" xfId="0"/>
    <cellStyle name="표준 2 4 6 9" xfId="0"/>
    <cellStyle name="표준 2 4 7" xfId="0"/>
    <cellStyle name="표준 2 4 7 10" xfId="0"/>
    <cellStyle name="표준 2 4 7 2" xfId="0"/>
    <cellStyle name="표준 2 4 7 3" xfId="0"/>
    <cellStyle name="표준 2 4 7 4" xfId="0"/>
    <cellStyle name="표준 2 4 7 5" xfId="0"/>
    <cellStyle name="표준 2 4 7 6" xfId="0"/>
    <cellStyle name="표준 2 4 7 7" xfId="0"/>
    <cellStyle name="표준 2 4 7 8" xfId="0"/>
    <cellStyle name="표준 2 4 7 9" xfId="0"/>
    <cellStyle name="표준 2 4 8" xfId="0"/>
    <cellStyle name="표준 2 4 8 2" xfId="0"/>
    <cellStyle name="표준 2 4 9" xfId="0"/>
    <cellStyle name="표준 2 5" xfId="0"/>
    <cellStyle name="표준 2 5 10" xfId="0"/>
    <cellStyle name="표준 2 5 10 2" xfId="0"/>
    <cellStyle name="표준 2 5 11" xfId="0"/>
    <cellStyle name="표준 2 5 11 2" xfId="0"/>
    <cellStyle name="표준 2 5 12" xfId="0"/>
    <cellStyle name="표준 2 5 12 2" xfId="0"/>
    <cellStyle name="표준 2 5 13" xfId="0"/>
    <cellStyle name="표준 2 5 13 2" xfId="0"/>
    <cellStyle name="표준 2 5 14" xfId="0"/>
    <cellStyle name="표준 2 5 15" xfId="0"/>
    <cellStyle name="표준 2 5 16" xfId="0"/>
    <cellStyle name="표준 2 5 17" xfId="0"/>
    <cellStyle name="표준 2 5 18" xfId="0"/>
    <cellStyle name="표준 2 5 2" xfId="0"/>
    <cellStyle name="표준 2 5 2 10" xfId="0"/>
    <cellStyle name="표준 2 5 2 11" xfId="0"/>
    <cellStyle name="표준 2 5 2 12" xfId="0"/>
    <cellStyle name="표준 2 5 2 13" xfId="0"/>
    <cellStyle name="표준 2 5 2 14" xfId="0"/>
    <cellStyle name="표준 2 5 2 15" xfId="0"/>
    <cellStyle name="표준 2 5 2 2" xfId="0"/>
    <cellStyle name="표준 2 5 2 2 2" xfId="0"/>
    <cellStyle name="표준 2 5 2 2 2 10" xfId="0"/>
    <cellStyle name="표준 2 5 2 2 2 2" xfId="0"/>
    <cellStyle name="표준 2 5 2 2 2 3" xfId="0"/>
    <cellStyle name="표준 2 5 2 2 2 4" xfId="0"/>
    <cellStyle name="표준 2 5 2 2 2 5" xfId="0"/>
    <cellStyle name="표준 2 5 2 2 2 6" xfId="0"/>
    <cellStyle name="표준 2 5 2 2 2 7" xfId="0"/>
    <cellStyle name="표준 2 5 2 2 2 8" xfId="0"/>
    <cellStyle name="표준 2 5 2 2 2 9" xfId="0"/>
    <cellStyle name="표준 2 5 2 3" xfId="0"/>
    <cellStyle name="표준 2 5 2 3 10" xfId="0"/>
    <cellStyle name="표준 2 5 2 3 2" xfId="0"/>
    <cellStyle name="표준 2 5 2 3 3" xfId="0"/>
    <cellStyle name="표준 2 5 2 3 4" xfId="0"/>
    <cellStyle name="표준 2 5 2 3 5" xfId="0"/>
    <cellStyle name="표준 2 5 2 3 6" xfId="0"/>
    <cellStyle name="표준 2 5 2 3 7" xfId="0"/>
    <cellStyle name="표준 2 5 2 3 8" xfId="0"/>
    <cellStyle name="표준 2 5 2 3 9" xfId="0"/>
    <cellStyle name="표준 2 5 2 4" xfId="0"/>
    <cellStyle name="표준 2 5 2 4 10" xfId="0"/>
    <cellStyle name="표준 2 5 2 4 2" xfId="0"/>
    <cellStyle name="표준 2 5 2 4 3" xfId="0"/>
    <cellStyle name="표준 2 5 2 4 4" xfId="0"/>
    <cellStyle name="표준 2 5 2 4 5" xfId="0"/>
    <cellStyle name="표준 2 5 2 4 6" xfId="0"/>
    <cellStyle name="표준 2 5 2 4 7" xfId="0"/>
    <cellStyle name="표준 2 5 2 4 8" xfId="0"/>
    <cellStyle name="표준 2 5 2 4 9" xfId="0"/>
    <cellStyle name="표준 2 5 2 5" xfId="0"/>
    <cellStyle name="표준 2 5 2 5 10" xfId="0"/>
    <cellStyle name="표준 2 5 2 5 2" xfId="0"/>
    <cellStyle name="표준 2 5 2 5 3" xfId="0"/>
    <cellStyle name="표준 2 5 2 5 4" xfId="0"/>
    <cellStyle name="표준 2 5 2 5 5" xfId="0"/>
    <cellStyle name="표준 2 5 2 5 6" xfId="0"/>
    <cellStyle name="표준 2 5 2 5 7" xfId="0"/>
    <cellStyle name="표준 2 5 2 5 8" xfId="0"/>
    <cellStyle name="표준 2 5 2 5 9" xfId="0"/>
    <cellStyle name="표준 2 5 2 6" xfId="0"/>
    <cellStyle name="표준 2 5 2 7" xfId="0"/>
    <cellStyle name="표준 2 5 2 8" xfId="0"/>
    <cellStyle name="표준 2 5 2 9" xfId="0"/>
    <cellStyle name="표준 2 5 3" xfId="0"/>
    <cellStyle name="표준 2 5 3 10" xfId="0"/>
    <cellStyle name="표준 2 5 3 11" xfId="0"/>
    <cellStyle name="표준 2 5 3 12" xfId="0"/>
    <cellStyle name="표준 2 5 3 2" xfId="0"/>
    <cellStyle name="표준 2 5 3 3" xfId="0"/>
    <cellStyle name="표준 2 5 3 4" xfId="0"/>
    <cellStyle name="표준 2 5 3 5" xfId="0"/>
    <cellStyle name="표준 2 5 3 6" xfId="0"/>
    <cellStyle name="표준 2 5 3 7" xfId="0"/>
    <cellStyle name="표준 2 5 3 8" xfId="0"/>
    <cellStyle name="표준 2 5 3 9" xfId="0"/>
    <cellStyle name="표준 2 5 4" xfId="0"/>
    <cellStyle name="표준 2 5 4 10" xfId="0"/>
    <cellStyle name="표준 2 5 4 11" xfId="0"/>
    <cellStyle name="표준 2 5 4 12" xfId="0"/>
    <cellStyle name="표준 2 5 4 2" xfId="0"/>
    <cellStyle name="표준 2 5 4 3" xfId="0"/>
    <cellStyle name="표준 2 5 4 4" xfId="0"/>
    <cellStyle name="표준 2 5 4 5" xfId="0"/>
    <cellStyle name="표준 2 5 4 6" xfId="0"/>
    <cellStyle name="표준 2 5 4 7" xfId="0"/>
    <cellStyle name="표준 2 5 4 8" xfId="0"/>
    <cellStyle name="표준 2 5 4 9" xfId="0"/>
    <cellStyle name="표준 2 5 5" xfId="0"/>
    <cellStyle name="표준 2 5 5 10" xfId="0"/>
    <cellStyle name="표준 2 5 5 11" xfId="0"/>
    <cellStyle name="표준 2 5 5 2" xfId="0"/>
    <cellStyle name="표준 2 5 5 3" xfId="0"/>
    <cellStyle name="표준 2 5 5 4" xfId="0"/>
    <cellStyle name="표준 2 5 5 5" xfId="0"/>
    <cellStyle name="표준 2 5 5 6" xfId="0"/>
    <cellStyle name="표준 2 5 5 7" xfId="0"/>
    <cellStyle name="표준 2 5 5 8" xfId="0"/>
    <cellStyle name="표준 2 5 5 9" xfId="0"/>
    <cellStyle name="표준 2 5 6" xfId="0"/>
    <cellStyle name="표준 2 5 6 2" xfId="0"/>
    <cellStyle name="표준 2 5 7" xfId="0"/>
    <cellStyle name="표준 2 5 8" xfId="0"/>
    <cellStyle name="표준 2 5 9" xfId="0"/>
    <cellStyle name="표준 2 5 9 2" xfId="0"/>
    <cellStyle name="표준 2 6" xfId="0"/>
    <cellStyle name="표준 2 6 10" xfId="0"/>
    <cellStyle name="표준 2 6 10 2" xfId="0"/>
    <cellStyle name="표준 2 6 11" xfId="0"/>
    <cellStyle name="표준 2 6 11 2" xfId="0"/>
    <cellStyle name="표준 2 6 12" xfId="0"/>
    <cellStyle name="표준 2 6 12 2" xfId="0"/>
    <cellStyle name="표준 2 6 13" xfId="0"/>
    <cellStyle name="표준 2 6 13 2" xfId="0"/>
    <cellStyle name="표준 2 6 14" xfId="0"/>
    <cellStyle name="표준 2 6 14 2" xfId="0"/>
    <cellStyle name="표준 2 6 15" xfId="0"/>
    <cellStyle name="표준 2 6 16" xfId="0"/>
    <cellStyle name="표준 2 6 2" xfId="0"/>
    <cellStyle name="표준 2 6 2 2" xfId="0"/>
    <cellStyle name="표준 2 6 2 2 10" xfId="0"/>
    <cellStyle name="표준 2 6 2 2 2" xfId="0"/>
    <cellStyle name="표준 2 6 2 2 3" xfId="0"/>
    <cellStyle name="표준 2 6 2 2 4" xfId="0"/>
    <cellStyle name="표준 2 6 2 2 5" xfId="0"/>
    <cellStyle name="표준 2 6 2 2 6" xfId="0"/>
    <cellStyle name="표준 2 6 2 2 7" xfId="0"/>
    <cellStyle name="표준 2 6 2 2 8" xfId="0"/>
    <cellStyle name="표준 2 6 2 2 9" xfId="0"/>
    <cellStyle name="표준 2 6 2 3" xfId="0"/>
    <cellStyle name="표준 2 6 3" xfId="0"/>
    <cellStyle name="표준 2 6 3 10" xfId="0"/>
    <cellStyle name="표준 2 6 3 11" xfId="0"/>
    <cellStyle name="표준 2 6 3 2" xfId="0"/>
    <cellStyle name="표준 2 6 3 3" xfId="0"/>
    <cellStyle name="표준 2 6 3 4" xfId="0"/>
    <cellStyle name="표준 2 6 3 5" xfId="0"/>
    <cellStyle name="표준 2 6 3 6" xfId="0"/>
    <cellStyle name="표준 2 6 3 7" xfId="0"/>
    <cellStyle name="표준 2 6 3 8" xfId="0"/>
    <cellStyle name="표준 2 6 3 9" xfId="0"/>
    <cellStyle name="표준 2 6 4" xfId="0"/>
    <cellStyle name="표준 2 6 4 10" xfId="0"/>
    <cellStyle name="표준 2 6 4 2" xfId="0"/>
    <cellStyle name="표준 2 6 4 3" xfId="0"/>
    <cellStyle name="표준 2 6 4 4" xfId="0"/>
    <cellStyle name="표준 2 6 4 5" xfId="0"/>
    <cellStyle name="표준 2 6 4 6" xfId="0"/>
    <cellStyle name="표준 2 6 4 7" xfId="0"/>
    <cellStyle name="표준 2 6 4 8" xfId="0"/>
    <cellStyle name="표준 2 6 4 9" xfId="0"/>
    <cellStyle name="표준 2 6 5" xfId="0"/>
    <cellStyle name="표준 2 6 5 10" xfId="0"/>
    <cellStyle name="표준 2 6 5 2" xfId="0"/>
    <cellStyle name="표준 2 6 5 3" xfId="0"/>
    <cellStyle name="표준 2 6 5 4" xfId="0"/>
    <cellStyle name="표준 2 6 5 5" xfId="0"/>
    <cellStyle name="표준 2 6 5 6" xfId="0"/>
    <cellStyle name="표준 2 6 5 7" xfId="0"/>
    <cellStyle name="표준 2 6 5 8" xfId="0"/>
    <cellStyle name="표준 2 6 5 9" xfId="0"/>
    <cellStyle name="표준 2 6 6" xfId="0"/>
    <cellStyle name="표준 2 6 6 2" xfId="0"/>
    <cellStyle name="표준 2 6 7" xfId="0"/>
    <cellStyle name="표준 2 6 7 2" xfId="0"/>
    <cellStyle name="표준 2 6 8" xfId="0"/>
    <cellStyle name="표준 2 6 8 2" xfId="0"/>
    <cellStyle name="표준 2 6 9" xfId="0"/>
    <cellStyle name="표준 2 6 9 2" xfId="0"/>
    <cellStyle name="표준 2 7" xfId="0"/>
    <cellStyle name="표준 2 7 10" xfId="0"/>
    <cellStyle name="표준 2 7 10 2" xfId="0"/>
    <cellStyle name="표준 2 7 11" xfId="0"/>
    <cellStyle name="표준 2 7 11 2" xfId="0"/>
    <cellStyle name="표준 2 7 12" xfId="0"/>
    <cellStyle name="표준 2 7 12 2" xfId="0"/>
    <cellStyle name="표준 2 7 13" xfId="0"/>
    <cellStyle name="표준 2 7 13 2" xfId="0"/>
    <cellStyle name="표준 2 7 14" xfId="0"/>
    <cellStyle name="표준 2 7 14 2" xfId="0"/>
    <cellStyle name="표준 2 7 15" xfId="0"/>
    <cellStyle name="표준 2 7 16" xfId="0"/>
    <cellStyle name="표준 2 7 2" xfId="0"/>
    <cellStyle name="표준 2 7 2 2" xfId="0"/>
    <cellStyle name="표준 2 7 2 2 10" xfId="0"/>
    <cellStyle name="표준 2 7 2 2 2" xfId="0"/>
    <cellStyle name="표준 2 7 2 2 3" xfId="0"/>
    <cellStyle name="표준 2 7 2 2 4" xfId="0"/>
    <cellStyle name="표준 2 7 2 2 5" xfId="0"/>
    <cellStyle name="표준 2 7 2 2 6" xfId="0"/>
    <cellStyle name="표준 2 7 2 2 7" xfId="0"/>
    <cellStyle name="표준 2 7 2 2 8" xfId="0"/>
    <cellStyle name="표준 2 7 2 2 9" xfId="0"/>
    <cellStyle name="표준 2 7 2 3" xfId="0"/>
    <cellStyle name="표준 2 7 3" xfId="0"/>
    <cellStyle name="표준 2 7 3 10" xfId="0"/>
    <cellStyle name="표준 2 7 3 11" xfId="0"/>
    <cellStyle name="표준 2 7 3 2" xfId="0"/>
    <cellStyle name="표준 2 7 3 3" xfId="0"/>
    <cellStyle name="표준 2 7 3 4" xfId="0"/>
    <cellStyle name="표준 2 7 3 5" xfId="0"/>
    <cellStyle name="표준 2 7 3 6" xfId="0"/>
    <cellStyle name="표준 2 7 3 7" xfId="0"/>
    <cellStyle name="표준 2 7 3 8" xfId="0"/>
    <cellStyle name="표준 2 7 3 9" xfId="0"/>
    <cellStyle name="표준 2 7 4" xfId="0"/>
    <cellStyle name="표준 2 7 4 10" xfId="0"/>
    <cellStyle name="표준 2 7 4 2" xfId="0"/>
    <cellStyle name="표준 2 7 4 3" xfId="0"/>
    <cellStyle name="표준 2 7 4 4" xfId="0"/>
    <cellStyle name="표준 2 7 4 5" xfId="0"/>
    <cellStyle name="표준 2 7 4 6" xfId="0"/>
    <cellStyle name="표준 2 7 4 7" xfId="0"/>
    <cellStyle name="표준 2 7 4 8" xfId="0"/>
    <cellStyle name="표준 2 7 4 9" xfId="0"/>
    <cellStyle name="표준 2 7 5" xfId="0"/>
    <cellStyle name="표준 2 7 5 10" xfId="0"/>
    <cellStyle name="표준 2 7 5 2" xfId="0"/>
    <cellStyle name="표준 2 7 5 3" xfId="0"/>
    <cellStyle name="표준 2 7 5 4" xfId="0"/>
    <cellStyle name="표준 2 7 5 5" xfId="0"/>
    <cellStyle name="표준 2 7 5 6" xfId="0"/>
    <cellStyle name="표준 2 7 5 7" xfId="0"/>
    <cellStyle name="표준 2 7 5 8" xfId="0"/>
    <cellStyle name="표준 2 7 5 9" xfId="0"/>
    <cellStyle name="표준 2 7 6" xfId="0"/>
    <cellStyle name="표준 2 7 6 2" xfId="0"/>
    <cellStyle name="표준 2 7 7" xfId="0"/>
    <cellStyle name="표준 2 7 7 2" xfId="0"/>
    <cellStyle name="표준 2 7 8" xfId="0"/>
    <cellStyle name="표준 2 7 8 2" xfId="0"/>
    <cellStyle name="표준 2 7 9" xfId="0"/>
    <cellStyle name="표준 2 7 9 2" xfId="0"/>
    <cellStyle name="표준 2 8" xfId="0"/>
    <cellStyle name="표준 2 8 10" xfId="0"/>
    <cellStyle name="표준 2 8 11" xfId="0"/>
    <cellStyle name="표준 2 8 2" xfId="0"/>
    <cellStyle name="표준 2 8 2 2" xfId="0"/>
    <cellStyle name="표준 2 8 2 3" xfId="0"/>
    <cellStyle name="표준 2 8 3" xfId="0"/>
    <cellStyle name="표준 2 8 3 2" xfId="0"/>
    <cellStyle name="표준 2 8 4" xfId="0"/>
    <cellStyle name="표준 2 8 5" xfId="0"/>
    <cellStyle name="표준 2 8 6" xfId="0"/>
    <cellStyle name="표준 2 8 7" xfId="0"/>
    <cellStyle name="표준 2 8 8" xfId="0"/>
    <cellStyle name="표준 2 8 9" xfId="0"/>
    <cellStyle name="표준 2 9" xfId="0"/>
    <cellStyle name="표준 2 9 10" xfId="0"/>
    <cellStyle name="표준 2 9 11" xfId="0"/>
    <cellStyle name="표준 2 9 12" xfId="0"/>
    <cellStyle name="표준 2 9 2" xfId="0"/>
    <cellStyle name="표준 2 9 3" xfId="0"/>
    <cellStyle name="표준 2 9 4" xfId="0"/>
    <cellStyle name="표준 2 9 5" xfId="0"/>
    <cellStyle name="표준 2 9 6" xfId="0"/>
    <cellStyle name="표준 2 9 7" xfId="0"/>
    <cellStyle name="표준 2 9 8" xfId="0"/>
    <cellStyle name="표준 2 9 9" xfId="0"/>
    <cellStyle name="표준 20" xfId="0"/>
    <cellStyle name="표준 20 10" xfId="0"/>
    <cellStyle name="표준 20 11" xfId="0"/>
    <cellStyle name="표준 20 12" xfId="0"/>
    <cellStyle name="표준 20 13" xfId="0"/>
    <cellStyle name="표준 20 14" xfId="0"/>
    <cellStyle name="표준 20 15" xfId="0"/>
    <cellStyle name="표준 20 16" xfId="0"/>
    <cellStyle name="표준 20 17" xfId="0"/>
    <cellStyle name="표준 20 18" xfId="0"/>
    <cellStyle name="표준 20 19" xfId="0"/>
    <cellStyle name="표준 20 2" xfId="0"/>
    <cellStyle name="표준 20 20" xfId="0"/>
    <cellStyle name="표준 20 21" xfId="0"/>
    <cellStyle name="표준 20 22" xfId="0"/>
    <cellStyle name="표준 20 3" xfId="0"/>
    <cellStyle name="표준 20 4" xfId="0"/>
    <cellStyle name="표준 20 5" xfId="0"/>
    <cellStyle name="표준 20 6" xfId="0"/>
    <cellStyle name="표준 20 7" xfId="0"/>
    <cellStyle name="표준 20 8" xfId="0"/>
    <cellStyle name="표준 20 9" xfId="0"/>
    <cellStyle name="표준 200" xfId="0"/>
    <cellStyle name="표준 201" xfId="0"/>
    <cellStyle name="표준 201 2" xfId="0"/>
    <cellStyle name="표준 202" xfId="0"/>
    <cellStyle name="표준 202 2" xfId="0"/>
    <cellStyle name="표준 203" xfId="0"/>
    <cellStyle name="표준 204" xfId="0"/>
    <cellStyle name="표준 205" xfId="0"/>
    <cellStyle name="표준 205 2" xfId="0"/>
    <cellStyle name="표준 206" xfId="0"/>
    <cellStyle name="표준 206 2" xfId="0"/>
    <cellStyle name="표준 207" xfId="0"/>
    <cellStyle name="표준 208" xfId="0"/>
    <cellStyle name="표준 209" xfId="0"/>
    <cellStyle name="표준 209 2" xfId="0"/>
    <cellStyle name="표준 21" xfId="0"/>
    <cellStyle name="표준 21 10" xfId="0"/>
    <cellStyle name="표준 21 11" xfId="0"/>
    <cellStyle name="표준 21 12" xfId="0"/>
    <cellStyle name="표준 21 13" xfId="0"/>
    <cellStyle name="표준 21 14" xfId="0"/>
    <cellStyle name="표준 21 15" xfId="0"/>
    <cellStyle name="표준 21 16" xfId="0"/>
    <cellStyle name="표준 21 17" xfId="0"/>
    <cellStyle name="표준 21 18" xfId="0"/>
    <cellStyle name="표준 21 19" xfId="0"/>
    <cellStyle name="표준 21 2" xfId="0"/>
    <cellStyle name="표준 21 2 2" xfId="0"/>
    <cellStyle name="표준 21 20" xfId="0"/>
    <cellStyle name="표준 21 21" xfId="0"/>
    <cellStyle name="표준 21 3" xfId="0"/>
    <cellStyle name="표준 21 3 2" xfId="0"/>
    <cellStyle name="표준 21 4" xfId="0"/>
    <cellStyle name="표준 21 4 2" xfId="0"/>
    <cellStyle name="표준 21 5" xfId="0"/>
    <cellStyle name="표준 21 5 2" xfId="0"/>
    <cellStyle name="표준 21 6" xfId="0"/>
    <cellStyle name="표준 21 6 2" xfId="0"/>
    <cellStyle name="표준 21 7" xfId="0"/>
    <cellStyle name="표준 21 7 10" xfId="0"/>
    <cellStyle name="표준 21 7 2" xfId="0"/>
    <cellStyle name="표준 21 7 2 2" xfId="0"/>
    <cellStyle name="표준 21 7 2 3" xfId="0"/>
    <cellStyle name="표준 21 7 2 4" xfId="0"/>
    <cellStyle name="표준 21 7 2 5" xfId="0"/>
    <cellStyle name="표준 21 7 3" xfId="0"/>
    <cellStyle name="표준 21 7 3 2" xfId="0"/>
    <cellStyle name="표준 21 7 3 3" xfId="0"/>
    <cellStyle name="표준 21 7 3 4" xfId="0"/>
    <cellStyle name="표준 21 7 3 5" xfId="0"/>
    <cellStyle name="표준 21 7 4" xfId="0"/>
    <cellStyle name="표준 21 7 4 2" xfId="0"/>
    <cellStyle name="표준 21 7 4 3" xfId="0"/>
    <cellStyle name="표준 21 7 4 4" xfId="0"/>
    <cellStyle name="표준 21 7 4 5" xfId="0"/>
    <cellStyle name="표준 21 7 5" xfId="0"/>
    <cellStyle name="표준 21 7 5 2" xfId="0"/>
    <cellStyle name="표준 21 7 5 3" xfId="0"/>
    <cellStyle name="표준 21 7 5 4" xfId="0"/>
    <cellStyle name="표준 21 7 5 5" xfId="0"/>
    <cellStyle name="표준 21 7 6" xfId="0"/>
    <cellStyle name="표준 21 7 7" xfId="0"/>
    <cellStyle name="표준 21 7 8" xfId="0"/>
    <cellStyle name="표준 21 7 9" xfId="0"/>
    <cellStyle name="표준 21 8" xfId="0"/>
    <cellStyle name="표준 21 8 2" xfId="0"/>
    <cellStyle name="표준 21 9" xfId="0"/>
    <cellStyle name="표준 210" xfId="0"/>
    <cellStyle name="표준 210 2" xfId="0"/>
    <cellStyle name="표준 210 2 2" xfId="0"/>
    <cellStyle name="표준 210 3" xfId="0"/>
    <cellStyle name="표준 211" xfId="0"/>
    <cellStyle name="표준 212" xfId="0"/>
    <cellStyle name="표준 212 2" xfId="0"/>
    <cellStyle name="표준 213" xfId="0"/>
    <cellStyle name="표준 213 2" xfId="0"/>
    <cellStyle name="표준 214" xfId="0"/>
    <cellStyle name="표준 215" xfId="0"/>
    <cellStyle name="표준 216" xfId="0"/>
    <cellStyle name="표준 216 2" xfId="0"/>
    <cellStyle name="표준 217" xfId="0"/>
    <cellStyle name="표준 217 2" xfId="0"/>
    <cellStyle name="표준 218" xfId="0"/>
    <cellStyle name="표준 218 2" xfId="0"/>
    <cellStyle name="표준 219" xfId="0"/>
    <cellStyle name="표준 219 2" xfId="0"/>
    <cellStyle name="표준 219 2 2" xfId="0"/>
    <cellStyle name="표준 219 3" xfId="0"/>
    <cellStyle name="표준 22" xfId="0"/>
    <cellStyle name="표준 22 2" xfId="0"/>
    <cellStyle name="표준 22 3" xfId="0"/>
    <cellStyle name="표준 220" xfId="0"/>
    <cellStyle name="표준 220 2" xfId="0"/>
    <cellStyle name="표준 220 2 2" xfId="0"/>
    <cellStyle name="표준 221" xfId="0"/>
    <cellStyle name="표준 222" xfId="0"/>
    <cellStyle name="표준 222 2" xfId="0"/>
    <cellStyle name="표준 222 2 2" xfId="0"/>
    <cellStyle name="표준 223" xfId="0"/>
    <cellStyle name="표준 224" xfId="0"/>
    <cellStyle name="표준 224 2" xfId="0"/>
    <cellStyle name="표준 224 2 2" xfId="0"/>
    <cellStyle name="표준 225" xfId="0"/>
    <cellStyle name="표준 225 2" xfId="0"/>
    <cellStyle name="표준 225 2 2" xfId="0"/>
    <cellStyle name="표준 226" xfId="0"/>
    <cellStyle name="표준 226 2" xfId="0"/>
    <cellStyle name="표준 226 2 2" xfId="0"/>
    <cellStyle name="표준 227" xfId="0"/>
    <cellStyle name="표준 227 2" xfId="0"/>
    <cellStyle name="표준 227 2 2" xfId="0"/>
    <cellStyle name="표준 228" xfId="0"/>
    <cellStyle name="표준 228 2" xfId="0"/>
    <cellStyle name="표준 228 2 2" xfId="0"/>
    <cellStyle name="표준 229" xfId="0"/>
    <cellStyle name="표준 229 2" xfId="0"/>
    <cellStyle name="표준 229 2 2" xfId="0"/>
    <cellStyle name="표준 23" xfId="0"/>
    <cellStyle name="표준 23 10" xfId="0"/>
    <cellStyle name="표준 23 11" xfId="0"/>
    <cellStyle name="표준 23 12" xfId="0"/>
    <cellStyle name="표준 23 13" xfId="0"/>
    <cellStyle name="표준 23 14" xfId="0"/>
    <cellStyle name="표준 23 15" xfId="0"/>
    <cellStyle name="표준 23 16" xfId="0"/>
    <cellStyle name="표준 23 2" xfId="0"/>
    <cellStyle name="표준 23 2 10" xfId="0"/>
    <cellStyle name="표준 23 2 2" xfId="0"/>
    <cellStyle name="표준 23 2 3" xfId="0"/>
    <cellStyle name="표준 23 2 4" xfId="0"/>
    <cellStyle name="표준 23 2 5" xfId="0"/>
    <cellStyle name="표준 23 2 6" xfId="0"/>
    <cellStyle name="표준 23 2 7" xfId="0"/>
    <cellStyle name="표준 23 2 8" xfId="0"/>
    <cellStyle name="표준 23 2 9" xfId="0"/>
    <cellStyle name="표준 23 3" xfId="0"/>
    <cellStyle name="표준 23 3 2" xfId="0"/>
    <cellStyle name="표준 23 3 3" xfId="0"/>
    <cellStyle name="표준 23 3 4" xfId="0"/>
    <cellStyle name="표준 23 3 5" xfId="0"/>
    <cellStyle name="표준 23 3 6" xfId="0"/>
    <cellStyle name="표준 23 3 7" xfId="0"/>
    <cellStyle name="표준 23 3 8" xfId="0"/>
    <cellStyle name="표준 23 3 9" xfId="0"/>
    <cellStyle name="표준 23 4" xfId="0"/>
    <cellStyle name="표준 23 4 2" xfId="0"/>
    <cellStyle name="표준 23 4 3" xfId="0"/>
    <cellStyle name="표준 23 4 4" xfId="0"/>
    <cellStyle name="표준 23 4 5" xfId="0"/>
    <cellStyle name="표준 23 5" xfId="0"/>
    <cellStyle name="표준 23 5 2" xfId="0"/>
    <cellStyle name="표준 23 5 3" xfId="0"/>
    <cellStyle name="표준 23 5 4" xfId="0"/>
    <cellStyle name="표준 23 5 5" xfId="0"/>
    <cellStyle name="표준 23 6" xfId="0"/>
    <cellStyle name="표준 23 6 2" xfId="0"/>
    <cellStyle name="표준 23 6 3" xfId="0"/>
    <cellStyle name="표준 23 6 4" xfId="0"/>
    <cellStyle name="표준 23 6 5" xfId="0"/>
    <cellStyle name="표준 23 7" xfId="0"/>
    <cellStyle name="표준 23 7 2" xfId="0"/>
    <cellStyle name="표준 23 7 3" xfId="0"/>
    <cellStyle name="표준 23 7 4" xfId="0"/>
    <cellStyle name="표준 23 7 5" xfId="0"/>
    <cellStyle name="표준 23 8" xfId="0"/>
    <cellStyle name="표준 23 9" xfId="0"/>
    <cellStyle name="표준 230" xfId="0"/>
    <cellStyle name="표준 230 2" xfId="0"/>
    <cellStyle name="표준 230 2 2" xfId="0"/>
    <cellStyle name="표준 231" xfId="0"/>
    <cellStyle name="표준 231 2" xfId="0"/>
    <cellStyle name="표준 231 2 2" xfId="0"/>
    <cellStyle name="표준 232" xfId="0"/>
    <cellStyle name="표준 232 2" xfId="0"/>
    <cellStyle name="표준 232 2 2" xfId="0"/>
    <cellStyle name="표준 233" xfId="0"/>
    <cellStyle name="표준 233 2" xfId="0"/>
    <cellStyle name="표준 233 2 2" xfId="0"/>
    <cellStyle name="표준 234" xfId="0"/>
    <cellStyle name="표준 234 2" xfId="0"/>
    <cellStyle name="표준 234 2 2" xfId="0"/>
    <cellStyle name="표준 235" xfId="0"/>
    <cellStyle name="표준 236" xfId="0"/>
    <cellStyle name="표준 237" xfId="0"/>
    <cellStyle name="표준 238" xfId="0"/>
    <cellStyle name="표준 239" xfId="0"/>
    <cellStyle name="표준 24" xfId="0"/>
    <cellStyle name="표준 24 10" xfId="0"/>
    <cellStyle name="표준 24 11" xfId="0"/>
    <cellStyle name="표준 24 12" xfId="0"/>
    <cellStyle name="표준 24 13" xfId="0"/>
    <cellStyle name="표준 24 14" xfId="0"/>
    <cellStyle name="표준 24 15" xfId="0"/>
    <cellStyle name="표준 24 16" xfId="0"/>
    <cellStyle name="표준 24 17" xfId="0"/>
    <cellStyle name="표준 24 18" xfId="0"/>
    <cellStyle name="표준 24 19" xfId="0"/>
    <cellStyle name="표준 24 2" xfId="0"/>
    <cellStyle name="표준 24 2 2" xfId="0"/>
    <cellStyle name="표준 24 3" xfId="0"/>
    <cellStyle name="표준 24 3 2" xfId="0"/>
    <cellStyle name="표준 24 4" xfId="0"/>
    <cellStyle name="표준 24 4 2" xfId="0"/>
    <cellStyle name="표준 24 5" xfId="0"/>
    <cellStyle name="표준 24 5 2" xfId="0"/>
    <cellStyle name="표준 24 6" xfId="0"/>
    <cellStyle name="표준 24 6 2" xfId="0"/>
    <cellStyle name="표준 24 7" xfId="0"/>
    <cellStyle name="표준 24 7 2" xfId="0"/>
    <cellStyle name="표준 24 8" xfId="0"/>
    <cellStyle name="표준 24 9" xfId="0"/>
    <cellStyle name="표준 240" xfId="0"/>
    <cellStyle name="표준 241" xfId="0"/>
    <cellStyle name="표준 242" xfId="0"/>
    <cellStyle name="표준 243" xfId="0"/>
    <cellStyle name="표준 244" xfId="0"/>
    <cellStyle name="표준 245" xfId="0"/>
    <cellStyle name="표준 246" xfId="0"/>
    <cellStyle name="표준 247" xfId="0"/>
    <cellStyle name="표준 248" xfId="0"/>
    <cellStyle name="표준 249" xfId="0"/>
    <cellStyle name="표준 25" xfId="0"/>
    <cellStyle name="표준 25 10" xfId="0"/>
    <cellStyle name="표준 25 11" xfId="0"/>
    <cellStyle name="표준 25 12" xfId="0"/>
    <cellStyle name="표준 25 2" xfId="0"/>
    <cellStyle name="표준 25 2 2" xfId="0"/>
    <cellStyle name="표준 25 2 3" xfId="0"/>
    <cellStyle name="표준 25 2 4" xfId="0"/>
    <cellStyle name="표준 25 2 5" xfId="0"/>
    <cellStyle name="표준 25 2 6" xfId="0"/>
    <cellStyle name="표준 25 2 7" xfId="0"/>
    <cellStyle name="표준 25 2 8" xfId="0"/>
    <cellStyle name="표준 25 2 9" xfId="0"/>
    <cellStyle name="표준 25 3" xfId="0"/>
    <cellStyle name="표준 25 4" xfId="0"/>
    <cellStyle name="표준 25 5" xfId="0"/>
    <cellStyle name="표준 25 6" xfId="0"/>
    <cellStyle name="표준 25 7" xfId="0"/>
    <cellStyle name="표준 25 8" xfId="0"/>
    <cellStyle name="표준 25 9" xfId="0"/>
    <cellStyle name="표준 250" xfId="0"/>
    <cellStyle name="표준 251" xfId="0"/>
    <cellStyle name="표준 252" xfId="0"/>
    <cellStyle name="표준 253" xfId="0"/>
    <cellStyle name="표준 254" xfId="0"/>
    <cellStyle name="표준 255" xfId="0"/>
    <cellStyle name="표준 256" xfId="0"/>
    <cellStyle name="표준 256 2" xfId="0"/>
    <cellStyle name="표준 256 2 2" xfId="0"/>
    <cellStyle name="표준 256 3" xfId="0"/>
    <cellStyle name="표준 257" xfId="0"/>
    <cellStyle name="표준 257 2" xfId="0"/>
    <cellStyle name="표준 257 2 2" xfId="0"/>
    <cellStyle name="표준 257 3" xfId="0"/>
    <cellStyle name="표준 258" xfId="0"/>
    <cellStyle name="표준 258 2" xfId="0"/>
    <cellStyle name="표준 258 2 2" xfId="0"/>
    <cellStyle name="표준 258 3" xfId="0"/>
    <cellStyle name="표준 259" xfId="0"/>
    <cellStyle name="표준 259 2" xfId="0"/>
    <cellStyle name="표준 259 2 2" xfId="0"/>
    <cellStyle name="표준 259 3" xfId="0"/>
    <cellStyle name="표준 26" xfId="0"/>
    <cellStyle name="표준 26 10" xfId="0"/>
    <cellStyle name="표준 26 11" xfId="0"/>
    <cellStyle name="표준 26 12" xfId="0"/>
    <cellStyle name="표준 26 2" xfId="0"/>
    <cellStyle name="표준 26 2 2" xfId="0"/>
    <cellStyle name="표준 26 2 3" xfId="0"/>
    <cellStyle name="표준 26 2 4" xfId="0"/>
    <cellStyle name="표준 26 2 5" xfId="0"/>
    <cellStyle name="표준 26 2 6" xfId="0"/>
    <cellStyle name="표준 26 2 7" xfId="0"/>
    <cellStyle name="표준 26 2 8" xfId="0"/>
    <cellStyle name="표준 26 2 9" xfId="0"/>
    <cellStyle name="표준 26 3" xfId="0"/>
    <cellStyle name="표준 26 4" xfId="0"/>
    <cellStyle name="표준 26 5" xfId="0"/>
    <cellStyle name="표준 26 6" xfId="0"/>
    <cellStyle name="표준 26 7" xfId="0"/>
    <cellStyle name="표준 26 8" xfId="0"/>
    <cellStyle name="표준 26 9" xfId="0"/>
    <cellStyle name="표준 260" xfId="0"/>
    <cellStyle name="표준 260 2" xfId="0"/>
    <cellStyle name="표준 260 2 2" xfId="0"/>
    <cellStyle name="표준 260 3" xfId="0"/>
    <cellStyle name="표준 261" xfId="0"/>
    <cellStyle name="표준 261 2" xfId="0"/>
    <cellStyle name="표준 261 2 2" xfId="0"/>
    <cellStyle name="표준 261 3" xfId="0"/>
    <cellStyle name="표준 262" xfId="0"/>
    <cellStyle name="표준 262 2" xfId="0"/>
    <cellStyle name="표준 262 2 2" xfId="0"/>
    <cellStyle name="표준 262 3" xfId="0"/>
    <cellStyle name="표준 263" xfId="0"/>
    <cellStyle name="표준 263 2" xfId="0"/>
    <cellStyle name="표준 263 2 2" xfId="0"/>
    <cellStyle name="표준 263 3" xfId="0"/>
    <cellStyle name="표준 264" xfId="0"/>
    <cellStyle name="표준 264 2" xfId="0"/>
    <cellStyle name="표준 264 2 2" xfId="0"/>
    <cellStyle name="표준 264 3" xfId="0"/>
    <cellStyle name="표준 265" xfId="0"/>
    <cellStyle name="표준 265 2" xfId="0"/>
    <cellStyle name="표준 265 2 2" xfId="0"/>
    <cellStyle name="표준 265 3" xfId="0"/>
    <cellStyle name="표준 266" xfId="0"/>
    <cellStyle name="표준 266 2" xfId="0"/>
    <cellStyle name="표준 266 2 2" xfId="0"/>
    <cellStyle name="표준 266 3" xfId="0"/>
    <cellStyle name="표준 267" xfId="0"/>
    <cellStyle name="표준 267 2" xfId="0"/>
    <cellStyle name="표준 267 2 2" xfId="0"/>
    <cellStyle name="표준 267 3" xfId="0"/>
    <cellStyle name="표준 268" xfId="0"/>
    <cellStyle name="표준 268 2" xfId="0"/>
    <cellStyle name="표준 268 2 2" xfId="0"/>
    <cellStyle name="표준 268 3" xfId="0"/>
    <cellStyle name="표준 269" xfId="0"/>
    <cellStyle name="표준 269 2" xfId="0"/>
    <cellStyle name="표준 269 2 2" xfId="0"/>
    <cellStyle name="표준 269 3" xfId="0"/>
    <cellStyle name="표준 27" xfId="0"/>
    <cellStyle name="표준 27 10" xfId="0"/>
    <cellStyle name="표준 27 11" xfId="0"/>
    <cellStyle name="표준 27 12" xfId="0"/>
    <cellStyle name="표준 27 13" xfId="0"/>
    <cellStyle name="표준 27 14" xfId="0"/>
    <cellStyle name="표준 27 15" xfId="0"/>
    <cellStyle name="표준 27 16" xfId="0"/>
    <cellStyle name="표준 27 17" xfId="0"/>
    <cellStyle name="표준 27 2" xfId="0"/>
    <cellStyle name="표준 27 2 2" xfId="0"/>
    <cellStyle name="표준 27 2 3" xfId="0"/>
    <cellStyle name="표준 27 3" xfId="0"/>
    <cellStyle name="표준 27 3 2" xfId="0"/>
    <cellStyle name="표준 27 4" xfId="0"/>
    <cellStyle name="표준 27 4 2" xfId="0"/>
    <cellStyle name="표준 27 5" xfId="0"/>
    <cellStyle name="표준 27 5 2" xfId="0"/>
    <cellStyle name="표준 27 6" xfId="0"/>
    <cellStyle name="표준 27 6 2" xfId="0"/>
    <cellStyle name="표준 27 7" xfId="0"/>
    <cellStyle name="표준 27 7 2" xfId="0"/>
    <cellStyle name="표준 27 8" xfId="0"/>
    <cellStyle name="표준 27 9" xfId="0"/>
    <cellStyle name="표준 270" xfId="0"/>
    <cellStyle name="표준 270 2" xfId="0"/>
    <cellStyle name="표준 270 2 2" xfId="0"/>
    <cellStyle name="표준 270 3" xfId="0"/>
    <cellStyle name="표준 271" xfId="0"/>
    <cellStyle name="표준 271 2" xfId="0"/>
    <cellStyle name="표준 271 2 2" xfId="0"/>
    <cellStyle name="표준 271 3" xfId="0"/>
    <cellStyle name="표준 272" xfId="0"/>
    <cellStyle name="표준 272 2" xfId="0"/>
    <cellStyle name="표준 272 2 2" xfId="0"/>
    <cellStyle name="표준 272 3" xfId="0"/>
    <cellStyle name="표준 273" xfId="0"/>
    <cellStyle name="표준 273 2" xfId="0"/>
    <cellStyle name="표준 273 2 2" xfId="0"/>
    <cellStyle name="표준 273 3" xfId="0"/>
    <cellStyle name="표준 274" xfId="0"/>
    <cellStyle name="표준 274 2" xfId="0"/>
    <cellStyle name="표준 274 2 2" xfId="0"/>
    <cellStyle name="표준 274 3" xfId="0"/>
    <cellStyle name="표준 275" xfId="0"/>
    <cellStyle name="표준 275 2" xfId="0"/>
    <cellStyle name="표준 275 2 2" xfId="0"/>
    <cellStyle name="표준 275 3" xfId="0"/>
    <cellStyle name="표준 276" xfId="0"/>
    <cellStyle name="표준 276 2" xfId="0"/>
    <cellStyle name="표준 276 2 2" xfId="0"/>
    <cellStyle name="표준 276 3" xfId="0"/>
    <cellStyle name="표준 277" xfId="0"/>
    <cellStyle name="표준 277 2" xfId="0"/>
    <cellStyle name="표준 277 2 2" xfId="0"/>
    <cellStyle name="표준 277 3" xfId="0"/>
    <cellStyle name="표준 278" xfId="0"/>
    <cellStyle name="표준 278 2" xfId="0"/>
    <cellStyle name="표준 278 2 2" xfId="0"/>
    <cellStyle name="표준 278 3" xfId="0"/>
    <cellStyle name="표준 279" xfId="0"/>
    <cellStyle name="표준 279 2" xfId="0"/>
    <cellStyle name="표준 279 2 2" xfId="0"/>
    <cellStyle name="표준 279 3" xfId="0"/>
    <cellStyle name="표준 28" xfId="0"/>
    <cellStyle name="표준 28 2" xfId="0"/>
    <cellStyle name="표준 28 3" xfId="0"/>
    <cellStyle name="표준 28 4" xfId="0"/>
    <cellStyle name="표준 28 4 2" xfId="0"/>
    <cellStyle name="표준 28 4 3" xfId="0"/>
    <cellStyle name="표준 28 4 4" xfId="0"/>
    <cellStyle name="표준 28 4 5" xfId="0"/>
    <cellStyle name="표준 28 5" xfId="0"/>
    <cellStyle name="표준 28 5 2" xfId="0"/>
    <cellStyle name="표준 28 5 3" xfId="0"/>
    <cellStyle name="표준 28 5 4" xfId="0"/>
    <cellStyle name="표준 28 5 5" xfId="0"/>
    <cellStyle name="표준 28 6" xfId="0"/>
    <cellStyle name="표준 28 7" xfId="0"/>
    <cellStyle name="표준 28 8" xfId="0"/>
    <cellStyle name="표준 280" xfId="0"/>
    <cellStyle name="표준 280 2" xfId="0"/>
    <cellStyle name="표준 280 2 2" xfId="0"/>
    <cellStyle name="표준 280 3" xfId="0"/>
    <cellStyle name="표준 281" xfId="0"/>
    <cellStyle name="표준 281 2" xfId="0"/>
    <cellStyle name="표준 281 2 2" xfId="0"/>
    <cellStyle name="표준 281 3" xfId="0"/>
    <cellStyle name="표준 282" xfId="0"/>
    <cellStyle name="표준 282 2" xfId="0"/>
    <cellStyle name="표준 282 2 2" xfId="0"/>
    <cellStyle name="표준 282 3" xfId="0"/>
    <cellStyle name="표준 283" xfId="0"/>
    <cellStyle name="표준 283 2" xfId="0"/>
    <cellStyle name="표준 283 2 2" xfId="0"/>
    <cellStyle name="표준 283 3" xfId="0"/>
    <cellStyle name="표준 284" xfId="0"/>
    <cellStyle name="표준 284 2" xfId="0"/>
    <cellStyle name="표준 284 2 2" xfId="0"/>
    <cellStyle name="표준 284 3" xfId="0"/>
    <cellStyle name="표준 285" xfId="0"/>
    <cellStyle name="표준 285 2" xfId="0"/>
    <cellStyle name="표준 285 2 2" xfId="0"/>
    <cellStyle name="표준 285 3" xfId="0"/>
    <cellStyle name="표준 286" xfId="0"/>
    <cellStyle name="표준 286 2" xfId="0"/>
    <cellStyle name="표준 286 2 2" xfId="0"/>
    <cellStyle name="표준 286 3" xfId="0"/>
    <cellStyle name="표준 287" xfId="0"/>
    <cellStyle name="표준 287 2" xfId="0"/>
    <cellStyle name="표준 287 2 2" xfId="0"/>
    <cellStyle name="표준 287 3" xfId="0"/>
    <cellStyle name="표준 288" xfId="0"/>
    <cellStyle name="표준 288 2" xfId="0"/>
    <cellStyle name="표준 288 2 2" xfId="0"/>
    <cellStyle name="표준 288 3" xfId="0"/>
    <cellStyle name="표준 289" xfId="0"/>
    <cellStyle name="표준 289 2" xfId="0"/>
    <cellStyle name="표준 289 2 2" xfId="0"/>
    <cellStyle name="표준 289 3" xfId="0"/>
    <cellStyle name="표준 29" xfId="0"/>
    <cellStyle name="표준 29 2" xfId="0"/>
    <cellStyle name="표준 29 2 2" xfId="0"/>
    <cellStyle name="표준 29 2 3" xfId="0"/>
    <cellStyle name="표준 29 2 4" xfId="0"/>
    <cellStyle name="표준 29 2 5" xfId="0"/>
    <cellStyle name="표준 29 3" xfId="0"/>
    <cellStyle name="표준 29 3 2" xfId="0"/>
    <cellStyle name="표준 29 3 3" xfId="0"/>
    <cellStyle name="표준 29 3 4" xfId="0"/>
    <cellStyle name="표준 29 3 5" xfId="0"/>
    <cellStyle name="표준 29 4" xfId="0"/>
    <cellStyle name="표준 29 4 2" xfId="0"/>
    <cellStyle name="표준 29 4 3" xfId="0"/>
    <cellStyle name="표준 29 4 4" xfId="0"/>
    <cellStyle name="표준 29 4 5" xfId="0"/>
    <cellStyle name="표준 29 5" xfId="0"/>
    <cellStyle name="표준 29 5 2" xfId="0"/>
    <cellStyle name="표준 29 5 3" xfId="0"/>
    <cellStyle name="표준 29 5 4" xfId="0"/>
    <cellStyle name="표준 29 5 5" xfId="0"/>
    <cellStyle name="표준 29 6" xfId="0"/>
    <cellStyle name="표준 29 7" xfId="0"/>
    <cellStyle name="표준 290" xfId="0"/>
    <cellStyle name="표준 290 2" xfId="0"/>
    <cellStyle name="표준 290 2 2" xfId="0"/>
    <cellStyle name="표준 290 3" xfId="0"/>
    <cellStyle name="표준 291" xfId="0"/>
    <cellStyle name="표준 291 2" xfId="0"/>
    <cellStyle name="표준 291 2 2" xfId="0"/>
    <cellStyle name="표준 291 3" xfId="0"/>
    <cellStyle name="표준 292" xfId="0"/>
    <cellStyle name="표준 292 2" xfId="0"/>
    <cellStyle name="표준 292 2 2" xfId="0"/>
    <cellStyle name="표준 292 3" xfId="0"/>
    <cellStyle name="표준 293" xfId="0"/>
    <cellStyle name="표준 293 2" xfId="0"/>
    <cellStyle name="표준 293 2 2" xfId="0"/>
    <cellStyle name="표준 293 3" xfId="0"/>
    <cellStyle name="표준 294" xfId="0"/>
    <cellStyle name="표준 294 2" xfId="0"/>
    <cellStyle name="표준 294 2 2" xfId="0"/>
    <cellStyle name="표준 294 3" xfId="0"/>
    <cellStyle name="표준 295" xfId="0"/>
    <cellStyle name="표준 295 2" xfId="0"/>
    <cellStyle name="표준 295 2 2" xfId="0"/>
    <cellStyle name="표준 295 3" xfId="0"/>
    <cellStyle name="표준 296" xfId="0"/>
    <cellStyle name="표준 296 2" xfId="0"/>
    <cellStyle name="표준 296 2 2" xfId="0"/>
    <cellStyle name="표준 296 3" xfId="0"/>
    <cellStyle name="표준 297" xfId="0"/>
    <cellStyle name="표준 297 2" xfId="0"/>
    <cellStyle name="표준 297 2 2" xfId="0"/>
    <cellStyle name="표준 297 3" xfId="0"/>
    <cellStyle name="표준 298" xfId="0"/>
    <cellStyle name="표준 298 2" xfId="0"/>
    <cellStyle name="표준 298 2 2" xfId="0"/>
    <cellStyle name="표준 298 3" xfId="0"/>
    <cellStyle name="표준 299" xfId="0"/>
    <cellStyle name="표준 299 2" xfId="0"/>
    <cellStyle name="표준 299 2 2" xfId="0"/>
    <cellStyle name="표준 299 3" xfId="0"/>
    <cellStyle name="표준 2_@2009 BSPL(10월)_최종본" xfId="0"/>
    <cellStyle name="표준 3" xfId="0"/>
    <cellStyle name="표준 3 10" xfId="0"/>
    <cellStyle name="표준 3 11" xfId="0"/>
    <cellStyle name="표준 3 12" xfId="0"/>
    <cellStyle name="표준 3 13" xfId="0"/>
    <cellStyle name="표준 3 14" xfId="0"/>
    <cellStyle name="표준 3 15" xfId="0"/>
    <cellStyle name="표준 3 16" xfId="0"/>
    <cellStyle name="표준 3 17" xfId="0"/>
    <cellStyle name="표준 3 18" xfId="0"/>
    <cellStyle name="표준 3 19" xfId="0"/>
    <cellStyle name="표준 3 2" xfId="0"/>
    <cellStyle name="표준 3 2 10" xfId="0"/>
    <cellStyle name="표준 3 2 10 2" xfId="0"/>
    <cellStyle name="표준 3 2 11" xfId="0"/>
    <cellStyle name="표준 3 2 11 2" xfId="0"/>
    <cellStyle name="표준 3 2 12" xfId="0"/>
    <cellStyle name="표준 3 2 12 2" xfId="0"/>
    <cellStyle name="표준 3 2 13" xfId="0"/>
    <cellStyle name="표준 3 2 13 2" xfId="0"/>
    <cellStyle name="표준 3 2 14" xfId="0"/>
    <cellStyle name="표준 3 2 14 2" xfId="0"/>
    <cellStyle name="표준 3 2 15" xfId="0"/>
    <cellStyle name="표준 3 2 15 2" xfId="0"/>
    <cellStyle name="표준 3 2 16" xfId="0"/>
    <cellStyle name="표준 3 2 16 2" xfId="0"/>
    <cellStyle name="표준 3 2 17" xfId="0"/>
    <cellStyle name="표준 3 2 18" xfId="0"/>
    <cellStyle name="표준 3 2 19" xfId="0"/>
    <cellStyle name="표준 3 2 2" xfId="0"/>
    <cellStyle name="표준 3 2 2 10" xfId="0"/>
    <cellStyle name="표준 3 2 2 10 2" xfId="0"/>
    <cellStyle name="표준 3 2 2 11" xfId="0"/>
    <cellStyle name="표준 3 2 2 11 2" xfId="0"/>
    <cellStyle name="표준 3 2 2 12" xfId="0"/>
    <cellStyle name="표준 3 2 2 12 2" xfId="0"/>
    <cellStyle name="표준 3 2 2 13" xfId="0"/>
    <cellStyle name="표준 3 2 2 13 2" xfId="0"/>
    <cellStyle name="표준 3 2 2 14" xfId="0"/>
    <cellStyle name="표준 3 2 2 14 2" xfId="0"/>
    <cellStyle name="표준 3 2 2 15" xfId="0"/>
    <cellStyle name="표준 3 2 2 15 2" xfId="0"/>
    <cellStyle name="표준 3 2 2 16" xfId="0"/>
    <cellStyle name="표준 3 2 2 17" xfId="0"/>
    <cellStyle name="표준 3 2 2 2" xfId="0"/>
    <cellStyle name="표준 3 2 2 2 2" xfId="0"/>
    <cellStyle name="표준 3 2 2 3" xfId="0"/>
    <cellStyle name="표준 3 2 2 3 2" xfId="0"/>
    <cellStyle name="표준 3 2 2 4" xfId="0"/>
    <cellStyle name="표준 3 2 2 4 2" xfId="0"/>
    <cellStyle name="표준 3 2 2 5" xfId="0"/>
    <cellStyle name="표준 3 2 2 5 2" xfId="0"/>
    <cellStyle name="표준 3 2 2 6" xfId="0"/>
    <cellStyle name="표준 3 2 2 6 2" xfId="0"/>
    <cellStyle name="표준 3 2 2 7" xfId="0"/>
    <cellStyle name="표준 3 2 2 7 2" xfId="0"/>
    <cellStyle name="표준 3 2 2 8" xfId="0"/>
    <cellStyle name="표준 3 2 2 8 2" xfId="0"/>
    <cellStyle name="표준 3 2 2 9" xfId="0"/>
    <cellStyle name="표준 3 2 2 9 2" xfId="0"/>
    <cellStyle name="표준 3 2 20" xfId="0"/>
    <cellStyle name="표준 3 2 21" xfId="0"/>
    <cellStyle name="표준 3 2 22" xfId="0"/>
    <cellStyle name="표준 3 2 23" xfId="0"/>
    <cellStyle name="표준 3 2 24" xfId="0"/>
    <cellStyle name="표준 3 2 25" xfId="0"/>
    <cellStyle name="표준 3 2 26" xfId="0"/>
    <cellStyle name="표준 3 2 27" xfId="0"/>
    <cellStyle name="표준 3 2 28" xfId="0"/>
    <cellStyle name="표준 3 2 29" xfId="0"/>
    <cellStyle name="표준 3 2 3" xfId="0"/>
    <cellStyle name="표준 3 2 3 10" xfId="0"/>
    <cellStyle name="표준 3 2 3 2" xfId="0"/>
    <cellStyle name="표준 3 2 3 3" xfId="0"/>
    <cellStyle name="표준 3 2 3 4" xfId="0"/>
    <cellStyle name="표준 3 2 3 5" xfId="0"/>
    <cellStyle name="표준 3 2 3 6" xfId="0"/>
    <cellStyle name="표준 3 2 3 7" xfId="0"/>
    <cellStyle name="표준 3 2 3 8" xfId="0"/>
    <cellStyle name="표준 3 2 3 9" xfId="0"/>
    <cellStyle name="표준 3 2 30" xfId="0"/>
    <cellStyle name="표준 3 2 31" xfId="0"/>
    <cellStyle name="표준 3 2 32" xfId="0"/>
    <cellStyle name="표준 3 2 33" xfId="0"/>
    <cellStyle name="표준 3 2 34" xfId="0"/>
    <cellStyle name="표준 3 2 35" xfId="0"/>
    <cellStyle name="표준 3 2 36" xfId="0"/>
    <cellStyle name="표준 3 2 37" xfId="0"/>
    <cellStyle name="표준 3 2 38" xfId="0"/>
    <cellStyle name="표준 3 2 39" xfId="0"/>
    <cellStyle name="표준 3 2 4" xfId="0"/>
    <cellStyle name="표준 3 2 4 10" xfId="0"/>
    <cellStyle name="표준 3 2 4 2" xfId="0"/>
    <cellStyle name="표준 3 2 4 3" xfId="0"/>
    <cellStyle name="표준 3 2 4 4" xfId="0"/>
    <cellStyle name="표준 3 2 4 5" xfId="0"/>
    <cellStyle name="표준 3 2 4 6" xfId="0"/>
    <cellStyle name="표준 3 2 4 7" xfId="0"/>
    <cellStyle name="표준 3 2 4 8" xfId="0"/>
    <cellStyle name="표준 3 2 4 9" xfId="0"/>
    <cellStyle name="표준 3 2 40" xfId="0"/>
    <cellStyle name="표준 3 2 41" xfId="0"/>
    <cellStyle name="표준 3 2 42" xfId="0"/>
    <cellStyle name="표준 3 2 43" xfId="0"/>
    <cellStyle name="표준 3 2 44" xfId="0"/>
    <cellStyle name="표준 3 2 5" xfId="0"/>
    <cellStyle name="표준 3 2 5 10" xfId="0"/>
    <cellStyle name="표준 3 2 5 2" xfId="0"/>
    <cellStyle name="표준 3 2 5 3" xfId="0"/>
    <cellStyle name="표준 3 2 5 4" xfId="0"/>
    <cellStyle name="표준 3 2 5 5" xfId="0"/>
    <cellStyle name="표준 3 2 5 6" xfId="0"/>
    <cellStyle name="표준 3 2 5 7" xfId="0"/>
    <cellStyle name="표준 3 2 5 8" xfId="0"/>
    <cellStyle name="표준 3 2 5 9" xfId="0"/>
    <cellStyle name="표준 3 2 6" xfId="0"/>
    <cellStyle name="표준 3 2 6 10" xfId="0"/>
    <cellStyle name="표준 3 2 6 2" xfId="0"/>
    <cellStyle name="표준 3 2 6 3" xfId="0"/>
    <cellStyle name="표준 3 2 6 4" xfId="0"/>
    <cellStyle name="표준 3 2 6 5" xfId="0"/>
    <cellStyle name="표준 3 2 6 6" xfId="0"/>
    <cellStyle name="표준 3 2 6 7" xfId="0"/>
    <cellStyle name="표준 3 2 6 8" xfId="0"/>
    <cellStyle name="표준 3 2 6 9" xfId="0"/>
    <cellStyle name="표준 3 2 7" xfId="0"/>
    <cellStyle name="표준 3 2 7 10" xfId="0"/>
    <cellStyle name="표준 3 2 7 11" xfId="0"/>
    <cellStyle name="표준 3 2 7 2" xfId="0"/>
    <cellStyle name="표준 3 2 7 3" xfId="0"/>
    <cellStyle name="표준 3 2 7 4" xfId="0"/>
    <cellStyle name="표준 3 2 7 5" xfId="0"/>
    <cellStyle name="표준 3 2 7 6" xfId="0"/>
    <cellStyle name="표준 3 2 7 7" xfId="0"/>
    <cellStyle name="표준 3 2 7 8" xfId="0"/>
    <cellStyle name="표준 3 2 7 9" xfId="0"/>
    <cellStyle name="표준 3 2 8" xfId="0"/>
    <cellStyle name="표준 3 2 8 2" xfId="0"/>
    <cellStyle name="표준 3 2 9" xfId="0"/>
    <cellStyle name="표준 3 2 9 2" xfId="0"/>
    <cellStyle name="표준 3 20" xfId="0"/>
    <cellStyle name="표준 3 21" xfId="0"/>
    <cellStyle name="표준 3 22" xfId="0"/>
    <cellStyle name="표준 3 23" xfId="0"/>
    <cellStyle name="표준 3 24" xfId="0"/>
    <cellStyle name="표준 3 25" xfId="0"/>
    <cellStyle name="표준 3 26" xfId="0"/>
    <cellStyle name="표준 3 27" xfId="0"/>
    <cellStyle name="표준 3 28" xfId="0"/>
    <cellStyle name="표준 3 29" xfId="0"/>
    <cellStyle name="표준 3 3" xfId="0"/>
    <cellStyle name="표준 3 3 10" xfId="0"/>
    <cellStyle name="표준 3 3 11" xfId="0"/>
    <cellStyle name="표준 3 3 12" xfId="0"/>
    <cellStyle name="표준 3 3 2" xfId="0"/>
    <cellStyle name="표준 3 3 2 10" xfId="0"/>
    <cellStyle name="표준 3 3 2 11" xfId="0"/>
    <cellStyle name="표준 3 3 2 2" xfId="0"/>
    <cellStyle name="표준 3 3 2 3" xfId="0"/>
    <cellStyle name="표준 3 3 2 4" xfId="0"/>
    <cellStyle name="표준 3 3 2 5" xfId="0"/>
    <cellStyle name="표준 3 3 2 6" xfId="0"/>
    <cellStyle name="표준 3 3 2 7" xfId="0"/>
    <cellStyle name="표준 3 3 2 8" xfId="0"/>
    <cellStyle name="표준 3 3 2 9" xfId="0"/>
    <cellStyle name="표준 3 3 3" xfId="0"/>
    <cellStyle name="표준 3 3 4" xfId="0"/>
    <cellStyle name="표준 3 3 5" xfId="0"/>
    <cellStyle name="표준 3 3 6" xfId="0"/>
    <cellStyle name="표준 3 3 7" xfId="0"/>
    <cellStyle name="표준 3 3 8" xfId="0"/>
    <cellStyle name="표준 3 3 9" xfId="0"/>
    <cellStyle name="표준 3 30" xfId="0"/>
    <cellStyle name="표준 3 31" xfId="0"/>
    <cellStyle name="표준 3 32" xfId="0"/>
    <cellStyle name="표준 3 33" xfId="0"/>
    <cellStyle name="표준 3 34" xfId="0"/>
    <cellStyle name="표준 3 35" xfId="0"/>
    <cellStyle name="표준 3 36" xfId="0"/>
    <cellStyle name="표준 3 37" xfId="0"/>
    <cellStyle name="표준 3 38" xfId="0"/>
    <cellStyle name="표준 3 39" xfId="0"/>
    <cellStyle name="표준 3 4" xfId="0"/>
    <cellStyle name="표준 3 4 10" xfId="0"/>
    <cellStyle name="표준 3 4 11" xfId="0"/>
    <cellStyle name="표준 3 4 12" xfId="0"/>
    <cellStyle name="표준 3 4 2" xfId="0"/>
    <cellStyle name="표준 3 4 3" xfId="0"/>
    <cellStyle name="표준 3 4 4" xfId="0"/>
    <cellStyle name="표준 3 4 5" xfId="0"/>
    <cellStyle name="표준 3 4 6" xfId="0"/>
    <cellStyle name="표준 3 4 7" xfId="0"/>
    <cellStyle name="표준 3 4 8" xfId="0"/>
    <cellStyle name="표준 3 4 9" xfId="0"/>
    <cellStyle name="표준 3 40" xfId="0"/>
    <cellStyle name="표준 3 5" xfId="0"/>
    <cellStyle name="표준 3 5 10" xfId="0"/>
    <cellStyle name="표준 3 5 11" xfId="0"/>
    <cellStyle name="표준 3 5 2" xfId="0"/>
    <cellStyle name="표준 3 5 3" xfId="0"/>
    <cellStyle name="표준 3 5 4" xfId="0"/>
    <cellStyle name="표준 3 5 5" xfId="0"/>
    <cellStyle name="표준 3 5 6" xfId="0"/>
    <cellStyle name="표준 3 5 7" xfId="0"/>
    <cellStyle name="표준 3 5 8" xfId="0"/>
    <cellStyle name="표준 3 5 9" xfId="0"/>
    <cellStyle name="표준 3 6" xfId="0"/>
    <cellStyle name="표준 3 6 10" xfId="0"/>
    <cellStyle name="표준 3 6 11" xfId="0"/>
    <cellStyle name="표준 3 6 12" xfId="0"/>
    <cellStyle name="표준 3 6 2" xfId="0"/>
    <cellStyle name="표준 3 6 2 2" xfId="0"/>
    <cellStyle name="표준 3 6 2 3" xfId="0"/>
    <cellStyle name="표준 3 6 2 3 2" xfId="0"/>
    <cellStyle name="표준 3 6 2 3 2 2" xfId="0"/>
    <cellStyle name="표준 3 6 2 3 2 2 2" xfId="0"/>
    <cellStyle name="표준 3 6 2 3 2 2 2 2" xfId="0"/>
    <cellStyle name="표준 3 6 2 3 2 2 2 2 2" xfId="0"/>
    <cellStyle name="표준 3 6 2 3 2 2 2 2 2 2" xfId="0"/>
    <cellStyle name="표준 3 6 2 3 2 2 2 2 2 2 2" xfId="0"/>
    <cellStyle name="표준 3 6 2 3 2 2 2 2 2 2 2 2" xfId="0"/>
    <cellStyle name="표준 3 6 2 3 2 2 2 2 2 2 2 2 2" xfId="0"/>
    <cellStyle name="표준 3 6 2 4" xfId="0"/>
    <cellStyle name="표준 3 6 3" xfId="0"/>
    <cellStyle name="표준 3 6 3 2" xfId="0"/>
    <cellStyle name="표준 3 6 4" xfId="0"/>
    <cellStyle name="표준 3 6 4 2" xfId="0"/>
    <cellStyle name="표준 3 6 5" xfId="0"/>
    <cellStyle name="표준 3 6 6" xfId="0"/>
    <cellStyle name="표준 3 6 7" xfId="0"/>
    <cellStyle name="표준 3 6 8" xfId="0"/>
    <cellStyle name="표준 3 6 9" xfId="0"/>
    <cellStyle name="표준 3 7" xfId="0"/>
    <cellStyle name="표준 3 7 10" xfId="0"/>
    <cellStyle name="표준 3 7 11" xfId="0"/>
    <cellStyle name="표준 3 7 12" xfId="0"/>
    <cellStyle name="표준 3 7 13" xfId="0"/>
    <cellStyle name="표준 3 7 14" xfId="0"/>
    <cellStyle name="표준 3 7 15" xfId="0"/>
    <cellStyle name="표준 3 7 2" xfId="0"/>
    <cellStyle name="표준 3 7 2 2" xfId="0"/>
    <cellStyle name="표준 3 7 3" xfId="0"/>
    <cellStyle name="표준 3 7 3 2" xfId="0"/>
    <cellStyle name="표준 3 7 4" xfId="0"/>
    <cellStyle name="표준 3 7 4 2" xfId="0"/>
    <cellStyle name="표준 3 7 5" xfId="0"/>
    <cellStyle name="표준 3 7 6" xfId="0"/>
    <cellStyle name="표준 3 7 7" xfId="0"/>
    <cellStyle name="표준 3 7 8" xfId="0"/>
    <cellStyle name="표준 3 7 9" xfId="0"/>
    <cellStyle name="표준 3 8" xfId="0"/>
    <cellStyle name="표준 3 8 2" xfId="0"/>
    <cellStyle name="표준 3 8 2 2" xfId="0"/>
    <cellStyle name="표준 3 8 2 3" xfId="0"/>
    <cellStyle name="표준 3 8 2 4" xfId="0"/>
    <cellStyle name="표준 3 8 2 5" xfId="0"/>
    <cellStyle name="표준 3 8 3" xfId="0"/>
    <cellStyle name="표준 3 8 4" xfId="0"/>
    <cellStyle name="표준 3 8 5" xfId="0"/>
    <cellStyle name="표준 3 8 6" xfId="0"/>
    <cellStyle name="표준 3 8 7" xfId="0"/>
    <cellStyle name="표준 3 9" xfId="0"/>
    <cellStyle name="표준 3 9 2" xfId="0"/>
    <cellStyle name="표준 3 9 3" xfId="0"/>
    <cellStyle name="표준 3 9 4" xfId="0"/>
    <cellStyle name="표준 3 9 5" xfId="0"/>
    <cellStyle name="표준 30" xfId="0"/>
    <cellStyle name="표준 30 2" xfId="0"/>
    <cellStyle name="표준 30 2 2" xfId="0"/>
    <cellStyle name="표준 30 3" xfId="0"/>
    <cellStyle name="표준 30 4" xfId="0"/>
    <cellStyle name="표준 30 5" xfId="0"/>
    <cellStyle name="표준 30 6" xfId="0"/>
    <cellStyle name="표준 300" xfId="0"/>
    <cellStyle name="표준 300 2" xfId="0"/>
    <cellStyle name="표준 300 2 2" xfId="0"/>
    <cellStyle name="표준 300 3" xfId="0"/>
    <cellStyle name="표준 301" xfId="0"/>
    <cellStyle name="표준 301 2" xfId="0"/>
    <cellStyle name="표준 301 2 2" xfId="0"/>
    <cellStyle name="표준 301 3" xfId="0"/>
    <cellStyle name="표준 302" xfId="0"/>
    <cellStyle name="표준 302 2" xfId="0"/>
    <cellStyle name="표준 302 2 2" xfId="0"/>
    <cellStyle name="표준 302 3" xfId="0"/>
    <cellStyle name="표준 303" xfId="0"/>
    <cellStyle name="표준 303 2" xfId="0"/>
    <cellStyle name="표준 303 2 2" xfId="0"/>
    <cellStyle name="표준 303 3" xfId="0"/>
    <cellStyle name="표준 304" xfId="0"/>
    <cellStyle name="표준 304 2" xfId="0"/>
    <cellStyle name="표준 304 2 2" xfId="0"/>
    <cellStyle name="표준 304 3" xfId="0"/>
    <cellStyle name="표준 305" xfId="0"/>
    <cellStyle name="표준 305 2" xfId="0"/>
    <cellStyle name="표준 305 2 2" xfId="0"/>
    <cellStyle name="표준 305 3" xfId="0"/>
    <cellStyle name="표준 306" xfId="0"/>
    <cellStyle name="표준 306 2" xfId="0"/>
    <cellStyle name="표준 306 2 2" xfId="0"/>
    <cellStyle name="표준 306 3" xfId="0"/>
    <cellStyle name="표준 307" xfId="0"/>
    <cellStyle name="표준 307 2" xfId="0"/>
    <cellStyle name="표준 307 2 2" xfId="0"/>
    <cellStyle name="표준 307 3" xfId="0"/>
    <cellStyle name="표준 308" xfId="0"/>
    <cellStyle name="표준 308 2" xfId="0"/>
    <cellStyle name="표준 308 2 2" xfId="0"/>
    <cellStyle name="표준 308 3" xfId="0"/>
    <cellStyle name="표준 309" xfId="0"/>
    <cellStyle name="표준 309 2" xfId="0"/>
    <cellStyle name="표준 309 2 2" xfId="0"/>
    <cellStyle name="표준 309 3" xfId="0"/>
    <cellStyle name="표준 31" xfId="0"/>
    <cellStyle name="표준 31 10" xfId="0"/>
    <cellStyle name="표준 31 11" xfId="0"/>
    <cellStyle name="표준 31 12" xfId="0"/>
    <cellStyle name="표준 31 13" xfId="0"/>
    <cellStyle name="표준 31 14" xfId="0"/>
    <cellStyle name="표준 31 15" xfId="0"/>
    <cellStyle name="표준 31 16" xfId="0"/>
    <cellStyle name="표준 31 17" xfId="0"/>
    <cellStyle name="표준 31 18" xfId="0"/>
    <cellStyle name="표준 31 19" xfId="0"/>
    <cellStyle name="표준 31 2" xfId="0"/>
    <cellStyle name="표준 31 2 2" xfId="0"/>
    <cellStyle name="표준 31 2 2 2" xfId="0"/>
    <cellStyle name="표준 31 3" xfId="0"/>
    <cellStyle name="표준 31 3 2" xfId="0"/>
    <cellStyle name="표준 31 4" xfId="0"/>
    <cellStyle name="표준 31 4 2" xfId="0"/>
    <cellStyle name="표준 31 5" xfId="0"/>
    <cellStyle name="표준 31 5 2" xfId="0"/>
    <cellStyle name="표준 31 6" xfId="0"/>
    <cellStyle name="표준 31 7" xfId="0"/>
    <cellStyle name="표준 31 8" xfId="0"/>
    <cellStyle name="표준 31 9" xfId="0"/>
    <cellStyle name="표준 310" xfId="0"/>
    <cellStyle name="표준 310 2" xfId="0"/>
    <cellStyle name="표준 310 2 2" xfId="0"/>
    <cellStyle name="표준 310 3" xfId="0"/>
    <cellStyle name="표준 311" xfId="0"/>
    <cellStyle name="표준 311 2" xfId="0"/>
    <cellStyle name="표준 311 2 2" xfId="0"/>
    <cellStyle name="표준 311 3" xfId="0"/>
    <cellStyle name="표준 312" xfId="0"/>
    <cellStyle name="표준 312 2" xfId="0"/>
    <cellStyle name="표준 312 2 2" xfId="0"/>
    <cellStyle name="표준 312 3" xfId="0"/>
    <cellStyle name="표준 313" xfId="0"/>
    <cellStyle name="표준 313 2" xfId="0"/>
    <cellStyle name="표준 313 2 2" xfId="0"/>
    <cellStyle name="표준 313 3" xfId="0"/>
    <cellStyle name="표준 314" xfId="0"/>
    <cellStyle name="표준 314 2" xfId="0"/>
    <cellStyle name="표준 314 2 2" xfId="0"/>
    <cellStyle name="표준 314 3" xfId="0"/>
    <cellStyle name="표준 315" xfId="0"/>
    <cellStyle name="표준 315 2" xfId="0"/>
    <cellStyle name="표준 315 2 2" xfId="0"/>
    <cellStyle name="표준 315 3" xfId="0"/>
    <cellStyle name="표준 316" xfId="0"/>
    <cellStyle name="표준 316 2" xfId="0"/>
    <cellStyle name="표준 316 2 2" xfId="0"/>
    <cellStyle name="표준 316 3" xfId="0"/>
    <cellStyle name="표준 317" xfId="0"/>
    <cellStyle name="표준 317 2" xfId="0"/>
    <cellStyle name="표준 317 2 2" xfId="0"/>
    <cellStyle name="표준 317 3" xfId="0"/>
    <cellStyle name="표준 318" xfId="0"/>
    <cellStyle name="표준 318 2" xfId="0"/>
    <cellStyle name="표준 318 2 2" xfId="0"/>
    <cellStyle name="표준 318 3" xfId="0"/>
    <cellStyle name="표준 319" xfId="0"/>
    <cellStyle name="표준 319 2" xfId="0"/>
    <cellStyle name="표준 319 2 2" xfId="0"/>
    <cellStyle name="표준 319 3" xfId="0"/>
    <cellStyle name="표준 31_2371.X" xfId="0"/>
    <cellStyle name="표준 32" xfId="0"/>
    <cellStyle name="표준 32 2" xfId="0"/>
    <cellStyle name="표준 32 3" xfId="0"/>
    <cellStyle name="표준 32 4" xfId="0"/>
    <cellStyle name="표준 32 5" xfId="0"/>
    <cellStyle name="표준 32 6" xfId="0"/>
    <cellStyle name="표준 320" xfId="0"/>
    <cellStyle name="표준 320 2" xfId="0"/>
    <cellStyle name="표준 320 2 2" xfId="0"/>
    <cellStyle name="표준 320 3" xfId="0"/>
    <cellStyle name="표준 321" xfId="0"/>
    <cellStyle name="표준 321 2" xfId="0"/>
    <cellStyle name="표준 321 2 2" xfId="0"/>
    <cellStyle name="표준 321 3" xfId="0"/>
    <cellStyle name="표준 322" xfId="0"/>
    <cellStyle name="표준 322 2" xfId="0"/>
    <cellStyle name="표준 322 2 2" xfId="0"/>
    <cellStyle name="표준 322 3" xfId="0"/>
    <cellStyle name="표준 323" xfId="0"/>
    <cellStyle name="표준 323 2" xfId="0"/>
    <cellStyle name="표준 323 2 2" xfId="0"/>
    <cellStyle name="표준 323 3" xfId="0"/>
    <cellStyle name="표준 324" xfId="0"/>
    <cellStyle name="표준 324 2" xfId="0"/>
    <cellStyle name="표준 324 2 2" xfId="0"/>
    <cellStyle name="표준 324 3" xfId="0"/>
    <cellStyle name="표준 325" xfId="0"/>
    <cellStyle name="표준 325 2" xfId="0"/>
    <cellStyle name="표준 325 2 2" xfId="0"/>
    <cellStyle name="표준 325 3" xfId="0"/>
    <cellStyle name="표준 326" xfId="0"/>
    <cellStyle name="표준 326 2" xfId="0"/>
    <cellStyle name="표준 326 2 2" xfId="0"/>
    <cellStyle name="표준 326 3" xfId="0"/>
    <cellStyle name="표준 327" xfId="0"/>
    <cellStyle name="표준 327 2" xfId="0"/>
    <cellStyle name="표준 327 2 2" xfId="0"/>
    <cellStyle name="표준 327 3" xfId="0"/>
    <cellStyle name="표준 328" xfId="0"/>
    <cellStyle name="표준 328 2" xfId="0"/>
    <cellStyle name="표준 328 2 2" xfId="0"/>
    <cellStyle name="표준 328 3" xfId="0"/>
    <cellStyle name="표준 329" xfId="0"/>
    <cellStyle name="표준 329 2" xfId="0"/>
    <cellStyle name="표준 329 2 2" xfId="0"/>
    <cellStyle name="표준 329 3" xfId="0"/>
    <cellStyle name="표준 33" xfId="0"/>
    <cellStyle name="표준 33 19" xfId="0"/>
    <cellStyle name="표준 33 2" xfId="0"/>
    <cellStyle name="표준 33 3" xfId="0"/>
    <cellStyle name="표준 33 4" xfId="0"/>
    <cellStyle name="표준 33 5" xfId="0"/>
    <cellStyle name="표준 33 6" xfId="0"/>
    <cellStyle name="표준 330" xfId="0"/>
    <cellStyle name="표준 330 2" xfId="0"/>
    <cellStyle name="표준 330 2 2" xfId="0"/>
    <cellStyle name="표준 330 3" xfId="0"/>
    <cellStyle name="표준 331" xfId="0"/>
    <cellStyle name="표준 331 2" xfId="0"/>
    <cellStyle name="표준 331 2 2" xfId="0"/>
    <cellStyle name="표준 331 3" xfId="0"/>
    <cellStyle name="표준 332" xfId="0"/>
    <cellStyle name="표준 332 2" xfId="0"/>
    <cellStyle name="표준 332 2 2" xfId="0"/>
    <cellStyle name="표준 332 3" xfId="0"/>
    <cellStyle name="표준 333" xfId="0"/>
    <cellStyle name="표준 333 2" xfId="0"/>
    <cellStyle name="표준 333 2 2" xfId="0"/>
    <cellStyle name="표준 333 3" xfId="0"/>
    <cellStyle name="표준 334" xfId="0"/>
    <cellStyle name="표준 334 2" xfId="0"/>
    <cellStyle name="표준 334 2 2" xfId="0"/>
    <cellStyle name="표준 334 3" xfId="0"/>
    <cellStyle name="표준 335" xfId="0"/>
    <cellStyle name="표준 335 2" xfId="0"/>
    <cellStyle name="표준 335 2 2" xfId="0"/>
    <cellStyle name="표준 335 3" xfId="0"/>
    <cellStyle name="표준 336" xfId="0"/>
    <cellStyle name="표준 336 2" xfId="0"/>
    <cellStyle name="표준 336 2 2" xfId="0"/>
    <cellStyle name="표준 336 3" xfId="0"/>
    <cellStyle name="표준 337" xfId="0"/>
    <cellStyle name="표준 337 2" xfId="0"/>
    <cellStyle name="표준 337 2 2" xfId="0"/>
    <cellStyle name="표준 337 3" xfId="0"/>
    <cellStyle name="표준 338" xfId="0"/>
    <cellStyle name="표준 338 2" xfId="0"/>
    <cellStyle name="표준 338 2 2" xfId="0"/>
    <cellStyle name="표준 338 3" xfId="0"/>
    <cellStyle name="표준 339" xfId="0"/>
    <cellStyle name="표준 339 2" xfId="0"/>
    <cellStyle name="표준 339 2 2" xfId="0"/>
    <cellStyle name="표준 339 3" xfId="0"/>
    <cellStyle name="표준 33_2371.X" xfId="0"/>
    <cellStyle name="표준 34" xfId="0"/>
    <cellStyle name="표준 34 2" xfId="0"/>
    <cellStyle name="표준 34 3" xfId="0"/>
    <cellStyle name="표준 340" xfId="0"/>
    <cellStyle name="표준 340 2" xfId="0"/>
    <cellStyle name="표준 340 2 2" xfId="0"/>
    <cellStyle name="표준 340 3" xfId="0"/>
    <cellStyle name="표준 341" xfId="0"/>
    <cellStyle name="표준 341 2" xfId="0"/>
    <cellStyle name="표준 341 2 2" xfId="0"/>
    <cellStyle name="표준 341 3" xfId="0"/>
    <cellStyle name="표준 342" xfId="0"/>
    <cellStyle name="표준 342 2" xfId="0"/>
    <cellStyle name="표준 342 2 2" xfId="0"/>
    <cellStyle name="표준 342 3" xfId="0"/>
    <cellStyle name="표준 343" xfId="0"/>
    <cellStyle name="표준 343 2" xfId="0"/>
    <cellStyle name="표준 343 2 2" xfId="0"/>
    <cellStyle name="표준 343 3" xfId="0"/>
    <cellStyle name="표준 344" xfId="0"/>
    <cellStyle name="표준 344 2" xfId="0"/>
    <cellStyle name="표준 344 2 2" xfId="0"/>
    <cellStyle name="표준 344 3" xfId="0"/>
    <cellStyle name="표준 345" xfId="0"/>
    <cellStyle name="표준 345 2" xfId="0"/>
    <cellStyle name="표준 345 2 2" xfId="0"/>
    <cellStyle name="표준 345 3" xfId="0"/>
    <cellStyle name="표준 346" xfId="0"/>
    <cellStyle name="표준 346 2" xfId="0"/>
    <cellStyle name="표준 346 2 2" xfId="0"/>
    <cellStyle name="표준 346 3" xfId="0"/>
    <cellStyle name="표준 347" xfId="0"/>
    <cellStyle name="표준 347 2" xfId="0"/>
    <cellStyle name="표준 347 2 2" xfId="0"/>
    <cellStyle name="표준 347 3" xfId="0"/>
    <cellStyle name="표준 348" xfId="0"/>
    <cellStyle name="표준 348 2" xfId="0"/>
    <cellStyle name="표준 348 2 2" xfId="0"/>
    <cellStyle name="표준 348 3" xfId="0"/>
    <cellStyle name="표준 349" xfId="0"/>
    <cellStyle name="표준 349 2" xfId="0"/>
    <cellStyle name="표준 349 2 2" xfId="0"/>
    <cellStyle name="표준 349 3" xfId="0"/>
    <cellStyle name="표준 34_2371.X" xfId="0"/>
    <cellStyle name="표준 35" xfId="0"/>
    <cellStyle name="표준 35 2" xfId="0"/>
    <cellStyle name="표준 35 2 2" xfId="0"/>
    <cellStyle name="표준 35 3" xfId="0"/>
    <cellStyle name="표준 350" xfId="0"/>
    <cellStyle name="표준 350 2" xfId="0"/>
    <cellStyle name="표준 350 2 2" xfId="0"/>
    <cellStyle name="표준 350 3" xfId="0"/>
    <cellStyle name="표준 351" xfId="0"/>
    <cellStyle name="표준 351 2" xfId="0"/>
    <cellStyle name="표준 351 2 2" xfId="0"/>
    <cellStyle name="표준 351 3" xfId="0"/>
    <cellStyle name="표준 352" xfId="0"/>
    <cellStyle name="표준 352 2" xfId="0"/>
    <cellStyle name="표준 352 2 2" xfId="0"/>
    <cellStyle name="표준 352 3" xfId="0"/>
    <cellStyle name="표준 353" xfId="0"/>
    <cellStyle name="표준 353 2" xfId="0"/>
    <cellStyle name="표준 353 2 2" xfId="0"/>
    <cellStyle name="표준 353 3" xfId="0"/>
    <cellStyle name="표준 354" xfId="0"/>
    <cellStyle name="표준 354 2" xfId="0"/>
    <cellStyle name="표준 354 2 2" xfId="0"/>
    <cellStyle name="표준 354 3" xfId="0"/>
    <cellStyle name="표준 355" xfId="0"/>
    <cellStyle name="표준 355 2" xfId="0"/>
    <cellStyle name="표준 355 2 2" xfId="0"/>
    <cellStyle name="표준 355 3" xfId="0"/>
    <cellStyle name="표준 356" xfId="0"/>
    <cellStyle name="표준 356 2" xfId="0"/>
    <cellStyle name="표준 356 2 2" xfId="0"/>
    <cellStyle name="표준 356 3" xfId="0"/>
    <cellStyle name="표준 357" xfId="0"/>
    <cellStyle name="표준 357 2" xfId="0"/>
    <cellStyle name="표준 357 2 2" xfId="0"/>
    <cellStyle name="표준 357 3" xfId="0"/>
    <cellStyle name="표준 358" xfId="0"/>
    <cellStyle name="표준 358 2" xfId="0"/>
    <cellStyle name="표준 358 2 2" xfId="0"/>
    <cellStyle name="표준 358 3" xfId="0"/>
    <cellStyle name="표준 359" xfId="0"/>
    <cellStyle name="표준 359 2" xfId="0"/>
    <cellStyle name="표준 359 2 2" xfId="0"/>
    <cellStyle name="표준 359 3" xfId="0"/>
    <cellStyle name="표준 35_2371.X" xfId="0"/>
    <cellStyle name="표준 36" xfId="0"/>
    <cellStyle name="표준 36 2" xfId="0"/>
    <cellStyle name="표준 36 3" xfId="0"/>
    <cellStyle name="표준 36 4" xfId="0"/>
    <cellStyle name="표준 36 5" xfId="0"/>
    <cellStyle name="표준 360" xfId="0"/>
    <cellStyle name="표준 360 2" xfId="0"/>
    <cellStyle name="표준 360 2 2" xfId="0"/>
    <cellStyle name="표준 360 3" xfId="0"/>
    <cellStyle name="표준 361" xfId="0"/>
    <cellStyle name="표준 361 2" xfId="0"/>
    <cellStyle name="표준 361 2 2" xfId="0"/>
    <cellStyle name="표준 361 3" xfId="0"/>
    <cellStyle name="표준 362" xfId="0"/>
    <cellStyle name="표준 362 2" xfId="0"/>
    <cellStyle name="표준 362 2 2" xfId="0"/>
    <cellStyle name="표준 362 3" xfId="0"/>
    <cellStyle name="표준 363" xfId="0"/>
    <cellStyle name="표준 363 2" xfId="0"/>
    <cellStyle name="표준 363 2 2" xfId="0"/>
    <cellStyle name="표준 363 3" xfId="0"/>
    <cellStyle name="표준 364" xfId="0"/>
    <cellStyle name="표준 364 2" xfId="0"/>
    <cellStyle name="표준 364 2 2" xfId="0"/>
    <cellStyle name="표준 364 3" xfId="0"/>
    <cellStyle name="표준 365" xfId="0"/>
    <cellStyle name="표준 365 2" xfId="0"/>
    <cellStyle name="표준 365 2 2" xfId="0"/>
    <cellStyle name="표준 365 3" xfId="0"/>
    <cellStyle name="표준 366" xfId="0"/>
    <cellStyle name="표준 366 2" xfId="0"/>
    <cellStyle name="표준 366 2 2" xfId="0"/>
    <cellStyle name="표준 366 3" xfId="0"/>
    <cellStyle name="표준 367" xfId="0"/>
    <cellStyle name="표준 367 2" xfId="0"/>
    <cellStyle name="표준 367 2 2" xfId="0"/>
    <cellStyle name="표준 367 3" xfId="0"/>
    <cellStyle name="표준 368" xfId="0"/>
    <cellStyle name="표준 368 2" xfId="0"/>
    <cellStyle name="표준 368 2 2" xfId="0"/>
    <cellStyle name="표준 368 3" xfId="0"/>
    <cellStyle name="표준 369" xfId="0"/>
    <cellStyle name="표준 369 2" xfId="0"/>
    <cellStyle name="표준 369 2 2" xfId="0"/>
    <cellStyle name="표준 369 3" xfId="0"/>
    <cellStyle name="표준 37" xfId="0"/>
    <cellStyle name="표준 37 10" xfId="0"/>
    <cellStyle name="표준 37 11" xfId="0"/>
    <cellStyle name="표준 37 12" xfId="0"/>
    <cellStyle name="표준 37 13" xfId="0"/>
    <cellStyle name="표준 37 14" xfId="0"/>
    <cellStyle name="표준 37 2" xfId="0"/>
    <cellStyle name="표준 37 2 2" xfId="0"/>
    <cellStyle name="표준 37 2 3" xfId="0"/>
    <cellStyle name="표준 37 3" xfId="0"/>
    <cellStyle name="표준 37 4" xfId="0"/>
    <cellStyle name="표준 37 5" xfId="0"/>
    <cellStyle name="표준 37 6" xfId="0"/>
    <cellStyle name="표준 37 7" xfId="0"/>
    <cellStyle name="표준 37 8" xfId="0"/>
    <cellStyle name="표준 37 9" xfId="0"/>
    <cellStyle name="표준 370" xfId="0"/>
    <cellStyle name="표준 370 2" xfId="0"/>
    <cellStyle name="표준 370 2 2" xfId="0"/>
    <cellStyle name="표준 370 3" xfId="0"/>
    <cellStyle name="표준 371" xfId="0"/>
    <cellStyle name="표준 371 2" xfId="0"/>
    <cellStyle name="표준 371 2 2" xfId="0"/>
    <cellStyle name="표준 371 3" xfId="0"/>
    <cellStyle name="표준 372" xfId="0"/>
    <cellStyle name="표준 372 2" xfId="0"/>
    <cellStyle name="표준 372 2 2" xfId="0"/>
    <cellStyle name="표준 372 3" xfId="0"/>
    <cellStyle name="표준 373" xfId="0"/>
    <cellStyle name="표준 373 2" xfId="0"/>
    <cellStyle name="표준 373 2 2" xfId="0"/>
    <cellStyle name="표준 373 3" xfId="0"/>
    <cellStyle name="표준 374" xfId="0"/>
    <cellStyle name="표준 374 2" xfId="0"/>
    <cellStyle name="표준 374 2 2" xfId="0"/>
    <cellStyle name="표준 374 3" xfId="0"/>
    <cellStyle name="표준 375" xfId="0"/>
    <cellStyle name="표준 375 2" xfId="0"/>
    <cellStyle name="표준 375 2 2" xfId="0"/>
    <cellStyle name="표준 375 3" xfId="0"/>
    <cellStyle name="표준 376" xfId="0"/>
    <cellStyle name="표준 376 2" xfId="0"/>
    <cellStyle name="표준 376 2 2" xfId="0"/>
    <cellStyle name="표준 376 3" xfId="0"/>
    <cellStyle name="표준 377" xfId="0"/>
    <cellStyle name="표준 377 2" xfId="0"/>
    <cellStyle name="표준 377 2 2" xfId="0"/>
    <cellStyle name="표준 377 3" xfId="0"/>
    <cellStyle name="표준 378" xfId="0"/>
    <cellStyle name="표준 378 2" xfId="0"/>
    <cellStyle name="표준 378 2 2" xfId="0"/>
    <cellStyle name="표준 378 3" xfId="0"/>
    <cellStyle name="표준 379" xfId="0"/>
    <cellStyle name="표준 379 2" xfId="0"/>
    <cellStyle name="표준 379 2 2" xfId="0"/>
    <cellStyle name="표준 379 3" xfId="0"/>
    <cellStyle name="표준 38" xfId="0"/>
    <cellStyle name="표준 38 2" xfId="0"/>
    <cellStyle name="표준 38 3" xfId="0"/>
    <cellStyle name="표준 380" xfId="0"/>
    <cellStyle name="표준 380 2" xfId="0"/>
    <cellStyle name="표준 380 2 2" xfId="0"/>
    <cellStyle name="표준 380 3" xfId="0"/>
    <cellStyle name="표준 381" xfId="0"/>
    <cellStyle name="표준 381 2" xfId="0"/>
    <cellStyle name="표준 381 2 2" xfId="0"/>
    <cellStyle name="표준 381 3" xfId="0"/>
    <cellStyle name="표준 382" xfId="0"/>
    <cellStyle name="표준 382 2" xfId="0"/>
    <cellStyle name="표준 382 2 2" xfId="0"/>
    <cellStyle name="표준 382 3" xfId="0"/>
    <cellStyle name="표준 383" xfId="0"/>
    <cellStyle name="표준 383 2" xfId="0"/>
    <cellStyle name="표준 383 2 2" xfId="0"/>
    <cellStyle name="표준 383 3" xfId="0"/>
    <cellStyle name="표준 384" xfId="0"/>
    <cellStyle name="표준 384 2" xfId="0"/>
    <cellStyle name="표준 384 2 2" xfId="0"/>
    <cellStyle name="표준 384 3" xfId="0"/>
    <cellStyle name="표준 385" xfId="0"/>
    <cellStyle name="표준 385 2" xfId="0"/>
    <cellStyle name="표준 385 2 2" xfId="0"/>
    <cellStyle name="표준 385 3" xfId="0"/>
    <cellStyle name="표준 386" xfId="0"/>
    <cellStyle name="표준 386 2" xfId="0"/>
    <cellStyle name="표준 386 2 2" xfId="0"/>
    <cellStyle name="표준 386 3" xfId="0"/>
    <cellStyle name="표준 387" xfId="0"/>
    <cellStyle name="표준 387 2" xfId="0"/>
    <cellStyle name="표준 387 2 2" xfId="0"/>
    <cellStyle name="표준 387 3" xfId="0"/>
    <cellStyle name="표준 388" xfId="0"/>
    <cellStyle name="표준 388 2" xfId="0"/>
    <cellStyle name="표준 388 2 2" xfId="0"/>
    <cellStyle name="표준 388 3" xfId="0"/>
    <cellStyle name="표준 389" xfId="0"/>
    <cellStyle name="표준 389 2" xfId="0"/>
    <cellStyle name="표준 389 2 2" xfId="0"/>
    <cellStyle name="표준 389 3" xfId="0"/>
    <cellStyle name="표준 39" xfId="0"/>
    <cellStyle name="표준 39 10" xfId="0"/>
    <cellStyle name="표준 39 11" xfId="0"/>
    <cellStyle name="표준 39 12" xfId="0"/>
    <cellStyle name="표준 39 13" xfId="0"/>
    <cellStyle name="표준 39 14" xfId="0"/>
    <cellStyle name="표준 39 15" xfId="0"/>
    <cellStyle name="표준 39 2" xfId="0"/>
    <cellStyle name="표준 39 3" xfId="0"/>
    <cellStyle name="표준 39 4" xfId="0"/>
    <cellStyle name="표준 39 5" xfId="0"/>
    <cellStyle name="표준 39 6" xfId="0"/>
    <cellStyle name="표준 39 7" xfId="0"/>
    <cellStyle name="표준 39 8" xfId="0"/>
    <cellStyle name="표준 39 9" xfId="0"/>
    <cellStyle name="표준 390" xfId="0"/>
    <cellStyle name="표준 390 2" xfId="0"/>
    <cellStyle name="표준 390 2 2" xfId="0"/>
    <cellStyle name="표준 390 3" xfId="0"/>
    <cellStyle name="표준 391" xfId="0"/>
    <cellStyle name="표준 391 2" xfId="0"/>
    <cellStyle name="표준 391 2 2" xfId="0"/>
    <cellStyle name="표준 391 3" xfId="0"/>
    <cellStyle name="표준 392" xfId="0"/>
    <cellStyle name="표준 392 2" xfId="0"/>
    <cellStyle name="표준 392 2 2" xfId="0"/>
    <cellStyle name="표준 392 3" xfId="0"/>
    <cellStyle name="표준 393" xfId="0"/>
    <cellStyle name="표준 393 2" xfId="0"/>
    <cellStyle name="표준 393 2 2" xfId="0"/>
    <cellStyle name="표준 393 3" xfId="0"/>
    <cellStyle name="표준 394" xfId="0"/>
    <cellStyle name="표준 394 2" xfId="0"/>
    <cellStyle name="표준 394 2 2" xfId="0"/>
    <cellStyle name="표준 394 3" xfId="0"/>
    <cellStyle name="표준 395" xfId="0"/>
    <cellStyle name="표준 395 2" xfId="0"/>
    <cellStyle name="표준 395 2 2" xfId="0"/>
    <cellStyle name="표준 395 3" xfId="0"/>
    <cellStyle name="표준 396" xfId="0"/>
    <cellStyle name="표준 396 2" xfId="0"/>
    <cellStyle name="표준 396 2 2" xfId="0"/>
    <cellStyle name="표준 396 3" xfId="0"/>
    <cellStyle name="표준 397" xfId="0"/>
    <cellStyle name="표준 397 2" xfId="0"/>
    <cellStyle name="표준 397 2 2" xfId="0"/>
    <cellStyle name="표준 397 3" xfId="0"/>
    <cellStyle name="표준 398" xfId="0"/>
    <cellStyle name="표준 398 2" xfId="0"/>
    <cellStyle name="표준 398 2 2" xfId="0"/>
    <cellStyle name="표준 398 3" xfId="0"/>
    <cellStyle name="표준 399" xfId="0"/>
    <cellStyle name="표준 399 2" xfId="0"/>
    <cellStyle name="표준 399 2 2" xfId="0"/>
    <cellStyle name="표준 399 3" xfId="0"/>
    <cellStyle name="표준 3_운용자산별 손익분석" xfId="0"/>
    <cellStyle name="표준 4" xfId="0"/>
    <cellStyle name="표준 4 10" xfId="0"/>
    <cellStyle name="표준 4 10 10" xfId="0"/>
    <cellStyle name="표준 4 10 10 2" xfId="0"/>
    <cellStyle name="표준 4 10 11" xfId="0"/>
    <cellStyle name="표준 4 10 2" xfId="0"/>
    <cellStyle name="표준 4 10 2 2" xfId="0"/>
    <cellStyle name="표준 4 10 3" xfId="0"/>
    <cellStyle name="표준 4 10 3 2" xfId="0"/>
    <cellStyle name="표준 4 10 4" xfId="0"/>
    <cellStyle name="표준 4 10 4 2" xfId="0"/>
    <cellStyle name="표준 4 10 5" xfId="0"/>
    <cellStyle name="표준 4 10 5 2" xfId="0"/>
    <cellStyle name="표준 4 10 6" xfId="0"/>
    <cellStyle name="표준 4 10 6 2" xfId="0"/>
    <cellStyle name="표준 4 10 7" xfId="0"/>
    <cellStyle name="표준 4 10 7 2" xfId="0"/>
    <cellStyle name="표준 4 10 8" xfId="0"/>
    <cellStyle name="표준 4 10 8 2" xfId="0"/>
    <cellStyle name="표준 4 10 9" xfId="0"/>
    <cellStyle name="표준 4 10 9 2" xfId="0"/>
    <cellStyle name="표준 4 11" xfId="0"/>
    <cellStyle name="표준 4 11 10" xfId="0"/>
    <cellStyle name="표준 4 11 10 2" xfId="0"/>
    <cellStyle name="표준 4 11 11" xfId="0"/>
    <cellStyle name="표준 4 11 2" xfId="0"/>
    <cellStyle name="표준 4 11 2 2" xfId="0"/>
    <cellStyle name="표준 4 11 3" xfId="0"/>
    <cellStyle name="표준 4 11 3 2" xfId="0"/>
    <cellStyle name="표준 4 11 4" xfId="0"/>
    <cellStyle name="표준 4 11 4 2" xfId="0"/>
    <cellStyle name="표준 4 11 5" xfId="0"/>
    <cellStyle name="표준 4 11 5 2" xfId="0"/>
    <cellStyle name="표준 4 11 6" xfId="0"/>
    <cellStyle name="표준 4 11 6 2" xfId="0"/>
    <cellStyle name="표준 4 11 7" xfId="0"/>
    <cellStyle name="표준 4 11 7 2" xfId="0"/>
    <cellStyle name="표준 4 11 8" xfId="0"/>
    <cellStyle name="표준 4 11 8 2" xfId="0"/>
    <cellStyle name="표준 4 11 9" xfId="0"/>
    <cellStyle name="표준 4 11 9 2" xfId="0"/>
    <cellStyle name="표준 4 12" xfId="0"/>
    <cellStyle name="표준 4 12 10" xfId="0"/>
    <cellStyle name="표준 4 12 10 2" xfId="0"/>
    <cellStyle name="표준 4 12 11" xfId="0"/>
    <cellStyle name="표준 4 12 2" xfId="0"/>
    <cellStyle name="표준 4 12 2 2" xfId="0"/>
    <cellStyle name="표준 4 12 3" xfId="0"/>
    <cellStyle name="표준 4 12 3 2" xfId="0"/>
    <cellStyle name="표준 4 12 4" xfId="0"/>
    <cellStyle name="표준 4 12 4 2" xfId="0"/>
    <cellStyle name="표준 4 12 5" xfId="0"/>
    <cellStyle name="표준 4 12 5 2" xfId="0"/>
    <cellStyle name="표준 4 12 6" xfId="0"/>
    <cellStyle name="표준 4 12 6 2" xfId="0"/>
    <cellStyle name="표준 4 12 7" xfId="0"/>
    <cellStyle name="표준 4 12 7 2" xfId="0"/>
    <cellStyle name="표준 4 12 8" xfId="0"/>
    <cellStyle name="표준 4 12 8 2" xfId="0"/>
    <cellStyle name="표준 4 12 9" xfId="0"/>
    <cellStyle name="표준 4 12 9 2" xfId="0"/>
    <cellStyle name="표준 4 13" xfId="0"/>
    <cellStyle name="표준 4 13 10" xfId="0"/>
    <cellStyle name="표준 4 13 11" xfId="0"/>
    <cellStyle name="표준 4 13 12" xfId="0"/>
    <cellStyle name="표준 4 13 2" xfId="0"/>
    <cellStyle name="표준 4 13 3" xfId="0"/>
    <cellStyle name="표준 4 13 4" xfId="0"/>
    <cellStyle name="표준 4 13 5" xfId="0"/>
    <cellStyle name="표준 4 13 6" xfId="0"/>
    <cellStyle name="표준 4 13 7" xfId="0"/>
    <cellStyle name="표준 4 13 8" xfId="0"/>
    <cellStyle name="표준 4 13 9" xfId="0"/>
    <cellStyle name="표준 4 14" xfId="0"/>
    <cellStyle name="표준 4 14 10" xfId="0"/>
    <cellStyle name="표준 4 14 10 2" xfId="0"/>
    <cellStyle name="표준 4 14 11" xfId="0"/>
    <cellStyle name="표준 4 14 2" xfId="0"/>
    <cellStyle name="표준 4 14 2 2" xfId="0"/>
    <cellStyle name="표준 4 14 3" xfId="0"/>
    <cellStyle name="표준 4 14 3 2" xfId="0"/>
    <cellStyle name="표준 4 14 4" xfId="0"/>
    <cellStyle name="표준 4 14 4 2" xfId="0"/>
    <cellStyle name="표준 4 14 5" xfId="0"/>
    <cellStyle name="표준 4 14 5 2" xfId="0"/>
    <cellStyle name="표준 4 14 6" xfId="0"/>
    <cellStyle name="표준 4 14 6 2" xfId="0"/>
    <cellStyle name="표준 4 14 7" xfId="0"/>
    <cellStyle name="표준 4 14 7 2" xfId="0"/>
    <cellStyle name="표준 4 14 8" xfId="0"/>
    <cellStyle name="표준 4 14 8 2" xfId="0"/>
    <cellStyle name="표준 4 14 9" xfId="0"/>
    <cellStyle name="표준 4 14 9 2" xfId="0"/>
    <cellStyle name="표준 4 15" xfId="0"/>
    <cellStyle name="표준 4 15 10" xfId="0"/>
    <cellStyle name="표준 4 15 10 2" xfId="0"/>
    <cellStyle name="표준 4 15 2" xfId="0"/>
    <cellStyle name="표준 4 15 2 2" xfId="0"/>
    <cellStyle name="표준 4 15 3" xfId="0"/>
    <cellStyle name="표준 4 15 3 2" xfId="0"/>
    <cellStyle name="표준 4 15 4" xfId="0"/>
    <cellStyle name="표준 4 15 4 2" xfId="0"/>
    <cellStyle name="표준 4 15 5" xfId="0"/>
    <cellStyle name="표준 4 15 5 2" xfId="0"/>
    <cellStyle name="표준 4 15 6" xfId="0"/>
    <cellStyle name="표준 4 15 6 2" xfId="0"/>
    <cellStyle name="표준 4 15 7" xfId="0"/>
    <cellStyle name="표준 4 15 7 2" xfId="0"/>
    <cellStyle name="표준 4 15 8" xfId="0"/>
    <cellStyle name="표준 4 15 8 2" xfId="0"/>
    <cellStyle name="표준 4 15 9" xfId="0"/>
    <cellStyle name="표준 4 15 9 2" xfId="0"/>
    <cellStyle name="표준 4 16" xfId="0"/>
    <cellStyle name="표준 4 16 10" xfId="0"/>
    <cellStyle name="표준 4 16 2" xfId="0"/>
    <cellStyle name="표준 4 16 2 2" xfId="0"/>
    <cellStyle name="표준 4 16 3" xfId="0"/>
    <cellStyle name="표준 4 16 3 2" xfId="0"/>
    <cellStyle name="표준 4 16 4" xfId="0"/>
    <cellStyle name="표준 4 16 4 2" xfId="0"/>
    <cellStyle name="표준 4 16 5" xfId="0"/>
    <cellStyle name="표준 4 16 5 2" xfId="0"/>
    <cellStyle name="표준 4 16 6" xfId="0"/>
    <cellStyle name="표준 4 16 6 2" xfId="0"/>
    <cellStyle name="표준 4 16 7" xfId="0"/>
    <cellStyle name="표준 4 16 7 2" xfId="0"/>
    <cellStyle name="표준 4 16 8" xfId="0"/>
    <cellStyle name="표준 4 16 8 2" xfId="0"/>
    <cellStyle name="표준 4 16 9" xfId="0"/>
    <cellStyle name="표준 4 16 9 2" xfId="0"/>
    <cellStyle name="표준 4 17" xfId="0"/>
    <cellStyle name="표준 4 17 10" xfId="0"/>
    <cellStyle name="표준 4 17 2" xfId="0"/>
    <cellStyle name="표준 4 17 2 2" xfId="0"/>
    <cellStyle name="표준 4 17 3" xfId="0"/>
    <cellStyle name="표준 4 17 3 2" xfId="0"/>
    <cellStyle name="표준 4 17 4" xfId="0"/>
    <cellStyle name="표준 4 17 4 2" xfId="0"/>
    <cellStyle name="표준 4 17 5" xfId="0"/>
    <cellStyle name="표준 4 17 5 2" xfId="0"/>
    <cellStyle name="표준 4 17 6" xfId="0"/>
    <cellStyle name="표준 4 17 6 2" xfId="0"/>
    <cellStyle name="표준 4 17 7" xfId="0"/>
    <cellStyle name="표준 4 17 7 2" xfId="0"/>
    <cellStyle name="표준 4 17 8" xfId="0"/>
    <cellStyle name="표준 4 17 8 2" xfId="0"/>
    <cellStyle name="표준 4 17 9" xfId="0"/>
    <cellStyle name="표준 4 17 9 2" xfId="0"/>
    <cellStyle name="표준 4 18" xfId="0"/>
    <cellStyle name="표준 4 18 10" xfId="0"/>
    <cellStyle name="표준 4 18 2" xfId="0"/>
    <cellStyle name="표준 4 18 2 2" xfId="0"/>
    <cellStyle name="표준 4 18 3" xfId="0"/>
    <cellStyle name="표준 4 18 3 2" xfId="0"/>
    <cellStyle name="표준 4 18 4" xfId="0"/>
    <cellStyle name="표준 4 18 4 2" xfId="0"/>
    <cellStyle name="표준 4 18 5" xfId="0"/>
    <cellStyle name="표준 4 18 5 2" xfId="0"/>
    <cellStyle name="표준 4 18 6" xfId="0"/>
    <cellStyle name="표준 4 18 7" xfId="0"/>
    <cellStyle name="표준 4 18 8" xfId="0"/>
    <cellStyle name="표준 4 18 9" xfId="0"/>
    <cellStyle name="표준 4 19" xfId="0"/>
    <cellStyle name="표준 4 19 10" xfId="0"/>
    <cellStyle name="표준 4 19 2" xfId="0"/>
    <cellStyle name="표준 4 19 2 2" xfId="0"/>
    <cellStyle name="표준 4 19 3" xfId="0"/>
    <cellStyle name="표준 4 19 3 2" xfId="0"/>
    <cellStyle name="표준 4 19 4" xfId="0"/>
    <cellStyle name="표준 4 19 4 2" xfId="0"/>
    <cellStyle name="표준 4 19 5" xfId="0"/>
    <cellStyle name="표준 4 19 5 2" xfId="0"/>
    <cellStyle name="표준 4 19 6" xfId="0"/>
    <cellStyle name="표준 4 19 7" xfId="0"/>
    <cellStyle name="표준 4 19 8" xfId="0"/>
    <cellStyle name="표준 4 19 9" xfId="0"/>
    <cellStyle name="표준 4 2" xfId="0"/>
    <cellStyle name="표준 4 2 10" xfId="0"/>
    <cellStyle name="표준 4 2 10 2" xfId="0"/>
    <cellStyle name="표준 4 2 11" xfId="0"/>
    <cellStyle name="표준 4 2 12" xfId="0"/>
    <cellStyle name="표준 4 2 13" xfId="0"/>
    <cellStyle name="표준 4 2 14" xfId="0"/>
    <cellStyle name="표준 4 2 2" xfId="0"/>
    <cellStyle name="표준 4 2 2 10" xfId="0"/>
    <cellStyle name="표준 4 2 2 11" xfId="0"/>
    <cellStyle name="표준 4 2 2 12" xfId="0"/>
    <cellStyle name="표준 4 2 2 2" xfId="0"/>
    <cellStyle name="표준 4 2 2 2 2" xfId="0"/>
    <cellStyle name="표준 4 2 2 3" xfId="0"/>
    <cellStyle name="표준 4 2 2 4" xfId="0"/>
    <cellStyle name="표준 4 2 2 5" xfId="0"/>
    <cellStyle name="표준 4 2 2 6" xfId="0"/>
    <cellStyle name="표준 4 2 2 7" xfId="0"/>
    <cellStyle name="표준 4 2 2 8" xfId="0"/>
    <cellStyle name="표준 4 2 2 9" xfId="0"/>
    <cellStyle name="표준 4 2 3" xfId="0"/>
    <cellStyle name="표준 4 2 3 2" xfId="0"/>
    <cellStyle name="표준 4 2 4" xfId="0"/>
    <cellStyle name="표준 4 2 4 2" xfId="0"/>
    <cellStyle name="표준 4 2 4 3" xfId="0"/>
    <cellStyle name="표준 4 2 5" xfId="0"/>
    <cellStyle name="표준 4 2 5 2" xfId="0"/>
    <cellStyle name="표준 4 2 5 3" xfId="0"/>
    <cellStyle name="표준 4 2 6" xfId="0"/>
    <cellStyle name="표준 4 2 6 2" xfId="0"/>
    <cellStyle name="표준 4 2 6 3" xfId="0"/>
    <cellStyle name="표준 4 2 7" xfId="0"/>
    <cellStyle name="표준 4 2 7 2" xfId="0"/>
    <cellStyle name="표준 4 2 7 3" xfId="0"/>
    <cellStyle name="표준 4 2 8" xfId="0"/>
    <cellStyle name="표준 4 2 8 2" xfId="0"/>
    <cellStyle name="표준 4 2 9" xfId="0"/>
    <cellStyle name="표준 4 2 9 2" xfId="0"/>
    <cellStyle name="표준 4 20" xfId="0"/>
    <cellStyle name="표준 4 20 2" xfId="0"/>
    <cellStyle name="표준 4 20 2 10" xfId="0"/>
    <cellStyle name="표준 4 20 2 2" xfId="0"/>
    <cellStyle name="표준 4 20 2 3" xfId="0"/>
    <cellStyle name="표준 4 20 2 4" xfId="0"/>
    <cellStyle name="표준 4 20 2 5" xfId="0"/>
    <cellStyle name="표준 4 20 2 6" xfId="0"/>
    <cellStyle name="표준 4 20 2 7" xfId="0"/>
    <cellStyle name="표준 4 20 2 8" xfId="0"/>
    <cellStyle name="표준 4 20 2 9" xfId="0"/>
    <cellStyle name="표준 4 20 3" xfId="0"/>
    <cellStyle name="표준 4 20 3 2" xfId="0"/>
    <cellStyle name="표준 4 20 3 3" xfId="0"/>
    <cellStyle name="표준 4 20 3 4" xfId="0"/>
    <cellStyle name="표준 4 20 3 5" xfId="0"/>
    <cellStyle name="표준 4 20 3 6" xfId="0"/>
    <cellStyle name="표준 4 20 4" xfId="0"/>
    <cellStyle name="표준 4 20 4 2" xfId="0"/>
    <cellStyle name="표준 4 20 4 3" xfId="0"/>
    <cellStyle name="표준 4 20 4 4" xfId="0"/>
    <cellStyle name="표준 4 20 4 5" xfId="0"/>
    <cellStyle name="표준 4 20 4 6" xfId="0"/>
    <cellStyle name="표준 4 20 5" xfId="0"/>
    <cellStyle name="표준 4 20 5 2" xfId="0"/>
    <cellStyle name="표준 4 20 5 3" xfId="0"/>
    <cellStyle name="표준 4 20 5 4" xfId="0"/>
    <cellStyle name="표준 4 20 5 5" xfId="0"/>
    <cellStyle name="표준 4 20 5 6" xfId="0"/>
    <cellStyle name="표준 4 20 6" xfId="0"/>
    <cellStyle name="표준 4 20 7" xfId="0"/>
    <cellStyle name="표준 4 20 8" xfId="0"/>
    <cellStyle name="표준 4 21" xfId="0"/>
    <cellStyle name="표준 4 21 2" xfId="0"/>
    <cellStyle name="표준 4 22" xfId="0"/>
    <cellStyle name="표준 4 22 2" xfId="0"/>
    <cellStyle name="표준 4 23" xfId="0"/>
    <cellStyle name="표준 4 23 2" xfId="0"/>
    <cellStyle name="표준 4 24" xfId="0"/>
    <cellStyle name="표준 4 24 2" xfId="0"/>
    <cellStyle name="표준 4 25" xfId="0"/>
    <cellStyle name="표준 4 25 2" xfId="0"/>
    <cellStyle name="표준 4 26" xfId="0"/>
    <cellStyle name="표준 4 26 2" xfId="0"/>
    <cellStyle name="표준 4 27" xfId="0"/>
    <cellStyle name="표준 4 27 2" xfId="0"/>
    <cellStyle name="표준 4 28" xfId="0"/>
    <cellStyle name="표준 4 28 2" xfId="0"/>
    <cellStyle name="표준 4 29" xfId="0"/>
    <cellStyle name="표준 4 29 2" xfId="0"/>
    <cellStyle name="표준 4 2_2371.X" xfId="0"/>
    <cellStyle name="표준 4 3" xfId="0"/>
    <cellStyle name="표준 4 3 10" xfId="0"/>
    <cellStyle name="표준 4 3 10 2" xfId="0"/>
    <cellStyle name="표준 4 3 2" xfId="0"/>
    <cellStyle name="표준 4 3 2 10" xfId="0"/>
    <cellStyle name="표준 4 3 2 11" xfId="0"/>
    <cellStyle name="표준 4 3 2 2" xfId="0"/>
    <cellStyle name="표준 4 3 2 3" xfId="0"/>
    <cellStyle name="표준 4 3 2 4" xfId="0"/>
    <cellStyle name="표준 4 3 2 5" xfId="0"/>
    <cellStyle name="표준 4 3 2 6" xfId="0"/>
    <cellStyle name="표준 4 3 2 7" xfId="0"/>
    <cellStyle name="표준 4 3 2 8" xfId="0"/>
    <cellStyle name="표준 4 3 2 9" xfId="0"/>
    <cellStyle name="표준 4 3 3" xfId="0"/>
    <cellStyle name="표준 4 3 3 2" xfId="0"/>
    <cellStyle name="표준 4 3 4" xfId="0"/>
    <cellStyle name="표준 4 3 4 2" xfId="0"/>
    <cellStyle name="표준 4 3 5" xfId="0"/>
    <cellStyle name="표준 4 3 5 2" xfId="0"/>
    <cellStyle name="표준 4 3 6" xfId="0"/>
    <cellStyle name="표준 4 3 6 2" xfId="0"/>
    <cellStyle name="표준 4 3 7" xfId="0"/>
    <cellStyle name="표준 4 3 7 2" xfId="0"/>
    <cellStyle name="표준 4 3 8" xfId="0"/>
    <cellStyle name="표준 4 3 8 2" xfId="0"/>
    <cellStyle name="표준 4 3 9" xfId="0"/>
    <cellStyle name="표준 4 3 9 2" xfId="0"/>
    <cellStyle name="표준 4 30" xfId="0"/>
    <cellStyle name="표준 4 31" xfId="0"/>
    <cellStyle name="표준 4 32" xfId="0"/>
    <cellStyle name="표준 4 32 2" xfId="0"/>
    <cellStyle name="표준 4 32 3" xfId="0"/>
    <cellStyle name="표준 4 32 4" xfId="0"/>
    <cellStyle name="표준 4 32 5" xfId="0"/>
    <cellStyle name="표준 4 33" xfId="0"/>
    <cellStyle name="표준 4 33 2" xfId="0"/>
    <cellStyle name="표준 4 33 3" xfId="0"/>
    <cellStyle name="표준 4 33 4" xfId="0"/>
    <cellStyle name="표준 4 33 5" xfId="0"/>
    <cellStyle name="표준 4 34" xfId="0"/>
    <cellStyle name="표준 4 34 2" xfId="0"/>
    <cellStyle name="표준 4 34 3" xfId="0"/>
    <cellStyle name="표준 4 34 4" xfId="0"/>
    <cellStyle name="표준 4 34 5" xfId="0"/>
    <cellStyle name="표준 4 35" xfId="0"/>
    <cellStyle name="표준 4 35 2" xfId="0"/>
    <cellStyle name="표준 4 35 3" xfId="0"/>
    <cellStyle name="표준 4 35 4" xfId="0"/>
    <cellStyle name="표준 4 35 5" xfId="0"/>
    <cellStyle name="표준 4 36" xfId="0"/>
    <cellStyle name="표준 4 36 2" xfId="0"/>
    <cellStyle name="표준 4 36 3" xfId="0"/>
    <cellStyle name="표준 4 36 4" xfId="0"/>
    <cellStyle name="표준 4 36 5" xfId="0"/>
    <cellStyle name="표준 4 37" xfId="0"/>
    <cellStyle name="표준 4 38" xfId="0"/>
    <cellStyle name="표준 4 39" xfId="0"/>
    <cellStyle name="표준 4 4" xfId="0"/>
    <cellStyle name="표준 4 4 10" xfId="0"/>
    <cellStyle name="표준 4 4 10 2" xfId="0"/>
    <cellStyle name="표준 4 4 11" xfId="0"/>
    <cellStyle name="표준 4 4 12" xfId="0"/>
    <cellStyle name="표준 4 4 2" xfId="0"/>
    <cellStyle name="표준 4 4 2 2" xfId="0"/>
    <cellStyle name="표준 4 4 3" xfId="0"/>
    <cellStyle name="표준 4 4 3 2" xfId="0"/>
    <cellStyle name="표준 4 4 4" xfId="0"/>
    <cellStyle name="표준 4 4 4 2" xfId="0"/>
    <cellStyle name="표준 4 4 5" xfId="0"/>
    <cellStyle name="표준 4 4 5 2" xfId="0"/>
    <cellStyle name="표준 4 4 6" xfId="0"/>
    <cellStyle name="표준 4 4 6 2" xfId="0"/>
    <cellStyle name="표준 4 4 7" xfId="0"/>
    <cellStyle name="표준 4 4 7 2" xfId="0"/>
    <cellStyle name="표준 4 4 8" xfId="0"/>
    <cellStyle name="표준 4 4 8 2" xfId="0"/>
    <cellStyle name="표준 4 4 9" xfId="0"/>
    <cellStyle name="표준 4 4 9 2" xfId="0"/>
    <cellStyle name="표준 4 40" xfId="0"/>
    <cellStyle name="표준 4 41" xfId="0"/>
    <cellStyle name="표준 4 5" xfId="0"/>
    <cellStyle name="표준 4 5 10" xfId="0"/>
    <cellStyle name="표준 4 5 10 2" xfId="0"/>
    <cellStyle name="표준 4 5 11" xfId="0"/>
    <cellStyle name="표준 4 5 2" xfId="0"/>
    <cellStyle name="표준 4 5 2 2" xfId="0"/>
    <cellStyle name="표준 4 5 3" xfId="0"/>
    <cellStyle name="표준 4 5 3 2" xfId="0"/>
    <cellStyle name="표준 4 5 4" xfId="0"/>
    <cellStyle name="표준 4 5 4 2" xfId="0"/>
    <cellStyle name="표준 4 5 5" xfId="0"/>
    <cellStyle name="표준 4 5 5 2" xfId="0"/>
    <cellStyle name="표준 4 5 6" xfId="0"/>
    <cellStyle name="표준 4 5 6 2" xfId="0"/>
    <cellStyle name="표준 4 5 7" xfId="0"/>
    <cellStyle name="표준 4 5 7 2" xfId="0"/>
    <cellStyle name="표준 4 5 8" xfId="0"/>
    <cellStyle name="표준 4 5 8 2" xfId="0"/>
    <cellStyle name="표준 4 5 9" xfId="0"/>
    <cellStyle name="표준 4 5 9 2" xfId="0"/>
    <cellStyle name="표준 4 6" xfId="0"/>
    <cellStyle name="표준 4 6 10" xfId="0"/>
    <cellStyle name="표준 4 6 10 2" xfId="0"/>
    <cellStyle name="표준 4 6 11" xfId="0"/>
    <cellStyle name="표준 4 6 2" xfId="0"/>
    <cellStyle name="표준 4 6 2 2" xfId="0"/>
    <cellStyle name="표준 4 6 3" xfId="0"/>
    <cellStyle name="표준 4 6 3 2" xfId="0"/>
    <cellStyle name="표준 4 6 4" xfId="0"/>
    <cellStyle name="표준 4 6 4 2" xfId="0"/>
    <cellStyle name="표준 4 6 5" xfId="0"/>
    <cellStyle name="표준 4 6 5 2" xfId="0"/>
    <cellStyle name="표준 4 6 6" xfId="0"/>
    <cellStyle name="표준 4 6 6 2" xfId="0"/>
    <cellStyle name="표준 4 6 7" xfId="0"/>
    <cellStyle name="표준 4 6 7 2" xfId="0"/>
    <cellStyle name="표준 4 6 8" xfId="0"/>
    <cellStyle name="표준 4 6 8 2" xfId="0"/>
    <cellStyle name="표준 4 6 9" xfId="0"/>
    <cellStyle name="표준 4 6 9 2" xfId="0"/>
    <cellStyle name="표준 4 7" xfId="0"/>
    <cellStyle name="표준 4 7 10" xfId="0"/>
    <cellStyle name="표준 4 7 10 2" xfId="0"/>
    <cellStyle name="표준 4 7 11" xfId="0"/>
    <cellStyle name="표준 4 7 2" xfId="0"/>
    <cellStyle name="표준 4 7 2 2" xfId="0"/>
    <cellStyle name="표준 4 7 3" xfId="0"/>
    <cellStyle name="표준 4 7 3 2" xfId="0"/>
    <cellStyle name="표준 4 7 4" xfId="0"/>
    <cellStyle name="표준 4 7 4 2" xfId="0"/>
    <cellStyle name="표준 4 7 5" xfId="0"/>
    <cellStyle name="표준 4 7 5 2" xfId="0"/>
    <cellStyle name="표준 4 7 6" xfId="0"/>
    <cellStyle name="표준 4 7 6 2" xfId="0"/>
    <cellStyle name="표준 4 7 7" xfId="0"/>
    <cellStyle name="표준 4 7 7 2" xfId="0"/>
    <cellStyle name="표준 4 7 8" xfId="0"/>
    <cellStyle name="표준 4 7 8 2" xfId="0"/>
    <cellStyle name="표준 4 7 9" xfId="0"/>
    <cellStyle name="표준 4 7 9 2" xfId="0"/>
    <cellStyle name="표준 4 8" xfId="0"/>
    <cellStyle name="표준 4 8 10" xfId="0"/>
    <cellStyle name="표준 4 8 10 2" xfId="0"/>
    <cellStyle name="표준 4 8 11" xfId="0"/>
    <cellStyle name="표준 4 8 2" xfId="0"/>
    <cellStyle name="표준 4 8 2 2" xfId="0"/>
    <cellStyle name="표준 4 8 3" xfId="0"/>
    <cellStyle name="표준 4 8 3 2" xfId="0"/>
    <cellStyle name="표준 4 8 4" xfId="0"/>
    <cellStyle name="표준 4 8 4 2" xfId="0"/>
    <cellStyle name="표준 4 8 5" xfId="0"/>
    <cellStyle name="표준 4 8 5 2" xfId="0"/>
    <cellStyle name="표준 4 8 6" xfId="0"/>
    <cellStyle name="표준 4 8 6 2" xfId="0"/>
    <cellStyle name="표준 4 8 7" xfId="0"/>
    <cellStyle name="표준 4 8 7 2" xfId="0"/>
    <cellStyle name="표준 4 8 8" xfId="0"/>
    <cellStyle name="표준 4 8 8 2" xfId="0"/>
    <cellStyle name="표준 4 8 9" xfId="0"/>
    <cellStyle name="표준 4 8 9 2" xfId="0"/>
    <cellStyle name="표준 4 9" xfId="0"/>
    <cellStyle name="표준 4 9 10" xfId="0"/>
    <cellStyle name="표준 4 9 10 2" xfId="0"/>
    <cellStyle name="표준 4 9 11" xfId="0"/>
    <cellStyle name="표준 4 9 2" xfId="0"/>
    <cellStyle name="표준 4 9 2 2" xfId="0"/>
    <cellStyle name="표준 4 9 3" xfId="0"/>
    <cellStyle name="표준 4 9 3 2" xfId="0"/>
    <cellStyle name="표준 4 9 4" xfId="0"/>
    <cellStyle name="표준 4 9 4 2" xfId="0"/>
    <cellStyle name="표준 4 9 5" xfId="0"/>
    <cellStyle name="표준 4 9 5 2" xfId="0"/>
    <cellStyle name="표준 4 9 6" xfId="0"/>
    <cellStyle name="표준 4 9 6 2" xfId="0"/>
    <cellStyle name="표준 4 9 7" xfId="0"/>
    <cellStyle name="표준 4 9 7 2" xfId="0"/>
    <cellStyle name="표준 4 9 8" xfId="0"/>
    <cellStyle name="표준 4 9 8 2" xfId="0"/>
    <cellStyle name="표준 4 9 9" xfId="0"/>
    <cellStyle name="표준 4 9 9 2" xfId="0"/>
    <cellStyle name="표준 40" xfId="0"/>
    <cellStyle name="표준 40 10" xfId="0"/>
    <cellStyle name="표준 40 11" xfId="0"/>
    <cellStyle name="표준 40 12" xfId="0"/>
    <cellStyle name="표준 40 13" xfId="0"/>
    <cellStyle name="표준 40 14" xfId="0"/>
    <cellStyle name="표준 40 15" xfId="0"/>
    <cellStyle name="표준 40 2" xfId="0"/>
    <cellStyle name="표준 40 3" xfId="0"/>
    <cellStyle name="표준 40 4" xfId="0"/>
    <cellStyle name="표준 40 5" xfId="0"/>
    <cellStyle name="표준 40 6" xfId="0"/>
    <cellStyle name="표준 40 7" xfId="0"/>
    <cellStyle name="표준 40 8" xfId="0"/>
    <cellStyle name="표준 40 9" xfId="0"/>
    <cellStyle name="표준 400" xfId="0"/>
    <cellStyle name="표준 400 2" xfId="0"/>
    <cellStyle name="표준 400 2 2" xfId="0"/>
    <cellStyle name="표준 400 3" xfId="0"/>
    <cellStyle name="표준 401" xfId="0"/>
    <cellStyle name="표준 401 2" xfId="0"/>
    <cellStyle name="표준 401 2 2" xfId="0"/>
    <cellStyle name="표준 401 3" xfId="0"/>
    <cellStyle name="표준 402" xfId="0"/>
    <cellStyle name="표준 402 2" xfId="0"/>
    <cellStyle name="표준 402 2 2" xfId="0"/>
    <cellStyle name="표준 402 3" xfId="0"/>
    <cellStyle name="표준 403" xfId="0"/>
    <cellStyle name="표준 403 2" xfId="0"/>
    <cellStyle name="표준 403 2 2" xfId="0"/>
    <cellStyle name="표준 403 3" xfId="0"/>
    <cellStyle name="표준 404" xfId="0"/>
    <cellStyle name="표준 404 2" xfId="0"/>
    <cellStyle name="표준 404 2 2" xfId="0"/>
    <cellStyle name="표준 404 3" xfId="0"/>
    <cellStyle name="표준 405" xfId="0"/>
    <cellStyle name="표준 405 2" xfId="0"/>
    <cellStyle name="표준 405 2 2" xfId="0"/>
    <cellStyle name="표준 405 3" xfId="0"/>
    <cellStyle name="표준 406" xfId="0"/>
    <cellStyle name="표준 406 2" xfId="0"/>
    <cellStyle name="표준 406 2 2" xfId="0"/>
    <cellStyle name="표준 406 3" xfId="0"/>
    <cellStyle name="표준 407" xfId="0"/>
    <cellStyle name="표준 407 2" xfId="0"/>
    <cellStyle name="표준 407 2 2" xfId="0"/>
    <cellStyle name="표준 407 3" xfId="0"/>
    <cellStyle name="표준 408" xfId="0"/>
    <cellStyle name="표준 408 2" xfId="0"/>
    <cellStyle name="표준 408 2 2" xfId="0"/>
    <cellStyle name="표준 408 3" xfId="0"/>
    <cellStyle name="표준 409" xfId="0"/>
    <cellStyle name="표준 409 2" xfId="0"/>
    <cellStyle name="표준 409 2 2" xfId="0"/>
    <cellStyle name="표준 409 3" xfId="0"/>
    <cellStyle name="표준 41" xfId="0"/>
    <cellStyle name="표준 41 2" xfId="0"/>
    <cellStyle name="표준 410" xfId="0"/>
    <cellStyle name="표준 410 2" xfId="0"/>
    <cellStyle name="표준 410 2 2" xfId="0"/>
    <cellStyle name="표준 410 3" xfId="0"/>
    <cellStyle name="표준 411" xfId="0"/>
    <cellStyle name="표준 411 2" xfId="0"/>
    <cellStyle name="표준 411 2 2" xfId="0"/>
    <cellStyle name="표준 411 3" xfId="0"/>
    <cellStyle name="표준 412" xfId="0"/>
    <cellStyle name="표준 412 2" xfId="0"/>
    <cellStyle name="표준 412 2 2" xfId="0"/>
    <cellStyle name="표준 412 3" xfId="0"/>
    <cellStyle name="표준 413" xfId="0"/>
    <cellStyle name="표준 413 2" xfId="0"/>
    <cellStyle name="표준 413 2 2" xfId="0"/>
    <cellStyle name="표준 413 3" xfId="0"/>
    <cellStyle name="표준 414" xfId="0"/>
    <cellStyle name="표준 414 2" xfId="0"/>
    <cellStyle name="표준 414 2 2" xfId="0"/>
    <cellStyle name="표준 414 3" xfId="0"/>
    <cellStyle name="표준 415" xfId="0"/>
    <cellStyle name="표준 415 2" xfId="0"/>
    <cellStyle name="표준 415 2 2" xfId="0"/>
    <cellStyle name="표준 415 3" xfId="0"/>
    <cellStyle name="표준 416" xfId="0"/>
    <cellStyle name="표준 416 2" xfId="0"/>
    <cellStyle name="표준 416 2 2" xfId="0"/>
    <cellStyle name="표준 416 3" xfId="0"/>
    <cellStyle name="표준 417" xfId="0"/>
    <cellStyle name="표준 417 2" xfId="0"/>
    <cellStyle name="표준 417 2 2" xfId="0"/>
    <cellStyle name="표준 417 3" xfId="0"/>
    <cellStyle name="표준 418" xfId="0"/>
    <cellStyle name="표준 418 2" xfId="0"/>
    <cellStyle name="표준 418 2 2" xfId="0"/>
    <cellStyle name="표준 418 3" xfId="0"/>
    <cellStyle name="표준 419" xfId="0"/>
    <cellStyle name="표준 419 2" xfId="0"/>
    <cellStyle name="표준 419 2 2" xfId="0"/>
    <cellStyle name="표준 419 3" xfId="0"/>
    <cellStyle name="표준 42" xfId="0"/>
    <cellStyle name="표준 42 10" xfId="0"/>
    <cellStyle name="표준 42 11" xfId="0"/>
    <cellStyle name="표준 42 12" xfId="0"/>
    <cellStyle name="표준 42 13" xfId="0"/>
    <cellStyle name="표준 42 14" xfId="0"/>
    <cellStyle name="표준 42 15" xfId="0"/>
    <cellStyle name="표준 42 16" xfId="0"/>
    <cellStyle name="표준 42 17" xfId="0"/>
    <cellStyle name="표준 42 2" xfId="0"/>
    <cellStyle name="표준 42 2 2" xfId="0"/>
    <cellStyle name="표준 42 3" xfId="0"/>
    <cellStyle name="표준 42 3 2" xfId="0"/>
    <cellStyle name="표준 42 4" xfId="0"/>
    <cellStyle name="표준 42 4 2" xfId="0"/>
    <cellStyle name="표준 42 5" xfId="0"/>
    <cellStyle name="표준 42 5 2" xfId="0"/>
    <cellStyle name="표준 42 6" xfId="0"/>
    <cellStyle name="표준 42 6 2" xfId="0"/>
    <cellStyle name="표준 42 7" xfId="0"/>
    <cellStyle name="표준 42 8" xfId="0"/>
    <cellStyle name="표준 42 9" xfId="0"/>
    <cellStyle name="표준 420" xfId="0"/>
    <cellStyle name="표준 420 2" xfId="0"/>
    <cellStyle name="표준 420 2 2" xfId="0"/>
    <cellStyle name="표준 420 3" xfId="0"/>
    <cellStyle name="표준 421" xfId="0"/>
    <cellStyle name="표준 421 2" xfId="0"/>
    <cellStyle name="표준 421 2 2" xfId="0"/>
    <cellStyle name="표준 421 3" xfId="0"/>
    <cellStyle name="표준 422" xfId="0"/>
    <cellStyle name="표준 422 2" xfId="0"/>
    <cellStyle name="표준 422 2 2" xfId="0"/>
    <cellStyle name="표준 422 3" xfId="0"/>
    <cellStyle name="표준 423" xfId="0"/>
    <cellStyle name="표준 423 2" xfId="0"/>
    <cellStyle name="표준 423 2 2" xfId="0"/>
    <cellStyle name="표준 423 3" xfId="0"/>
    <cellStyle name="표준 424" xfId="0"/>
    <cellStyle name="표준 424 2" xfId="0"/>
    <cellStyle name="표준 424 2 2" xfId="0"/>
    <cellStyle name="표준 424 3" xfId="0"/>
    <cellStyle name="표준 425" xfId="0"/>
    <cellStyle name="표준 425 2" xfId="0"/>
    <cellStyle name="표준 425 2 2" xfId="0"/>
    <cellStyle name="표준 425 3" xfId="0"/>
    <cellStyle name="표준 426" xfId="0"/>
    <cellStyle name="표준 426 2" xfId="0"/>
    <cellStyle name="표준 426 2 2" xfId="0"/>
    <cellStyle name="표준 426 3" xfId="0"/>
    <cellStyle name="표준 427" xfId="0"/>
    <cellStyle name="표준 427 2" xfId="0"/>
    <cellStyle name="표준 427 2 2" xfId="0"/>
    <cellStyle name="표준 427 3" xfId="0"/>
    <cellStyle name="표준 428" xfId="0"/>
    <cellStyle name="표준 428 2" xfId="0"/>
    <cellStyle name="표준 428 2 2" xfId="0"/>
    <cellStyle name="표준 428 3" xfId="0"/>
    <cellStyle name="표준 429" xfId="0"/>
    <cellStyle name="표준 429 2" xfId="0"/>
    <cellStyle name="표준 429 2 2" xfId="0"/>
    <cellStyle name="표준 429 3" xfId="0"/>
    <cellStyle name="표준 43" xfId="0"/>
    <cellStyle name="표준 43 2" xfId="0"/>
    <cellStyle name="표준 43 3" xfId="0"/>
    <cellStyle name="표준 430" xfId="0"/>
    <cellStyle name="표준 430 2" xfId="0"/>
    <cellStyle name="표준 430 2 2" xfId="0"/>
    <cellStyle name="표준 430 3" xfId="0"/>
    <cellStyle name="표준 431" xfId="0"/>
    <cellStyle name="표준 431 2" xfId="0"/>
    <cellStyle name="표준 431 2 2" xfId="0"/>
    <cellStyle name="표준 431 3" xfId="0"/>
    <cellStyle name="표준 432" xfId="0"/>
    <cellStyle name="표준 432 2" xfId="0"/>
    <cellStyle name="표준 432 2 2" xfId="0"/>
    <cellStyle name="표준 432 3" xfId="0"/>
    <cellStyle name="표준 433" xfId="0"/>
    <cellStyle name="표준 433 2" xfId="0"/>
    <cellStyle name="표준 433 2 2" xfId="0"/>
    <cellStyle name="표준 433 3" xfId="0"/>
    <cellStyle name="표준 434" xfId="0"/>
    <cellStyle name="표준 434 2" xfId="0"/>
    <cellStyle name="표준 434 2 2" xfId="0"/>
    <cellStyle name="표준 434 3" xfId="0"/>
    <cellStyle name="표준 435" xfId="0"/>
    <cellStyle name="표준 435 2" xfId="0"/>
    <cellStyle name="표준 435 2 2" xfId="0"/>
    <cellStyle name="표준 435 3" xfId="0"/>
    <cellStyle name="표준 436" xfId="0"/>
    <cellStyle name="표준 436 2" xfId="0"/>
    <cellStyle name="표준 436 2 2" xfId="0"/>
    <cellStyle name="표준 436 3" xfId="0"/>
    <cellStyle name="표준 437" xfId="0"/>
    <cellStyle name="표준 437 2" xfId="0"/>
    <cellStyle name="표준 437 2 2" xfId="0"/>
    <cellStyle name="표준 437 3" xfId="0"/>
    <cellStyle name="표준 438" xfId="0"/>
    <cellStyle name="표준 438 2" xfId="0"/>
    <cellStyle name="표준 438 2 2" xfId="0"/>
    <cellStyle name="표준 438 3" xfId="0"/>
    <cellStyle name="표준 439" xfId="0"/>
    <cellStyle name="표준 439 2" xfId="0"/>
    <cellStyle name="표준 439 2 2" xfId="0"/>
    <cellStyle name="표준 439 3" xfId="0"/>
    <cellStyle name="표준 44" xfId="0"/>
    <cellStyle name="표준 44 10" xfId="0"/>
    <cellStyle name="표준 44 11" xfId="0"/>
    <cellStyle name="표준 44 12" xfId="0"/>
    <cellStyle name="표준 44 13" xfId="0"/>
    <cellStyle name="표준 44 14" xfId="0"/>
    <cellStyle name="표준 44 15" xfId="0"/>
    <cellStyle name="표준 44 16" xfId="0"/>
    <cellStyle name="표준 44 17" xfId="0"/>
    <cellStyle name="표준 44 2" xfId="0"/>
    <cellStyle name="표준 44 2 2" xfId="0"/>
    <cellStyle name="표준 44 3" xfId="0"/>
    <cellStyle name="표준 44 3 2" xfId="0"/>
    <cellStyle name="표준 44 4" xfId="0"/>
    <cellStyle name="표준 44 4 2" xfId="0"/>
    <cellStyle name="표준 44 5" xfId="0"/>
    <cellStyle name="표준 44 5 2" xfId="0"/>
    <cellStyle name="표준 44 6" xfId="0"/>
    <cellStyle name="표준 44 6 2" xfId="0"/>
    <cellStyle name="표준 44 7" xfId="0"/>
    <cellStyle name="표준 44 8" xfId="0"/>
    <cellStyle name="표준 44 9" xfId="0"/>
    <cellStyle name="표준 440" xfId="0"/>
    <cellStyle name="표준 440 2" xfId="0"/>
    <cellStyle name="표준 440 2 2" xfId="0"/>
    <cellStyle name="표준 440 3" xfId="0"/>
    <cellStyle name="표준 441" xfId="0"/>
    <cellStyle name="표준 441 2" xfId="0"/>
    <cellStyle name="표준 441 2 2" xfId="0"/>
    <cellStyle name="표준 441 3" xfId="0"/>
    <cellStyle name="표준 442" xfId="0"/>
    <cellStyle name="표준 442 2" xfId="0"/>
    <cellStyle name="표준 442 2 2" xfId="0"/>
    <cellStyle name="표준 442 3" xfId="0"/>
    <cellStyle name="표준 443" xfId="0"/>
    <cellStyle name="표준 443 2" xfId="0"/>
    <cellStyle name="표준 443 2 2" xfId="0"/>
    <cellStyle name="표준 443 3" xfId="0"/>
    <cellStyle name="표준 444" xfId="0"/>
    <cellStyle name="표준 444 2" xfId="0"/>
    <cellStyle name="표준 444 2 2" xfId="0"/>
    <cellStyle name="표준 444 3" xfId="0"/>
    <cellStyle name="표준 445" xfId="0"/>
    <cellStyle name="표준 445 2" xfId="0"/>
    <cellStyle name="표준 445 2 2" xfId="0"/>
    <cellStyle name="표준 445 3" xfId="0"/>
    <cellStyle name="표준 446" xfId="0"/>
    <cellStyle name="표준 446 2" xfId="0"/>
    <cellStyle name="표준 446 2 2" xfId="0"/>
    <cellStyle name="표준 446 3" xfId="0"/>
    <cellStyle name="표준 447" xfId="0"/>
    <cellStyle name="표준 447 2" xfId="0"/>
    <cellStyle name="표준 447 2 2" xfId="0"/>
    <cellStyle name="표준 447 3" xfId="0"/>
    <cellStyle name="표준 448" xfId="0"/>
    <cellStyle name="표준 448 2" xfId="0"/>
    <cellStyle name="표준 448 2 2" xfId="0"/>
    <cellStyle name="표준 448 3" xfId="0"/>
    <cellStyle name="표준 449" xfId="0"/>
    <cellStyle name="표준 449 2" xfId="0"/>
    <cellStyle name="표준 449 2 2" xfId="0"/>
    <cellStyle name="표준 449 3" xfId="0"/>
    <cellStyle name="표준 45" xfId="0"/>
    <cellStyle name="표준 450" xfId="0"/>
    <cellStyle name="표준 450 2" xfId="0"/>
    <cellStyle name="표준 450 2 2" xfId="0"/>
    <cellStyle name="표준 450 3" xfId="0"/>
    <cellStyle name="표준 451" xfId="0"/>
    <cellStyle name="표준 451 2" xfId="0"/>
    <cellStyle name="표준 451 2 2" xfId="0"/>
    <cellStyle name="표준 451 3" xfId="0"/>
    <cellStyle name="표준 452" xfId="0"/>
    <cellStyle name="표준 452 2" xfId="0"/>
    <cellStyle name="표준 452 2 2" xfId="0"/>
    <cellStyle name="표준 452 3" xfId="0"/>
    <cellStyle name="표준 453" xfId="0"/>
    <cellStyle name="표준 453 2" xfId="0"/>
    <cellStyle name="표준 453 2 2" xfId="0"/>
    <cellStyle name="표준 453 3" xfId="0"/>
    <cellStyle name="표준 454" xfId="0"/>
    <cellStyle name="표준 454 2" xfId="0"/>
    <cellStyle name="표준 454 2 2" xfId="0"/>
    <cellStyle name="표준 454 3" xfId="0"/>
    <cellStyle name="표준 455" xfId="0"/>
    <cellStyle name="표준 455 2" xfId="0"/>
    <cellStyle name="표준 455 2 2" xfId="0"/>
    <cellStyle name="표준 455 3" xfId="0"/>
    <cellStyle name="표준 456" xfId="0"/>
    <cellStyle name="표준 456 2" xfId="0"/>
    <cellStyle name="표준 456 2 2" xfId="0"/>
    <cellStyle name="표준 456 3" xfId="0"/>
    <cellStyle name="표준 457" xfId="0"/>
    <cellStyle name="표준 457 2" xfId="0"/>
    <cellStyle name="표준 457 2 2" xfId="0"/>
    <cellStyle name="표준 457 3" xfId="0"/>
    <cellStyle name="표준 458" xfId="0"/>
    <cellStyle name="표준 458 2" xfId="0"/>
    <cellStyle name="표준 458 2 2" xfId="0"/>
    <cellStyle name="표준 458 3" xfId="0"/>
    <cellStyle name="표준 459" xfId="0"/>
    <cellStyle name="표준 459 2" xfId="0"/>
    <cellStyle name="표준 459 2 2" xfId="0"/>
    <cellStyle name="표준 459 3" xfId="0"/>
    <cellStyle name="표준 46" xfId="0"/>
    <cellStyle name="표준 460" xfId="0"/>
    <cellStyle name="표준 460 2" xfId="0"/>
    <cellStyle name="표준 460 2 2" xfId="0"/>
    <cellStyle name="표준 460 3" xfId="0"/>
    <cellStyle name="표준 461" xfId="0"/>
    <cellStyle name="표준 461 2" xfId="0"/>
    <cellStyle name="표준 461 2 2" xfId="0"/>
    <cellStyle name="표준 461 3" xfId="0"/>
    <cellStyle name="표준 462" xfId="0"/>
    <cellStyle name="표준 462 2" xfId="0"/>
    <cellStyle name="표준 462 2 2" xfId="0"/>
    <cellStyle name="표준 462 3" xfId="0"/>
    <cellStyle name="표준 463" xfId="0"/>
    <cellStyle name="표준 463 2" xfId="0"/>
    <cellStyle name="표준 463 2 2" xfId="0"/>
    <cellStyle name="표준 463 3" xfId="0"/>
    <cellStyle name="표준 464" xfId="0"/>
    <cellStyle name="표준 464 2" xfId="0"/>
    <cellStyle name="표준 464 2 2" xfId="0"/>
    <cellStyle name="표준 464 3" xfId="0"/>
    <cellStyle name="표준 465" xfId="0"/>
    <cellStyle name="표준 465 2" xfId="0"/>
    <cellStyle name="표준 465 2 2" xfId="0"/>
    <cellStyle name="표준 465 3" xfId="0"/>
    <cellStyle name="표준 466" xfId="0"/>
    <cellStyle name="표준 466 2" xfId="0"/>
    <cellStyle name="표준 466 2 2" xfId="0"/>
    <cellStyle name="표준 466 3" xfId="0"/>
    <cellStyle name="표준 467" xfId="0"/>
    <cellStyle name="표준 467 2" xfId="0"/>
    <cellStyle name="표준 467 2 2" xfId="0"/>
    <cellStyle name="표준 467 3" xfId="0"/>
    <cellStyle name="표준 468" xfId="0"/>
    <cellStyle name="표준 468 2" xfId="0"/>
    <cellStyle name="표준 468 2 2" xfId="0"/>
    <cellStyle name="표준 468 3" xfId="0"/>
    <cellStyle name="표준 469" xfId="0"/>
    <cellStyle name="표준 469 2" xfId="0"/>
    <cellStyle name="표준 469 2 2" xfId="0"/>
    <cellStyle name="표준 469 3" xfId="0"/>
    <cellStyle name="표준 47" xfId="0"/>
    <cellStyle name="표준 470" xfId="0"/>
    <cellStyle name="표준 470 2" xfId="0"/>
    <cellStyle name="표준 470 2 2" xfId="0"/>
    <cellStyle name="표준 470 3" xfId="0"/>
    <cellStyle name="표준 471" xfId="0"/>
    <cellStyle name="표준 471 2" xfId="0"/>
    <cellStyle name="표준 471 2 2" xfId="0"/>
    <cellStyle name="표준 471 3" xfId="0"/>
    <cellStyle name="표준 472" xfId="0"/>
    <cellStyle name="표준 472 2" xfId="0"/>
    <cellStyle name="표준 472 2 2" xfId="0"/>
    <cellStyle name="표준 472 3" xfId="0"/>
    <cellStyle name="표준 473" xfId="0"/>
    <cellStyle name="표준 473 2" xfId="0"/>
    <cellStyle name="표준 473 2 2" xfId="0"/>
    <cellStyle name="표준 473 3" xfId="0"/>
    <cellStyle name="표준 474" xfId="0"/>
    <cellStyle name="표준 474 2" xfId="0"/>
    <cellStyle name="표준 474 2 2" xfId="0"/>
    <cellStyle name="표준 474 3" xfId="0"/>
    <cellStyle name="표준 475" xfId="0"/>
    <cellStyle name="표준 475 2" xfId="0"/>
    <cellStyle name="표준 475 2 2" xfId="0"/>
    <cellStyle name="표준 475 3" xfId="0"/>
    <cellStyle name="표준 476" xfId="0"/>
    <cellStyle name="표준 476 2" xfId="0"/>
    <cellStyle name="표준 476 2 2" xfId="0"/>
    <cellStyle name="표준 476 3" xfId="0"/>
    <cellStyle name="표준 477" xfId="0"/>
    <cellStyle name="표준 477 2" xfId="0"/>
    <cellStyle name="표준 477 2 2" xfId="0"/>
    <cellStyle name="표준 477 3" xfId="0"/>
    <cellStyle name="표준 478" xfId="0"/>
    <cellStyle name="표준 478 2" xfId="0"/>
    <cellStyle name="표준 478 2 2" xfId="0"/>
    <cellStyle name="표준 478 3" xfId="0"/>
    <cellStyle name="표준 479" xfId="0"/>
    <cellStyle name="표준 479 2" xfId="0"/>
    <cellStyle name="표준 479 2 2" xfId="0"/>
    <cellStyle name="표준 479 3" xfId="0"/>
    <cellStyle name="표준 48" xfId="0"/>
    <cellStyle name="표준 48 10" xfId="0"/>
    <cellStyle name="표준 48 11" xfId="0"/>
    <cellStyle name="표준 48 12" xfId="0"/>
    <cellStyle name="표준 48 13" xfId="0"/>
    <cellStyle name="표준 48 14" xfId="0"/>
    <cellStyle name="표준 48 15" xfId="0"/>
    <cellStyle name="표준 48 16" xfId="0"/>
    <cellStyle name="표준 48 17" xfId="0"/>
    <cellStyle name="표준 48 2" xfId="0"/>
    <cellStyle name="표준 48 2 10" xfId="0"/>
    <cellStyle name="표준 48 2 11" xfId="0"/>
    <cellStyle name="표준 48 2 2" xfId="0"/>
    <cellStyle name="표준 48 2 3" xfId="0"/>
    <cellStyle name="표준 48 2 4" xfId="0"/>
    <cellStyle name="표준 48 2 5" xfId="0"/>
    <cellStyle name="표준 48 2 6" xfId="0"/>
    <cellStyle name="표준 48 2 7" xfId="0"/>
    <cellStyle name="표준 48 2 8" xfId="0"/>
    <cellStyle name="표준 48 2 9" xfId="0"/>
    <cellStyle name="표준 48 3" xfId="0"/>
    <cellStyle name="표준 48 3 10" xfId="0"/>
    <cellStyle name="표준 48 3 11" xfId="0"/>
    <cellStyle name="표준 48 3 2" xfId="0"/>
    <cellStyle name="표준 48 3 3" xfId="0"/>
    <cellStyle name="표준 48 3 4" xfId="0"/>
    <cellStyle name="표준 48 3 5" xfId="0"/>
    <cellStyle name="표준 48 3 6" xfId="0"/>
    <cellStyle name="표준 48 3 7" xfId="0"/>
    <cellStyle name="표준 48 3 8" xfId="0"/>
    <cellStyle name="표준 48 3 9" xfId="0"/>
    <cellStyle name="표준 48 4" xfId="0"/>
    <cellStyle name="표준 48 4 10" xfId="0"/>
    <cellStyle name="표준 48 4 11" xfId="0"/>
    <cellStyle name="표준 48 4 2" xfId="0"/>
    <cellStyle name="표준 48 4 3" xfId="0"/>
    <cellStyle name="표준 48 4 4" xfId="0"/>
    <cellStyle name="표준 48 4 5" xfId="0"/>
    <cellStyle name="표준 48 4 6" xfId="0"/>
    <cellStyle name="표준 48 4 7" xfId="0"/>
    <cellStyle name="표준 48 4 8" xfId="0"/>
    <cellStyle name="표준 48 4 9" xfId="0"/>
    <cellStyle name="표준 48 5" xfId="0"/>
    <cellStyle name="표준 48 5 2" xfId="0"/>
    <cellStyle name="표준 48 6" xfId="0"/>
    <cellStyle name="표준 48 6 2" xfId="0"/>
    <cellStyle name="표준 48 7" xfId="0"/>
    <cellStyle name="표준 48 7 2" xfId="0"/>
    <cellStyle name="표준 48 8" xfId="0"/>
    <cellStyle name="표준 48 9" xfId="0"/>
    <cellStyle name="표준 480" xfId="0"/>
    <cellStyle name="표준 480 2" xfId="0"/>
    <cellStyle name="표준 480 2 2" xfId="0"/>
    <cellStyle name="표준 480 3" xfId="0"/>
    <cellStyle name="표준 481" xfId="0"/>
    <cellStyle name="표준 481 2" xfId="0"/>
    <cellStyle name="표준 481 2 2" xfId="0"/>
    <cellStyle name="표준 481 3" xfId="0"/>
    <cellStyle name="표준 482" xfId="0"/>
    <cellStyle name="표준 482 2" xfId="0"/>
    <cellStyle name="표준 482 2 2" xfId="0"/>
    <cellStyle name="표준 482 3" xfId="0"/>
    <cellStyle name="표준 483" xfId="0"/>
    <cellStyle name="표준 483 2" xfId="0"/>
    <cellStyle name="표준 483 2 2" xfId="0"/>
    <cellStyle name="표준 483 3" xfId="0"/>
    <cellStyle name="표준 484" xfId="0"/>
    <cellStyle name="표준 484 2" xfId="0"/>
    <cellStyle name="표준 484 2 2" xfId="0"/>
    <cellStyle name="표준 484 3" xfId="0"/>
    <cellStyle name="표준 485" xfId="0"/>
    <cellStyle name="표준 485 2" xfId="0"/>
    <cellStyle name="표준 485 2 2" xfId="0"/>
    <cellStyle name="표준 485 3" xfId="0"/>
    <cellStyle name="표준 486" xfId="0"/>
    <cellStyle name="표준 486 2" xfId="0"/>
    <cellStyle name="표준 486 2 2" xfId="0"/>
    <cellStyle name="표준 486 3" xfId="0"/>
    <cellStyle name="표준 487" xfId="0"/>
    <cellStyle name="표준 487 2" xfId="0"/>
    <cellStyle name="표준 487 2 2" xfId="0"/>
    <cellStyle name="표준 487 3" xfId="0"/>
    <cellStyle name="표준 488" xfId="0"/>
    <cellStyle name="표준 488 2" xfId="0"/>
    <cellStyle name="표준 488 2 2" xfId="0"/>
    <cellStyle name="표준 488 3" xfId="0"/>
    <cellStyle name="표준 489" xfId="0"/>
    <cellStyle name="표준 489 2" xfId="0"/>
    <cellStyle name="표준 489 2 2" xfId="0"/>
    <cellStyle name="표준 489 3" xfId="0"/>
    <cellStyle name="표준 49" xfId="0"/>
    <cellStyle name="표준 49 10" xfId="0"/>
    <cellStyle name="표준 49 11" xfId="0"/>
    <cellStyle name="표준 49 12" xfId="0"/>
    <cellStyle name="표준 49 13" xfId="0"/>
    <cellStyle name="표준 49 14" xfId="0"/>
    <cellStyle name="표준 49 15" xfId="0"/>
    <cellStyle name="표준 49 16" xfId="0"/>
    <cellStyle name="표준 49 17" xfId="0"/>
    <cellStyle name="표준 49 2" xfId="0"/>
    <cellStyle name="표준 49 2 10" xfId="0"/>
    <cellStyle name="표준 49 2 11" xfId="0"/>
    <cellStyle name="표준 49 2 2" xfId="0"/>
    <cellStyle name="표준 49 2 3" xfId="0"/>
    <cellStyle name="표준 49 2 4" xfId="0"/>
    <cellStyle name="표준 49 2 5" xfId="0"/>
    <cellStyle name="표준 49 2 6" xfId="0"/>
    <cellStyle name="표준 49 2 7" xfId="0"/>
    <cellStyle name="표준 49 2 8" xfId="0"/>
    <cellStyle name="표준 49 2 9" xfId="0"/>
    <cellStyle name="표준 49 3" xfId="0"/>
    <cellStyle name="표준 49 3 10" xfId="0"/>
    <cellStyle name="표준 49 3 11" xfId="0"/>
    <cellStyle name="표준 49 3 2" xfId="0"/>
    <cellStyle name="표준 49 3 3" xfId="0"/>
    <cellStyle name="표준 49 3 4" xfId="0"/>
    <cellStyle name="표준 49 3 5" xfId="0"/>
    <cellStyle name="표준 49 3 6" xfId="0"/>
    <cellStyle name="표준 49 3 7" xfId="0"/>
    <cellStyle name="표준 49 3 8" xfId="0"/>
    <cellStyle name="표준 49 3 9" xfId="0"/>
    <cellStyle name="표준 49 4" xfId="0"/>
    <cellStyle name="표준 49 4 10" xfId="0"/>
    <cellStyle name="표준 49 4 11" xfId="0"/>
    <cellStyle name="표준 49 4 2" xfId="0"/>
    <cellStyle name="표준 49 4 3" xfId="0"/>
    <cellStyle name="표준 49 4 4" xfId="0"/>
    <cellStyle name="표준 49 4 5" xfId="0"/>
    <cellStyle name="표준 49 4 6" xfId="0"/>
    <cellStyle name="표준 49 4 7" xfId="0"/>
    <cellStyle name="표준 49 4 8" xfId="0"/>
    <cellStyle name="표준 49 4 9" xfId="0"/>
    <cellStyle name="표준 49 5" xfId="0"/>
    <cellStyle name="표준 49 5 2" xfId="0"/>
    <cellStyle name="표준 49 6" xfId="0"/>
    <cellStyle name="표준 49 6 2" xfId="0"/>
    <cellStyle name="표준 49 7" xfId="0"/>
    <cellStyle name="표준 49 7 2" xfId="0"/>
    <cellStyle name="표준 49 8" xfId="0"/>
    <cellStyle name="표준 49 9" xfId="0"/>
    <cellStyle name="표준 490" xfId="0"/>
    <cellStyle name="표준 490 2" xfId="0"/>
    <cellStyle name="표준 490 2 2" xfId="0"/>
    <cellStyle name="표준 490 3" xfId="0"/>
    <cellStyle name="표준 491" xfId="0"/>
    <cellStyle name="표준 491 2" xfId="0"/>
    <cellStyle name="표준 491 2 2" xfId="0"/>
    <cellStyle name="표준 491 3" xfId="0"/>
    <cellStyle name="표준 492" xfId="0"/>
    <cellStyle name="표준 492 2" xfId="0"/>
    <cellStyle name="표준 492 2 2" xfId="0"/>
    <cellStyle name="표준 492 3" xfId="0"/>
    <cellStyle name="표준 493" xfId="0"/>
    <cellStyle name="표준 493 2" xfId="0"/>
    <cellStyle name="표준 493 2 2" xfId="0"/>
    <cellStyle name="표준 493 3" xfId="0"/>
    <cellStyle name="표준 494" xfId="0"/>
    <cellStyle name="표준 494 2" xfId="0"/>
    <cellStyle name="표준 494 2 2" xfId="0"/>
    <cellStyle name="표준 494 3" xfId="0"/>
    <cellStyle name="표준 495" xfId="0"/>
    <cellStyle name="표준 495 2" xfId="0"/>
    <cellStyle name="표준 495 2 2" xfId="0"/>
    <cellStyle name="표준 495 3" xfId="0"/>
    <cellStyle name="표준 496" xfId="0"/>
    <cellStyle name="표준 496 2" xfId="0"/>
    <cellStyle name="표준 496 2 2" xfId="0"/>
    <cellStyle name="표준 496 3" xfId="0"/>
    <cellStyle name="표준 497" xfId="0"/>
    <cellStyle name="표준 497 2" xfId="0"/>
    <cellStyle name="표준 497 2 2" xfId="0"/>
    <cellStyle name="표준 497 3" xfId="0"/>
    <cellStyle name="표준 498" xfId="0"/>
    <cellStyle name="표준 498 2" xfId="0"/>
    <cellStyle name="표준 498 2 2" xfId="0"/>
    <cellStyle name="표준 498 3" xfId="0"/>
    <cellStyle name="표준 499" xfId="0"/>
    <cellStyle name="표준 499 2" xfId="0"/>
    <cellStyle name="표준 499 2 2" xfId="0"/>
    <cellStyle name="표준 499 3" xfId="0"/>
    <cellStyle name="표준 4_운용자산별 손익분석" xfId="0"/>
    <cellStyle name="표준 5" xfId="0"/>
    <cellStyle name="표준 5 10" xfId="0"/>
    <cellStyle name="표준 5 10 10" xfId="0"/>
    <cellStyle name="표준 5 10 11" xfId="0"/>
    <cellStyle name="표준 5 10 2" xfId="0"/>
    <cellStyle name="표준 5 10 3" xfId="0"/>
    <cellStyle name="표준 5 10 4" xfId="0"/>
    <cellStyle name="표준 5 10 5" xfId="0"/>
    <cellStyle name="표준 5 10 6" xfId="0"/>
    <cellStyle name="표준 5 10 7" xfId="0"/>
    <cellStyle name="표준 5 10 8" xfId="0"/>
    <cellStyle name="표준 5 10 9" xfId="0"/>
    <cellStyle name="표준 5 11" xfId="0"/>
    <cellStyle name="표준 5 11 10" xfId="0"/>
    <cellStyle name="표준 5 11 11" xfId="0"/>
    <cellStyle name="표준 5 11 2" xfId="0"/>
    <cellStyle name="표준 5 11 3" xfId="0"/>
    <cellStyle name="표준 5 11 4" xfId="0"/>
    <cellStyle name="표준 5 11 5" xfId="0"/>
    <cellStyle name="표준 5 11 6" xfId="0"/>
    <cellStyle name="표준 5 11 7" xfId="0"/>
    <cellStyle name="표준 5 11 8" xfId="0"/>
    <cellStyle name="표준 5 11 9" xfId="0"/>
    <cellStyle name="표준 5 12" xfId="0"/>
    <cellStyle name="표준 5 12 10" xfId="0"/>
    <cellStyle name="표준 5 12 11" xfId="0"/>
    <cellStyle name="표준 5 12 2" xfId="0"/>
    <cellStyle name="표준 5 12 3" xfId="0"/>
    <cellStyle name="표준 5 12 4" xfId="0"/>
    <cellStyle name="표준 5 12 5" xfId="0"/>
    <cellStyle name="표준 5 12 6" xfId="0"/>
    <cellStyle name="표준 5 12 7" xfId="0"/>
    <cellStyle name="표준 5 12 8" xfId="0"/>
    <cellStyle name="표준 5 12 9" xfId="0"/>
    <cellStyle name="표준 5 13" xfId="0"/>
    <cellStyle name="표준 5 13 10" xfId="0"/>
    <cellStyle name="표준 5 13 11" xfId="0"/>
    <cellStyle name="표준 5 13 12" xfId="0"/>
    <cellStyle name="표준 5 13 2" xfId="0"/>
    <cellStyle name="표준 5 13 3" xfId="0"/>
    <cellStyle name="표준 5 13 4" xfId="0"/>
    <cellStyle name="표준 5 13 5" xfId="0"/>
    <cellStyle name="표준 5 13 6" xfId="0"/>
    <cellStyle name="표준 5 13 7" xfId="0"/>
    <cellStyle name="표준 5 13 8" xfId="0"/>
    <cellStyle name="표준 5 13 9" xfId="0"/>
    <cellStyle name="표준 5 14" xfId="0"/>
    <cellStyle name="표준 5 14 2" xfId="0"/>
    <cellStyle name="표준 5 14 3" xfId="0"/>
    <cellStyle name="표준 5 14 4" xfId="0"/>
    <cellStyle name="표준 5 15" xfId="0"/>
    <cellStyle name="표준 5 15 2" xfId="0"/>
    <cellStyle name="표준 5 15 3" xfId="0"/>
    <cellStyle name="표준 5 16" xfId="0"/>
    <cellStyle name="표준 5 16 2" xfId="0"/>
    <cellStyle name="표준 5 17" xfId="0"/>
    <cellStyle name="표준 5 17 2" xfId="0"/>
    <cellStyle name="표준 5 18" xfId="0"/>
    <cellStyle name="표준 5 18 2" xfId="0"/>
    <cellStyle name="표준 5 19" xfId="0"/>
    <cellStyle name="표준 5 19 2" xfId="0"/>
    <cellStyle name="표준 5 2" xfId="0"/>
    <cellStyle name="표준 5 2 10" xfId="0"/>
    <cellStyle name="표준 5 2 10 2" xfId="0"/>
    <cellStyle name="표준 5 2 11" xfId="0"/>
    <cellStyle name="표준 5 2 12" xfId="0"/>
    <cellStyle name="표준 5 2 13" xfId="0"/>
    <cellStyle name="표준 5 2 2" xfId="0"/>
    <cellStyle name="표준 5 2 2 10" xfId="0"/>
    <cellStyle name="표준 5 2 2 11" xfId="0"/>
    <cellStyle name="표준 5 2 2 2" xfId="0"/>
    <cellStyle name="표준 5 2 2 3" xfId="0"/>
    <cellStyle name="표준 5 2 2 4" xfId="0"/>
    <cellStyle name="표준 5 2 2 5" xfId="0"/>
    <cellStyle name="표준 5 2 2 6" xfId="0"/>
    <cellStyle name="표준 5 2 2 7" xfId="0"/>
    <cellStyle name="표준 5 2 2 8" xfId="0"/>
    <cellStyle name="표준 5 2 2 9" xfId="0"/>
    <cellStyle name="표준 5 2 3" xfId="0"/>
    <cellStyle name="표준 5 2 4" xfId="0"/>
    <cellStyle name="표준 5 2 4 2" xfId="0"/>
    <cellStyle name="표준 5 2 5" xfId="0"/>
    <cellStyle name="표준 5 2 5 2" xfId="0"/>
    <cellStyle name="표준 5 2 6" xfId="0"/>
    <cellStyle name="표준 5 2 6 2" xfId="0"/>
    <cellStyle name="표준 5 2 7" xfId="0"/>
    <cellStyle name="표준 5 2 7 2" xfId="0"/>
    <cellStyle name="표준 5 2 8" xfId="0"/>
    <cellStyle name="표준 5 2 8 2" xfId="0"/>
    <cellStyle name="표준 5 2 9" xfId="0"/>
    <cellStyle name="표준 5 2 9 2" xfId="0"/>
    <cellStyle name="표준 5 20" xfId="0"/>
    <cellStyle name="표준 5 20 2" xfId="0"/>
    <cellStyle name="표준 5 21" xfId="0"/>
    <cellStyle name="표준 5 21 2" xfId="0"/>
    <cellStyle name="표준 5 22" xfId="0"/>
    <cellStyle name="표준 5 22 2" xfId="0"/>
    <cellStyle name="표준 5 23" xfId="0"/>
    <cellStyle name="표준 5 24" xfId="0"/>
    <cellStyle name="표준 5 25" xfId="0"/>
    <cellStyle name="표준 5 26" xfId="0"/>
    <cellStyle name="표준 5 3" xfId="0"/>
    <cellStyle name="표준 5 3 10" xfId="0"/>
    <cellStyle name="표준 5 3 10 2" xfId="0"/>
    <cellStyle name="표준 5 3 11" xfId="0"/>
    <cellStyle name="표준 5 3 2" xfId="0"/>
    <cellStyle name="표준 5 3 2 10" xfId="0"/>
    <cellStyle name="표준 5 3 2 11" xfId="0"/>
    <cellStyle name="표준 5 3 2 2" xfId="0"/>
    <cellStyle name="표준 5 3 2 3" xfId="0"/>
    <cellStyle name="표준 5 3 2 4" xfId="0"/>
    <cellStyle name="표준 5 3 2 5" xfId="0"/>
    <cellStyle name="표준 5 3 2 6" xfId="0"/>
    <cellStyle name="표준 5 3 2 7" xfId="0"/>
    <cellStyle name="표준 5 3 2 8" xfId="0"/>
    <cellStyle name="표준 5 3 2 9" xfId="0"/>
    <cellStyle name="표준 5 3 3" xfId="0"/>
    <cellStyle name="표준 5 3 3 2" xfId="0"/>
    <cellStyle name="표준 5 3 4" xfId="0"/>
    <cellStyle name="표준 5 3 4 2" xfId="0"/>
    <cellStyle name="표준 5 3 5" xfId="0"/>
    <cellStyle name="표준 5 3 5 2" xfId="0"/>
    <cellStyle name="표준 5 3 6" xfId="0"/>
    <cellStyle name="표준 5 3 6 2" xfId="0"/>
    <cellStyle name="표준 5 3 7" xfId="0"/>
    <cellStyle name="표준 5 3 7 2" xfId="0"/>
    <cellStyle name="표준 5 3 8" xfId="0"/>
    <cellStyle name="표준 5 3 8 2" xfId="0"/>
    <cellStyle name="표준 5 3 9" xfId="0"/>
    <cellStyle name="표준 5 3 9 2" xfId="0"/>
    <cellStyle name="표준 5 4" xfId="0"/>
    <cellStyle name="표준 5 4 10" xfId="0"/>
    <cellStyle name="표준 5 4 11" xfId="0"/>
    <cellStyle name="표준 5 4 2" xfId="0"/>
    <cellStyle name="표준 5 4 3" xfId="0"/>
    <cellStyle name="표준 5 4 4" xfId="0"/>
    <cellStyle name="표준 5 4 5" xfId="0"/>
    <cellStyle name="표준 5 4 6" xfId="0"/>
    <cellStyle name="표준 5 4 7" xfId="0"/>
    <cellStyle name="표준 5 4 8" xfId="0"/>
    <cellStyle name="표준 5 4 9" xfId="0"/>
    <cellStyle name="표준 5 5" xfId="0"/>
    <cellStyle name="표준 5 5 10" xfId="0"/>
    <cellStyle name="표준 5 5 2" xfId="0"/>
    <cellStyle name="표준 5 5 3" xfId="0"/>
    <cellStyle name="표준 5 5 4" xfId="0"/>
    <cellStyle name="표준 5 5 5" xfId="0"/>
    <cellStyle name="표준 5 5 6" xfId="0"/>
    <cellStyle name="표준 5 5 7" xfId="0"/>
    <cellStyle name="표준 5 5 8" xfId="0"/>
    <cellStyle name="표준 5 5 9" xfId="0"/>
    <cellStyle name="표준 5 6" xfId="0"/>
    <cellStyle name="표준 5 6 10" xfId="0"/>
    <cellStyle name="표준 5 6 11" xfId="0"/>
    <cellStyle name="표준 5 6 2" xfId="0"/>
    <cellStyle name="표준 5 6 3" xfId="0"/>
    <cellStyle name="표준 5 6 4" xfId="0"/>
    <cellStyle name="표준 5 6 5" xfId="0"/>
    <cellStyle name="표준 5 6 6" xfId="0"/>
    <cellStyle name="표준 5 6 7" xfId="0"/>
    <cellStyle name="표준 5 6 8" xfId="0"/>
    <cellStyle name="표준 5 6 9" xfId="0"/>
    <cellStyle name="표준 5 7" xfId="0"/>
    <cellStyle name="표준 5 7 10" xfId="0"/>
    <cellStyle name="표준 5 7 11" xfId="0"/>
    <cellStyle name="표준 5 7 2" xfId="0"/>
    <cellStyle name="표준 5 7 3" xfId="0"/>
    <cellStyle name="표준 5 7 4" xfId="0"/>
    <cellStyle name="표준 5 7 5" xfId="0"/>
    <cellStyle name="표준 5 7 6" xfId="0"/>
    <cellStyle name="표준 5 7 7" xfId="0"/>
    <cellStyle name="표준 5 7 8" xfId="0"/>
    <cellStyle name="표준 5 7 9" xfId="0"/>
    <cellStyle name="표준 5 8" xfId="0"/>
    <cellStyle name="표준 5 8 10" xfId="0"/>
    <cellStyle name="표준 5 8 11" xfId="0"/>
    <cellStyle name="표준 5 8 2" xfId="0"/>
    <cellStyle name="표준 5 8 3" xfId="0"/>
    <cellStyle name="표준 5 8 4" xfId="0"/>
    <cellStyle name="표준 5 8 5" xfId="0"/>
    <cellStyle name="표준 5 8 6" xfId="0"/>
    <cellStyle name="표준 5 8 7" xfId="0"/>
    <cellStyle name="표준 5 8 8" xfId="0"/>
    <cellStyle name="표준 5 8 9" xfId="0"/>
    <cellStyle name="표준 5 9" xfId="0"/>
    <cellStyle name="표준 5 9 10" xfId="0"/>
    <cellStyle name="표준 5 9 11" xfId="0"/>
    <cellStyle name="표준 5 9 2" xfId="0"/>
    <cellStyle name="표준 5 9 3" xfId="0"/>
    <cellStyle name="표준 5 9 4" xfId="0"/>
    <cellStyle name="표준 5 9 5" xfId="0"/>
    <cellStyle name="표준 5 9 6" xfId="0"/>
    <cellStyle name="표준 5 9 7" xfId="0"/>
    <cellStyle name="표준 5 9 8" xfId="0"/>
    <cellStyle name="표준 5 9 9" xfId="0"/>
    <cellStyle name="표준 50" xfId="0"/>
    <cellStyle name="표준 50 10" xfId="0"/>
    <cellStyle name="표준 50 11" xfId="0"/>
    <cellStyle name="표준 50 12" xfId="0"/>
    <cellStyle name="표준 50 13" xfId="0"/>
    <cellStyle name="표준 50 14" xfId="0"/>
    <cellStyle name="표준 50 15" xfId="0"/>
    <cellStyle name="표준 50 16" xfId="0"/>
    <cellStyle name="표준 50 2" xfId="0"/>
    <cellStyle name="표준 50 2 10" xfId="0"/>
    <cellStyle name="표준 50 2 11" xfId="0"/>
    <cellStyle name="표준 50 2 2" xfId="0"/>
    <cellStyle name="표준 50 2 3" xfId="0"/>
    <cellStyle name="표준 50 2 4" xfId="0"/>
    <cellStyle name="표준 50 2 5" xfId="0"/>
    <cellStyle name="표준 50 2 6" xfId="0"/>
    <cellStyle name="표준 50 2 7" xfId="0"/>
    <cellStyle name="표준 50 2 8" xfId="0"/>
    <cellStyle name="표준 50 2 9" xfId="0"/>
    <cellStyle name="표준 50 3" xfId="0"/>
    <cellStyle name="표준 50 3 10" xfId="0"/>
    <cellStyle name="표준 50 3 11" xfId="0"/>
    <cellStyle name="표준 50 3 2" xfId="0"/>
    <cellStyle name="표준 50 3 3" xfId="0"/>
    <cellStyle name="표준 50 3 4" xfId="0"/>
    <cellStyle name="표준 50 3 5" xfId="0"/>
    <cellStyle name="표준 50 3 6" xfId="0"/>
    <cellStyle name="표준 50 3 7" xfId="0"/>
    <cellStyle name="표준 50 3 8" xfId="0"/>
    <cellStyle name="표준 50 3 9" xfId="0"/>
    <cellStyle name="표준 50 4" xfId="0"/>
    <cellStyle name="표준 50 4 10" xfId="0"/>
    <cellStyle name="표준 50 4 11" xfId="0"/>
    <cellStyle name="표준 50 4 2" xfId="0"/>
    <cellStyle name="표준 50 4 3" xfId="0"/>
    <cellStyle name="표준 50 4 4" xfId="0"/>
    <cellStyle name="표준 50 4 5" xfId="0"/>
    <cellStyle name="표준 50 4 6" xfId="0"/>
    <cellStyle name="표준 50 4 7" xfId="0"/>
    <cellStyle name="표준 50 4 8" xfId="0"/>
    <cellStyle name="표준 50 4 9" xfId="0"/>
    <cellStyle name="표준 50 5" xfId="0"/>
    <cellStyle name="표준 50 5 2" xfId="0"/>
    <cellStyle name="표준 50 6" xfId="0"/>
    <cellStyle name="표준 50 6 2" xfId="0"/>
    <cellStyle name="표준 50 7" xfId="0"/>
    <cellStyle name="표준 50 8" xfId="0"/>
    <cellStyle name="표준 50 9" xfId="0"/>
    <cellStyle name="표준 500" xfId="0"/>
    <cellStyle name="표준 500 2" xfId="0"/>
    <cellStyle name="표준 500 2 2" xfId="0"/>
    <cellStyle name="표준 500 3" xfId="0"/>
    <cellStyle name="표준 501" xfId="0"/>
    <cellStyle name="표준 501 2" xfId="0"/>
    <cellStyle name="표준 501 2 2" xfId="0"/>
    <cellStyle name="표준 501 3" xfId="0"/>
    <cellStyle name="표준 502" xfId="0"/>
    <cellStyle name="표준 502 2" xfId="0"/>
    <cellStyle name="표준 502 2 2" xfId="0"/>
    <cellStyle name="표준 502 3" xfId="0"/>
    <cellStyle name="표준 503" xfId="0"/>
    <cellStyle name="표준 503 2" xfId="0"/>
    <cellStyle name="표준 503 2 2" xfId="0"/>
    <cellStyle name="표준 503 3" xfId="0"/>
    <cellStyle name="표준 504" xfId="0"/>
    <cellStyle name="표준 504 2" xfId="0"/>
    <cellStyle name="표준 504 2 2" xfId="0"/>
    <cellStyle name="표준 504 3" xfId="0"/>
    <cellStyle name="표준 505" xfId="0"/>
    <cellStyle name="표준 505 2" xfId="0"/>
    <cellStyle name="표준 505 2 2" xfId="0"/>
    <cellStyle name="표준 505 3" xfId="0"/>
    <cellStyle name="표준 506" xfId="0"/>
    <cellStyle name="표준 506 2" xfId="0"/>
    <cellStyle name="표준 506 2 2" xfId="0"/>
    <cellStyle name="표준 506 3" xfId="0"/>
    <cellStyle name="표준 507" xfId="0"/>
    <cellStyle name="표준 507 2" xfId="0"/>
    <cellStyle name="표준 507 2 2" xfId="0"/>
    <cellStyle name="표준 507 3" xfId="0"/>
    <cellStyle name="표준 508" xfId="0"/>
    <cellStyle name="표준 508 2" xfId="0"/>
    <cellStyle name="표준 508 2 2" xfId="0"/>
    <cellStyle name="표준 508 3" xfId="0"/>
    <cellStyle name="표준 509" xfId="0"/>
    <cellStyle name="표준 509 2" xfId="0"/>
    <cellStyle name="표준 509 2 2" xfId="0"/>
    <cellStyle name="표준 509 3" xfId="0"/>
    <cellStyle name="표준 51" xfId="0"/>
    <cellStyle name="표준 51 10" xfId="0"/>
    <cellStyle name="표준 51 11" xfId="0"/>
    <cellStyle name="표준 51 12" xfId="0"/>
    <cellStyle name="표준 51 13" xfId="0"/>
    <cellStyle name="표준 51 14" xfId="0"/>
    <cellStyle name="표준 51 15" xfId="0"/>
    <cellStyle name="표준 51 16" xfId="0"/>
    <cellStyle name="표준 51 2" xfId="0"/>
    <cellStyle name="표준 51 2 2" xfId="0"/>
    <cellStyle name="표준 51 3" xfId="0"/>
    <cellStyle name="표준 51 3 2" xfId="0"/>
    <cellStyle name="표준 51 4" xfId="0"/>
    <cellStyle name="표준 51 4 2" xfId="0"/>
    <cellStyle name="표준 51 5" xfId="0"/>
    <cellStyle name="표준 51 5 2" xfId="0"/>
    <cellStyle name="표준 51 6" xfId="0"/>
    <cellStyle name="표준 51 6 2" xfId="0"/>
    <cellStyle name="표준 51 7" xfId="0"/>
    <cellStyle name="표준 51 8" xfId="0"/>
    <cellStyle name="표준 51 9" xfId="0"/>
    <cellStyle name="표준 510" xfId="0"/>
    <cellStyle name="표준 510 2" xfId="0"/>
    <cellStyle name="표준 510 2 2" xfId="0"/>
    <cellStyle name="표준 510 3" xfId="0"/>
    <cellStyle name="표준 511" xfId="0"/>
    <cellStyle name="표준 511 2" xfId="0"/>
    <cellStyle name="표준 511 2 2" xfId="0"/>
    <cellStyle name="표준 511 3" xfId="0"/>
    <cellStyle name="표준 512" xfId="0"/>
    <cellStyle name="표준 512 2" xfId="0"/>
    <cellStyle name="표준 512 2 2" xfId="0"/>
    <cellStyle name="표준 512 3" xfId="0"/>
    <cellStyle name="표준 513" xfId="0"/>
    <cellStyle name="표준 513 2" xfId="0"/>
    <cellStyle name="표준 513 2 2" xfId="0"/>
    <cellStyle name="표준 513 3" xfId="0"/>
    <cellStyle name="표준 514" xfId="0"/>
    <cellStyle name="표준 514 2" xfId="0"/>
    <cellStyle name="표준 514 2 2" xfId="0"/>
    <cellStyle name="표준 514 3" xfId="0"/>
    <cellStyle name="표준 515" xfId="0"/>
    <cellStyle name="표준 515 2" xfId="0"/>
    <cellStyle name="표준 515 2 2" xfId="0"/>
    <cellStyle name="표준 515 3" xfId="0"/>
    <cellStyle name="표준 516" xfId="0"/>
    <cellStyle name="표준 516 2" xfId="0"/>
    <cellStyle name="표준 516 2 2" xfId="0"/>
    <cellStyle name="표준 516 3" xfId="0"/>
    <cellStyle name="표준 517" xfId="0"/>
    <cellStyle name="표준 517 2" xfId="0"/>
    <cellStyle name="표준 517 2 2" xfId="0"/>
    <cellStyle name="표준 517 3" xfId="0"/>
    <cellStyle name="표준 518" xfId="0"/>
    <cellStyle name="표준 518 2" xfId="0"/>
    <cellStyle name="표준 518 2 2" xfId="0"/>
    <cellStyle name="표준 518 3" xfId="0"/>
    <cellStyle name="표준 519" xfId="0"/>
    <cellStyle name="표준 519 2" xfId="0"/>
    <cellStyle name="표준 519 2 2" xfId="0"/>
    <cellStyle name="표준 519 3" xfId="0"/>
    <cellStyle name="표준 52" xfId="0"/>
    <cellStyle name="표준 52 10" xfId="0"/>
    <cellStyle name="표준 52 11" xfId="0"/>
    <cellStyle name="표준 52 12" xfId="0"/>
    <cellStyle name="표준 52 13" xfId="0"/>
    <cellStyle name="표준 52 14" xfId="0"/>
    <cellStyle name="표준 52 15" xfId="0"/>
    <cellStyle name="표준 52 16" xfId="0"/>
    <cellStyle name="표준 52 2" xfId="0"/>
    <cellStyle name="표준 52 2 2" xfId="0"/>
    <cellStyle name="표준 52 3" xfId="0"/>
    <cellStyle name="표준 52 3 2" xfId="0"/>
    <cellStyle name="표준 52 4" xfId="0"/>
    <cellStyle name="표준 52 4 2" xfId="0"/>
    <cellStyle name="표준 52 5" xfId="0"/>
    <cellStyle name="표준 52 5 2" xfId="0"/>
    <cellStyle name="표준 52 6" xfId="0"/>
    <cellStyle name="표준 52 6 2" xfId="0"/>
    <cellStyle name="표준 52 7" xfId="0"/>
    <cellStyle name="표준 52 8" xfId="0"/>
    <cellStyle name="표준 52 9" xfId="0"/>
    <cellStyle name="표준 520" xfId="0"/>
    <cellStyle name="표준 520 2" xfId="0"/>
    <cellStyle name="표준 520 2 2" xfId="0"/>
    <cellStyle name="표준 520 3" xfId="0"/>
    <cellStyle name="표준 521" xfId="0"/>
    <cellStyle name="표준 521 2" xfId="0"/>
    <cellStyle name="표준 521 2 2" xfId="0"/>
    <cellStyle name="표준 521 3" xfId="0"/>
    <cellStyle name="표준 522" xfId="0"/>
    <cellStyle name="표준 522 2" xfId="0"/>
    <cellStyle name="표준 522 2 2" xfId="0"/>
    <cellStyle name="표준 522 3" xfId="0"/>
    <cellStyle name="표준 523" xfId="0"/>
    <cellStyle name="표준 523 2" xfId="0"/>
    <cellStyle name="표준 523 2 2" xfId="0"/>
    <cellStyle name="표준 523 3" xfId="0"/>
    <cellStyle name="표준 524" xfId="0"/>
    <cellStyle name="표준 524 2" xfId="0"/>
    <cellStyle name="표준 524 2 2" xfId="0"/>
    <cellStyle name="표준 524 3" xfId="0"/>
    <cellStyle name="표준 525" xfId="0"/>
    <cellStyle name="표준 525 2" xfId="0"/>
    <cellStyle name="표준 525 2 2" xfId="0"/>
    <cellStyle name="표준 525 3" xfId="0"/>
    <cellStyle name="표준 526" xfId="0"/>
    <cellStyle name="표준 526 2" xfId="0"/>
    <cellStyle name="표준 526 2 2" xfId="0"/>
    <cellStyle name="표준 526 3" xfId="0"/>
    <cellStyle name="표준 527" xfId="0"/>
    <cellStyle name="표준 527 2" xfId="0"/>
    <cellStyle name="표준 527 2 2" xfId="0"/>
    <cellStyle name="표준 527 3" xfId="0"/>
    <cellStyle name="표준 528" xfId="0"/>
    <cellStyle name="표준 528 2" xfId="0"/>
    <cellStyle name="표준 528 2 2" xfId="0"/>
    <cellStyle name="표준 528 3" xfId="0"/>
    <cellStyle name="표준 529" xfId="0"/>
    <cellStyle name="표준 529 2" xfId="0"/>
    <cellStyle name="표준 529 2 2" xfId="0"/>
    <cellStyle name="표준 529 3" xfId="0"/>
    <cellStyle name="표준 53" xfId="0"/>
    <cellStyle name="표준 53 2" xfId="0"/>
    <cellStyle name="표준 53 3" xfId="0"/>
    <cellStyle name="표준 530" xfId="0"/>
    <cellStyle name="표준 530 2" xfId="0"/>
    <cellStyle name="표준 530 2 2" xfId="0"/>
    <cellStyle name="표준 530 3" xfId="0"/>
    <cellStyle name="표준 531" xfId="0"/>
    <cellStyle name="표준 531 2" xfId="0"/>
    <cellStyle name="표준 531 2 2" xfId="0"/>
    <cellStyle name="표준 531 3" xfId="0"/>
    <cellStyle name="표준 532" xfId="0"/>
    <cellStyle name="표준 532 2" xfId="0"/>
    <cellStyle name="표준 532 2 2" xfId="0"/>
    <cellStyle name="표준 532 3" xfId="0"/>
    <cellStyle name="표준 533" xfId="0"/>
    <cellStyle name="표준 533 2" xfId="0"/>
    <cellStyle name="표준 533 2 2" xfId="0"/>
    <cellStyle name="표준 533 3" xfId="0"/>
    <cellStyle name="표준 534" xfId="0"/>
    <cellStyle name="표준 534 2" xfId="0"/>
    <cellStyle name="표준 534 2 2" xfId="0"/>
    <cellStyle name="표준 534 3" xfId="0"/>
    <cellStyle name="표준 535" xfId="0"/>
    <cellStyle name="표준 535 2" xfId="0"/>
    <cellStyle name="표준 535 2 2" xfId="0"/>
    <cellStyle name="표준 535 3" xfId="0"/>
    <cellStyle name="표준 536" xfId="0"/>
    <cellStyle name="표준 536 2" xfId="0"/>
    <cellStyle name="표준 536 2 2" xfId="0"/>
    <cellStyle name="표준 536 3" xfId="0"/>
    <cellStyle name="표준 537" xfId="0"/>
    <cellStyle name="표준 537 2" xfId="0"/>
    <cellStyle name="표준 537 2 2" xfId="0"/>
    <cellStyle name="표준 537 3" xfId="0"/>
    <cellStyle name="표준 538" xfId="0"/>
    <cellStyle name="표준 538 2" xfId="0"/>
    <cellStyle name="표준 538 2 2" xfId="0"/>
    <cellStyle name="표준 538 3" xfId="0"/>
    <cellStyle name="표준 539" xfId="0"/>
    <cellStyle name="표준 539 2" xfId="0"/>
    <cellStyle name="표준 539 2 2" xfId="0"/>
    <cellStyle name="표준 539 3" xfId="0"/>
    <cellStyle name="표준 54" xfId="0"/>
    <cellStyle name="표준 54 2" xfId="0"/>
    <cellStyle name="표준 54 3" xfId="0"/>
    <cellStyle name="표준 540" xfId="0"/>
    <cellStyle name="표준 540 2" xfId="0"/>
    <cellStyle name="표준 540 2 2" xfId="0"/>
    <cellStyle name="표준 540 3" xfId="0"/>
    <cellStyle name="표준 541" xfId="0"/>
    <cellStyle name="표준 541 2" xfId="0"/>
    <cellStyle name="표준 541 2 2" xfId="0"/>
    <cellStyle name="표준 541 3" xfId="0"/>
    <cellStyle name="표준 542" xfId="0"/>
    <cellStyle name="표준 542 2" xfId="0"/>
    <cellStyle name="표준 542 2 2" xfId="0"/>
    <cellStyle name="표준 542 3" xfId="0"/>
    <cellStyle name="표준 543" xfId="0"/>
    <cellStyle name="표준 543 2" xfId="0"/>
    <cellStyle name="표준 543 2 2" xfId="0"/>
    <cellStyle name="표준 543 3" xfId="0"/>
    <cellStyle name="표준 544" xfId="0"/>
    <cellStyle name="표준 544 2" xfId="0"/>
    <cellStyle name="표준 544 2 2" xfId="0"/>
    <cellStyle name="표준 544 3" xfId="0"/>
    <cellStyle name="표준 545" xfId="0"/>
    <cellStyle name="표준 545 2" xfId="0"/>
    <cellStyle name="표준 545 2 2" xfId="0"/>
    <cellStyle name="표준 545 3" xfId="0"/>
    <cellStyle name="표준 546" xfId="0"/>
    <cellStyle name="표준 546 2" xfId="0"/>
    <cellStyle name="표준 546 2 2" xfId="0"/>
    <cellStyle name="표준 546 3" xfId="0"/>
    <cellStyle name="표준 547" xfId="0"/>
    <cellStyle name="표준 547 2" xfId="0"/>
    <cellStyle name="표준 547 2 2" xfId="0"/>
    <cellStyle name="표준 547 3" xfId="0"/>
    <cellStyle name="표준 548" xfId="0"/>
    <cellStyle name="표준 548 2" xfId="0"/>
    <cellStyle name="표준 548 2 2" xfId="0"/>
    <cellStyle name="표준 548 3" xfId="0"/>
    <cellStyle name="표준 549" xfId="0"/>
    <cellStyle name="표준 549 2" xfId="0"/>
    <cellStyle name="표준 549 2 2" xfId="0"/>
    <cellStyle name="표준 549 3" xfId="0"/>
    <cellStyle name="표준 55" xfId="0"/>
    <cellStyle name="표준 55 2" xfId="0"/>
    <cellStyle name="표준 55 3" xfId="0"/>
    <cellStyle name="표준 550" xfId="0"/>
    <cellStyle name="표준 550 2" xfId="0"/>
    <cellStyle name="표준 550 2 2" xfId="0"/>
    <cellStyle name="표준 550 3" xfId="0"/>
    <cellStyle name="표준 551" xfId="0"/>
    <cellStyle name="표준 551 2" xfId="0"/>
    <cellStyle name="표준 551 2 2" xfId="0"/>
    <cellStyle name="표준 551 3" xfId="0"/>
    <cellStyle name="표준 552" xfId="0"/>
    <cellStyle name="표준 552 2" xfId="0"/>
    <cellStyle name="표준 552 2 2" xfId="0"/>
    <cellStyle name="표준 552 3" xfId="0"/>
    <cellStyle name="표준 553" xfId="0"/>
    <cellStyle name="표준 553 2" xfId="0"/>
    <cellStyle name="표준 553 2 2" xfId="0"/>
    <cellStyle name="표준 553 3" xfId="0"/>
    <cellStyle name="표준 554" xfId="0"/>
    <cellStyle name="표준 554 2" xfId="0"/>
    <cellStyle name="표준 554 2 2" xfId="0"/>
    <cellStyle name="표준 554 3" xfId="0"/>
    <cellStyle name="표준 555" xfId="0"/>
    <cellStyle name="표준 555 2" xfId="0"/>
    <cellStyle name="표준 555 2 2" xfId="0"/>
    <cellStyle name="표준 555 3" xfId="0"/>
    <cellStyle name="표준 556" xfId="0"/>
    <cellStyle name="표준 556 2" xfId="0"/>
    <cellStyle name="표준 556 2 2" xfId="0"/>
    <cellStyle name="표준 556 3" xfId="0"/>
    <cellStyle name="표준 557" xfId="0"/>
    <cellStyle name="표준 557 2" xfId="0"/>
    <cellStyle name="표준 557 2 2" xfId="0"/>
    <cellStyle name="표준 557 3" xfId="0"/>
    <cellStyle name="표준 558" xfId="0"/>
    <cellStyle name="표준 558 2" xfId="0"/>
    <cellStyle name="표준 558 2 2" xfId="0"/>
    <cellStyle name="표준 558 3" xfId="0"/>
    <cellStyle name="표준 559" xfId="0"/>
    <cellStyle name="표준 559 2" xfId="0"/>
    <cellStyle name="표준 559 2 2" xfId="0"/>
    <cellStyle name="표준 559 3" xfId="0"/>
    <cellStyle name="표준 56" xfId="0"/>
    <cellStyle name="표준 56 2" xfId="0"/>
    <cellStyle name="표준 560" xfId="0"/>
    <cellStyle name="표준 560 2" xfId="0"/>
    <cellStyle name="표준 560 2 2" xfId="0"/>
    <cellStyle name="표준 560 2 2 2" xfId="0"/>
    <cellStyle name="표준 560 2 3" xfId="0"/>
    <cellStyle name="표준 560 3" xfId="0"/>
    <cellStyle name="표준 560 3 2" xfId="0"/>
    <cellStyle name="표준 560 4" xfId="0"/>
    <cellStyle name="표준 561" xfId="0"/>
    <cellStyle name="표준 561 2" xfId="0"/>
    <cellStyle name="표준 561 2 2" xfId="0"/>
    <cellStyle name="표준 561 3" xfId="0"/>
    <cellStyle name="표준 562" xfId="0"/>
    <cellStyle name="표준 562 2" xfId="0"/>
    <cellStyle name="표준 562 2 2" xfId="0"/>
    <cellStyle name="표준 562 3" xfId="0"/>
    <cellStyle name="표준 563" xfId="0"/>
    <cellStyle name="표준 563 2" xfId="0"/>
    <cellStyle name="표준 563 2 2" xfId="0"/>
    <cellStyle name="표준 563 3" xfId="0"/>
    <cellStyle name="표준 564" xfId="0"/>
    <cellStyle name="표준 564 2" xfId="0"/>
    <cellStyle name="표준 564 2 2" xfId="0"/>
    <cellStyle name="표준 564 3" xfId="0"/>
    <cellStyle name="표준 565" xfId="0"/>
    <cellStyle name="표준 565 2" xfId="0"/>
    <cellStyle name="표준 565 2 2" xfId="0"/>
    <cellStyle name="표준 565 3" xfId="0"/>
    <cellStyle name="표준 566" xfId="0"/>
    <cellStyle name="표준 566 2" xfId="0"/>
    <cellStyle name="표준 566 2 2" xfId="0"/>
    <cellStyle name="표준 566 3" xfId="0"/>
    <cellStyle name="표준 567" xfId="0"/>
    <cellStyle name="표준 567 2" xfId="0"/>
    <cellStyle name="표준 567 2 2" xfId="0"/>
    <cellStyle name="표준 567 3" xfId="0"/>
    <cellStyle name="표준 568" xfId="0"/>
    <cellStyle name="표준 568 2" xfId="0"/>
    <cellStyle name="표준 568 2 2" xfId="0"/>
    <cellStyle name="표준 568 3" xfId="0"/>
    <cellStyle name="표준 569" xfId="0"/>
    <cellStyle name="표준 569 2" xfId="0"/>
    <cellStyle name="표준 569 2 2" xfId="0"/>
    <cellStyle name="표준 569 3" xfId="0"/>
    <cellStyle name="표준 57" xfId="0"/>
    <cellStyle name="표준 57 2" xfId="0"/>
    <cellStyle name="표준 570" xfId="0"/>
    <cellStyle name="표준 570 2" xfId="0"/>
    <cellStyle name="표준 570 2 2" xfId="0"/>
    <cellStyle name="표준 570 3" xfId="0"/>
    <cellStyle name="표준 571" xfId="0"/>
    <cellStyle name="표준 571 2" xfId="0"/>
    <cellStyle name="표준 571 2 2" xfId="0"/>
    <cellStyle name="표준 571 3" xfId="0"/>
    <cellStyle name="표준 572" xfId="0"/>
    <cellStyle name="표준 572 2" xfId="0"/>
    <cellStyle name="표준 572 2 2" xfId="0"/>
    <cellStyle name="표준 572 3" xfId="0"/>
    <cellStyle name="표준 573" xfId="0"/>
    <cellStyle name="표준 573 2" xfId="0"/>
    <cellStyle name="표준 573 2 2" xfId="0"/>
    <cellStyle name="표준 573 3" xfId="0"/>
    <cellStyle name="표준 574" xfId="0"/>
    <cellStyle name="표준 574 2" xfId="0"/>
    <cellStyle name="표준 574 2 2" xfId="0"/>
    <cellStyle name="표준 574 3" xfId="0"/>
    <cellStyle name="표준 575" xfId="0"/>
    <cellStyle name="표준 575 2" xfId="0"/>
    <cellStyle name="표준 575 2 2" xfId="0"/>
    <cellStyle name="표준 575 3" xfId="0"/>
    <cellStyle name="표준 576" xfId="0"/>
    <cellStyle name="표준 576 2" xfId="0"/>
    <cellStyle name="표준 576 2 2" xfId="0"/>
    <cellStyle name="표준 576 3" xfId="0"/>
    <cellStyle name="표준 577" xfId="0"/>
    <cellStyle name="표준 577 2" xfId="0"/>
    <cellStyle name="표준 577 2 2" xfId="0"/>
    <cellStyle name="표준 577 3" xfId="0"/>
    <cellStyle name="표준 578" xfId="0"/>
    <cellStyle name="표준 578 2" xfId="0"/>
    <cellStyle name="표준 578 2 2" xfId="0"/>
    <cellStyle name="표준 578 3" xfId="0"/>
    <cellStyle name="표준 579" xfId="0"/>
    <cellStyle name="표준 579 2" xfId="0"/>
    <cellStyle name="표준 579 2 2" xfId="0"/>
    <cellStyle name="표준 579 3" xfId="0"/>
    <cellStyle name="표준 58" xfId="0"/>
    <cellStyle name="표준 58 2" xfId="0"/>
    <cellStyle name="표준 58 3" xfId="0"/>
    <cellStyle name="표준 580" xfId="0"/>
    <cellStyle name="표준 580 2" xfId="0"/>
    <cellStyle name="표준 580 2 2" xfId="0"/>
    <cellStyle name="표준 580 3" xfId="0"/>
    <cellStyle name="표준 581" xfId="0"/>
    <cellStyle name="표준 581 2" xfId="0"/>
    <cellStyle name="표준 581 2 2" xfId="0"/>
    <cellStyle name="표준 581 3" xfId="0"/>
    <cellStyle name="표준 582" xfId="0"/>
    <cellStyle name="표준 582 2" xfId="0"/>
    <cellStyle name="표준 582 2 2" xfId="0"/>
    <cellStyle name="표준 582 3" xfId="0"/>
    <cellStyle name="표준 583" xfId="0"/>
    <cellStyle name="표준 583 2" xfId="0"/>
    <cellStyle name="표준 583 2 2" xfId="0"/>
    <cellStyle name="표준 583 3" xfId="0"/>
    <cellStyle name="표준 584" xfId="0"/>
    <cellStyle name="표준 584 2" xfId="0"/>
    <cellStyle name="표준 584 2 2" xfId="0"/>
    <cellStyle name="표준 584 3" xfId="0"/>
    <cellStyle name="표준 585" xfId="0"/>
    <cellStyle name="표준 585 2" xfId="0"/>
    <cellStyle name="표준 585 2 2" xfId="0"/>
    <cellStyle name="표준 585 3" xfId="0"/>
    <cellStyle name="표준 586" xfId="0"/>
    <cellStyle name="표준 586 2" xfId="0"/>
    <cellStyle name="표준 586 2 2" xfId="0"/>
    <cellStyle name="표준 586 3" xfId="0"/>
    <cellStyle name="표준 587" xfId="0"/>
    <cellStyle name="표준 587 2" xfId="0"/>
    <cellStyle name="표준 587 2 2" xfId="0"/>
    <cellStyle name="표준 587 3" xfId="0"/>
    <cellStyle name="표준 588" xfId="0"/>
    <cellStyle name="표준 588 2" xfId="0"/>
    <cellStyle name="표준 588 2 2" xfId="0"/>
    <cellStyle name="표준 588 3" xfId="0"/>
    <cellStyle name="표준 589" xfId="0"/>
    <cellStyle name="표준 589 2" xfId="0"/>
    <cellStyle name="표준 589 2 2" xfId="0"/>
    <cellStyle name="표준 589 3" xfId="0"/>
    <cellStyle name="표준 59" xfId="0"/>
    <cellStyle name="표준 59 2" xfId="0"/>
    <cellStyle name="표준 590" xfId="0"/>
    <cellStyle name="표준 590 2" xfId="0"/>
    <cellStyle name="표준 590 2 2" xfId="0"/>
    <cellStyle name="표준 590 3" xfId="0"/>
    <cellStyle name="표준 591" xfId="0"/>
    <cellStyle name="표준 591 2" xfId="0"/>
    <cellStyle name="표준 591 2 2" xfId="0"/>
    <cellStyle name="표준 591 3" xfId="0"/>
    <cellStyle name="표준 592" xfId="0"/>
    <cellStyle name="표준 592 2" xfId="0"/>
    <cellStyle name="표준 592 2 2" xfId="0"/>
    <cellStyle name="표준 592 3" xfId="0"/>
    <cellStyle name="표준 593" xfId="0"/>
    <cellStyle name="표준 593 2" xfId="0"/>
    <cellStyle name="표준 593 2 2" xfId="0"/>
    <cellStyle name="표준 593 3" xfId="0"/>
    <cellStyle name="표준 594" xfId="0"/>
    <cellStyle name="표준 594 2" xfId="0"/>
    <cellStyle name="표준 594 2 2" xfId="0"/>
    <cellStyle name="표준 594 3" xfId="0"/>
    <cellStyle name="표준 595" xfId="0"/>
    <cellStyle name="표준 595 2" xfId="0"/>
    <cellStyle name="표준 595 2 2" xfId="0"/>
    <cellStyle name="표준 595 3" xfId="0"/>
    <cellStyle name="표준 596" xfId="0"/>
    <cellStyle name="표준 596 2" xfId="0"/>
    <cellStyle name="표준 596 2 2" xfId="0"/>
    <cellStyle name="표준 596 3" xfId="0"/>
    <cellStyle name="표준 597" xfId="0"/>
    <cellStyle name="표준 597 2" xfId="0"/>
    <cellStyle name="표준 597 2 2" xfId="0"/>
    <cellStyle name="표준 597 3" xfId="0"/>
    <cellStyle name="표준 598" xfId="0"/>
    <cellStyle name="표준 598 2" xfId="0"/>
    <cellStyle name="표준 598 2 2" xfId="0"/>
    <cellStyle name="표준 598 3" xfId="0"/>
    <cellStyle name="표준 599" xfId="0"/>
    <cellStyle name="표준 599 2" xfId="0"/>
    <cellStyle name="표준 599 2 2" xfId="0"/>
    <cellStyle name="표준 599 3" xfId="0"/>
    <cellStyle name="표준 5_@2009 BSPL(10월)_최종본" xfId="0"/>
    <cellStyle name="표준 6" xfId="0"/>
    <cellStyle name="표준 6 10" xfId="0"/>
    <cellStyle name="표준 6 10 2" xfId="0"/>
    <cellStyle name="표준 6 10 3" xfId="0"/>
    <cellStyle name="표준 6 10 4" xfId="0"/>
    <cellStyle name="표준 6 10 5" xfId="0"/>
    <cellStyle name="표준 6 10 6" xfId="0"/>
    <cellStyle name="표준 6 11" xfId="0"/>
    <cellStyle name="표준 6 11 2" xfId="0"/>
    <cellStyle name="표준 6 11 3" xfId="0"/>
    <cellStyle name="표준 6 11 4" xfId="0"/>
    <cellStyle name="표준 6 11 5" xfId="0"/>
    <cellStyle name="표준 6 11 6" xfId="0"/>
    <cellStyle name="표준 6 12" xfId="0"/>
    <cellStyle name="표준 6 12 2" xfId="0"/>
    <cellStyle name="표준 6 12 3" xfId="0"/>
    <cellStyle name="표준 6 12 4" xfId="0"/>
    <cellStyle name="표준 6 12 5" xfId="0"/>
    <cellStyle name="표준 6 12 6" xfId="0"/>
    <cellStyle name="표준 6 13" xfId="0"/>
    <cellStyle name="표준 6 13 2" xfId="0"/>
    <cellStyle name="표준 6 13 3" xfId="0"/>
    <cellStyle name="표준 6 14" xfId="0"/>
    <cellStyle name="표준 6 14 2" xfId="0"/>
    <cellStyle name="표준 6 14 3" xfId="0"/>
    <cellStyle name="표준 6 15" xfId="0"/>
    <cellStyle name="표준 6 15 2" xfId="0"/>
    <cellStyle name="표준 6 16" xfId="0"/>
    <cellStyle name="표준 6 17" xfId="0"/>
    <cellStyle name="표준 6 18" xfId="0"/>
    <cellStyle name="표준 6 19" xfId="0"/>
    <cellStyle name="표준 6 2" xfId="0"/>
    <cellStyle name="표준 6 2 10" xfId="0"/>
    <cellStyle name="표준 6 2 11" xfId="0"/>
    <cellStyle name="표준 6 2 12" xfId="0"/>
    <cellStyle name="표준 6 2 13" xfId="0"/>
    <cellStyle name="표준 6 2 14" xfId="0"/>
    <cellStyle name="표준 6 2 15" xfId="0"/>
    <cellStyle name="표준 6 2 16" xfId="0"/>
    <cellStyle name="표준 6 2 17" xfId="0"/>
    <cellStyle name="표준 6 2 18" xfId="0"/>
    <cellStyle name="표준 6 2 19" xfId="0"/>
    <cellStyle name="표준 6 2 2" xfId="0"/>
    <cellStyle name="표준 6 2 2 10" xfId="0"/>
    <cellStyle name="표준 6 2 2 11" xfId="0"/>
    <cellStyle name="표준 6 2 2 12" xfId="0"/>
    <cellStyle name="표준 6 2 2 13" xfId="0"/>
    <cellStyle name="표준 6 2 2 14" xfId="0"/>
    <cellStyle name="표준 6 2 2 15" xfId="0"/>
    <cellStyle name="표준 6 2 2 16" xfId="0"/>
    <cellStyle name="표준 6 2 2 17" xfId="0"/>
    <cellStyle name="표준 6 2 2 18" xfId="0"/>
    <cellStyle name="표준 6 2 2 19" xfId="0"/>
    <cellStyle name="표준 6 2 2 2" xfId="0"/>
    <cellStyle name="표준 6 2 2 2 10" xfId="0"/>
    <cellStyle name="표준 6 2 2 2 11" xfId="0"/>
    <cellStyle name="표준 6 2 2 2 12" xfId="0"/>
    <cellStyle name="표준 6 2 2 2 13" xfId="0"/>
    <cellStyle name="표준 6 2 2 2 14" xfId="0"/>
    <cellStyle name="표준 6 2 2 2 15" xfId="0"/>
    <cellStyle name="표준 6 2 2 2 16" xfId="0"/>
    <cellStyle name="표준 6 2 2 2 2" xfId="0"/>
    <cellStyle name="표준 6 2 2 2 2 10" xfId="0"/>
    <cellStyle name="표준 6 2 2 2 2 11" xfId="0"/>
    <cellStyle name="표준 6 2 2 2 2 12" xfId="0"/>
    <cellStyle name="표준 6 2 2 2 2 13" xfId="0"/>
    <cellStyle name="표준 6 2 2 2 2 14" xfId="0"/>
    <cellStyle name="표준 6 2 2 2 2 15" xfId="0"/>
    <cellStyle name="표준 6 2 2 2 2 16" xfId="0"/>
    <cellStyle name="표준 6 2 2 2 2 2" xfId="0"/>
    <cellStyle name="표준 6 2 2 2 2 2 2" xfId="0"/>
    <cellStyle name="표준 6 2 2 2 2 3" xfId="0"/>
    <cellStyle name="표준 6 2 2 2 2 3 2" xfId="0"/>
    <cellStyle name="표준 6 2 2 2 2 4" xfId="0"/>
    <cellStyle name="표준 6 2 2 2 2 4 2" xfId="0"/>
    <cellStyle name="표준 6 2 2 2 2 5" xfId="0"/>
    <cellStyle name="표준 6 2 2 2 2 5 2" xfId="0"/>
    <cellStyle name="표준 6 2 2 2 2 6" xfId="0"/>
    <cellStyle name="표준 6 2 2 2 2 6 2" xfId="0"/>
    <cellStyle name="표준 6 2 2 2 2 7" xfId="0"/>
    <cellStyle name="표준 6 2 2 2 2 8" xfId="0"/>
    <cellStyle name="표준 6 2 2 2 2 9" xfId="0"/>
    <cellStyle name="표준 6 2 2 2 3" xfId="0"/>
    <cellStyle name="표준 6 2 2 2 4" xfId="0"/>
    <cellStyle name="표준 6 2 2 2 5" xfId="0"/>
    <cellStyle name="표준 6 2 2 2 6" xfId="0"/>
    <cellStyle name="표준 6 2 2 2 7" xfId="0"/>
    <cellStyle name="표준 6 2 2 2 8" xfId="0"/>
    <cellStyle name="표준 6 2 2 2 9" xfId="0"/>
    <cellStyle name="표준 6 2 2 20" xfId="0"/>
    <cellStyle name="표준 6 2 2 3" xfId="0"/>
    <cellStyle name="표준 6 2 2 3 10" xfId="0"/>
    <cellStyle name="표준 6 2 2 3 2" xfId="0"/>
    <cellStyle name="표준 6 2 2 3 3" xfId="0"/>
    <cellStyle name="표준 6 2 2 3 4" xfId="0"/>
    <cellStyle name="표준 6 2 2 3 5" xfId="0"/>
    <cellStyle name="표준 6 2 2 3 6" xfId="0"/>
    <cellStyle name="표준 6 2 2 3 7" xfId="0"/>
    <cellStyle name="표준 6 2 2 3 8" xfId="0"/>
    <cellStyle name="표준 6 2 2 3 9" xfId="0"/>
    <cellStyle name="표준 6 2 2 4" xfId="0"/>
    <cellStyle name="표준 6 2 2 4 10" xfId="0"/>
    <cellStyle name="표준 6 2 2 4 2" xfId="0"/>
    <cellStyle name="표준 6 2 2 4 3" xfId="0"/>
    <cellStyle name="표준 6 2 2 4 4" xfId="0"/>
    <cellStyle name="표준 6 2 2 4 5" xfId="0"/>
    <cellStyle name="표준 6 2 2 4 6" xfId="0"/>
    <cellStyle name="표준 6 2 2 4 7" xfId="0"/>
    <cellStyle name="표준 6 2 2 4 8" xfId="0"/>
    <cellStyle name="표준 6 2 2 4 9" xfId="0"/>
    <cellStyle name="표준 6 2 2 5" xfId="0"/>
    <cellStyle name="표준 6 2 2 5 10" xfId="0"/>
    <cellStyle name="표준 6 2 2 5 2" xfId="0"/>
    <cellStyle name="표준 6 2 2 5 3" xfId="0"/>
    <cellStyle name="표준 6 2 2 5 4" xfId="0"/>
    <cellStyle name="표준 6 2 2 5 5" xfId="0"/>
    <cellStyle name="표준 6 2 2 5 6" xfId="0"/>
    <cellStyle name="표준 6 2 2 5 7" xfId="0"/>
    <cellStyle name="표준 6 2 2 5 8" xfId="0"/>
    <cellStyle name="표준 6 2 2 5 9" xfId="0"/>
    <cellStyle name="표준 6 2 2 6" xfId="0"/>
    <cellStyle name="표준 6 2 2 6 2" xfId="0"/>
    <cellStyle name="표준 6 2 2 7" xfId="0"/>
    <cellStyle name="표준 6 2 2 7 2" xfId="0"/>
    <cellStyle name="표준 6 2 2 8" xfId="0"/>
    <cellStyle name="표준 6 2 2 8 2" xfId="0"/>
    <cellStyle name="표준 6 2 2 9" xfId="0"/>
    <cellStyle name="표준 6 2 2 9 2" xfId="0"/>
    <cellStyle name="표준 6 2 20" xfId="0"/>
    <cellStyle name="표준 6 2 21" xfId="0"/>
    <cellStyle name="표준 6 2 22" xfId="0"/>
    <cellStyle name="표준 6 2 23" xfId="0"/>
    <cellStyle name="표준 6 2 3" xfId="0"/>
    <cellStyle name="표준 6 2 3 10" xfId="0"/>
    <cellStyle name="표준 6 2 3 11" xfId="0"/>
    <cellStyle name="표준 6 2 3 2" xfId="0"/>
    <cellStyle name="표준 6 2 3 3" xfId="0"/>
    <cellStyle name="표준 6 2 3 4" xfId="0"/>
    <cellStyle name="표준 6 2 3 5" xfId="0"/>
    <cellStyle name="표준 6 2 3 6" xfId="0"/>
    <cellStyle name="표준 6 2 3 7" xfId="0"/>
    <cellStyle name="표준 6 2 3 8" xfId="0"/>
    <cellStyle name="표준 6 2 3 9" xfId="0"/>
    <cellStyle name="표준 6 2 4" xfId="0"/>
    <cellStyle name="표준 6 2 4 10" xfId="0"/>
    <cellStyle name="표준 6 2 4 2" xfId="0"/>
    <cellStyle name="표준 6 2 4 3" xfId="0"/>
    <cellStyle name="표준 6 2 4 4" xfId="0"/>
    <cellStyle name="표준 6 2 4 5" xfId="0"/>
    <cellStyle name="표준 6 2 4 6" xfId="0"/>
    <cellStyle name="표준 6 2 4 7" xfId="0"/>
    <cellStyle name="표준 6 2 4 8" xfId="0"/>
    <cellStyle name="표준 6 2 4 9" xfId="0"/>
    <cellStyle name="표준 6 2 5" xfId="0"/>
    <cellStyle name="표준 6 2 5 10" xfId="0"/>
    <cellStyle name="표준 6 2 5 2" xfId="0"/>
    <cellStyle name="표준 6 2 5 3" xfId="0"/>
    <cellStyle name="표준 6 2 5 4" xfId="0"/>
    <cellStyle name="표준 6 2 5 5" xfId="0"/>
    <cellStyle name="표준 6 2 5 6" xfId="0"/>
    <cellStyle name="표준 6 2 5 7" xfId="0"/>
    <cellStyle name="표준 6 2 5 8" xfId="0"/>
    <cellStyle name="표준 6 2 5 9" xfId="0"/>
    <cellStyle name="표준 6 2 6" xfId="0"/>
    <cellStyle name="표준 6 2 6 10" xfId="0"/>
    <cellStyle name="표준 6 2 6 11" xfId="0"/>
    <cellStyle name="표준 6 2 6 2" xfId="0"/>
    <cellStyle name="표준 6 2 6 3" xfId="0"/>
    <cellStyle name="표준 6 2 6 4" xfId="0"/>
    <cellStyle name="표준 6 2 6 5" xfId="0"/>
    <cellStyle name="표준 6 2 6 6" xfId="0"/>
    <cellStyle name="표준 6 2 6 7" xfId="0"/>
    <cellStyle name="표준 6 2 6 8" xfId="0"/>
    <cellStyle name="표준 6 2 6 9" xfId="0"/>
    <cellStyle name="표준 6 2 7" xfId="0"/>
    <cellStyle name="표준 6 2 8" xfId="0"/>
    <cellStyle name="표준 6 2 9" xfId="0"/>
    <cellStyle name="표준 6 20" xfId="0"/>
    <cellStyle name="표준 6 3" xfId="0"/>
    <cellStyle name="표준 6 3 10" xfId="0"/>
    <cellStyle name="표준 6 3 11" xfId="0"/>
    <cellStyle name="표준 6 3 2" xfId="0"/>
    <cellStyle name="표준 6 3 2 2" xfId="0"/>
    <cellStyle name="표준 6 3 2 3" xfId="0"/>
    <cellStyle name="표준 6 3 2 3 2" xfId="0"/>
    <cellStyle name="표준 6 3 2 3 2 2" xfId="0"/>
    <cellStyle name="표준 6 3 2 3 2 2 2" xfId="0"/>
    <cellStyle name="표준 6 3 2 3 2 2 2 2" xfId="0"/>
    <cellStyle name="표준 6 3 2 3 2 2 2 2 2" xfId="0"/>
    <cellStyle name="표준 6 3 2 3 2 2 2 2 2 2" xfId="0"/>
    <cellStyle name="표준 6 3 2 3 2 2 2 2 2 2 2" xfId="0"/>
    <cellStyle name="표준 6 3 2 3 2 2 2 2 2 2 2 2" xfId="0"/>
    <cellStyle name="표준 6 3 2 3 2 2 2 2 2 2 2 2 2" xfId="0"/>
    <cellStyle name="표준 6 3 2 4" xfId="0"/>
    <cellStyle name="표준 6 3 3" xfId="0"/>
    <cellStyle name="표준 6 3 3 2" xfId="0"/>
    <cellStyle name="표준 6 3 4" xfId="0"/>
    <cellStyle name="표준 6 3 4 2" xfId="0"/>
    <cellStyle name="표준 6 3 5" xfId="0"/>
    <cellStyle name="표준 6 3 6" xfId="0"/>
    <cellStyle name="표준 6 3 7" xfId="0"/>
    <cellStyle name="표준 6 3 8" xfId="0"/>
    <cellStyle name="표준 6 3 9" xfId="0"/>
    <cellStyle name="표준 6 4" xfId="0"/>
    <cellStyle name="표준 6 4 10" xfId="0"/>
    <cellStyle name="표준 6 4 11" xfId="0"/>
    <cellStyle name="표준 6 4 2" xfId="0"/>
    <cellStyle name="표준 6 4 2 2" xfId="0"/>
    <cellStyle name="표준 6 4 3" xfId="0"/>
    <cellStyle name="표준 6 4 3 2" xfId="0"/>
    <cellStyle name="표준 6 4 4" xfId="0"/>
    <cellStyle name="표준 6 4 4 2" xfId="0"/>
    <cellStyle name="표준 6 4 5" xfId="0"/>
    <cellStyle name="표준 6 4 6" xfId="0"/>
    <cellStyle name="표준 6 4 7" xfId="0"/>
    <cellStyle name="표준 6 4 8" xfId="0"/>
    <cellStyle name="표준 6 4 9" xfId="0"/>
    <cellStyle name="표준 6 5" xfId="0"/>
    <cellStyle name="표준 6 5 2" xfId="0"/>
    <cellStyle name="표준 6 6" xfId="0"/>
    <cellStyle name="표준 6 6 2" xfId="0"/>
    <cellStyle name="표준 6 7" xfId="0"/>
    <cellStyle name="표준 6 7 2" xfId="0"/>
    <cellStyle name="표준 6 8" xfId="0"/>
    <cellStyle name="표준 6 8 10" xfId="0"/>
    <cellStyle name="표준 6 8 2" xfId="0"/>
    <cellStyle name="표준 6 8 2 2" xfId="0"/>
    <cellStyle name="표준 6 8 2 3" xfId="0"/>
    <cellStyle name="표준 6 8 2 4" xfId="0"/>
    <cellStyle name="표준 6 8 2 5" xfId="0"/>
    <cellStyle name="표준 6 8 3" xfId="0"/>
    <cellStyle name="표준 6 8 3 2" xfId="0"/>
    <cellStyle name="표준 6 8 3 3" xfId="0"/>
    <cellStyle name="표준 6 8 3 4" xfId="0"/>
    <cellStyle name="표준 6 8 3 5" xfId="0"/>
    <cellStyle name="표준 6 8 4" xfId="0"/>
    <cellStyle name="표준 6 8 4 2" xfId="0"/>
    <cellStyle name="표준 6 8 4 3" xfId="0"/>
    <cellStyle name="표준 6 8 4 4" xfId="0"/>
    <cellStyle name="표준 6 8 4 5" xfId="0"/>
    <cellStyle name="표준 6 8 5" xfId="0"/>
    <cellStyle name="표준 6 8 5 2" xfId="0"/>
    <cellStyle name="표준 6 8 5 3" xfId="0"/>
    <cellStyle name="표준 6 8 5 4" xfId="0"/>
    <cellStyle name="표준 6 8 5 5" xfId="0"/>
    <cellStyle name="표준 6 8 6" xfId="0"/>
    <cellStyle name="표준 6 8 7" xfId="0"/>
    <cellStyle name="표준 6 8 8" xfId="0"/>
    <cellStyle name="표준 6 8 9" xfId="0"/>
    <cellStyle name="표준 6 9" xfId="0"/>
    <cellStyle name="표준 6 9 2" xfId="0"/>
    <cellStyle name="표준 6 9 3" xfId="0"/>
    <cellStyle name="표준 6 9 4" xfId="0"/>
    <cellStyle name="표준 6 9 5" xfId="0"/>
    <cellStyle name="표준 6 9 6" xfId="0"/>
    <cellStyle name="표준 60" xfId="0"/>
    <cellStyle name="표준 600" xfId="0"/>
    <cellStyle name="표준 600 2" xfId="0"/>
    <cellStyle name="표준 600 2 2" xfId="0"/>
    <cellStyle name="표준 600 3" xfId="0"/>
    <cellStyle name="표준 601" xfId="0"/>
    <cellStyle name="표준 601 2" xfId="0"/>
    <cellStyle name="표준 601 2 2" xfId="0"/>
    <cellStyle name="표준 601 3" xfId="0"/>
    <cellStyle name="표준 602" xfId="0"/>
    <cellStyle name="표준 602 2" xfId="0"/>
    <cellStyle name="표준 602 2 2" xfId="0"/>
    <cellStyle name="표준 602 3" xfId="0"/>
    <cellStyle name="표준 603" xfId="0"/>
    <cellStyle name="표준 603 2" xfId="0"/>
    <cellStyle name="표준 603 2 2" xfId="0"/>
    <cellStyle name="표준 603 3" xfId="0"/>
    <cellStyle name="표준 604" xfId="0"/>
    <cellStyle name="표준 604 2" xfId="0"/>
    <cellStyle name="표준 604 2 2" xfId="0"/>
    <cellStyle name="표준 604 3" xfId="0"/>
    <cellStyle name="표준 605" xfId="0"/>
    <cellStyle name="표준 605 2" xfId="0"/>
    <cellStyle name="표준 605 2 2" xfId="0"/>
    <cellStyle name="표준 605 3" xfId="0"/>
    <cellStyle name="표준 606" xfId="0"/>
    <cellStyle name="표준 606 2" xfId="0"/>
    <cellStyle name="표준 606 2 2" xfId="0"/>
    <cellStyle name="표준 606 3" xfId="0"/>
    <cellStyle name="표준 607" xfId="0"/>
    <cellStyle name="표준 607 2" xfId="0"/>
    <cellStyle name="표준 607 2 2" xfId="0"/>
    <cellStyle name="표준 607 3" xfId="0"/>
    <cellStyle name="표준 608" xfId="0"/>
    <cellStyle name="표준 608 2" xfId="0"/>
    <cellStyle name="표준 608 2 2" xfId="0"/>
    <cellStyle name="표준 608 3" xfId="0"/>
    <cellStyle name="표준 609" xfId="0"/>
    <cellStyle name="표준 609 2" xfId="0"/>
    <cellStyle name="표준 609 2 2" xfId="0"/>
    <cellStyle name="표준 609 3" xfId="0"/>
    <cellStyle name="표준 61" xfId="0"/>
    <cellStyle name="표준 61 2" xfId="0"/>
    <cellStyle name="표준 610" xfId="0"/>
    <cellStyle name="표준 610 2" xfId="0"/>
    <cellStyle name="표준 610 2 2" xfId="0"/>
    <cellStyle name="표준 610 3" xfId="0"/>
    <cellStyle name="표준 611" xfId="0"/>
    <cellStyle name="표준 611 2" xfId="0"/>
    <cellStyle name="표준 611 2 2" xfId="0"/>
    <cellStyle name="표준 611 3" xfId="0"/>
    <cellStyle name="표준 612" xfId="0"/>
    <cellStyle name="표준 612 2" xfId="0"/>
    <cellStyle name="표준 612 2 2" xfId="0"/>
    <cellStyle name="표준 612 3" xfId="0"/>
    <cellStyle name="표준 613" xfId="0"/>
    <cellStyle name="표준 613 2" xfId="0"/>
    <cellStyle name="표준 613 2 2" xfId="0"/>
    <cellStyle name="표준 613 3" xfId="0"/>
    <cellStyle name="표준 614" xfId="0"/>
    <cellStyle name="표준 614 2" xfId="0"/>
    <cellStyle name="표준 614 2 2" xfId="0"/>
    <cellStyle name="표준 614 3" xfId="0"/>
    <cellStyle name="표준 615" xfId="0"/>
    <cellStyle name="표준 615 2" xfId="0"/>
    <cellStyle name="표준 615 2 2" xfId="0"/>
    <cellStyle name="표준 615 3" xfId="0"/>
    <cellStyle name="표준 616" xfId="0"/>
    <cellStyle name="표준 616 2" xfId="0"/>
    <cellStyle name="표준 616 2 2" xfId="0"/>
    <cellStyle name="표준 616 3" xfId="0"/>
    <cellStyle name="표준 617" xfId="0"/>
    <cellStyle name="표준 617 2" xfId="0"/>
    <cellStyle name="표준 617 2 2" xfId="0"/>
    <cellStyle name="표준 617 3" xfId="0"/>
    <cellStyle name="표준 618" xfId="0"/>
    <cellStyle name="표준 618 2" xfId="0"/>
    <cellStyle name="표준 618 2 2" xfId="0"/>
    <cellStyle name="표준 618 3" xfId="0"/>
    <cellStyle name="표준 619" xfId="0"/>
    <cellStyle name="표준 619 2" xfId="0"/>
    <cellStyle name="표준 619 2 2" xfId="0"/>
    <cellStyle name="표준 619 3" xfId="0"/>
    <cellStyle name="표준 62" xfId="0"/>
    <cellStyle name="표준 62 10" xfId="0"/>
    <cellStyle name="표준 62 2" xfId="0"/>
    <cellStyle name="표준 62 2 2" xfId="0"/>
    <cellStyle name="표준 62 2 3" xfId="0"/>
    <cellStyle name="표준 62 2 4" xfId="0"/>
    <cellStyle name="표준 62 2 5" xfId="0"/>
    <cellStyle name="표준 62 3" xfId="0"/>
    <cellStyle name="표준 62 3 2" xfId="0"/>
    <cellStyle name="표준 62 3 3" xfId="0"/>
    <cellStyle name="표준 62 3 4" xfId="0"/>
    <cellStyle name="표준 62 3 5" xfId="0"/>
    <cellStyle name="표준 62 4" xfId="0"/>
    <cellStyle name="표준 62 4 2" xfId="0"/>
    <cellStyle name="표준 62 4 3" xfId="0"/>
    <cellStyle name="표준 62 4 4" xfId="0"/>
    <cellStyle name="표준 62 4 5" xfId="0"/>
    <cellStyle name="표준 62 5" xfId="0"/>
    <cellStyle name="표준 62 5 2" xfId="0"/>
    <cellStyle name="표준 62 5 3" xfId="0"/>
    <cellStyle name="표준 62 5 4" xfId="0"/>
    <cellStyle name="표준 62 5 5" xfId="0"/>
    <cellStyle name="표준 62 6" xfId="0"/>
    <cellStyle name="표준 62 7" xfId="0"/>
    <cellStyle name="표준 62 8" xfId="0"/>
    <cellStyle name="표준 62 9" xfId="0"/>
    <cellStyle name="표준 620" xfId="0"/>
    <cellStyle name="표준 620 2" xfId="0"/>
    <cellStyle name="표준 620 2 2" xfId="0"/>
    <cellStyle name="표준 620 3" xfId="0"/>
    <cellStyle name="표준 621" xfId="0"/>
    <cellStyle name="표준 621 2" xfId="0"/>
    <cellStyle name="표준 621 2 2" xfId="0"/>
    <cellStyle name="표준 621 3" xfId="0"/>
    <cellStyle name="표준 622" xfId="0"/>
    <cellStyle name="표준 622 2" xfId="0"/>
    <cellStyle name="표준 622 2 2" xfId="0"/>
    <cellStyle name="표준 622 3" xfId="0"/>
    <cellStyle name="표준 623" xfId="0"/>
    <cellStyle name="표준 623 2" xfId="0"/>
    <cellStyle name="표준 623 2 2" xfId="0"/>
    <cellStyle name="표준 623 3" xfId="0"/>
    <cellStyle name="표준 624" xfId="0"/>
    <cellStyle name="표준 624 2" xfId="0"/>
    <cellStyle name="표준 624 2 2" xfId="0"/>
    <cellStyle name="표준 624 3" xfId="0"/>
    <cellStyle name="표준 625" xfId="0"/>
    <cellStyle name="표준 625 2" xfId="0"/>
    <cellStyle name="표준 625 2 2" xfId="0"/>
    <cellStyle name="표준 625 3" xfId="0"/>
    <cellStyle name="표준 626" xfId="0"/>
    <cellStyle name="표준 626 2" xfId="0"/>
    <cellStyle name="표준 626 2 2" xfId="0"/>
    <cellStyle name="표준 626 3" xfId="0"/>
    <cellStyle name="표준 627" xfId="0"/>
    <cellStyle name="표준 627 2" xfId="0"/>
    <cellStyle name="표준 627 2 2" xfId="0"/>
    <cellStyle name="표준 627 3" xfId="0"/>
    <cellStyle name="표준 628" xfId="0"/>
    <cellStyle name="표준 628 2" xfId="0"/>
    <cellStyle name="표준 628 2 2" xfId="0"/>
    <cellStyle name="표준 628 3" xfId="0"/>
    <cellStyle name="표준 629" xfId="0"/>
    <cellStyle name="표준 629 2" xfId="0"/>
    <cellStyle name="표준 629 2 2" xfId="0"/>
    <cellStyle name="표준 629 3" xfId="0"/>
    <cellStyle name="표준 63" xfId="0"/>
    <cellStyle name="표준 63 10" xfId="0"/>
    <cellStyle name="표준 63 11" xfId="0"/>
    <cellStyle name="표준 63 2" xfId="0"/>
    <cellStyle name="표준 63 3" xfId="0"/>
    <cellStyle name="표준 63 3 2" xfId="0"/>
    <cellStyle name="표준 63 3 3" xfId="0"/>
    <cellStyle name="표준 63 3 4" xfId="0"/>
    <cellStyle name="표준 63 3 5" xfId="0"/>
    <cellStyle name="표준 63 4" xfId="0"/>
    <cellStyle name="표준 63 4 2" xfId="0"/>
    <cellStyle name="표준 63 4 3" xfId="0"/>
    <cellStyle name="표준 63 4 4" xfId="0"/>
    <cellStyle name="표준 63 4 5" xfId="0"/>
    <cellStyle name="표준 63 5" xfId="0"/>
    <cellStyle name="표준 63 5 2" xfId="0"/>
    <cellStyle name="표준 63 5 3" xfId="0"/>
    <cellStyle name="표준 63 5 4" xfId="0"/>
    <cellStyle name="표준 63 5 5" xfId="0"/>
    <cellStyle name="표준 63 6" xfId="0"/>
    <cellStyle name="표준 63 6 2" xfId="0"/>
    <cellStyle name="표준 63 6 3" xfId="0"/>
    <cellStyle name="표준 63 6 4" xfId="0"/>
    <cellStyle name="표준 63 6 5" xfId="0"/>
    <cellStyle name="표준 63 7" xfId="0"/>
    <cellStyle name="표준 63 8" xfId="0"/>
    <cellStyle name="표준 63 9" xfId="0"/>
    <cellStyle name="표준 630" xfId="0"/>
    <cellStyle name="표준 630 2" xfId="0"/>
    <cellStyle name="표준 631" xfId="0"/>
    <cellStyle name="표준 631 2" xfId="0"/>
    <cellStyle name="표준 632" xfId="0"/>
    <cellStyle name="표준 632 2" xfId="0"/>
    <cellStyle name="표준 633" xfId="0"/>
    <cellStyle name="표준 633 2" xfId="0"/>
    <cellStyle name="표준 634" xfId="0"/>
    <cellStyle name="표준 634 2" xfId="0"/>
    <cellStyle name="표준 635" xfId="0"/>
    <cellStyle name="표준 635 2" xfId="0"/>
    <cellStyle name="표준 636" xfId="0"/>
    <cellStyle name="표준 636 2" xfId="0"/>
    <cellStyle name="표준 637" xfId="0"/>
    <cellStyle name="표준 637 2" xfId="0"/>
    <cellStyle name="표준 638" xfId="0"/>
    <cellStyle name="표준 638 2" xfId="0"/>
    <cellStyle name="표준 639" xfId="0"/>
    <cellStyle name="표준 639 2" xfId="0"/>
    <cellStyle name="표준 64" xfId="0"/>
    <cellStyle name="표준 64 10" xfId="0"/>
    <cellStyle name="표준 64 11" xfId="0"/>
    <cellStyle name="표준 64 2" xfId="0"/>
    <cellStyle name="표준 64 3" xfId="0"/>
    <cellStyle name="표준 64 3 2" xfId="0"/>
    <cellStyle name="표준 64 3 3" xfId="0"/>
    <cellStyle name="표준 64 3 4" xfId="0"/>
    <cellStyle name="표준 64 3 5" xfId="0"/>
    <cellStyle name="표준 64 4" xfId="0"/>
    <cellStyle name="표준 64 4 2" xfId="0"/>
    <cellStyle name="표준 64 4 3" xfId="0"/>
    <cellStyle name="표준 64 4 4" xfId="0"/>
    <cellStyle name="표준 64 4 5" xfId="0"/>
    <cellStyle name="표준 64 5" xfId="0"/>
    <cellStyle name="표준 64 5 2" xfId="0"/>
    <cellStyle name="표준 64 5 3" xfId="0"/>
    <cellStyle name="표준 64 5 4" xfId="0"/>
    <cellStyle name="표준 64 5 5" xfId="0"/>
    <cellStyle name="표준 64 6" xfId="0"/>
    <cellStyle name="표준 64 6 2" xfId="0"/>
    <cellStyle name="표준 64 6 3" xfId="0"/>
    <cellStyle name="표준 64 6 4" xfId="0"/>
    <cellStyle name="표준 64 6 5" xfId="0"/>
    <cellStyle name="표준 64 7" xfId="0"/>
    <cellStyle name="표준 64 8" xfId="0"/>
    <cellStyle name="표준 64 9" xfId="0"/>
    <cellStyle name="표준 640" xfId="0"/>
    <cellStyle name="표준 640 2" xfId="0"/>
    <cellStyle name="표준 641" xfId="0"/>
    <cellStyle name="표준 641 2" xfId="0"/>
    <cellStyle name="표준 642" xfId="0"/>
    <cellStyle name="표준 642 2" xfId="0"/>
    <cellStyle name="표준 643" xfId="0"/>
    <cellStyle name="표준 643 2" xfId="0"/>
    <cellStyle name="표준 644" xfId="0"/>
    <cellStyle name="표준 644 2" xfId="0"/>
    <cellStyle name="표준 645" xfId="0"/>
    <cellStyle name="표준 645 2" xfId="0"/>
    <cellStyle name="표준 646" xfId="0"/>
    <cellStyle name="표준 646 2" xfId="0"/>
    <cellStyle name="표준 647" xfId="0"/>
    <cellStyle name="표준 647 2" xfId="0"/>
    <cellStyle name="표준 648" xfId="0"/>
    <cellStyle name="표준 648 2" xfId="0"/>
    <cellStyle name="표준 649" xfId="0"/>
    <cellStyle name="표준 649 2" xfId="0"/>
    <cellStyle name="표준 65" xfId="0"/>
    <cellStyle name="표준 65 10" xfId="0"/>
    <cellStyle name="표준 65 10 2" xfId="0"/>
    <cellStyle name="표준 65 11" xfId="0"/>
    <cellStyle name="표준 65 12" xfId="0"/>
    <cellStyle name="표준 65 13" xfId="0"/>
    <cellStyle name="표준 65 14" xfId="0"/>
    <cellStyle name="표준 65 15" xfId="0"/>
    <cellStyle name="표준 65 16" xfId="0"/>
    <cellStyle name="표준 65 2" xfId="0"/>
    <cellStyle name="표준 65 3" xfId="0"/>
    <cellStyle name="표준 65 3 2" xfId="0"/>
    <cellStyle name="표준 65 3 3" xfId="0"/>
    <cellStyle name="표준 65 3 4" xfId="0"/>
    <cellStyle name="표준 65 3 5" xfId="0"/>
    <cellStyle name="표준 65 3 6" xfId="0"/>
    <cellStyle name="표준 65 4" xfId="0"/>
    <cellStyle name="표준 65 4 2" xfId="0"/>
    <cellStyle name="표준 65 4 3" xfId="0"/>
    <cellStyle name="표준 65 4 4" xfId="0"/>
    <cellStyle name="표준 65 4 5" xfId="0"/>
    <cellStyle name="표준 65 4 6" xfId="0"/>
    <cellStyle name="표준 65 5" xfId="0"/>
    <cellStyle name="표준 65 5 2" xfId="0"/>
    <cellStyle name="표준 65 5 3" xfId="0"/>
    <cellStyle name="표준 65 5 4" xfId="0"/>
    <cellStyle name="표준 65 5 5" xfId="0"/>
    <cellStyle name="표준 65 5 6" xfId="0"/>
    <cellStyle name="표준 65 6" xfId="0"/>
    <cellStyle name="표준 65 6 2" xfId="0"/>
    <cellStyle name="표준 65 6 3" xfId="0"/>
    <cellStyle name="표준 65 6 4" xfId="0"/>
    <cellStyle name="표준 65 6 5" xfId="0"/>
    <cellStyle name="표준 65 6 6" xfId="0"/>
    <cellStyle name="표준 65 7" xfId="0"/>
    <cellStyle name="표준 65 7 2" xfId="0"/>
    <cellStyle name="표준 65 8" xfId="0"/>
    <cellStyle name="표준 65 8 2" xfId="0"/>
    <cellStyle name="표준 65 9" xfId="0"/>
    <cellStyle name="표준 65 9 2" xfId="0"/>
    <cellStyle name="표준 650" xfId="0"/>
    <cellStyle name="표준 650 2" xfId="0"/>
    <cellStyle name="표준 651" xfId="0"/>
    <cellStyle name="표준 651 2" xfId="0"/>
    <cellStyle name="표준 652" xfId="0"/>
    <cellStyle name="표준 652 2" xfId="0"/>
    <cellStyle name="표준 653" xfId="0"/>
    <cellStyle name="표준 653 2" xfId="0"/>
    <cellStyle name="표준 654" xfId="0"/>
    <cellStyle name="표준 654 2" xfId="0"/>
    <cellStyle name="표준 655" xfId="0"/>
    <cellStyle name="표준 655 2" xfId="0"/>
    <cellStyle name="표준 656" xfId="0"/>
    <cellStyle name="표준 656 2" xfId="0"/>
    <cellStyle name="표준 657" xfId="0"/>
    <cellStyle name="표준 657 2" xfId="0"/>
    <cellStyle name="표준 658" xfId="0"/>
    <cellStyle name="표준 658 2" xfId="0"/>
    <cellStyle name="표준 659" xfId="0"/>
    <cellStyle name="표준 659 2" xfId="0"/>
    <cellStyle name="표준 66" xfId="0"/>
    <cellStyle name="표준 66 2" xfId="0"/>
    <cellStyle name="표준 66 2 2" xfId="0"/>
    <cellStyle name="표준 66 2 2 2" xfId="0"/>
    <cellStyle name="표준 66 2 2 3" xfId="0"/>
    <cellStyle name="표준 66 2 2 4" xfId="0"/>
    <cellStyle name="표준 66 2 2 5" xfId="0"/>
    <cellStyle name="표준 66 2 3" xfId="0"/>
    <cellStyle name="표준 66 2 3 2" xfId="0"/>
    <cellStyle name="표준 66 2 3 3" xfId="0"/>
    <cellStyle name="표준 66 2 3 4" xfId="0"/>
    <cellStyle name="표준 66 2 3 5" xfId="0"/>
    <cellStyle name="표준 66 2 4" xfId="0"/>
    <cellStyle name="표준 66 2 4 2" xfId="0"/>
    <cellStyle name="표준 66 2 4 3" xfId="0"/>
    <cellStyle name="표준 66 2 4 4" xfId="0"/>
    <cellStyle name="표준 66 2 4 5" xfId="0"/>
    <cellStyle name="표준 66 2 5" xfId="0"/>
    <cellStyle name="표준 66 2 5 2" xfId="0"/>
    <cellStyle name="표준 66 2 5 3" xfId="0"/>
    <cellStyle name="표준 66 2 5 4" xfId="0"/>
    <cellStyle name="표준 66 2 5 5" xfId="0"/>
    <cellStyle name="표준 66 2 6" xfId="0"/>
    <cellStyle name="표준 66 2 7" xfId="0"/>
    <cellStyle name="표준 66 2 8" xfId="0"/>
    <cellStyle name="표준 66 2 9" xfId="0"/>
    <cellStyle name="표준 66 3" xfId="0"/>
    <cellStyle name="표준 66 4" xfId="0"/>
    <cellStyle name="표준 66 5" xfId="0"/>
    <cellStyle name="표준 66 6" xfId="0"/>
    <cellStyle name="표준 66 7" xfId="0"/>
    <cellStyle name="표준 66 8" xfId="0"/>
    <cellStyle name="표준 660" xfId="0"/>
    <cellStyle name="표준 660 2" xfId="0"/>
    <cellStyle name="표준 661" xfId="0"/>
    <cellStyle name="표준 661 2" xfId="0"/>
    <cellStyle name="표준 662" xfId="0"/>
    <cellStyle name="표준 662 2" xfId="0"/>
    <cellStyle name="표준 663" xfId="0"/>
    <cellStyle name="표준 663 2" xfId="0"/>
    <cellStyle name="표준 664" xfId="0"/>
    <cellStyle name="표준 664 2" xfId="0"/>
    <cellStyle name="표준 665" xfId="0"/>
    <cellStyle name="표준 665 2" xfId="0"/>
    <cellStyle name="표준 666" xfId="0"/>
    <cellStyle name="표준 666 2" xfId="0"/>
    <cellStyle name="표준 667" xfId="0"/>
    <cellStyle name="표준 667 2" xfId="0"/>
    <cellStyle name="표준 668" xfId="0"/>
    <cellStyle name="표준 668 2" xfId="0"/>
    <cellStyle name="표준 669" xfId="0"/>
    <cellStyle name="표준 669 2" xfId="0"/>
    <cellStyle name="표준 67" xfId="0"/>
    <cellStyle name="표준 67 2" xfId="0"/>
    <cellStyle name="표준 670" xfId="0"/>
    <cellStyle name="표준 670 2" xfId="0"/>
    <cellStyle name="표준 671" xfId="0"/>
    <cellStyle name="표준 671 2" xfId="0"/>
    <cellStyle name="표준 672" xfId="0"/>
    <cellStyle name="표준 672 2" xfId="0"/>
    <cellStyle name="표준 673" xfId="0"/>
    <cellStyle name="표준 673 2" xfId="0"/>
    <cellStyle name="표준 674" xfId="0"/>
    <cellStyle name="표준 674 2" xfId="0"/>
    <cellStyle name="표준 675" xfId="0"/>
    <cellStyle name="표준 675 2" xfId="0"/>
    <cellStyle name="표준 676" xfId="0"/>
    <cellStyle name="표준 676 2" xfId="0"/>
    <cellStyle name="표준 677" xfId="0"/>
    <cellStyle name="표준 677 2" xfId="0"/>
    <cellStyle name="표준 678" xfId="0"/>
    <cellStyle name="표준 678 2" xfId="0"/>
    <cellStyle name="표준 679" xfId="0"/>
    <cellStyle name="표준 679 2" xfId="0"/>
    <cellStyle name="표준 68" xfId="0"/>
    <cellStyle name="표준 68 10" xfId="0"/>
    <cellStyle name="표준 68 11" xfId="0"/>
    <cellStyle name="표준 68 2" xfId="0"/>
    <cellStyle name="표준 68 3" xfId="0"/>
    <cellStyle name="표준 68 3 2" xfId="0"/>
    <cellStyle name="표준 68 3 3" xfId="0"/>
    <cellStyle name="표준 68 3 4" xfId="0"/>
    <cellStyle name="표준 68 3 5" xfId="0"/>
    <cellStyle name="표준 68 4" xfId="0"/>
    <cellStyle name="표준 68 4 2" xfId="0"/>
    <cellStyle name="표준 68 4 3" xfId="0"/>
    <cellStyle name="표준 68 4 4" xfId="0"/>
    <cellStyle name="표준 68 4 5" xfId="0"/>
    <cellStyle name="표준 68 5" xfId="0"/>
    <cellStyle name="표준 68 5 2" xfId="0"/>
    <cellStyle name="표준 68 5 3" xfId="0"/>
    <cellStyle name="표준 68 5 4" xfId="0"/>
    <cellStyle name="표준 68 5 5" xfId="0"/>
    <cellStyle name="표준 68 6" xfId="0"/>
    <cellStyle name="표준 68 6 2" xfId="0"/>
    <cellStyle name="표준 68 6 3" xfId="0"/>
    <cellStyle name="표준 68 6 4" xfId="0"/>
    <cellStyle name="표준 68 6 5" xfId="0"/>
    <cellStyle name="표준 68 7" xfId="0"/>
    <cellStyle name="표준 68 8" xfId="0"/>
    <cellStyle name="표준 68 9" xfId="0"/>
    <cellStyle name="표준 680" xfId="0"/>
    <cellStyle name="표준 680 2" xfId="0"/>
    <cellStyle name="표준 681" xfId="0"/>
    <cellStyle name="표준 681 2" xfId="0"/>
    <cellStyle name="표준 682" xfId="0"/>
    <cellStyle name="표준 682 2" xfId="0"/>
    <cellStyle name="표준 683" xfId="0"/>
    <cellStyle name="표준 683 2" xfId="0"/>
    <cellStyle name="표준 684" xfId="0"/>
    <cellStyle name="표준 684 2" xfId="0"/>
    <cellStyle name="표준 685" xfId="0"/>
    <cellStyle name="표준 685 2" xfId="0"/>
    <cellStyle name="표준 686" xfId="0"/>
    <cellStyle name="표준 686 2" xfId="0"/>
    <cellStyle name="표준 687" xfId="0"/>
    <cellStyle name="표준 687 2" xfId="0"/>
    <cellStyle name="표준 688" xfId="0"/>
    <cellStyle name="표준 688 2" xfId="0"/>
    <cellStyle name="표준 689" xfId="0"/>
    <cellStyle name="표준 689 2" xfId="0"/>
    <cellStyle name="표준 69" xfId="0"/>
    <cellStyle name="표준 690" xfId="0"/>
    <cellStyle name="표준 690 2" xfId="0"/>
    <cellStyle name="표준 691" xfId="0"/>
    <cellStyle name="표준 691 2" xfId="0"/>
    <cellStyle name="표준 692" xfId="0"/>
    <cellStyle name="표준 692 2" xfId="0"/>
    <cellStyle name="표준 693" xfId="0"/>
    <cellStyle name="표준 693 2" xfId="0"/>
    <cellStyle name="표준 694" xfId="0"/>
    <cellStyle name="표준 694 2" xfId="0"/>
    <cellStyle name="표준 695" xfId="0"/>
    <cellStyle name="표준 695 2" xfId="0"/>
    <cellStyle name="표준 696" xfId="0"/>
    <cellStyle name="표준 696 2" xfId="0"/>
    <cellStyle name="표준 697" xfId="0"/>
    <cellStyle name="표준 697 2" xfId="0"/>
    <cellStyle name="표준 698" xfId="0"/>
    <cellStyle name="표준 698 2" xfId="0"/>
    <cellStyle name="표준 699" xfId="0"/>
    <cellStyle name="표준 699 2" xfId="0"/>
    <cellStyle name="표준 7" xfId="0"/>
    <cellStyle name="표준 7 10" xfId="0"/>
    <cellStyle name="표준 7 10 10" xfId="0"/>
    <cellStyle name="표준 7 10 10 2" xfId="0"/>
    <cellStyle name="표준 7 10 11" xfId="0"/>
    <cellStyle name="표준 7 10 2" xfId="0"/>
    <cellStyle name="표준 7 10 2 2" xfId="0"/>
    <cellStyle name="표준 7 10 3" xfId="0"/>
    <cellStyle name="표준 7 10 3 2" xfId="0"/>
    <cellStyle name="표준 7 10 4" xfId="0"/>
    <cellStyle name="표준 7 10 4 2" xfId="0"/>
    <cellStyle name="표준 7 10 5" xfId="0"/>
    <cellStyle name="표준 7 10 5 2" xfId="0"/>
    <cellStyle name="표준 7 10 6" xfId="0"/>
    <cellStyle name="표준 7 10 6 2" xfId="0"/>
    <cellStyle name="표준 7 10 7" xfId="0"/>
    <cellStyle name="표준 7 10 7 2" xfId="0"/>
    <cellStyle name="표준 7 10 8" xfId="0"/>
    <cellStyle name="표준 7 10 8 2" xfId="0"/>
    <cellStyle name="표준 7 10 9" xfId="0"/>
    <cellStyle name="표준 7 10 9 2" xfId="0"/>
    <cellStyle name="표준 7 11" xfId="0"/>
    <cellStyle name="표준 7 11 10" xfId="0"/>
    <cellStyle name="표준 7 11 11" xfId="0"/>
    <cellStyle name="표준 7 11 2" xfId="0"/>
    <cellStyle name="표준 7 11 2 2" xfId="0"/>
    <cellStyle name="표준 7 11 3" xfId="0"/>
    <cellStyle name="표준 7 11 3 2" xfId="0"/>
    <cellStyle name="표준 7 11 4" xfId="0"/>
    <cellStyle name="표준 7 11 4 2" xfId="0"/>
    <cellStyle name="표준 7 11 5" xfId="0"/>
    <cellStyle name="표준 7 11 5 2" xfId="0"/>
    <cellStyle name="표준 7 11 6" xfId="0"/>
    <cellStyle name="표준 7 11 6 2" xfId="0"/>
    <cellStyle name="표준 7 11 7" xfId="0"/>
    <cellStyle name="표준 7 11 7 2" xfId="0"/>
    <cellStyle name="표준 7 11 8" xfId="0"/>
    <cellStyle name="표준 7 11 8 2" xfId="0"/>
    <cellStyle name="표준 7 11 9" xfId="0"/>
    <cellStyle name="표준 7 11 9 2" xfId="0"/>
    <cellStyle name="표준 7 12" xfId="0"/>
    <cellStyle name="표준 7 12 10" xfId="0"/>
    <cellStyle name="표준 7 12 2" xfId="0"/>
    <cellStyle name="표준 7 12 3" xfId="0"/>
    <cellStyle name="표준 7 12 4" xfId="0"/>
    <cellStyle name="표준 7 12 5" xfId="0"/>
    <cellStyle name="표준 7 12 6" xfId="0"/>
    <cellStyle name="표준 7 12 7" xfId="0"/>
    <cellStyle name="표준 7 12 8" xfId="0"/>
    <cellStyle name="표준 7 12 9" xfId="0"/>
    <cellStyle name="표준 7 13" xfId="0"/>
    <cellStyle name="표준 7 13 2" xfId="0"/>
    <cellStyle name="표준 7 13 3" xfId="0"/>
    <cellStyle name="표준 7 13 4" xfId="0"/>
    <cellStyle name="표준 7 13 5" xfId="0"/>
    <cellStyle name="표준 7 13 6" xfId="0"/>
    <cellStyle name="표준 7 13 7" xfId="0"/>
    <cellStyle name="표준 7 14" xfId="0"/>
    <cellStyle name="표준 7 14 2" xfId="0"/>
    <cellStyle name="표준 7 14 3" xfId="0"/>
    <cellStyle name="표준 7 14 4" xfId="0"/>
    <cellStyle name="표준 7 14 5" xfId="0"/>
    <cellStyle name="표준 7 14 6" xfId="0"/>
    <cellStyle name="표준 7 15" xfId="0"/>
    <cellStyle name="표준 7 15 2" xfId="0"/>
    <cellStyle name="표준 7 15 3" xfId="0"/>
    <cellStyle name="표준 7 15 4" xfId="0"/>
    <cellStyle name="표준 7 15 5" xfId="0"/>
    <cellStyle name="표준 7 15 6" xfId="0"/>
    <cellStyle name="표준 7 16" xfId="0"/>
    <cellStyle name="표준 7 16 10" xfId="0"/>
    <cellStyle name="표준 7 16 2" xfId="0"/>
    <cellStyle name="표준 7 16 2 2" xfId="0"/>
    <cellStyle name="표준 7 16 2 3" xfId="0"/>
    <cellStyle name="표준 7 16 2 4" xfId="0"/>
    <cellStyle name="표준 7 16 2 5" xfId="0"/>
    <cellStyle name="표준 7 16 3" xfId="0"/>
    <cellStyle name="표준 7 16 3 2" xfId="0"/>
    <cellStyle name="표준 7 16 3 3" xfId="0"/>
    <cellStyle name="표준 7 16 3 4" xfId="0"/>
    <cellStyle name="표준 7 16 3 5" xfId="0"/>
    <cellStyle name="표준 7 16 4" xfId="0"/>
    <cellStyle name="표준 7 16 4 2" xfId="0"/>
    <cellStyle name="표준 7 16 4 3" xfId="0"/>
    <cellStyle name="표준 7 16 4 4" xfId="0"/>
    <cellStyle name="표준 7 16 4 5" xfId="0"/>
    <cellStyle name="표준 7 16 5" xfId="0"/>
    <cellStyle name="표준 7 16 5 2" xfId="0"/>
    <cellStyle name="표준 7 16 5 3" xfId="0"/>
    <cellStyle name="표준 7 16 5 4" xfId="0"/>
    <cellStyle name="표준 7 16 5 5" xfId="0"/>
    <cellStyle name="표준 7 16 6" xfId="0"/>
    <cellStyle name="표준 7 16 7" xfId="0"/>
    <cellStyle name="표준 7 16 8" xfId="0"/>
    <cellStyle name="표준 7 16 9" xfId="0"/>
    <cellStyle name="표준 7 17" xfId="0"/>
    <cellStyle name="표준 7 17 2" xfId="0"/>
    <cellStyle name="표준 7 18" xfId="0"/>
    <cellStyle name="표준 7 18 2" xfId="0"/>
    <cellStyle name="표준 7 19" xfId="0"/>
    <cellStyle name="표준 7 19 2" xfId="0"/>
    <cellStyle name="표준 7 2" xfId="0"/>
    <cellStyle name="표준 7 2 10" xfId="0"/>
    <cellStyle name="표준 7 2 10 2" xfId="0"/>
    <cellStyle name="표준 7 2 11" xfId="0"/>
    <cellStyle name="표준 7 2 12" xfId="0"/>
    <cellStyle name="표준 7 2 2" xfId="0"/>
    <cellStyle name="표준 7 2 2 2" xfId="0"/>
    <cellStyle name="표준 7 2 3" xfId="0"/>
    <cellStyle name="표준 7 2 3 2" xfId="0"/>
    <cellStyle name="표준 7 2 4" xfId="0"/>
    <cellStyle name="표준 7 2 4 2" xfId="0"/>
    <cellStyle name="표준 7 2 5" xfId="0"/>
    <cellStyle name="표준 7 2 5 2" xfId="0"/>
    <cellStyle name="표준 7 2 6" xfId="0"/>
    <cellStyle name="표준 7 2 6 2" xfId="0"/>
    <cellStyle name="표준 7 2 7" xfId="0"/>
    <cellStyle name="표준 7 2 7 2" xfId="0"/>
    <cellStyle name="표준 7 2 8" xfId="0"/>
    <cellStyle name="표준 7 2 8 2" xfId="0"/>
    <cellStyle name="표준 7 2 9" xfId="0"/>
    <cellStyle name="표준 7 2 9 2" xfId="0"/>
    <cellStyle name="표준 7 20" xfId="0"/>
    <cellStyle name="표준 7 20 2" xfId="0"/>
    <cellStyle name="표준 7 21" xfId="0"/>
    <cellStyle name="표준 7 22" xfId="0"/>
    <cellStyle name="표준 7 23" xfId="0"/>
    <cellStyle name="표준 7 24" xfId="0"/>
    <cellStyle name="표준 7 25" xfId="0"/>
    <cellStyle name="표준 7 26" xfId="0"/>
    <cellStyle name="표준 7 27" xfId="0"/>
    <cellStyle name="표준 7 28" xfId="0"/>
    <cellStyle name="표준 7 3" xfId="0"/>
    <cellStyle name="표준 7 3 10" xfId="0"/>
    <cellStyle name="표준 7 3 10 2" xfId="0"/>
    <cellStyle name="표준 7 3 11" xfId="0"/>
    <cellStyle name="표준 7 3 2" xfId="0"/>
    <cellStyle name="표준 7 3 2 2" xfId="0"/>
    <cellStyle name="표준 7 3 3" xfId="0"/>
    <cellStyle name="표준 7 3 3 2" xfId="0"/>
    <cellStyle name="표준 7 3 4" xfId="0"/>
    <cellStyle name="표준 7 3 4 2" xfId="0"/>
    <cellStyle name="표준 7 3 5" xfId="0"/>
    <cellStyle name="표준 7 3 5 2" xfId="0"/>
    <cellStyle name="표준 7 3 6" xfId="0"/>
    <cellStyle name="표준 7 3 6 2" xfId="0"/>
    <cellStyle name="표준 7 3 7" xfId="0"/>
    <cellStyle name="표준 7 3 7 2" xfId="0"/>
    <cellStyle name="표준 7 3 8" xfId="0"/>
    <cellStyle name="표준 7 3 8 2" xfId="0"/>
    <cellStyle name="표준 7 3 9" xfId="0"/>
    <cellStyle name="표준 7 3 9 2" xfId="0"/>
    <cellStyle name="표준 7 4" xfId="0"/>
    <cellStyle name="표준 7 4 10" xfId="0"/>
    <cellStyle name="표준 7 4 10 2" xfId="0"/>
    <cellStyle name="표준 7 4 11" xfId="0"/>
    <cellStyle name="표준 7 4 2" xfId="0"/>
    <cellStyle name="표준 7 4 2 2" xfId="0"/>
    <cellStyle name="표준 7 4 3" xfId="0"/>
    <cellStyle name="표준 7 4 3 2" xfId="0"/>
    <cellStyle name="표준 7 4 4" xfId="0"/>
    <cellStyle name="표준 7 4 4 2" xfId="0"/>
    <cellStyle name="표준 7 4 5" xfId="0"/>
    <cellStyle name="표준 7 4 5 2" xfId="0"/>
    <cellStyle name="표준 7 4 6" xfId="0"/>
    <cellStyle name="표준 7 4 6 2" xfId="0"/>
    <cellStyle name="표준 7 4 7" xfId="0"/>
    <cellStyle name="표준 7 4 7 2" xfId="0"/>
    <cellStyle name="표준 7 4 8" xfId="0"/>
    <cellStyle name="표준 7 4 8 2" xfId="0"/>
    <cellStyle name="표준 7 4 9" xfId="0"/>
    <cellStyle name="표준 7 4 9 2" xfId="0"/>
    <cellStyle name="표준 7 5" xfId="0"/>
    <cellStyle name="표준 7 5 10" xfId="0"/>
    <cellStyle name="표준 7 5 10 2" xfId="0"/>
    <cellStyle name="표준 7 5 11" xfId="0"/>
    <cellStyle name="표준 7 5 2" xfId="0"/>
    <cellStyle name="표준 7 5 2 2" xfId="0"/>
    <cellStyle name="표준 7 5 3" xfId="0"/>
    <cellStyle name="표준 7 5 3 2" xfId="0"/>
    <cellStyle name="표준 7 5 4" xfId="0"/>
    <cellStyle name="표준 7 5 4 2" xfId="0"/>
    <cellStyle name="표준 7 5 5" xfId="0"/>
    <cellStyle name="표준 7 5 5 2" xfId="0"/>
    <cellStyle name="표준 7 5 6" xfId="0"/>
    <cellStyle name="표준 7 5 6 2" xfId="0"/>
    <cellStyle name="표준 7 5 7" xfId="0"/>
    <cellStyle name="표준 7 5 7 2" xfId="0"/>
    <cellStyle name="표준 7 5 8" xfId="0"/>
    <cellStyle name="표준 7 5 8 2" xfId="0"/>
    <cellStyle name="표준 7 5 9" xfId="0"/>
    <cellStyle name="표준 7 5 9 2" xfId="0"/>
    <cellStyle name="표준 7 6" xfId="0"/>
    <cellStyle name="표준 7 6 10" xfId="0"/>
    <cellStyle name="표준 7 6 10 2" xfId="0"/>
    <cellStyle name="표준 7 6 11" xfId="0"/>
    <cellStyle name="표준 7 6 2" xfId="0"/>
    <cellStyle name="표준 7 6 2 2" xfId="0"/>
    <cellStyle name="표준 7 6 3" xfId="0"/>
    <cellStyle name="표준 7 6 3 2" xfId="0"/>
    <cellStyle name="표준 7 6 4" xfId="0"/>
    <cellStyle name="표준 7 6 4 2" xfId="0"/>
    <cellStyle name="표준 7 6 5" xfId="0"/>
    <cellStyle name="표준 7 6 5 2" xfId="0"/>
    <cellStyle name="표준 7 6 6" xfId="0"/>
    <cellStyle name="표준 7 6 6 2" xfId="0"/>
    <cellStyle name="표준 7 6 7" xfId="0"/>
    <cellStyle name="표준 7 6 7 2" xfId="0"/>
    <cellStyle name="표준 7 6 8" xfId="0"/>
    <cellStyle name="표준 7 6 8 2" xfId="0"/>
    <cellStyle name="표준 7 6 9" xfId="0"/>
    <cellStyle name="표준 7 6 9 2" xfId="0"/>
    <cellStyle name="표준 7 7" xfId="0"/>
    <cellStyle name="표준 7 7 10" xfId="0"/>
    <cellStyle name="표준 7 7 10 2" xfId="0"/>
    <cellStyle name="표준 7 7 11" xfId="0"/>
    <cellStyle name="표준 7 7 2" xfId="0"/>
    <cellStyle name="표준 7 7 2 2" xfId="0"/>
    <cellStyle name="표준 7 7 3" xfId="0"/>
    <cellStyle name="표준 7 7 3 2" xfId="0"/>
    <cellStyle name="표준 7 7 4" xfId="0"/>
    <cellStyle name="표준 7 7 4 2" xfId="0"/>
    <cellStyle name="표준 7 7 5" xfId="0"/>
    <cellStyle name="표준 7 7 5 2" xfId="0"/>
    <cellStyle name="표준 7 7 6" xfId="0"/>
    <cellStyle name="표준 7 7 6 2" xfId="0"/>
    <cellStyle name="표준 7 7 7" xfId="0"/>
    <cellStyle name="표준 7 7 7 2" xfId="0"/>
    <cellStyle name="표준 7 7 8" xfId="0"/>
    <cellStyle name="표준 7 7 8 2" xfId="0"/>
    <cellStyle name="표준 7 7 9" xfId="0"/>
    <cellStyle name="표준 7 7 9 2" xfId="0"/>
    <cellStyle name="표준 7 8" xfId="0"/>
    <cellStyle name="표준 7 8 10" xfId="0"/>
    <cellStyle name="표준 7 8 10 2" xfId="0"/>
    <cellStyle name="표준 7 8 11" xfId="0"/>
    <cellStyle name="표준 7 8 2" xfId="0"/>
    <cellStyle name="표준 7 8 2 2" xfId="0"/>
    <cellStyle name="표준 7 8 3" xfId="0"/>
    <cellStyle name="표준 7 8 3 2" xfId="0"/>
    <cellStyle name="표준 7 8 4" xfId="0"/>
    <cellStyle name="표준 7 8 4 2" xfId="0"/>
    <cellStyle name="표준 7 8 5" xfId="0"/>
    <cellStyle name="표준 7 8 5 2" xfId="0"/>
    <cellStyle name="표준 7 8 6" xfId="0"/>
    <cellStyle name="표준 7 8 6 2" xfId="0"/>
    <cellStyle name="표준 7 8 7" xfId="0"/>
    <cellStyle name="표준 7 8 7 2" xfId="0"/>
    <cellStyle name="표준 7 8 8" xfId="0"/>
    <cellStyle name="표준 7 8 8 2" xfId="0"/>
    <cellStyle name="표준 7 8 9" xfId="0"/>
    <cellStyle name="표준 7 8 9 2" xfId="0"/>
    <cellStyle name="표준 7 9" xfId="0"/>
    <cellStyle name="표준 7 9 10" xfId="0"/>
    <cellStyle name="표준 7 9 10 2" xfId="0"/>
    <cellStyle name="표준 7 9 11" xfId="0"/>
    <cellStyle name="표준 7 9 2" xfId="0"/>
    <cellStyle name="표준 7 9 2 2" xfId="0"/>
    <cellStyle name="표준 7 9 3" xfId="0"/>
    <cellStyle name="표준 7 9 3 2" xfId="0"/>
    <cellStyle name="표준 7 9 4" xfId="0"/>
    <cellStyle name="표준 7 9 4 2" xfId="0"/>
    <cellStyle name="표준 7 9 5" xfId="0"/>
    <cellStyle name="표준 7 9 5 2" xfId="0"/>
    <cellStyle name="표준 7 9 6" xfId="0"/>
    <cellStyle name="표준 7 9 6 2" xfId="0"/>
    <cellStyle name="표준 7 9 7" xfId="0"/>
    <cellStyle name="표준 7 9 7 2" xfId="0"/>
    <cellStyle name="표준 7 9 8" xfId="0"/>
    <cellStyle name="표준 7 9 8 2" xfId="0"/>
    <cellStyle name="표준 7 9 9" xfId="0"/>
    <cellStyle name="표준 7 9 9 2" xfId="0"/>
    <cellStyle name="표준 70" xfId="0"/>
    <cellStyle name="표준 70 10" xfId="0"/>
    <cellStyle name="표준 70 11" xfId="0"/>
    <cellStyle name="표준 70 12" xfId="0"/>
    <cellStyle name="표준 70 13" xfId="0"/>
    <cellStyle name="표준 70 14" xfId="0"/>
    <cellStyle name="표준 70 15" xfId="0"/>
    <cellStyle name="표준 70 16" xfId="0"/>
    <cellStyle name="표준 70 17" xfId="0"/>
    <cellStyle name="표준 70 18" xfId="0"/>
    <cellStyle name="표준 70 19" xfId="0"/>
    <cellStyle name="표준 70 2" xfId="0"/>
    <cellStyle name="표준 70 2 2" xfId="0"/>
    <cellStyle name="표준 70 3" xfId="0"/>
    <cellStyle name="표준 70 3 2" xfId="0"/>
    <cellStyle name="표준 70 4" xfId="0"/>
    <cellStyle name="표준 70 4 2" xfId="0"/>
    <cellStyle name="표준 70 5" xfId="0"/>
    <cellStyle name="표준 70 5 2" xfId="0"/>
    <cellStyle name="표준 70 6" xfId="0"/>
    <cellStyle name="표준 70 6 2" xfId="0"/>
    <cellStyle name="표준 70 7" xfId="0"/>
    <cellStyle name="표준 70 7 2" xfId="0"/>
    <cellStyle name="표준 70 8" xfId="0"/>
    <cellStyle name="표준 70 9" xfId="0"/>
    <cellStyle name="표준 700" xfId="0"/>
    <cellStyle name="표준 700 2" xfId="0"/>
    <cellStyle name="표준 701" xfId="0"/>
    <cellStyle name="표준 701 2" xfId="0"/>
    <cellStyle name="표준 702" xfId="0"/>
    <cellStyle name="표준 702 2" xfId="0"/>
    <cellStyle name="표준 703" xfId="0"/>
    <cellStyle name="표준 703 2" xfId="0"/>
    <cellStyle name="표준 704" xfId="0"/>
    <cellStyle name="표준 704 2" xfId="0"/>
    <cellStyle name="표준 705" xfId="0"/>
    <cellStyle name="표준 705 2" xfId="0"/>
    <cellStyle name="표준 706" xfId="0"/>
    <cellStyle name="표준 706 2" xfId="0"/>
    <cellStyle name="표준 707" xfId="0"/>
    <cellStyle name="표준 707 2" xfId="0"/>
    <cellStyle name="표준 708" xfId="0"/>
    <cellStyle name="표준 708 2" xfId="0"/>
    <cellStyle name="표준 709" xfId="0"/>
    <cellStyle name="표준 709 2" xfId="0"/>
    <cellStyle name="표준 71" xfId="0"/>
    <cellStyle name="표준 71 2" xfId="0"/>
    <cellStyle name="표준 710" xfId="0"/>
    <cellStyle name="표준 710 2" xfId="0"/>
    <cellStyle name="표준 711" xfId="0"/>
    <cellStyle name="표준 711 2" xfId="0"/>
    <cellStyle name="표준 712" xfId="0"/>
    <cellStyle name="표준 712 2" xfId="0"/>
    <cellStyle name="표준 713" xfId="0"/>
    <cellStyle name="표준 713 2" xfId="0"/>
    <cellStyle name="표준 714" xfId="0"/>
    <cellStyle name="표준 714 2" xfId="0"/>
    <cellStyle name="표준 715" xfId="0"/>
    <cellStyle name="표준 715 2" xfId="0"/>
    <cellStyle name="표준 716" xfId="0"/>
    <cellStyle name="표준 716 2" xfId="0"/>
    <cellStyle name="표준 717" xfId="0"/>
    <cellStyle name="표준 717 2" xfId="0"/>
    <cellStyle name="표준 718" xfId="0"/>
    <cellStyle name="표준 718 2" xfId="0"/>
    <cellStyle name="표준 719" xfId="0"/>
    <cellStyle name="표준 719 2" xfId="0"/>
    <cellStyle name="표준 72" xfId="0"/>
    <cellStyle name="표준 72 2" xfId="0"/>
    <cellStyle name="표준 720" xfId="0"/>
    <cellStyle name="표준 720 2" xfId="0"/>
    <cellStyle name="표준 721" xfId="0"/>
    <cellStyle name="표준 721 2" xfId="0"/>
    <cellStyle name="표준 722" xfId="0"/>
    <cellStyle name="표준 722 2" xfId="0"/>
    <cellStyle name="표준 723" xfId="0"/>
    <cellStyle name="표준 723 2" xfId="0"/>
    <cellStyle name="표준 724" xfId="0"/>
    <cellStyle name="표준 724 2" xfId="0"/>
    <cellStyle name="표준 725" xfId="0"/>
    <cellStyle name="표준 725 2" xfId="0"/>
    <cellStyle name="표준 726" xfId="0"/>
    <cellStyle name="표준 726 2" xfId="0"/>
    <cellStyle name="표준 727" xfId="0"/>
    <cellStyle name="표준 727 2" xfId="0"/>
    <cellStyle name="표준 728" xfId="0"/>
    <cellStyle name="표준 728 2" xfId="0"/>
    <cellStyle name="표준 729" xfId="0"/>
    <cellStyle name="표준 729 2" xfId="0"/>
    <cellStyle name="표준 73" xfId="0"/>
    <cellStyle name="표준 73 2" xfId="0"/>
    <cellStyle name="표준 730" xfId="0"/>
    <cellStyle name="표준 730 2" xfId="0"/>
    <cellStyle name="표준 731" xfId="0"/>
    <cellStyle name="표준 731 2" xfId="0"/>
    <cellStyle name="표준 732" xfId="0"/>
    <cellStyle name="표준 732 2" xfId="0"/>
    <cellStyle name="표준 733" xfId="0"/>
    <cellStyle name="표준 733 2" xfId="0"/>
    <cellStyle name="표준 734" xfId="0"/>
    <cellStyle name="표준 734 2" xfId="0"/>
    <cellStyle name="표준 735" xfId="0"/>
    <cellStyle name="표준 735 2" xfId="0"/>
    <cellStyle name="표준 736" xfId="0"/>
    <cellStyle name="표준 736 2" xfId="0"/>
    <cellStyle name="표준 737" xfId="0"/>
    <cellStyle name="표준 737 2" xfId="0"/>
    <cellStyle name="표준 738" xfId="0"/>
    <cellStyle name="표준 738 2" xfId="0"/>
    <cellStyle name="표준 739" xfId="0"/>
    <cellStyle name="표준 739 2" xfId="0"/>
    <cellStyle name="표준 74" xfId="0"/>
    <cellStyle name="표준 74 10" xfId="0"/>
    <cellStyle name="표준 74 11" xfId="0"/>
    <cellStyle name="표준 74 12" xfId="0"/>
    <cellStyle name="표준 74 13" xfId="0"/>
    <cellStyle name="표준 74 14" xfId="0"/>
    <cellStyle name="표준 74 15" xfId="0"/>
    <cellStyle name="표준 74 16" xfId="0"/>
    <cellStyle name="표준 74 17" xfId="0"/>
    <cellStyle name="표준 74 18" xfId="0"/>
    <cellStyle name="표준 74 2" xfId="0"/>
    <cellStyle name="표준 74 2 2" xfId="0"/>
    <cellStyle name="표준 74 3" xfId="0"/>
    <cellStyle name="표준 74 3 2" xfId="0"/>
    <cellStyle name="표준 74 4" xfId="0"/>
    <cellStyle name="표준 74 4 2" xfId="0"/>
    <cellStyle name="표준 74 5" xfId="0"/>
    <cellStyle name="표준 74 5 2" xfId="0"/>
    <cellStyle name="표준 74 6" xfId="0"/>
    <cellStyle name="표준 74 6 2" xfId="0"/>
    <cellStyle name="표준 74 7" xfId="0"/>
    <cellStyle name="표준 74 7 2" xfId="0"/>
    <cellStyle name="표준 74 8" xfId="0"/>
    <cellStyle name="표준 74 9" xfId="0"/>
    <cellStyle name="표준 740" xfId="0"/>
    <cellStyle name="표준 740 2" xfId="0"/>
    <cellStyle name="표준 741" xfId="0"/>
    <cellStyle name="표준 741 2" xfId="0"/>
    <cellStyle name="표준 742" xfId="0"/>
    <cellStyle name="표준 742 2" xfId="0"/>
    <cellStyle name="표준 743" xfId="0"/>
    <cellStyle name="표준 743 2" xfId="0"/>
    <cellStyle name="표준 744" xfId="0"/>
    <cellStyle name="표준 744 2" xfId="0"/>
    <cellStyle name="표준 745" xfId="0"/>
    <cellStyle name="표준 745 2" xfId="0"/>
    <cellStyle name="표준 746" xfId="0"/>
    <cellStyle name="표준 746 2" xfId="0"/>
    <cellStyle name="표준 747" xfId="0"/>
    <cellStyle name="표준 748" xfId="0"/>
    <cellStyle name="표준 748 2" xfId="0"/>
    <cellStyle name="표준 749" xfId="0"/>
    <cellStyle name="표준 75" xfId="0"/>
    <cellStyle name="표준 75 10" xfId="0"/>
    <cellStyle name="표준 75 11" xfId="0"/>
    <cellStyle name="표준 75 12" xfId="0"/>
    <cellStyle name="표준 75 13" xfId="0"/>
    <cellStyle name="표준 75 14" xfId="0"/>
    <cellStyle name="표준 75 15" xfId="0"/>
    <cellStyle name="표준 75 16" xfId="0"/>
    <cellStyle name="표준 75 17" xfId="0"/>
    <cellStyle name="표준 75 18" xfId="0"/>
    <cellStyle name="표준 75 2" xfId="0"/>
    <cellStyle name="표준 75 2 2" xfId="0"/>
    <cellStyle name="표준 75 3" xfId="0"/>
    <cellStyle name="표준 75 3 2" xfId="0"/>
    <cellStyle name="표준 75 4" xfId="0"/>
    <cellStyle name="표준 75 4 2" xfId="0"/>
    <cellStyle name="표준 75 5" xfId="0"/>
    <cellStyle name="표준 75 5 2" xfId="0"/>
    <cellStyle name="표준 75 6" xfId="0"/>
    <cellStyle name="표준 75 6 2" xfId="0"/>
    <cellStyle name="표준 75 7" xfId="0"/>
    <cellStyle name="표준 75 7 2" xfId="0"/>
    <cellStyle name="표준 75 8" xfId="0"/>
    <cellStyle name="표준 75 8 2" xfId="0"/>
    <cellStyle name="표준 75 9" xfId="0"/>
    <cellStyle name="표준 750" xfId="0"/>
    <cellStyle name="표준 751" xfId="0"/>
    <cellStyle name="표준 752" xfId="0"/>
    <cellStyle name="표준 753" xfId="0"/>
    <cellStyle name="표준 754" xfId="0"/>
    <cellStyle name="표준 755" xfId="0"/>
    <cellStyle name="표준 756" xfId="0"/>
    <cellStyle name="표준 757" xfId="0"/>
    <cellStyle name="표준 758" xfId="0"/>
    <cellStyle name="표준 759" xfId="0"/>
    <cellStyle name="표준 76" xfId="0"/>
    <cellStyle name="표준 76 10" xfId="0"/>
    <cellStyle name="표준 76 11" xfId="0"/>
    <cellStyle name="표준 76 12" xfId="0"/>
    <cellStyle name="표준 76 13" xfId="0"/>
    <cellStyle name="표준 76 14" xfId="0"/>
    <cellStyle name="표준 76 15" xfId="0"/>
    <cellStyle name="표준 76 16" xfId="0"/>
    <cellStyle name="표준 76 17" xfId="0"/>
    <cellStyle name="표준 76 18" xfId="0"/>
    <cellStyle name="표준 76 2" xfId="0"/>
    <cellStyle name="표준 76 2 2" xfId="0"/>
    <cellStyle name="표준 76 3" xfId="0"/>
    <cellStyle name="표준 76 3 2" xfId="0"/>
    <cellStyle name="표준 76 4" xfId="0"/>
    <cellStyle name="표준 76 4 2" xfId="0"/>
    <cellStyle name="표준 76 5" xfId="0"/>
    <cellStyle name="표준 76 5 2" xfId="0"/>
    <cellStyle name="표준 76 6" xfId="0"/>
    <cellStyle name="표준 76 6 2" xfId="0"/>
    <cellStyle name="표준 76 7" xfId="0"/>
    <cellStyle name="표준 76 7 2" xfId="0"/>
    <cellStyle name="표준 76 8" xfId="0"/>
    <cellStyle name="표준 76 9" xfId="0"/>
    <cellStyle name="표준 760" xfId="0"/>
    <cellStyle name="표준 761" xfId="0"/>
    <cellStyle name="표준 762" xfId="0"/>
    <cellStyle name="표준 763" xfId="0"/>
    <cellStyle name="표준 764" xfId="0"/>
    <cellStyle name="표준 765" xfId="0"/>
    <cellStyle name="표준 766" xfId="0"/>
    <cellStyle name="표준 767" xfId="0"/>
    <cellStyle name="표준 768" xfId="0"/>
    <cellStyle name="표준 769" xfId="0"/>
    <cellStyle name="표준 77" xfId="0"/>
    <cellStyle name="표준 77 2" xfId="0"/>
    <cellStyle name="표준 770" xfId="0"/>
    <cellStyle name="표준 771" xfId="0"/>
    <cellStyle name="표준 772" xfId="0"/>
    <cellStyle name="표준 773" xfId="0"/>
    <cellStyle name="표준 774" xfId="0"/>
    <cellStyle name="표준 775" xfId="0"/>
    <cellStyle name="표준 776" xfId="0"/>
    <cellStyle name="표준 777" xfId="0"/>
    <cellStyle name="표준 778" xfId="0"/>
    <cellStyle name="표준 779" xfId="0"/>
    <cellStyle name="표준 78" xfId="0"/>
    <cellStyle name="표준 78 2" xfId="0"/>
    <cellStyle name="표준 780" xfId="0"/>
    <cellStyle name="표준 781" xfId="0"/>
    <cellStyle name="표준 782" xfId="0"/>
    <cellStyle name="표준 783" xfId="0"/>
    <cellStyle name="표준 784" xfId="0"/>
    <cellStyle name="표준 785" xfId="0"/>
    <cellStyle name="표준 786" xfId="0"/>
    <cellStyle name="표준 787" xfId="0"/>
    <cellStyle name="표준 788" xfId="0"/>
    <cellStyle name="표준 789" xfId="0"/>
    <cellStyle name="표준 79" xfId="0"/>
    <cellStyle name="표준 79 10" xfId="0"/>
    <cellStyle name="표준 79 11" xfId="0"/>
    <cellStyle name="표준 79 12" xfId="0"/>
    <cellStyle name="표준 79 13" xfId="0"/>
    <cellStyle name="표준 79 14" xfId="0"/>
    <cellStyle name="표준 79 15" xfId="0"/>
    <cellStyle name="표준 79 2" xfId="0"/>
    <cellStyle name="표준 79 3" xfId="0"/>
    <cellStyle name="표준 79 4" xfId="0"/>
    <cellStyle name="표준 79 5" xfId="0"/>
    <cellStyle name="표준 79 6" xfId="0"/>
    <cellStyle name="표준 79 7" xfId="0"/>
    <cellStyle name="표준 79 8" xfId="0"/>
    <cellStyle name="표준 79 9" xfId="0"/>
    <cellStyle name="표준 790" xfId="0"/>
    <cellStyle name="표준 791" xfId="0"/>
    <cellStyle name="표준 792" xfId="0"/>
    <cellStyle name="표준 793" xfId="0"/>
    <cellStyle name="표준 794" xfId="0"/>
    <cellStyle name="표준 795" xfId="0"/>
    <cellStyle name="표준 796" xfId="0"/>
    <cellStyle name="표준 797" xfId="0"/>
    <cellStyle name="표준 798" xfId="0"/>
    <cellStyle name="표준 799" xfId="0"/>
    <cellStyle name="표준 8" xfId="0"/>
    <cellStyle name="표준 8 10" xfId="0"/>
    <cellStyle name="표준 8 10 2" xfId="0"/>
    <cellStyle name="표준 8 11" xfId="0"/>
    <cellStyle name="표준 8 11 2" xfId="0"/>
    <cellStyle name="표준 8 12" xfId="0"/>
    <cellStyle name="표준 8 12 2" xfId="0"/>
    <cellStyle name="표준 8 13" xfId="0"/>
    <cellStyle name="표준 8 13 2" xfId="0"/>
    <cellStyle name="표준 8 14" xfId="0"/>
    <cellStyle name="표준 8 14 2" xfId="0"/>
    <cellStyle name="표준 8 15" xfId="0"/>
    <cellStyle name="표준 8 16" xfId="0"/>
    <cellStyle name="표준 8 17" xfId="0"/>
    <cellStyle name="표준 8 18" xfId="0"/>
    <cellStyle name="표준 8 19" xfId="0"/>
    <cellStyle name="표준 8 2" xfId="0"/>
    <cellStyle name="표준 8 2 10" xfId="0"/>
    <cellStyle name="표준 8 2 10 2" xfId="0"/>
    <cellStyle name="표준 8 2 11" xfId="0"/>
    <cellStyle name="표준 8 2 2" xfId="0"/>
    <cellStyle name="표준 8 2 2 10" xfId="0"/>
    <cellStyle name="표준 8 2 2 11" xfId="0"/>
    <cellStyle name="표준 8 2 2 12" xfId="0"/>
    <cellStyle name="표준 8 2 2 2" xfId="0"/>
    <cellStyle name="표준 8 2 2 2 2" xfId="0"/>
    <cellStyle name="표준 8 2 2 3" xfId="0"/>
    <cellStyle name="표준 8 2 2 3 2" xfId="0"/>
    <cellStyle name="표준 8 2 2 3 2 2" xfId="0"/>
    <cellStyle name="표준 8 2 2 3 2 2 2" xfId="0"/>
    <cellStyle name="표준 8 2 2 3 2 2 2 2" xfId="0"/>
    <cellStyle name="표준 8 2 2 3 2 2 2 2 2" xfId="0"/>
    <cellStyle name="표준 8 2 2 3 2 2 2 2 2 2" xfId="0"/>
    <cellStyle name="표준 8 2 2 3 2 2 2 2 2 2 2" xfId="0"/>
    <cellStyle name="표준 8 2 2 3 2 2 2 2 2 2 2 2" xfId="0"/>
    <cellStyle name="표준 8 2 2 3 2 2 2 2 2 2 2 2 2" xfId="0"/>
    <cellStyle name="표준 8 2 2 3 3" xfId="0"/>
    <cellStyle name="표준 8 2 2 4" xfId="0"/>
    <cellStyle name="표준 8 2 2 5" xfId="0"/>
    <cellStyle name="표준 8 2 2 6" xfId="0"/>
    <cellStyle name="표준 8 2 2 7" xfId="0"/>
    <cellStyle name="표준 8 2 2 8" xfId="0"/>
    <cellStyle name="표준 8 2 2 9" xfId="0"/>
    <cellStyle name="표준 8 2 3" xfId="0"/>
    <cellStyle name="표준 8 2 3 2" xfId="0"/>
    <cellStyle name="표준 8 2 3 3" xfId="0"/>
    <cellStyle name="표준 8 2 4" xfId="0"/>
    <cellStyle name="표준 8 2 4 2" xfId="0"/>
    <cellStyle name="표준 8 2 4 3" xfId="0"/>
    <cellStyle name="표준 8 2 5" xfId="0"/>
    <cellStyle name="표준 8 2 5 2" xfId="0"/>
    <cellStyle name="표준 8 2 6" xfId="0"/>
    <cellStyle name="표준 8 2 6 2" xfId="0"/>
    <cellStyle name="표준 8 2 7" xfId="0"/>
    <cellStyle name="표준 8 2 7 2" xfId="0"/>
    <cellStyle name="표준 8 2 8" xfId="0"/>
    <cellStyle name="표준 8 2 8 2" xfId="0"/>
    <cellStyle name="표준 8 2 9" xfId="0"/>
    <cellStyle name="표준 8 2 9 2" xfId="0"/>
    <cellStyle name="표준 8 20" xfId="0"/>
    <cellStyle name="표준 8 21" xfId="0"/>
    <cellStyle name="표준 8 22" xfId="0"/>
    <cellStyle name="표준 8 23" xfId="0"/>
    <cellStyle name="표준 8 24" xfId="0"/>
    <cellStyle name="표준 8 25" xfId="0"/>
    <cellStyle name="표준 8 26" xfId="0"/>
    <cellStyle name="표준 8 27" xfId="0"/>
    <cellStyle name="표준 8 28" xfId="0"/>
    <cellStyle name="표준 8 29" xfId="0"/>
    <cellStyle name="표준 8 3" xfId="0"/>
    <cellStyle name="표준 8 3 10" xfId="0"/>
    <cellStyle name="표준 8 3 11" xfId="0"/>
    <cellStyle name="표준 8 3 12" xfId="0"/>
    <cellStyle name="표준 8 3 2" xfId="0"/>
    <cellStyle name="표준 8 3 2 2" xfId="0"/>
    <cellStyle name="표준 8 3 2 2 2" xfId="0"/>
    <cellStyle name="표준 8 3 2 2 3" xfId="0"/>
    <cellStyle name="표준 8 3 2 2 4" xfId="0"/>
    <cellStyle name="표준 8 3 2 2 5" xfId="0"/>
    <cellStyle name="표준 8 3 2 3" xfId="0"/>
    <cellStyle name="표준 8 3 2 4" xfId="0"/>
    <cellStyle name="표준 8 3 2 5" xfId="0"/>
    <cellStyle name="표준 8 3 3" xfId="0"/>
    <cellStyle name="표준 8 3 3 2" xfId="0"/>
    <cellStyle name="표준 8 3 3 3" xfId="0"/>
    <cellStyle name="표준 8 3 3 4" xfId="0"/>
    <cellStyle name="표준 8 3 3 5" xfId="0"/>
    <cellStyle name="표준 8 3 4" xfId="0"/>
    <cellStyle name="표준 8 3 4 2" xfId="0"/>
    <cellStyle name="표준 8 3 4 3" xfId="0"/>
    <cellStyle name="표준 8 3 4 4" xfId="0"/>
    <cellStyle name="표준 8 3 4 5" xfId="0"/>
    <cellStyle name="표준 8 3 5" xfId="0"/>
    <cellStyle name="표준 8 3 5 2" xfId="0"/>
    <cellStyle name="표준 8 3 5 3" xfId="0"/>
    <cellStyle name="표준 8 3 5 4" xfId="0"/>
    <cellStyle name="표준 8 3 5 5" xfId="0"/>
    <cellStyle name="표준 8 3 6" xfId="0"/>
    <cellStyle name="표준 8 3 6 2" xfId="0"/>
    <cellStyle name="표준 8 3 6 3" xfId="0"/>
    <cellStyle name="표준 8 3 6 4" xfId="0"/>
    <cellStyle name="표준 8 3 6 5" xfId="0"/>
    <cellStyle name="표준 8 3 7" xfId="0"/>
    <cellStyle name="표준 8 3 8" xfId="0"/>
    <cellStyle name="표준 8 3 9" xfId="0"/>
    <cellStyle name="표준 8 30" xfId="0"/>
    <cellStyle name="표준 8 4" xfId="0"/>
    <cellStyle name="표준 8 4 2" xfId="0"/>
    <cellStyle name="표준 8 5" xfId="0"/>
    <cellStyle name="표준 8 5 2" xfId="0"/>
    <cellStyle name="표준 8 6" xfId="0"/>
    <cellStyle name="표준 8 6 2" xfId="0"/>
    <cellStyle name="표준 8 7" xfId="0"/>
    <cellStyle name="표준 8 7 2" xfId="0"/>
    <cellStyle name="표준 8 8" xfId="0"/>
    <cellStyle name="표준 8 8 2" xfId="0"/>
    <cellStyle name="표준 8 9" xfId="0"/>
    <cellStyle name="표준 8 9 2" xfId="0"/>
    <cellStyle name="표준 80" xfId="0"/>
    <cellStyle name="표준 80 10" xfId="0"/>
    <cellStyle name="표준 80 10 2" xfId="0"/>
    <cellStyle name="표준 80 10 3" xfId="0"/>
    <cellStyle name="표준 80 10 4" xfId="0"/>
    <cellStyle name="표준 80 10 5" xfId="0"/>
    <cellStyle name="표준 80 10 6" xfId="0"/>
    <cellStyle name="표준 80 11" xfId="0"/>
    <cellStyle name="표준 80 11 2" xfId="0"/>
    <cellStyle name="표준 80 11 3" xfId="0"/>
    <cellStyle name="표준 80 11 4" xfId="0"/>
    <cellStyle name="표준 80 11 5" xfId="0"/>
    <cellStyle name="표준 80 11 6" xfId="0"/>
    <cellStyle name="표준 80 12" xfId="0"/>
    <cellStyle name="표준 80 12 2" xfId="0"/>
    <cellStyle name="표준 80 12 3" xfId="0"/>
    <cellStyle name="표준 80 12 4" xfId="0"/>
    <cellStyle name="표준 80 12 5" xfId="0"/>
    <cellStyle name="표준 80 12 6" xfId="0"/>
    <cellStyle name="표준 80 13" xfId="0"/>
    <cellStyle name="표준 80 13 2" xfId="0"/>
    <cellStyle name="표준 80 13 3" xfId="0"/>
    <cellStyle name="표준 80 13 4" xfId="0"/>
    <cellStyle name="표준 80 13 5" xfId="0"/>
    <cellStyle name="표준 80 13 6" xfId="0"/>
    <cellStyle name="표준 80 14" xfId="0"/>
    <cellStyle name="표준 80 14 2" xfId="0"/>
    <cellStyle name="표준 80 14 3" xfId="0"/>
    <cellStyle name="표준 80 14 4" xfId="0"/>
    <cellStyle name="표준 80 14 5" xfId="0"/>
    <cellStyle name="표준 80 14 6" xfId="0"/>
    <cellStyle name="표준 80 15" xfId="0"/>
    <cellStyle name="표준 80 15 2" xfId="0"/>
    <cellStyle name="표준 80 15 3" xfId="0"/>
    <cellStyle name="표준 80 15 4" xfId="0"/>
    <cellStyle name="표준 80 15 5" xfId="0"/>
    <cellStyle name="표준 80 15 6" xfId="0"/>
    <cellStyle name="표준 80 16" xfId="0"/>
    <cellStyle name="표준 80 16 2" xfId="0"/>
    <cellStyle name="표준 80 17" xfId="0"/>
    <cellStyle name="표준 80 18" xfId="0"/>
    <cellStyle name="표준 80 19" xfId="0"/>
    <cellStyle name="표준 80 2" xfId="0"/>
    <cellStyle name="표준 80 2 2" xfId="0"/>
    <cellStyle name="표준 80 20" xfId="0"/>
    <cellStyle name="표준 80 3" xfId="0"/>
    <cellStyle name="표준 80 3 2" xfId="0"/>
    <cellStyle name="표준 80 4" xfId="0"/>
    <cellStyle name="표준 80 4 2" xfId="0"/>
    <cellStyle name="표준 80 5" xfId="0"/>
    <cellStyle name="표준 80 5 2" xfId="0"/>
    <cellStyle name="표준 80 6" xfId="0"/>
    <cellStyle name="표준 80 6 2" xfId="0"/>
    <cellStyle name="표준 80 7" xfId="0"/>
    <cellStyle name="표준 80 7 2" xfId="0"/>
    <cellStyle name="표준 80 7 3" xfId="0"/>
    <cellStyle name="표준 80 7 4" xfId="0"/>
    <cellStyle name="표준 80 7 5" xfId="0"/>
    <cellStyle name="표준 80 7 6" xfId="0"/>
    <cellStyle name="표준 80 8" xfId="0"/>
    <cellStyle name="표준 80 8 2" xfId="0"/>
    <cellStyle name="표준 80 8 3" xfId="0"/>
    <cellStyle name="표준 80 8 4" xfId="0"/>
    <cellStyle name="표준 80 8 5" xfId="0"/>
    <cellStyle name="표준 80 8 6" xfId="0"/>
    <cellStyle name="표준 80 9" xfId="0"/>
    <cellStyle name="표준 80 9 2" xfId="0"/>
    <cellStyle name="표준 80 9 3" xfId="0"/>
    <cellStyle name="표준 80 9 4" xfId="0"/>
    <cellStyle name="표준 80 9 5" xfId="0"/>
    <cellStyle name="표준 80 9 6" xfId="0"/>
    <cellStyle name="표준 800" xfId="0"/>
    <cellStyle name="표준 801" xfId="0"/>
    <cellStyle name="표준 802" xfId="0"/>
    <cellStyle name="표준 803" xfId="0"/>
    <cellStyle name="표준 804" xfId="0"/>
    <cellStyle name="표준 805" xfId="0"/>
    <cellStyle name="표준 806" xfId="0"/>
    <cellStyle name="표준 807" xfId="0"/>
    <cellStyle name="표준 808" xfId="0"/>
    <cellStyle name="표준 809" xfId="0"/>
    <cellStyle name="표준 81" xfId="0"/>
    <cellStyle name="표준 81 10" xfId="0"/>
    <cellStyle name="표준 81 11" xfId="0"/>
    <cellStyle name="표준 81 12" xfId="0"/>
    <cellStyle name="표준 81 13" xfId="0"/>
    <cellStyle name="표준 81 14" xfId="0"/>
    <cellStyle name="표준 81 15" xfId="0"/>
    <cellStyle name="표준 81 2" xfId="0"/>
    <cellStyle name="표준 81 3" xfId="0"/>
    <cellStyle name="표준 81 4" xfId="0"/>
    <cellStyle name="표준 81 5" xfId="0"/>
    <cellStyle name="표준 81 6" xfId="0"/>
    <cellStyle name="표준 81 7" xfId="0"/>
    <cellStyle name="표준 81 8" xfId="0"/>
    <cellStyle name="표준 81 9" xfId="0"/>
    <cellStyle name="표준 810" xfId="0"/>
    <cellStyle name="표준 811" xfId="0"/>
    <cellStyle name="표준 812" xfId="0"/>
    <cellStyle name="표준 813" xfId="0"/>
    <cellStyle name="표준 814" xfId="0"/>
    <cellStyle name="표준 815" xfId="0"/>
    <cellStyle name="표준 816" xfId="0"/>
    <cellStyle name="표준 817" xfId="0"/>
    <cellStyle name="표준 818" xfId="0"/>
    <cellStyle name="표준 819" xfId="0"/>
    <cellStyle name="표준 82" xfId="0"/>
    <cellStyle name="표준 82 10" xfId="0"/>
    <cellStyle name="표준 82 11" xfId="0"/>
    <cellStyle name="표준 82 12" xfId="0"/>
    <cellStyle name="표준 82 13" xfId="0"/>
    <cellStyle name="표준 82 14" xfId="0"/>
    <cellStyle name="표준 82 15" xfId="0"/>
    <cellStyle name="표준 82 2" xfId="0"/>
    <cellStyle name="표준 82 3" xfId="0"/>
    <cellStyle name="표준 82 4" xfId="0"/>
    <cellStyle name="표준 82 5" xfId="0"/>
    <cellStyle name="표준 82 6" xfId="0"/>
    <cellStyle name="표준 82 7" xfId="0"/>
    <cellStyle name="표준 82 8" xfId="0"/>
    <cellStyle name="표준 82 9" xfId="0"/>
    <cellStyle name="표준 820" xfId="0"/>
    <cellStyle name="표준 821" xfId="0"/>
    <cellStyle name="표준 822" xfId="0"/>
    <cellStyle name="표준 823" xfId="0"/>
    <cellStyle name="표준 824" xfId="0"/>
    <cellStyle name="표준 825" xfId="0"/>
    <cellStyle name="표준 826" xfId="0"/>
    <cellStyle name="표준 827" xfId="0"/>
    <cellStyle name="표준 828" xfId="0"/>
    <cellStyle name="표준 829" xfId="0"/>
    <cellStyle name="표준 83" xfId="0"/>
    <cellStyle name="표준 830" xfId="0"/>
    <cellStyle name="표준 831" xfId="0"/>
    <cellStyle name="표준 832" xfId="0"/>
    <cellStyle name="표준 833" xfId="0"/>
    <cellStyle name="표준 834" xfId="0"/>
    <cellStyle name="표준 835" xfId="0"/>
    <cellStyle name="표준 836" xfId="0"/>
    <cellStyle name="표준 837" xfId="0"/>
    <cellStyle name="표준 838" xfId="0"/>
    <cellStyle name="표준 839" xfId="0"/>
    <cellStyle name="표준 84" xfId="0"/>
    <cellStyle name="표준 840" xfId="0"/>
    <cellStyle name="표준 841" xfId="0"/>
    <cellStyle name="표준 842" xfId="0"/>
    <cellStyle name="표준 843" xfId="0"/>
    <cellStyle name="표준 844" xfId="0"/>
    <cellStyle name="표준 845" xfId="0"/>
    <cellStyle name="표준 846" xfId="0"/>
    <cellStyle name="표준 847" xfId="0"/>
    <cellStyle name="표준 848" xfId="0"/>
    <cellStyle name="표준 849" xfId="0"/>
    <cellStyle name="표준 85" xfId="0"/>
    <cellStyle name="표준 850" xfId="0"/>
    <cellStyle name="표준 851" xfId="0"/>
    <cellStyle name="표준 852" xfId="0"/>
    <cellStyle name="표준 853" xfId="0"/>
    <cellStyle name="표준 854" xfId="0"/>
    <cellStyle name="표준 855" xfId="0"/>
    <cellStyle name="표준 856" xfId="0"/>
    <cellStyle name="표준 857" xfId="0"/>
    <cellStyle name="표준 858" xfId="0"/>
    <cellStyle name="표준 859" xfId="0"/>
    <cellStyle name="표준 86" xfId="0"/>
    <cellStyle name="표준 86 10" xfId="0"/>
    <cellStyle name="표준 86 11" xfId="0"/>
    <cellStyle name="표준 86 12" xfId="0"/>
    <cellStyle name="표준 86 13" xfId="0"/>
    <cellStyle name="표준 86 14" xfId="0"/>
    <cellStyle name="표준 86 15" xfId="0"/>
    <cellStyle name="표준 86 2" xfId="0"/>
    <cellStyle name="표준 86 3" xfId="0"/>
    <cellStyle name="표준 86 4" xfId="0"/>
    <cellStyle name="표준 86 5" xfId="0"/>
    <cellStyle name="표준 86 6" xfId="0"/>
    <cellStyle name="표준 86 7" xfId="0"/>
    <cellStyle name="표준 86 8" xfId="0"/>
    <cellStyle name="표준 86 9" xfId="0"/>
    <cellStyle name="표준 860" xfId="0"/>
    <cellStyle name="표준 861" xfId="0"/>
    <cellStyle name="표준 862" xfId="0"/>
    <cellStyle name="표준 863" xfId="0"/>
    <cellStyle name="표준 864" xfId="0"/>
    <cellStyle name="표준 865" xfId="0"/>
    <cellStyle name="표준 866" xfId="0"/>
    <cellStyle name="표준 867" xfId="0"/>
    <cellStyle name="표준 868" xfId="0"/>
    <cellStyle name="표준 869" xfId="0"/>
    <cellStyle name="표준 87" xfId="0"/>
    <cellStyle name="표준 87 10" xfId="0"/>
    <cellStyle name="표준 87 11" xfId="0"/>
    <cellStyle name="표준 87 12" xfId="0"/>
    <cellStyle name="표준 87 13" xfId="0"/>
    <cellStyle name="표준 87 14" xfId="0"/>
    <cellStyle name="표준 87 2" xfId="0"/>
    <cellStyle name="표준 87 3" xfId="0"/>
    <cellStyle name="표준 87 4" xfId="0"/>
    <cellStyle name="표준 87 5" xfId="0"/>
    <cellStyle name="표준 87 6" xfId="0"/>
    <cellStyle name="표준 87 7" xfId="0"/>
    <cellStyle name="표준 87 8" xfId="0"/>
    <cellStyle name="표준 87 9" xfId="0"/>
    <cellStyle name="표준 870" xfId="0"/>
    <cellStyle name="표준 870 2" xfId="0"/>
    <cellStyle name="표준 870 2 2" xfId="0"/>
    <cellStyle name="표준 870 2 2 2" xfId="0"/>
    <cellStyle name="표준 871" xfId="0"/>
    <cellStyle name="표준 872" xfId="0"/>
    <cellStyle name="표준 872 2" xfId="0"/>
    <cellStyle name="표준 872 2 2" xfId="0"/>
    <cellStyle name="표준 873" xfId="0"/>
    <cellStyle name="표준 874" xfId="0"/>
    <cellStyle name="표준 875" xfId="0"/>
    <cellStyle name="표준 876" xfId="0"/>
    <cellStyle name="표준 877" xfId="0"/>
    <cellStyle name="표준 877 2" xfId="0"/>
    <cellStyle name="표준 877 2 2" xfId="0"/>
    <cellStyle name="표준 878" xfId="0"/>
    <cellStyle name="표준 879" xfId="0"/>
    <cellStyle name="표준 879 2" xfId="0"/>
    <cellStyle name="표준 879 2 2" xfId="0"/>
    <cellStyle name="표준 88" xfId="0"/>
    <cellStyle name="표준 88 10" xfId="0"/>
    <cellStyle name="표준 88 11" xfId="0"/>
    <cellStyle name="표준 88 12" xfId="0"/>
    <cellStyle name="표준 88 13" xfId="0"/>
    <cellStyle name="표준 88 14" xfId="0"/>
    <cellStyle name="표준 88 15" xfId="0"/>
    <cellStyle name="표준 88 2" xfId="0"/>
    <cellStyle name="표준 88 3" xfId="0"/>
    <cellStyle name="표준 88 4" xfId="0"/>
    <cellStyle name="표준 88 5" xfId="0"/>
    <cellStyle name="표준 88 6" xfId="0"/>
    <cellStyle name="표준 88 7" xfId="0"/>
    <cellStyle name="표준 88 8" xfId="0"/>
    <cellStyle name="표준 88 9" xfId="0"/>
    <cellStyle name="표준 880" xfId="0"/>
    <cellStyle name="표준 881" xfId="0"/>
    <cellStyle name="표준 882" xfId="0"/>
    <cellStyle name="표준 882 2" xfId="0"/>
    <cellStyle name="표준 882 2 2" xfId="0"/>
    <cellStyle name="표준 883" xfId="0"/>
    <cellStyle name="표준 883 2" xfId="0"/>
    <cellStyle name="표준 883 2 2" xfId="0"/>
    <cellStyle name="표준 884" xfId="0"/>
    <cellStyle name="표준 884 2" xfId="0"/>
    <cellStyle name="표준 885" xfId="0"/>
    <cellStyle name="표준 885 2" xfId="0"/>
    <cellStyle name="표준 885 2 2" xfId="0"/>
    <cellStyle name="표준 886" xfId="0"/>
    <cellStyle name="표준 886 2" xfId="0"/>
    <cellStyle name="표준 886 2 2" xfId="0"/>
    <cellStyle name="표준 887" xfId="0"/>
    <cellStyle name="표준 887 2" xfId="0"/>
    <cellStyle name="표준 888" xfId="0"/>
    <cellStyle name="표준 888 2" xfId="0"/>
    <cellStyle name="표준 889" xfId="0"/>
    <cellStyle name="표준 89" xfId="0"/>
    <cellStyle name="표준 89 10" xfId="0"/>
    <cellStyle name="표준 89 11" xfId="0"/>
    <cellStyle name="표준 89 12" xfId="0"/>
    <cellStyle name="표준 89 13" xfId="0"/>
    <cellStyle name="표준 89 14" xfId="0"/>
    <cellStyle name="표준 89 15" xfId="0"/>
    <cellStyle name="표준 89 2" xfId="0"/>
    <cellStyle name="표준 89 3" xfId="0"/>
    <cellStyle name="표준 89 4" xfId="0"/>
    <cellStyle name="표준 89 5" xfId="0"/>
    <cellStyle name="표준 89 6" xfId="0"/>
    <cellStyle name="표준 89 7" xfId="0"/>
    <cellStyle name="표준 89 8" xfId="0"/>
    <cellStyle name="표준 89 9" xfId="0"/>
    <cellStyle name="표준 890" xfId="0"/>
    <cellStyle name="표준 890 2" xfId="0"/>
    <cellStyle name="표준 890 2 2" xfId="0"/>
    <cellStyle name="표준 891" xfId="0"/>
    <cellStyle name="표준 891 2" xfId="0"/>
    <cellStyle name="표준 891 2 2" xfId="0"/>
    <cellStyle name="표준 892" xfId="0"/>
    <cellStyle name="표준 892 2" xfId="0"/>
    <cellStyle name="표준 892 2 2" xfId="0"/>
    <cellStyle name="표준 893" xfId="0"/>
    <cellStyle name="표준 893 2" xfId="0"/>
    <cellStyle name="표준 894" xfId="0"/>
    <cellStyle name="표준 895" xfId="0"/>
    <cellStyle name="표준 895 2" xfId="0"/>
    <cellStyle name="표준 895 2 2" xfId="0"/>
    <cellStyle name="표준 896" xfId="0"/>
    <cellStyle name="표준 897" xfId="0"/>
    <cellStyle name="표준 897 2" xfId="0"/>
    <cellStyle name="표준 897 2 2" xfId="0"/>
    <cellStyle name="표준 898" xfId="0"/>
    <cellStyle name="표준 898 2" xfId="0"/>
    <cellStyle name="표준 898 2 2" xfId="0"/>
    <cellStyle name="표준 899" xfId="0"/>
    <cellStyle name="표준 9" xfId="0"/>
    <cellStyle name="표준 9 10" xfId="0"/>
    <cellStyle name="표준 9 10 2" xfId="0"/>
    <cellStyle name="표준 9 11" xfId="0"/>
    <cellStyle name="표준 9 11 2" xfId="0"/>
    <cellStyle name="표준 9 12" xfId="0"/>
    <cellStyle name="표준 9 12 2" xfId="0"/>
    <cellStyle name="표준 9 13" xfId="0"/>
    <cellStyle name="표준 9 13 2" xfId="0"/>
    <cellStyle name="표준 9 14" xfId="0"/>
    <cellStyle name="표준 9 14 2" xfId="0"/>
    <cellStyle name="표준 9 15" xfId="0"/>
    <cellStyle name="표준 9 16" xfId="0"/>
    <cellStyle name="표준 9 17" xfId="0"/>
    <cellStyle name="표준 9 18" xfId="0"/>
    <cellStyle name="표준 9 19" xfId="0"/>
    <cellStyle name="표준 9 2" xfId="0"/>
    <cellStyle name="표준 9 2 10" xfId="0"/>
    <cellStyle name="표준 9 2 10 2" xfId="0"/>
    <cellStyle name="표준 9 2 11" xfId="0"/>
    <cellStyle name="표준 9 2 11 2" xfId="0"/>
    <cellStyle name="표준 9 2 12" xfId="0"/>
    <cellStyle name="표준 9 2 12 2" xfId="0"/>
    <cellStyle name="표준 9 2 13" xfId="0"/>
    <cellStyle name="표준 9 2 13 2" xfId="0"/>
    <cellStyle name="표준 9 2 14" xfId="0"/>
    <cellStyle name="표준 9 2 14 2" xfId="0"/>
    <cellStyle name="표준 9 2 15" xfId="0"/>
    <cellStyle name="표준 9 2 15 2" xfId="0"/>
    <cellStyle name="표준 9 2 16" xfId="0"/>
    <cellStyle name="표준 9 2 17" xfId="0"/>
    <cellStyle name="표준 9 2 2" xfId="0"/>
    <cellStyle name="표준 9 2 2 10" xfId="0"/>
    <cellStyle name="표준 9 2 2 11" xfId="0"/>
    <cellStyle name="표준 9 2 2 12" xfId="0"/>
    <cellStyle name="표준 9 2 2 13" xfId="0"/>
    <cellStyle name="표준 9 2 2 14" xfId="0"/>
    <cellStyle name="표준 9 2 2 15" xfId="0"/>
    <cellStyle name="표준 9 2 2 16" xfId="0"/>
    <cellStyle name="표준 9 2 2 17" xfId="0"/>
    <cellStyle name="표준 9 2 2 2" xfId="0"/>
    <cellStyle name="표준 9 2 2 2 2" xfId="0"/>
    <cellStyle name="표준 9 2 2 2 3" xfId="0"/>
    <cellStyle name="표준 9 2 2 3" xfId="0"/>
    <cellStyle name="표준 9 2 2 3 2" xfId="0"/>
    <cellStyle name="표준 9 2 2 3 2 2" xfId="0"/>
    <cellStyle name="표준 9 2 2 3 2 2 2" xfId="0"/>
    <cellStyle name="표준 9 2 2 3 2 2 2 2" xfId="0"/>
    <cellStyle name="표준 9 2 2 3 2 2 2 2 2" xfId="0"/>
    <cellStyle name="표준 9 2 2 3 2 2 2 2 2 2" xfId="0"/>
    <cellStyle name="표준 9 2 2 3 2 2 2 2 2 2 2" xfId="0"/>
    <cellStyle name="표준 9 2 2 3 2 2 2 2 2 2 2 2" xfId="0"/>
    <cellStyle name="표준 9 2 2 3 2 2 2 2 2 2 2 2 2" xfId="0"/>
    <cellStyle name="표준 9 2 2 3 2 3" xfId="0"/>
    <cellStyle name="표준 9 2 2 3 3" xfId="0"/>
    <cellStyle name="표준 9 2 2 4" xfId="0"/>
    <cellStyle name="표준 9 2 2 4 2" xfId="0"/>
    <cellStyle name="표준 9 2 2 5" xfId="0"/>
    <cellStyle name="표준 9 2 2 5 2" xfId="0"/>
    <cellStyle name="표준 9 2 2 6" xfId="0"/>
    <cellStyle name="표준 9 2 2 6 2" xfId="0"/>
    <cellStyle name="표준 9 2 2 7" xfId="0"/>
    <cellStyle name="표준 9 2 2 7 2" xfId="0"/>
    <cellStyle name="표준 9 2 2 8" xfId="0"/>
    <cellStyle name="표준 9 2 2 9" xfId="0"/>
    <cellStyle name="표준 9 2 3" xfId="0"/>
    <cellStyle name="표준 9 2 3 2" xfId="0"/>
    <cellStyle name="표준 9 2 4" xfId="0"/>
    <cellStyle name="표준 9 2 4 2" xfId="0"/>
    <cellStyle name="표준 9 2 5" xfId="0"/>
    <cellStyle name="표준 9 2 6" xfId="0"/>
    <cellStyle name="표준 9 2 7" xfId="0"/>
    <cellStyle name="표준 9 2 7 2" xfId="0"/>
    <cellStyle name="표준 9 2 8" xfId="0"/>
    <cellStyle name="표준 9 2 8 2" xfId="0"/>
    <cellStyle name="표준 9 2 9" xfId="0"/>
    <cellStyle name="표준 9 2 9 2" xfId="0"/>
    <cellStyle name="표준 9 20" xfId="0"/>
    <cellStyle name="표준 9 21" xfId="0"/>
    <cellStyle name="표준 9 22" xfId="0"/>
    <cellStyle name="표준 9 23" xfId="0"/>
    <cellStyle name="표준 9 24" xfId="0"/>
    <cellStyle name="표준 9 25" xfId="0"/>
    <cellStyle name="표준 9 26" xfId="0"/>
    <cellStyle name="표준 9 27" xfId="0"/>
    <cellStyle name="표준 9 3" xfId="0"/>
    <cellStyle name="표준 9 3 10" xfId="0"/>
    <cellStyle name="표준 9 3 11" xfId="0"/>
    <cellStyle name="표준 9 3 12" xfId="0"/>
    <cellStyle name="표준 9 3 2" xfId="0"/>
    <cellStyle name="표준 9 3 2 2" xfId="0"/>
    <cellStyle name="표준 9 3 2 2 2" xfId="0"/>
    <cellStyle name="표준 9 3 2 2 3" xfId="0"/>
    <cellStyle name="표준 9 3 2 2 4" xfId="0"/>
    <cellStyle name="표준 9 3 2 2 5" xfId="0"/>
    <cellStyle name="표준 9 3 2 3" xfId="0"/>
    <cellStyle name="표준 9 3 2 4" xfId="0"/>
    <cellStyle name="표준 9 3 2 5" xfId="0"/>
    <cellStyle name="표준 9 3 3" xfId="0"/>
    <cellStyle name="표준 9 3 3 2" xfId="0"/>
    <cellStyle name="표준 9 3 3 3" xfId="0"/>
    <cellStyle name="표준 9 3 3 4" xfId="0"/>
    <cellStyle name="표준 9 3 3 5" xfId="0"/>
    <cellStyle name="표준 9 3 4" xfId="0"/>
    <cellStyle name="표준 9 3 4 2" xfId="0"/>
    <cellStyle name="표준 9 3 4 3" xfId="0"/>
    <cellStyle name="표준 9 3 4 4" xfId="0"/>
    <cellStyle name="표준 9 3 4 5" xfId="0"/>
    <cellStyle name="표준 9 3 5" xfId="0"/>
    <cellStyle name="표준 9 3 5 2" xfId="0"/>
    <cellStyle name="표준 9 3 5 3" xfId="0"/>
    <cellStyle name="표준 9 3 5 4" xfId="0"/>
    <cellStyle name="표준 9 3 5 5" xfId="0"/>
    <cellStyle name="표준 9 3 6" xfId="0"/>
    <cellStyle name="표준 9 3 6 2" xfId="0"/>
    <cellStyle name="표준 9 3 6 3" xfId="0"/>
    <cellStyle name="표준 9 3 6 4" xfId="0"/>
    <cellStyle name="표준 9 3 6 5" xfId="0"/>
    <cellStyle name="표준 9 3 7" xfId="0"/>
    <cellStyle name="표준 9 3 8" xfId="0"/>
    <cellStyle name="표준 9 3 9" xfId="0"/>
    <cellStyle name="표준 9 4" xfId="0"/>
    <cellStyle name="표준 9 4 2" xfId="0"/>
    <cellStyle name="표준 9 5" xfId="0"/>
    <cellStyle name="표준 9 5 2" xfId="0"/>
    <cellStyle name="표준 9 6" xfId="0"/>
    <cellStyle name="표준 9 6 2" xfId="0"/>
    <cellStyle name="표준 9 7" xfId="0"/>
    <cellStyle name="표준 9 7 2" xfId="0"/>
    <cellStyle name="표준 9 8" xfId="0"/>
    <cellStyle name="표준 9 8 2" xfId="0"/>
    <cellStyle name="표준 9 9" xfId="0"/>
    <cellStyle name="표준 9 9 2" xfId="0"/>
    <cellStyle name="표준 90" xfId="0"/>
    <cellStyle name="표준 90 10" xfId="0"/>
    <cellStyle name="표준 90 11" xfId="0"/>
    <cellStyle name="표준 90 12" xfId="0"/>
    <cellStyle name="표준 90 13" xfId="0"/>
    <cellStyle name="표준 90 14" xfId="0"/>
    <cellStyle name="표준 90 2" xfId="0"/>
    <cellStyle name="표준 90 3" xfId="0"/>
    <cellStyle name="표준 90 4" xfId="0"/>
    <cellStyle name="표준 90 5" xfId="0"/>
    <cellStyle name="표준 90 6" xfId="0"/>
    <cellStyle name="표준 90 7" xfId="0"/>
    <cellStyle name="표준 90 8" xfId="0"/>
    <cellStyle name="표준 90 9" xfId="0"/>
    <cellStyle name="표준 900" xfId="0"/>
    <cellStyle name="표준 901" xfId="0"/>
    <cellStyle name="표준 901 2" xfId="0"/>
    <cellStyle name="표준 902" xfId="0"/>
    <cellStyle name="표준 902 2" xfId="0"/>
    <cellStyle name="표준 903" xfId="0"/>
    <cellStyle name="표준 903 2" xfId="0"/>
    <cellStyle name="표준 904" xfId="0"/>
    <cellStyle name="표준 904 2" xfId="0"/>
    <cellStyle name="표준 904 2 2" xfId="0"/>
    <cellStyle name="표준 905" xfId="0"/>
    <cellStyle name="표준 905 2" xfId="0"/>
    <cellStyle name="표준 906" xfId="0"/>
    <cellStyle name="표준 907" xfId="0"/>
    <cellStyle name="표준 908" xfId="0"/>
    <cellStyle name="표준 909" xfId="0"/>
    <cellStyle name="표준 91" xfId="0"/>
    <cellStyle name="표준 91 10" xfId="0"/>
    <cellStyle name="표준 91 11" xfId="0"/>
    <cellStyle name="표준 91 12" xfId="0"/>
    <cellStyle name="표준 91 13" xfId="0"/>
    <cellStyle name="표준 91 14" xfId="0"/>
    <cellStyle name="표준 91 15" xfId="0"/>
    <cellStyle name="표준 91 2" xfId="0"/>
    <cellStyle name="표준 91 3" xfId="0"/>
    <cellStyle name="표준 91 4" xfId="0"/>
    <cellStyle name="표준 91 5" xfId="0"/>
    <cellStyle name="표준 91 6" xfId="0"/>
    <cellStyle name="표준 91 7" xfId="0"/>
    <cellStyle name="표준 91 8" xfId="0"/>
    <cellStyle name="표준 91 9" xfId="0"/>
    <cellStyle name="표준 910" xfId="0"/>
    <cellStyle name="표준 914" xfId="0"/>
    <cellStyle name="표준 915" xfId="0"/>
    <cellStyle name="표준 917" xfId="0"/>
    <cellStyle name="표준 919" xfId="0"/>
    <cellStyle name="표준 92" xfId="0"/>
    <cellStyle name="표준 92 10" xfId="0"/>
    <cellStyle name="표준 92 11" xfId="0"/>
    <cellStyle name="표준 92 12" xfId="0"/>
    <cellStyle name="표준 92 13" xfId="0"/>
    <cellStyle name="표준 92 14" xfId="0"/>
    <cellStyle name="표준 92 2" xfId="0"/>
    <cellStyle name="표준 92 3" xfId="0"/>
    <cellStyle name="표준 92 4" xfId="0"/>
    <cellStyle name="표준 92 5" xfId="0"/>
    <cellStyle name="표준 92 6" xfId="0"/>
    <cellStyle name="표준 92 7" xfId="0"/>
    <cellStyle name="표준 92 8" xfId="0"/>
    <cellStyle name="표준 92 9" xfId="0"/>
    <cellStyle name="표준 93" xfId="0"/>
    <cellStyle name="표준 93 10" xfId="0"/>
    <cellStyle name="표준 93 11" xfId="0"/>
    <cellStyle name="표준 93 12" xfId="0"/>
    <cellStyle name="표준 93 13" xfId="0"/>
    <cellStyle name="표준 93 14" xfId="0"/>
    <cellStyle name="표준 93 2" xfId="0"/>
    <cellStyle name="표준 93 3" xfId="0"/>
    <cellStyle name="표준 93 4" xfId="0"/>
    <cellStyle name="표준 93 5" xfId="0"/>
    <cellStyle name="표준 93 6" xfId="0"/>
    <cellStyle name="표준 93 7" xfId="0"/>
    <cellStyle name="표준 93 8" xfId="0"/>
    <cellStyle name="표준 93 9" xfId="0"/>
    <cellStyle name="표준 94" xfId="0"/>
    <cellStyle name="표준 94 10" xfId="0"/>
    <cellStyle name="표준 94 11" xfId="0"/>
    <cellStyle name="표준 94 12" xfId="0"/>
    <cellStyle name="표준 94 13" xfId="0"/>
    <cellStyle name="표준 94 14" xfId="0"/>
    <cellStyle name="표준 94 2" xfId="0"/>
    <cellStyle name="표준 94 3" xfId="0"/>
    <cellStyle name="표준 94 4" xfId="0"/>
    <cellStyle name="표준 94 5" xfId="0"/>
    <cellStyle name="표준 94 6" xfId="0"/>
    <cellStyle name="표준 94 7" xfId="0"/>
    <cellStyle name="표준 94 8" xfId="0"/>
    <cellStyle name="표준 94 9" xfId="0"/>
    <cellStyle name="표준 95" xfId="0"/>
    <cellStyle name="표준 95 10" xfId="0"/>
    <cellStyle name="표준 95 11" xfId="0"/>
    <cellStyle name="표준 95 12" xfId="0"/>
    <cellStyle name="표준 95 13" xfId="0"/>
    <cellStyle name="표준 95 14" xfId="0"/>
    <cellStyle name="표준 95 2" xfId="0"/>
    <cellStyle name="표준 95 3" xfId="0"/>
    <cellStyle name="표준 95 4" xfId="0"/>
    <cellStyle name="표준 95 5" xfId="0"/>
    <cellStyle name="표준 95 6" xfId="0"/>
    <cellStyle name="표준 95 7" xfId="0"/>
    <cellStyle name="표준 95 8" xfId="0"/>
    <cellStyle name="표준 95 9" xfId="0"/>
    <cellStyle name="표준 96" xfId="0"/>
    <cellStyle name="표준 96 10" xfId="0"/>
    <cellStyle name="표준 96 11" xfId="0"/>
    <cellStyle name="표준 96 12" xfId="0"/>
    <cellStyle name="표준 96 13" xfId="0"/>
    <cellStyle name="표준 96 14" xfId="0"/>
    <cellStyle name="표준 96 2" xfId="0"/>
    <cellStyle name="표준 96 3" xfId="0"/>
    <cellStyle name="표준 96 4" xfId="0"/>
    <cellStyle name="표준 96 5" xfId="0"/>
    <cellStyle name="표준 96 6" xfId="0"/>
    <cellStyle name="표준 96 7" xfId="0"/>
    <cellStyle name="표준 96 8" xfId="0"/>
    <cellStyle name="표준 96 9" xfId="0"/>
    <cellStyle name="표준 97" xfId="0"/>
    <cellStyle name="표준 97 10" xfId="0"/>
    <cellStyle name="표준 97 11" xfId="0"/>
    <cellStyle name="표준 97 12" xfId="0"/>
    <cellStyle name="표준 97 13" xfId="0"/>
    <cellStyle name="표준 97 14" xfId="0"/>
    <cellStyle name="표준 97 15" xfId="0"/>
    <cellStyle name="표준 97 16" xfId="0"/>
    <cellStyle name="표준 97 2" xfId="0"/>
    <cellStyle name="표준 97 2 2" xfId="0"/>
    <cellStyle name="표준 97 3" xfId="0"/>
    <cellStyle name="표준 97 3 2" xfId="0"/>
    <cellStyle name="표준 97 4" xfId="0"/>
    <cellStyle name="표준 97 4 2" xfId="0"/>
    <cellStyle name="표준 97 5" xfId="0"/>
    <cellStyle name="표준 97 5 2" xfId="0"/>
    <cellStyle name="표준 97 6" xfId="0"/>
    <cellStyle name="표준 97 6 2" xfId="0"/>
    <cellStyle name="표준 97 7" xfId="0"/>
    <cellStyle name="표준 97 7 2" xfId="0"/>
    <cellStyle name="표준 97 8" xfId="0"/>
    <cellStyle name="표준 97 9" xfId="0"/>
    <cellStyle name="표준 98" xfId="0"/>
    <cellStyle name="표준 98 10" xfId="0"/>
    <cellStyle name="표준 98 11" xfId="0"/>
    <cellStyle name="표준 98 12" xfId="0"/>
    <cellStyle name="표준 98 13" xfId="0"/>
    <cellStyle name="표준 98 2" xfId="0"/>
    <cellStyle name="표준 98 3" xfId="0"/>
    <cellStyle name="표준 98 4" xfId="0"/>
    <cellStyle name="표준 98 5" xfId="0"/>
    <cellStyle name="표준 98 6" xfId="0"/>
    <cellStyle name="표준 98 7" xfId="0"/>
    <cellStyle name="표준 98 8" xfId="0"/>
    <cellStyle name="표준 98 9" xfId="0"/>
    <cellStyle name="표준 99" xfId="0"/>
    <cellStyle name="표준 99 10" xfId="0"/>
    <cellStyle name="표준 99 11" xfId="0"/>
    <cellStyle name="표준 99 12" xfId="0"/>
    <cellStyle name="표준 99 13" xfId="0"/>
    <cellStyle name="표준 99 14" xfId="0"/>
    <cellStyle name="표준 99 15" xfId="0"/>
    <cellStyle name="표준 99 16" xfId="0"/>
    <cellStyle name="표준 99 2" xfId="0"/>
    <cellStyle name="표준 99 2 2" xfId="0"/>
    <cellStyle name="표준 99 3" xfId="0"/>
    <cellStyle name="표준 99 3 2" xfId="0"/>
    <cellStyle name="표준 99 4" xfId="0"/>
    <cellStyle name="표준 99 4 2" xfId="0"/>
    <cellStyle name="표준 99 5" xfId="0"/>
    <cellStyle name="표준 99 5 2" xfId="0"/>
    <cellStyle name="표준 99 6" xfId="0"/>
    <cellStyle name="표준 99 6 2" xfId="0"/>
    <cellStyle name="표준 99 7" xfId="0"/>
    <cellStyle name="표준 99 7 2" xfId="0"/>
    <cellStyle name="표준 99 8" xfId="0"/>
    <cellStyle name="표준 99 9" xfId="0"/>
    <cellStyle name="표준(12)" xfId="0"/>
    <cellStyle name="표준(8)" xfId="0"/>
    <cellStyle name="표준(9)" xfId="0"/>
    <cellStyle name="표준(중앙)" xfId="0"/>
    <cellStyle name="표준-이효주" xfId="0"/>
    <cellStyle name="표준△서식" xfId="0"/>
    <cellStyle name="표준聟Sheet1_1_산출기초표" xfId="0"/>
    <cellStyle name="표준像呼?(2)" xfId="0"/>
    <cellStyle name="표준渦潟뼁ぜ?갑지(토탈)_laroux" xfId="0"/>
    <cellStyle name="표준茱볐뼁?(2)_갑지(토탈)" xfId="0"/>
    <cellStyle name="표즀_OBU시설투자" xfId="0"/>
    <cellStyle name="프로젝트개발UNIT" xfId="0"/>
    <cellStyle name="하이퍼링크 2" xfId="0"/>
    <cellStyle name="하이퍼링크 2 2" xfId="0"/>
    <cellStyle name="하이퍼링크 2 3" xfId="0"/>
    <cellStyle name="하이퍼링크 3" xfId="0"/>
    <cellStyle name="하이퍼링크 4" xfId="0"/>
    <cellStyle name="합계" xfId="0"/>
    <cellStyle name="합산" xfId="0"/>
    <cellStyle name="항목" xfId="0"/>
    <cellStyle name="현금" xfId="0"/>
    <cellStyle name="화폐기호" xfId="0"/>
    <cellStyle name="화폐기호 2" xfId="0"/>
    <cellStyle name="화폐기호0" xfId="0"/>
    <cellStyle name="화폐기호0 2" xfId="0"/>
    <cellStyle name="황대호" xfId="0"/>
    <cellStyle name="회색테두리" xfId="0"/>
    <cellStyle name="회색테두리 2" xfId="0"/>
    <cellStyle name="遽_12錯 " xfId="0"/>
    <cellStyle name=" 坪 l_Sheet1_Q4 (2)" xfId="0"/>
    <cellStyle name="ｼﾐｷﾇ_ECC" xfId="0"/>
    <cellStyle name="ﾇ･ﾁﾘ_ｱｹｿﾜbal" xfId="0"/>
  </cellStyles>
  <dxfs count="5">
    <dxf>
      <fill>
        <patternFill patternType="solid">
          <fgColor rgb="FFC0C0C0"/>
          <bgColor rgb="FF000000"/>
        </patternFill>
      </fill>
    </dxf>
    <dxf>
      <fill>
        <patternFill patternType="solid">
          <bgColor rgb="FF000000"/>
        </patternFill>
      </fill>
    </dxf>
    <dxf>
      <fill>
        <patternFill patternType="solid">
          <fgColor rgb="FFCCFFCC"/>
          <bgColor rgb="FF000000"/>
        </patternFill>
      </fill>
    </dxf>
    <dxf>
      <fill>
        <patternFill patternType="solid">
          <fgColor rgb="FF000000"/>
          <bgColor rgb="FF000000"/>
        </patternFill>
      </fill>
    </dxf>
    <dxf>
      <fill>
        <patternFill patternType="solid">
          <fgColor rgb="FFFF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8EA9DB"/>
      <rgbColor rgb="FF993366"/>
      <rgbColor rgb="FFEFEEE6"/>
      <rgbColor rgb="FFCCFFFF"/>
      <rgbColor rgb="FF660066"/>
      <rgbColor rgb="FFFF8080"/>
      <rgbColor rgb="FF0066CC"/>
      <rgbColor rgb="FFBFD3EB"/>
      <rgbColor rgb="FF000080"/>
      <rgbColor rgb="FFFF00FF"/>
      <rgbColor rgb="FFFFFF00"/>
      <rgbColor rgb="FF00FFFF"/>
      <rgbColor rgb="FF800080"/>
      <rgbColor rgb="FF800000"/>
      <rgbColor rgb="FF008080"/>
      <rgbColor rgb="FF0000FF"/>
      <rgbColor rgb="FF00B0F0"/>
      <rgbColor rgb="FFDBEEF4"/>
      <rgbColor rgb="FFCCFFCC"/>
      <rgbColor rgb="FFE1EAF6"/>
      <rgbColor rgb="FFBFBFBF"/>
      <rgbColor rgb="FFDCE6F2"/>
      <rgbColor rgb="FFDADDE0"/>
      <rgbColor rgb="FFF2DCDB"/>
      <rgbColor rgb="FF3366FF"/>
      <rgbColor rgb="FF33CCCC"/>
      <rgbColor rgb="FF92D050"/>
      <rgbColor rgb="FFFFC000"/>
      <rgbColor rgb="FFFFBE00"/>
      <rgbColor rgb="FFFF6600"/>
      <rgbColor rgb="FF666699"/>
      <rgbColor rgb="FFA4C354"/>
      <rgbColor rgb="FF003366"/>
      <rgbColor rgb="FF33B199"/>
      <rgbColor rgb="FF003300"/>
      <rgbColor rgb="FF333300"/>
      <rgbColor rgb="FF993300"/>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B2:Q129"/>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9" topLeftCell="A10" activePane="bottomLeft" state="frozen"/>
      <selection pane="topLeft" activeCell="A1" activeCellId="0" sqref="A1"/>
      <selection pane="bottomLeft" activeCell="K14" activeCellId="0" sqref="K14"/>
    </sheetView>
  </sheetViews>
  <sheetFormatPr defaultColWidth="16" defaultRowHeight="13.5" zeroHeight="false" outlineLevelRow="0" outlineLevelCol="1"/>
  <cols>
    <col collapsed="false" customWidth="true" hidden="false" outlineLevel="0" max="1" min="1" style="1" width="2.63"/>
    <col collapsed="false" customWidth="true" hidden="true" outlineLevel="1" max="2" min="2" style="1" width="46.25"/>
    <col collapsed="false" customWidth="true" hidden="false" outlineLevel="0" max="3" min="3" style="1" width="6.63"/>
    <col collapsed="false" customWidth="true" hidden="false" outlineLevel="0" max="4" min="4" style="1" width="25.63"/>
    <col collapsed="false" customWidth="true" hidden="false" outlineLevel="0" max="9" min="5" style="1" width="15.63"/>
    <col collapsed="false" customWidth="true" hidden="false" outlineLevel="0" max="10" min="10" style="2" width="15.63"/>
    <col collapsed="false" customWidth="true" hidden="false" outlineLevel="0" max="11" min="11" style="3" width="80"/>
    <col collapsed="false" customWidth="true" hidden="false" outlineLevel="0" max="12" min="12" style="4" width="15.63"/>
    <col collapsed="false" customWidth="true" hidden="false" outlineLevel="0" max="14" min="13" style="5" width="15.63"/>
    <col collapsed="false" customWidth="false" hidden="false" outlineLevel="0" max="16384" min="15" style="1" width="16"/>
  </cols>
  <sheetData>
    <row r="2" customFormat="false" ht="13.5" hidden="false" customHeight="false" outlineLevel="0" collapsed="false">
      <c r="C2" s="6" t="s">
        <v>0</v>
      </c>
      <c r="D2" s="7"/>
      <c r="E2" s="7"/>
      <c r="F2" s="7"/>
      <c r="G2" s="7"/>
      <c r="H2" s="7"/>
      <c r="I2" s="7"/>
      <c r="J2" s="7"/>
      <c r="K2" s="8"/>
    </row>
    <row r="3" customFormat="false" ht="14.25" hidden="false" customHeight="true" outlineLevel="0" collapsed="false">
      <c r="C3" s="9"/>
    </row>
    <row r="4" customFormat="false" ht="13.5" hidden="false" customHeight="false" outlineLevel="0" collapsed="false">
      <c r="C4" s="10" t="s">
        <v>1</v>
      </c>
      <c r="D4" s="11"/>
      <c r="E4" s="2"/>
      <c r="F4" s="2"/>
      <c r="G4" s="2"/>
      <c r="H4" s="12" t="s">
        <v>2</v>
      </c>
      <c r="I4" s="13" t="n">
        <v>0.01</v>
      </c>
      <c r="J4" s="14" t="n">
        <f aca="false">'P&amp;L_KO'!K4</f>
        <v>7097620215.52</v>
      </c>
    </row>
    <row r="5" customFormat="false" ht="13.5" hidden="false" customHeight="false" outlineLevel="0" collapsed="false">
      <c r="C5" s="10" t="s">
        <v>3</v>
      </c>
      <c r="D5" s="11"/>
      <c r="E5" s="2"/>
      <c r="F5" s="2"/>
      <c r="G5" s="2"/>
      <c r="H5" s="15" t="s">
        <v>4</v>
      </c>
      <c r="I5" s="16" t="n">
        <v>0.8</v>
      </c>
      <c r="J5" s="17" t="n">
        <f aca="false">J4*70%</f>
        <v>4968334150.864</v>
      </c>
    </row>
    <row r="6" customFormat="false" ht="14.25" hidden="false" customHeight="true" outlineLevel="0" collapsed="false">
      <c r="C6" s="18"/>
      <c r="D6" s="11"/>
      <c r="H6" s="19" t="s">
        <v>5</v>
      </c>
      <c r="I6" s="20" t="n">
        <v>0.03</v>
      </c>
      <c r="J6" s="21" t="n">
        <f aca="false">J4*3%</f>
        <v>212928606.4656</v>
      </c>
    </row>
    <row r="7" customFormat="false" ht="14.25" hidden="false" customHeight="true" outlineLevel="0" collapsed="false">
      <c r="B7" s="22"/>
      <c r="C7" s="23" t="s">
        <v>6</v>
      </c>
      <c r="D7" s="23"/>
    </row>
    <row r="8" customFormat="false" ht="13.5" hidden="false" customHeight="true" outlineLevel="0" collapsed="false">
      <c r="B8" s="22"/>
      <c r="C8" s="24" t="s">
        <v>7</v>
      </c>
      <c r="D8" s="24"/>
      <c r="E8" s="25" t="n">
        <v>2026.09</v>
      </c>
      <c r="F8" s="25"/>
      <c r="G8" s="25" t="n">
        <v>2025.12</v>
      </c>
      <c r="H8" s="25"/>
      <c r="I8" s="25"/>
      <c r="J8" s="26"/>
      <c r="K8" s="27"/>
      <c r="N8" s="28" t="s">
        <v>8</v>
      </c>
    </row>
    <row r="9" customFormat="false" ht="13.5" hidden="false" customHeight="false" outlineLevel="0" collapsed="false">
      <c r="B9" s="22"/>
      <c r="C9" s="24"/>
      <c r="D9" s="24"/>
      <c r="E9" s="29" t="s">
        <v>9</v>
      </c>
      <c r="F9" s="29" t="s">
        <v>10</v>
      </c>
      <c r="G9" s="29" t="s">
        <v>11</v>
      </c>
      <c r="H9" s="30" t="s">
        <v>12</v>
      </c>
      <c r="I9" s="30" t="s">
        <v>13</v>
      </c>
      <c r="J9" s="31" t="s">
        <v>14</v>
      </c>
      <c r="K9" s="32" t="s">
        <v>15</v>
      </c>
      <c r="N9" s="33" t="s">
        <v>16</v>
      </c>
      <c r="O9" s="34" t="s">
        <v>17</v>
      </c>
      <c r="P9" s="33" t="s">
        <v>18</v>
      </c>
      <c r="Q9" s="34" t="s">
        <v>19</v>
      </c>
    </row>
    <row r="10" customFormat="false" ht="13.5" hidden="false" customHeight="false" outlineLevel="0" collapsed="false">
      <c r="B10" s="22"/>
      <c r="C10" s="35" t="s">
        <v>20</v>
      </c>
      <c r="D10" s="36"/>
      <c r="E10" s="37"/>
      <c r="F10" s="37"/>
      <c r="G10" s="37"/>
      <c r="H10" s="37"/>
      <c r="I10" s="37"/>
      <c r="J10" s="38"/>
      <c r="K10" s="39"/>
      <c r="N10" s="40"/>
      <c r="O10" s="41"/>
      <c r="P10" s="41"/>
      <c r="Q10" s="41"/>
    </row>
    <row r="11" customFormat="false" ht="13.5" hidden="false" customHeight="false" outlineLevel="0" collapsed="false">
      <c r="B11" s="22" t="s">
        <v>21</v>
      </c>
      <c r="C11" s="42" t="s">
        <v>22</v>
      </c>
      <c r="D11" s="43"/>
      <c r="E11" s="44" t="n">
        <f aca="false">+E12+E27</f>
        <v>465905895178</v>
      </c>
      <c r="F11" s="44" t="n">
        <f aca="false">+F12+F27</f>
        <v>453490085054</v>
      </c>
      <c r="G11" s="44" t="n">
        <f aca="false">+G12+G27</f>
        <v>399003823525</v>
      </c>
      <c r="H11" s="44" t="n">
        <f aca="false">+H12+H27</f>
        <v>54486261529</v>
      </c>
      <c r="I11" s="45" t="n">
        <f aca="false">IFERROR(H11/G11,IF(H11&gt;0,100%,IF(H11=0,0,-100%)))</f>
        <v>0.136555737856447</v>
      </c>
      <c r="J11" s="46"/>
      <c r="K11" s="47"/>
      <c r="L11" s="48" t="n">
        <f aca="false">E11-F11</f>
        <v>12415810124</v>
      </c>
      <c r="M11" s="49"/>
      <c r="N11" s="50" t="n">
        <f aca="false">+N12+N27</f>
        <v>465905895178</v>
      </c>
      <c r="O11" s="50" t="n">
        <f aca="false">E11-N11</f>
        <v>0</v>
      </c>
      <c r="P11" s="50" t="n">
        <f aca="false">+P12+P27</f>
        <v>453490085054</v>
      </c>
      <c r="Q11" s="50" t="n">
        <f aca="false">F11-P11</f>
        <v>0</v>
      </c>
    </row>
    <row r="12" customFormat="false" ht="13.5" hidden="false" customHeight="false" outlineLevel="0" collapsed="false">
      <c r="B12" s="22" t="s">
        <v>23</v>
      </c>
      <c r="C12" s="51" t="s">
        <v>24</v>
      </c>
      <c r="D12" s="43"/>
      <c r="E12" s="44" t="n">
        <f aca="false">SUM(E13:E24)</f>
        <v>270465932072</v>
      </c>
      <c r="F12" s="44" t="n">
        <f aca="false">SUM(F13:F24)</f>
        <v>258050121948</v>
      </c>
      <c r="G12" s="44" t="n">
        <f aca="false">SUM(G13:G24)</f>
        <v>222568030855</v>
      </c>
      <c r="H12" s="44" t="n">
        <f aca="false">SUM(H13:H24)</f>
        <v>35482091093</v>
      </c>
      <c r="I12" s="45" t="n">
        <f aca="false">IFERROR(H12/G12,IF(H12&gt;0,100%,IF(H12=0,0,-100%)))</f>
        <v>0.159421328196573</v>
      </c>
      <c r="J12" s="46"/>
      <c r="K12" s="47"/>
      <c r="L12" s="48" t="n">
        <f aca="false">E12-F12</f>
        <v>12415810124</v>
      </c>
      <c r="M12" s="49"/>
      <c r="N12" s="50" t="n">
        <f aca="false">SUM(N13:N24)</f>
        <v>270465932072</v>
      </c>
      <c r="O12" s="50" t="n">
        <f aca="false">E12-N12</f>
        <v>0</v>
      </c>
      <c r="P12" s="50" t="n">
        <f aca="false">SUM(P13:P24)</f>
        <v>258050121948</v>
      </c>
      <c r="Q12" s="50" t="n">
        <f aca="false">F12-P12</f>
        <v>0</v>
      </c>
    </row>
    <row r="13" customFormat="false" ht="64.5" hidden="false" customHeight="true" outlineLevel="0" collapsed="false">
      <c r="B13" s="22" t="s">
        <v>25</v>
      </c>
      <c r="C13" s="52" t="s">
        <v>26</v>
      </c>
      <c r="D13" s="53" t="s">
        <v>27</v>
      </c>
      <c r="E13" s="54" t="n">
        <f aca="false">SUMIF(FS_map!$H:$H,$D13,FS_map!$M:$M)</f>
        <v>8328079411</v>
      </c>
      <c r="F13" s="54" t="n">
        <f aca="false">SUMIF(FS_map!$H:$H,$D13,FS_map!$P:$P)</f>
        <v>8328079411</v>
      </c>
      <c r="G13" s="54" t="n">
        <f aca="false">SUMIF(WBS_2025YE!$D:$D,$D13,WBS_2025YE!$K:$K)</f>
        <v>11105202344</v>
      </c>
      <c r="H13" s="54" t="n">
        <f aca="false">F13-G13</f>
        <v>-2777122933</v>
      </c>
      <c r="I13" s="55" t="n">
        <f aca="false">IFERROR(H13/G13,IF(H13&gt;0,100%,IF(H13=0,0,-100%)))</f>
        <v>-0.250074050609302</v>
      </c>
      <c r="J13" s="56" t="str">
        <f aca="false">IF(AND(ABS(H13)&gt;$J$5,ABS(I13)&gt;5%),"O","")</f>
        <v/>
      </c>
      <c r="K13" s="57" t="s">
        <v>28</v>
      </c>
      <c r="L13" s="48" t="n">
        <f aca="false">E13-F13</f>
        <v>0</v>
      </c>
      <c r="M13" s="49"/>
      <c r="N13" s="50" t="n">
        <f aca="false">SUMIF('BS_DEC 2026'!$D:$D,$D13,'BS_DEC 2026'!$E:$E)</f>
        <v>8328079411</v>
      </c>
      <c r="O13" s="50" t="n">
        <f aca="false">E13-N13</f>
        <v>0</v>
      </c>
      <c r="P13" s="50" t="n">
        <f aca="false">SUMIF('BS_DEC 2026'!$D:$D,$D13,'BS_DEC 2026'!$K:$K)</f>
        <v>8328079411</v>
      </c>
      <c r="Q13" s="50" t="n">
        <f aca="false">F13-P13</f>
        <v>0</v>
      </c>
    </row>
    <row r="14" customFormat="false" ht="142.5" hidden="false" customHeight="true" outlineLevel="0" collapsed="false">
      <c r="B14" s="22" t="s">
        <v>29</v>
      </c>
      <c r="C14" s="52" t="s">
        <v>30</v>
      </c>
      <c r="D14" s="53" t="s">
        <v>31</v>
      </c>
      <c r="E14" s="54" t="n">
        <f aca="false">SUMIF(FS_map!$H:$H,$D14,FS_map!$M:$M)</f>
        <v>227594760909</v>
      </c>
      <c r="F14" s="54" t="n">
        <f aca="false">SUMIF(FS_map!$H:$H,$D14,FS_map!$P:$P)</f>
        <v>215178950785</v>
      </c>
      <c r="G14" s="54" t="n">
        <f aca="false">SUMIF(WBS_2025YE!$D:$D,$D14,WBS_2025YE!$K:$K)</f>
        <v>166754777499</v>
      </c>
      <c r="H14" s="54" t="n">
        <f aca="false">F14-G14</f>
        <v>48424173286</v>
      </c>
      <c r="I14" s="55" t="n">
        <f aca="false">IFERROR(H14/G14,IF(H14&gt;0,100%,IF(H14=0,0,-100%)))</f>
        <v>0.290391519884882</v>
      </c>
      <c r="J14" s="56" t="str">
        <f aca="false">IF(AND(ABS(H14)&gt;$J$5,ABS(I14)&gt;5%),"O","")</f>
        <v>O</v>
      </c>
      <c r="K14" s="58" t="s">
        <v>32</v>
      </c>
      <c r="L14" s="48" t="n">
        <f aca="false">E14-F14</f>
        <v>12415810124</v>
      </c>
      <c r="M14" s="49"/>
      <c r="N14" s="50" t="n">
        <f aca="false">SUMIF('BS_DEC 2026'!$D:$D,$D14,'BS_DEC 2026'!$E:$E)</f>
        <v>227594760909</v>
      </c>
      <c r="O14" s="50" t="n">
        <f aca="false">E14-N14</f>
        <v>0</v>
      </c>
      <c r="P14" s="50" t="n">
        <f aca="false">SUMIF('BS_DEC 2026'!$D:$D,$D14,'BS_DEC 2026'!$K:$K)</f>
        <v>215178950785</v>
      </c>
      <c r="Q14" s="50" t="n">
        <f aca="false">F14-P14</f>
        <v>0</v>
      </c>
    </row>
    <row r="15" customFormat="false" ht="25.5" hidden="false" customHeight="true" outlineLevel="0" collapsed="false">
      <c r="B15" s="22" t="s">
        <v>33</v>
      </c>
      <c r="C15" s="52" t="s">
        <v>34</v>
      </c>
      <c r="D15" s="53" t="s">
        <v>35</v>
      </c>
      <c r="E15" s="54" t="n">
        <f aca="false">SUMIF(FS_map!$H:$H,$D15,FS_map!$M:$M)</f>
        <v>-118149382</v>
      </c>
      <c r="F15" s="54" t="n">
        <f aca="false">SUMIF(FS_map!$H:$H,$D15,FS_map!$P:$P)</f>
        <v>-118149382</v>
      </c>
      <c r="G15" s="54" t="n">
        <f aca="false">SUMIF(WBS_2025YE!$D:$D,$D15,WBS_2025YE!$K:$K)</f>
        <v>-122273991</v>
      </c>
      <c r="H15" s="54" t="n">
        <f aca="false">F15-G15</f>
        <v>4124609</v>
      </c>
      <c r="I15" s="55" t="n">
        <f aca="false">IFERROR(H15/G15,IF(H15&gt;0,100%,IF(H15=0,0,-100%)))</f>
        <v>-0.0337325130738556</v>
      </c>
      <c r="J15" s="56" t="str">
        <f aca="false">IF(AND(ABS(H15)&gt;$J$5,ABS(I15)&gt;5%),"O","")</f>
        <v/>
      </c>
      <c r="K15" s="57" t="s">
        <v>36</v>
      </c>
      <c r="L15" s="48" t="n">
        <f aca="false">E15-F15</f>
        <v>0</v>
      </c>
      <c r="M15" s="49"/>
      <c r="N15" s="50" t="n">
        <f aca="false">SUMIF('BS_DEC 2026'!$D:$D,$D15,'BS_DEC 2026'!$E:$E)</f>
        <v>-118149382</v>
      </c>
      <c r="O15" s="50" t="n">
        <f aca="false">E15-N15</f>
        <v>0</v>
      </c>
      <c r="P15" s="50" t="n">
        <f aca="false">SUMIF('BS_DEC 2026'!$D:$D,$D15,'BS_DEC 2026'!$K:$K)</f>
        <v>-118149382</v>
      </c>
      <c r="Q15" s="50" t="n">
        <f aca="false">F15-P15</f>
        <v>0</v>
      </c>
    </row>
    <row r="16" customFormat="false" ht="103.5" hidden="false" customHeight="true" outlineLevel="0" collapsed="false">
      <c r="B16" s="22" t="s">
        <v>37</v>
      </c>
      <c r="C16" s="52" t="s">
        <v>38</v>
      </c>
      <c r="D16" s="53" t="s">
        <v>39</v>
      </c>
      <c r="E16" s="54" t="n">
        <f aca="false">SUMIF(FS_map!$H:$H,$D16,FS_map!$M:$M)</f>
        <v>12002662102</v>
      </c>
      <c r="F16" s="54" t="n">
        <f aca="false">SUMIF(FS_map!$H:$H,$D16,FS_map!$P:$P)</f>
        <v>12002662102</v>
      </c>
      <c r="G16" s="54" t="n">
        <f aca="false">SUMIF(WBS_2025YE!$D:$D,$D16,WBS_2025YE!$K:$K)</f>
        <v>19254727447</v>
      </c>
      <c r="H16" s="54" t="n">
        <f aca="false">F16-G16</f>
        <v>-7252065345</v>
      </c>
      <c r="I16" s="55" t="n">
        <f aca="false">IFERROR(H16/G16,IF(H16&gt;0,100%,IF(H16=0,0,-100%)))</f>
        <v>-0.376638171844386</v>
      </c>
      <c r="J16" s="56" t="str">
        <f aca="false">IF(AND(ABS(H16)&gt;$J$5,ABS(I16)&gt;5%),"O","")</f>
        <v>O</v>
      </c>
      <c r="K16" s="58" t="s">
        <v>40</v>
      </c>
      <c r="L16" s="48" t="n">
        <f aca="false">E16-F16</f>
        <v>0</v>
      </c>
      <c r="M16" s="59"/>
      <c r="N16" s="50" t="n">
        <f aca="false">SUMIF('BS_DEC 2026'!$D:$D,$D16,'BS_DEC 2026'!$E:$E)</f>
        <v>12002662102</v>
      </c>
      <c r="O16" s="50" t="n">
        <f aca="false">E16-N16</f>
        <v>0</v>
      </c>
      <c r="P16" s="50" t="n">
        <f aca="false">SUMIF('BS_DEC 2026'!$D:$D,$D16,'BS_DEC 2026'!$K:$K)</f>
        <v>12002662102</v>
      </c>
      <c r="Q16" s="50" t="n">
        <f aca="false">F16-P16</f>
        <v>0</v>
      </c>
    </row>
    <row r="17" customFormat="false" ht="13.5" hidden="false" customHeight="false" outlineLevel="0" collapsed="false">
      <c r="B17" s="22" t="s">
        <v>41</v>
      </c>
      <c r="C17" s="52" t="s">
        <v>42</v>
      </c>
      <c r="D17" s="53" t="s">
        <v>43</v>
      </c>
      <c r="E17" s="54" t="n">
        <f aca="false">SUMIF(FS_map!$H:$H,$D17,FS_map!$M:$M)</f>
        <v>0</v>
      </c>
      <c r="F17" s="54" t="n">
        <f aca="false">SUMIF(FS_map!$H:$H,$D17,FS_map!$P:$P)</f>
        <v>0</v>
      </c>
      <c r="G17" s="54" t="n">
        <f aca="false">SUMIF(WBS_2025YE!$D:$D,$D17,WBS_2025YE!$K:$K)</f>
        <v>0</v>
      </c>
      <c r="H17" s="54" t="n">
        <f aca="false">F17-G17</f>
        <v>0</v>
      </c>
      <c r="I17" s="55" t="n">
        <f aca="false">IFERROR(H17/G17,IF(H17&gt;0,100%,IF(H17=0,0,-100%)))</f>
        <v>0</v>
      </c>
      <c r="J17" s="56" t="str">
        <f aca="false">IF(AND(ABS(H17)&gt;$J$5,ABS(I17)&gt;5%),"O","")</f>
        <v/>
      </c>
      <c r="K17" s="60"/>
      <c r="L17" s="48" t="n">
        <f aca="false">E17-F17</f>
        <v>0</v>
      </c>
      <c r="M17" s="49"/>
      <c r="N17" s="50" t="n">
        <f aca="false">SUMIF('BS_DEC 2026'!$D:$D,$D17,'BS_DEC 2026'!$E:$E)</f>
        <v>0</v>
      </c>
      <c r="O17" s="50" t="n">
        <f aca="false">E17-N17</f>
        <v>0</v>
      </c>
      <c r="P17" s="50" t="n">
        <f aca="false">SUMIF('BS_DEC 2026'!$D:$D,$D17,'BS_DEC 2026'!$K:$K)</f>
        <v>0</v>
      </c>
      <c r="Q17" s="50" t="n">
        <f aca="false">F17-P17</f>
        <v>0</v>
      </c>
    </row>
    <row r="18" customFormat="false" ht="25.5" hidden="false" customHeight="true" outlineLevel="0" collapsed="false">
      <c r="B18" s="22" t="s">
        <v>44</v>
      </c>
      <c r="C18" s="52" t="s">
        <v>45</v>
      </c>
      <c r="D18" s="53" t="s">
        <v>46</v>
      </c>
      <c r="E18" s="54" t="n">
        <f aca="false">SUMIF(FS_map!$H:$H,$D18,FS_map!$M:$M)</f>
        <v>981690770</v>
      </c>
      <c r="F18" s="54" t="n">
        <f aca="false">SUMIF(FS_map!$H:$H,$D18,FS_map!$P:$P)</f>
        <v>981690770</v>
      </c>
      <c r="G18" s="54" t="n">
        <f aca="false">SUMIF(WBS_2025YE!$D:$D,$D18,WBS_2025YE!$K:$K)</f>
        <v>979522461</v>
      </c>
      <c r="H18" s="54" t="n">
        <f aca="false">F18-G18</f>
        <v>2168309</v>
      </c>
      <c r="I18" s="55" t="n">
        <f aca="false">IFERROR(H18/G18,IF(H18&gt;0,100%,IF(H18=0,0,-100%)))</f>
        <v>0.00221363887642389</v>
      </c>
      <c r="J18" s="56" t="str">
        <f aca="false">IF(AND(ABS(H18)&gt;$J$5,ABS(I18)&gt;5%),"O","")</f>
        <v/>
      </c>
      <c r="K18" s="57" t="s">
        <v>47</v>
      </c>
      <c r="L18" s="48" t="n">
        <f aca="false">E18-F18</f>
        <v>0</v>
      </c>
      <c r="M18" s="59"/>
      <c r="N18" s="50" t="n">
        <f aca="false">SUMIF('BS_DEC 2026'!$D:$D,$D18,'BS_DEC 2026'!$E:$E)</f>
        <v>981690770</v>
      </c>
      <c r="O18" s="50" t="n">
        <f aca="false">E18-N18</f>
        <v>0</v>
      </c>
      <c r="P18" s="50" t="n">
        <f aca="false">SUMIF('BS_DEC 2026'!$D:$D,$D18,'BS_DEC 2026'!$K:$K)</f>
        <v>981690770</v>
      </c>
      <c r="Q18" s="50" t="n">
        <f aca="false">F18-P18</f>
        <v>0</v>
      </c>
    </row>
    <row r="19" customFormat="false" ht="64.5" hidden="false" customHeight="true" outlineLevel="0" collapsed="false">
      <c r="B19" s="22" t="s">
        <v>48</v>
      </c>
      <c r="C19" s="52" t="s">
        <v>49</v>
      </c>
      <c r="D19" s="53" t="s">
        <v>50</v>
      </c>
      <c r="E19" s="54" t="n">
        <f aca="false">SUMIF(FS_map!$H:$H,$D19,FS_map!$M:$M)</f>
        <v>1159433436</v>
      </c>
      <c r="F19" s="54" t="n">
        <f aca="false">SUMIF(FS_map!$H:$H,$D19,FS_map!$P:$P)</f>
        <v>1159433436</v>
      </c>
      <c r="G19" s="54" t="n">
        <f aca="false">SUMIF(WBS_2025YE!$D:$D,$D19,WBS_2025YE!$K:$K)</f>
        <v>93970356</v>
      </c>
      <c r="H19" s="54" t="n">
        <f aca="false">F19-G19</f>
        <v>1065463080</v>
      </c>
      <c r="I19" s="55" t="n">
        <f aca="false">IFERROR(H19/G19,IF(H19&gt;0,100%,IF(H19=0,0,-100%)))</f>
        <v>11.3382892792276</v>
      </c>
      <c r="J19" s="56" t="str">
        <f aca="false">IF(AND(ABS(H19)&gt;$J$5,ABS(I19)&gt;5%),"O","")</f>
        <v/>
      </c>
      <c r="K19" s="58" t="s">
        <v>51</v>
      </c>
      <c r="L19" s="48" t="n">
        <f aca="false">E19-F19</f>
        <v>0</v>
      </c>
      <c r="M19" s="49"/>
      <c r="N19" s="50" t="n">
        <f aca="false">SUMIF('BS_DEC 2026'!$D:$D,$D19,'BS_DEC 2026'!$E:$E)</f>
        <v>1159433436</v>
      </c>
      <c r="O19" s="50" t="n">
        <f aca="false">E19-N19</f>
        <v>0</v>
      </c>
      <c r="P19" s="50" t="n">
        <f aca="false">SUMIF('BS_DEC 2026'!$D:$D,$D19,'BS_DEC 2026'!$K:$K)</f>
        <v>1159433436</v>
      </c>
      <c r="Q19" s="50" t="n">
        <f aca="false">F19-P19</f>
        <v>0</v>
      </c>
    </row>
    <row r="20" customFormat="false" ht="13.5" hidden="false" customHeight="false" outlineLevel="0" collapsed="false">
      <c r="B20" s="22" t="s">
        <v>52</v>
      </c>
      <c r="C20" s="52" t="s">
        <v>53</v>
      </c>
      <c r="D20" s="53" t="s">
        <v>54</v>
      </c>
      <c r="E20" s="54" t="n">
        <f aca="false">SUMIF(FS_map!$H:$H,$D20,FS_map!$M:$M)</f>
        <v>0</v>
      </c>
      <c r="F20" s="54" t="n">
        <f aca="false">SUMIF(FS_map!$H:$H,$D20,FS_map!$P:$P)</f>
        <v>0</v>
      </c>
      <c r="G20" s="54" t="n">
        <f aca="false">SUMIF(WBS_2025YE!$D:$D,$D20,WBS_2025YE!$K:$K)</f>
        <v>0</v>
      </c>
      <c r="H20" s="54" t="n">
        <f aca="false">F20-G20</f>
        <v>0</v>
      </c>
      <c r="I20" s="55" t="n">
        <f aca="false">IFERROR(H20/G20,IF(H20&gt;0,100%,IF(H20=0,0,-100%)))</f>
        <v>0</v>
      </c>
      <c r="J20" s="56" t="str">
        <f aca="false">IF(AND(ABS(H20)&gt;$J$5,ABS(I20)&gt;5%),"O","")</f>
        <v/>
      </c>
      <c r="K20" s="60"/>
      <c r="L20" s="48" t="n">
        <f aca="false">E20-F20</f>
        <v>0</v>
      </c>
      <c r="M20" s="49"/>
      <c r="N20" s="50" t="n">
        <f aca="false">SUMIF('BS_DEC 2026'!$D:$D,$D20,'BS_DEC 2026'!$E:$E)</f>
        <v>0</v>
      </c>
      <c r="O20" s="50" t="n">
        <f aca="false">E20-N20</f>
        <v>0</v>
      </c>
      <c r="P20" s="50" t="n">
        <f aca="false">SUMIF('BS_DEC 2026'!$D:$D,$D20,'BS_DEC 2026'!$K:$K)</f>
        <v>0</v>
      </c>
      <c r="Q20" s="50" t="n">
        <f aca="false">F20-P20</f>
        <v>0</v>
      </c>
    </row>
    <row r="21" customFormat="false" ht="13.5" hidden="false" customHeight="false" outlineLevel="0" collapsed="false">
      <c r="B21" s="22" t="s">
        <v>55</v>
      </c>
      <c r="C21" s="52" t="s">
        <v>56</v>
      </c>
      <c r="D21" s="53" t="s">
        <v>57</v>
      </c>
      <c r="E21" s="54" t="n">
        <f aca="false">SUMIF(FS_map!$H:$H,$D21,FS_map!$M:$M)</f>
        <v>0</v>
      </c>
      <c r="F21" s="54" t="n">
        <f aca="false">SUMIF(FS_map!$H:$H,$D21,FS_map!$P:$P)</f>
        <v>0</v>
      </c>
      <c r="G21" s="54" t="n">
        <f aca="false">SUMIF(WBS_2025YE!$D:$D,$D21,WBS_2025YE!$K:$K)</f>
        <v>0</v>
      </c>
      <c r="H21" s="54" t="n">
        <f aca="false">F21-G21</f>
        <v>0</v>
      </c>
      <c r="I21" s="55" t="n">
        <f aca="false">IFERROR(H21/G21,IF(H21&gt;0,100%,IF(H21=0,0,-100%)))</f>
        <v>0</v>
      </c>
      <c r="J21" s="56" t="str">
        <f aca="false">IF(AND(ABS(H21)&gt;$J$5,ABS(I21)&gt;5%),"O","")</f>
        <v/>
      </c>
      <c r="K21" s="60"/>
      <c r="L21" s="48" t="n">
        <f aca="false">E21-F21</f>
        <v>0</v>
      </c>
      <c r="M21" s="49"/>
      <c r="N21" s="50" t="n">
        <f aca="false">SUMIF('BS_DEC 2026'!$D:$D,$D21,'BS_DEC 2026'!$E:$E)</f>
        <v>0</v>
      </c>
      <c r="O21" s="50" t="n">
        <f aca="false">E21-N21</f>
        <v>0</v>
      </c>
      <c r="P21" s="50" t="n">
        <f aca="false">SUMIF('BS_DEC 2026'!$D:$D,$D21,'BS_DEC 2026'!$K:$K)</f>
        <v>0</v>
      </c>
      <c r="Q21" s="50" t="n">
        <f aca="false">F21-P21</f>
        <v>0</v>
      </c>
    </row>
    <row r="22" customFormat="false" ht="78" hidden="false" customHeight="true" outlineLevel="0" collapsed="false">
      <c r="B22" s="22" t="s">
        <v>58</v>
      </c>
      <c r="C22" s="52" t="s">
        <v>59</v>
      </c>
      <c r="D22" s="53" t="s">
        <v>60</v>
      </c>
      <c r="E22" s="54" t="n">
        <f aca="false">SUMIF(FS_map!$H:$H,$D22,FS_map!$M:$M)</f>
        <v>1049728634</v>
      </c>
      <c r="F22" s="54" t="n">
        <f aca="false">SUMIF(FS_map!$H:$H,$D22,FS_map!$P:$P)</f>
        <v>1049728634</v>
      </c>
      <c r="G22" s="54" t="n">
        <f aca="false">SUMIF(WBS_2025YE!$D:$D,$D22,WBS_2025YE!$K:$K)</f>
        <v>307501499</v>
      </c>
      <c r="H22" s="54" t="n">
        <f aca="false">F22-G22</f>
        <v>742227135</v>
      </c>
      <c r="I22" s="55" t="n">
        <f aca="false">IFERROR(H22/G22,IF(H22&gt;0,100%,IF(H22=0,0,-100%)))</f>
        <v>2.41373501402021</v>
      </c>
      <c r="J22" s="56" t="str">
        <f aca="false">IF(AND(ABS(H22)&gt;$J$5,ABS(I22)&gt;5%),"O","")</f>
        <v/>
      </c>
      <c r="K22" s="58" t="s">
        <v>61</v>
      </c>
      <c r="L22" s="48" t="n">
        <f aca="false">E22-F22</f>
        <v>0</v>
      </c>
      <c r="M22" s="49"/>
      <c r="N22" s="50" t="n">
        <f aca="false">SUMIF('BS_DEC 2026'!$D:$D,$D22,'BS_DEC 2026'!$E:$E)</f>
        <v>1049728634</v>
      </c>
      <c r="O22" s="50" t="n">
        <f aca="false">E22-N22</f>
        <v>0</v>
      </c>
      <c r="P22" s="50" t="n">
        <f aca="false">SUMIF('BS_DEC 2026'!$D:$D,$D22,'BS_DEC 2026'!$K:$K)</f>
        <v>1049728634</v>
      </c>
      <c r="Q22" s="50" t="n">
        <f aca="false">F22-P22</f>
        <v>0</v>
      </c>
    </row>
    <row r="23" customFormat="false" ht="78" hidden="false" customHeight="true" outlineLevel="0" collapsed="false">
      <c r="B23" s="22" t="s">
        <v>62</v>
      </c>
      <c r="C23" s="52" t="s">
        <v>63</v>
      </c>
      <c r="D23" s="53" t="s">
        <v>64</v>
      </c>
      <c r="E23" s="54" t="n">
        <f aca="false">SUMIF(FS_map!$H:$H,$D23,FS_map!$M:$M)</f>
        <v>19467726192</v>
      </c>
      <c r="F23" s="54" t="n">
        <f aca="false">SUMIF(FS_map!$H:$H,$D23,FS_map!$P:$P)</f>
        <v>19467726192</v>
      </c>
      <c r="G23" s="54" t="n">
        <f aca="false">SUMIF(WBS_2025YE!$D:$D,$D23,WBS_2025YE!$K:$K)</f>
        <v>24194603240</v>
      </c>
      <c r="H23" s="54" t="n">
        <f aca="false">F23-G23</f>
        <v>-4726877048</v>
      </c>
      <c r="I23" s="55" t="n">
        <f aca="false">IFERROR(H23/G23,IF(H23&gt;0,100%,IF(H23=0,0,-100%)))</f>
        <v>-0.195369066444753</v>
      </c>
      <c r="J23" s="56" t="str">
        <f aca="false">IF(AND(ABS(H23)&gt;$J$5,ABS(I23)&gt;5%),"O","")</f>
        <v/>
      </c>
      <c r="K23" s="57" t="s">
        <v>65</v>
      </c>
      <c r="L23" s="48" t="n">
        <f aca="false">E23-F23</f>
        <v>0</v>
      </c>
      <c r="M23" s="59"/>
      <c r="N23" s="50" t="n">
        <f aca="false">SUMIF('BS_DEC 2026'!$D:$D,$D23,'BS_DEC 2026'!$E:$E)</f>
        <v>19467726192</v>
      </c>
      <c r="O23" s="50" t="n">
        <f aca="false">E23-N23</f>
        <v>0</v>
      </c>
      <c r="P23" s="50" t="n">
        <f aca="false">SUMIF('BS_DEC 2026'!$D:$D,$D23,'BS_DEC 2026'!$K:$K)</f>
        <v>19467726192</v>
      </c>
      <c r="Q23" s="50" t="n">
        <f aca="false">F23-P23</f>
        <v>0</v>
      </c>
    </row>
    <row r="24" customFormat="false" ht="13.5" hidden="false" customHeight="false" outlineLevel="0" collapsed="false">
      <c r="B24" s="22" t="s">
        <v>66</v>
      </c>
      <c r="C24" s="52" t="s">
        <v>67</v>
      </c>
      <c r="D24" s="53" t="s">
        <v>68</v>
      </c>
      <c r="E24" s="54" t="n">
        <f aca="false">SUMIF(FS_map!$H:$H,$D24,FS_map!$M:$M)</f>
        <v>0</v>
      </c>
      <c r="F24" s="54" t="n">
        <f aca="false">SUMIF(FS_map!$H:$H,$D24,FS_map!$P:$P)</f>
        <v>0</v>
      </c>
      <c r="G24" s="54" t="n">
        <f aca="false">SUMIF(WBS_2025YE!$D:$D,$D24,WBS_2025YE!$K:$K)</f>
        <v>0</v>
      </c>
      <c r="H24" s="54" t="n">
        <f aca="false">F24-G24</f>
        <v>0</v>
      </c>
      <c r="I24" s="55" t="n">
        <f aca="false">IFERROR(H24/G24,IF(H24&gt;0,100%,IF(H24=0,0,-100%)))</f>
        <v>0</v>
      </c>
      <c r="J24" s="56" t="str">
        <f aca="false">IF(AND(ABS(H24)&gt;$J$5,ABS(I24)&gt;5%),"O","")</f>
        <v/>
      </c>
      <c r="K24" s="60"/>
      <c r="L24" s="48" t="n">
        <f aca="false">E24-F24</f>
        <v>0</v>
      </c>
      <c r="M24" s="49"/>
      <c r="N24" s="50" t="n">
        <f aca="false">SUMIF('BS_DEC 2026'!$D:$D,$D24,'BS_DEC 2026'!$E:$E)</f>
        <v>0</v>
      </c>
      <c r="O24" s="50" t="n">
        <f aca="false">E24-N24</f>
        <v>0</v>
      </c>
      <c r="P24" s="50" t="n">
        <f aca="false">SUMIF('BS_DEC 2026'!$D:$D,$D24,'BS_DEC 2026'!$K:$K)</f>
        <v>0</v>
      </c>
      <c r="Q24" s="50" t="n">
        <f aca="false">F24-P24</f>
        <v>0</v>
      </c>
    </row>
    <row r="25" customFormat="false" ht="13.5" hidden="false" customHeight="false" outlineLevel="0" collapsed="false">
      <c r="B25" s="22"/>
      <c r="C25" s="52" t="s">
        <v>69</v>
      </c>
      <c r="D25" s="53" t="s">
        <v>70</v>
      </c>
      <c r="E25" s="54" t="n">
        <f aca="false">SUMIF(FS_map!$H:$H,$D25,FS_map!$M:$M)</f>
        <v>0</v>
      </c>
      <c r="F25" s="54" t="n">
        <f aca="false">SUMIF(FS_map!$H:$H,$D25,FS_map!$P:$P)</f>
        <v>0</v>
      </c>
      <c r="G25" s="54" t="n">
        <f aca="false">SUMIF(WBS_2025YE!$D:$D,$D25,WBS_2025YE!$K:$K)</f>
        <v>0</v>
      </c>
      <c r="H25" s="54" t="n">
        <f aca="false">F25-G25</f>
        <v>0</v>
      </c>
      <c r="I25" s="55" t="n">
        <f aca="false">IFERROR(H25/G25,IF(H25&gt;0,100%,IF(H25=0,0,-100%)))</f>
        <v>0</v>
      </c>
      <c r="J25" s="56" t="str">
        <f aca="false">IF(AND(ABS(H25)&gt;$J$5,ABS(I25)&gt;5%),"O","")</f>
        <v/>
      </c>
      <c r="K25" s="60"/>
      <c r="L25" s="48" t="n">
        <f aca="false">E25-F25</f>
        <v>0</v>
      </c>
      <c r="M25" s="49"/>
      <c r="N25" s="50" t="n">
        <f aca="false">SUMIF('BS_DEC 2026'!$D:$D,$D25,'BS_DEC 2026'!$E:$E)</f>
        <v>0</v>
      </c>
      <c r="O25" s="50" t="n">
        <f aca="false">E25-N25</f>
        <v>0</v>
      </c>
      <c r="P25" s="50" t="n">
        <f aca="false">SUMIF('BS_DEC 2026'!$D:$D,$D25,'BS_DEC 2026'!$K:$K)</f>
        <v>0</v>
      </c>
      <c r="Q25" s="50" t="n">
        <f aca="false">F25-P25</f>
        <v>0</v>
      </c>
    </row>
    <row r="26" customFormat="false" ht="13.5" hidden="false" customHeight="false" outlineLevel="0" collapsed="false">
      <c r="B26" s="22"/>
      <c r="C26" s="42"/>
      <c r="D26" s="43"/>
      <c r="E26" s="61"/>
      <c r="F26" s="61"/>
      <c r="G26" s="61"/>
      <c r="H26" s="54"/>
      <c r="I26" s="55" t="n">
        <f aca="false">IFERROR(H26/G26,IF(H26&gt;0,100%,IF(H26=0,0,-100%)))</f>
        <v>0</v>
      </c>
      <c r="J26" s="56" t="str">
        <f aca="false">IF(AND(ABS(H26)&gt;$J$5,ABS(I26)&gt;5%),"O","")</f>
        <v/>
      </c>
      <c r="K26" s="60"/>
      <c r="L26" s="48" t="n">
        <f aca="false">E26-F26</f>
        <v>0</v>
      </c>
      <c r="M26" s="49"/>
      <c r="N26" s="40"/>
      <c r="O26" s="41"/>
      <c r="P26" s="41"/>
      <c r="Q26" s="41"/>
    </row>
    <row r="27" customFormat="false" ht="15" hidden="false" customHeight="true" outlineLevel="0" collapsed="false">
      <c r="B27" s="22" t="s">
        <v>71</v>
      </c>
      <c r="C27" s="51" t="s">
        <v>72</v>
      </c>
      <c r="D27" s="43"/>
      <c r="E27" s="44" t="n">
        <f aca="false">SUM(E28:E37)</f>
        <v>195439963106</v>
      </c>
      <c r="F27" s="44" t="n">
        <f aca="false">SUM(F28:F37)</f>
        <v>195439963106</v>
      </c>
      <c r="G27" s="44" t="n">
        <f aca="false">SUM(G28:G37)</f>
        <v>176435792670</v>
      </c>
      <c r="H27" s="44" t="n">
        <f aca="false">SUM(H28:H37)</f>
        <v>19004170436</v>
      </c>
      <c r="I27" s="45" t="n">
        <f aca="false">IFERROR(H27/G27,IF(H27&gt;0,100%,IF(H27=0,0,-100%)))</f>
        <v>0.107711537145668</v>
      </c>
      <c r="J27" s="46" t="str">
        <f aca="false">IF(AND(ABS(H27)&gt;$J$5,ABS(I27)&gt;5%),"O","")</f>
        <v>O</v>
      </c>
      <c r="K27" s="62" t="s">
        <v>73</v>
      </c>
      <c r="L27" s="48" t="n">
        <f aca="false">E27-F27</f>
        <v>0</v>
      </c>
      <c r="M27" s="49"/>
      <c r="N27" s="50" t="n">
        <f aca="false">SUM(N28:N37)</f>
        <v>195439963106</v>
      </c>
      <c r="O27" s="50" t="n">
        <f aca="false">E27-N27</f>
        <v>0</v>
      </c>
      <c r="P27" s="50" t="n">
        <f aca="false">SUM(P28:P37)</f>
        <v>195439963106</v>
      </c>
      <c r="Q27" s="50" t="n">
        <f aca="false">F27-P27</f>
        <v>0</v>
      </c>
    </row>
    <row r="28" customFormat="false" ht="90.75" hidden="false" customHeight="true" outlineLevel="0" collapsed="false">
      <c r="B28" s="22" t="s">
        <v>74</v>
      </c>
      <c r="C28" s="52" t="s">
        <v>26</v>
      </c>
      <c r="D28" s="53" t="s">
        <v>75</v>
      </c>
      <c r="E28" s="54" t="n">
        <f aca="false">SUMIF(FS_map!$H:$H,$D28,FS_map!$M:$M)</f>
        <v>180063595464</v>
      </c>
      <c r="F28" s="54" t="n">
        <f aca="false">SUMIF(FS_map!$H:$H,$D28,FS_map!$P:$P)</f>
        <v>180063595464</v>
      </c>
      <c r="G28" s="54" t="n">
        <f aca="false">SUMIF(WBS_2025YE!$D:$D,$D28,WBS_2025YE!$K:$K)</f>
        <v>160568039290</v>
      </c>
      <c r="H28" s="54" t="n">
        <f aca="false">F28-G28</f>
        <v>19495556174</v>
      </c>
      <c r="I28" s="55" t="n">
        <f aca="false">IFERROR(H28/G28,IF(H28&gt;0,100%,IF(H28=0,0,-100%)))</f>
        <v>0.121416168872744</v>
      </c>
      <c r="J28" s="56" t="str">
        <f aca="false">IF(AND(ABS(H28)&gt;$J$5,ABS(I28)&gt;5%),"O","")</f>
        <v>O</v>
      </c>
      <c r="K28" s="58" t="s">
        <v>76</v>
      </c>
      <c r="L28" s="48" t="n">
        <f aca="false">E28-F28</f>
        <v>0</v>
      </c>
      <c r="M28" s="49"/>
      <c r="N28" s="50" t="n">
        <f aca="false">SUMIF('BS_DEC 2026'!$D:$D,$D28,'BS_DEC 2026'!$E:$E)</f>
        <v>180063595464</v>
      </c>
      <c r="O28" s="50" t="n">
        <f aca="false">E28-N28</f>
        <v>0</v>
      </c>
      <c r="P28" s="50" t="n">
        <f aca="false">SUMIF('BS_DEC 2026'!$D:$D,$D28,'BS_DEC 2026'!$K:$K)</f>
        <v>180063595464</v>
      </c>
      <c r="Q28" s="50" t="n">
        <f aca="false">F28-P28</f>
        <v>0</v>
      </c>
    </row>
    <row r="29" customFormat="false" ht="78" hidden="false" customHeight="true" outlineLevel="0" collapsed="false">
      <c r="B29" s="22" t="s">
        <v>77</v>
      </c>
      <c r="C29" s="52"/>
      <c r="D29" s="53" t="s">
        <v>78</v>
      </c>
      <c r="E29" s="54" t="n">
        <f aca="false">SUMIF(FS_map!$H:$H,$D29,FS_map!$M:$M)</f>
        <v>-2420155943</v>
      </c>
      <c r="F29" s="54" t="n">
        <f aca="false">SUMIF(FS_map!$H:$H,$D29,FS_map!$P:$P)</f>
        <v>-2420155943</v>
      </c>
      <c r="G29" s="54" t="n">
        <f aca="false">SUMIF(WBS_2025YE!$D:$D,$D29,WBS_2025YE!$K:$K)</f>
        <v>-4823897784</v>
      </c>
      <c r="H29" s="54" t="n">
        <f aca="false">F29-G29</f>
        <v>2403741841</v>
      </c>
      <c r="I29" s="55" t="n">
        <f aca="false">IFERROR(H29/G29,IF(H29&gt;0,100%,IF(H29=0,0,-100%)))</f>
        <v>-0.498298668137782</v>
      </c>
      <c r="J29" s="56" t="str">
        <f aca="false">IF(AND(ABS(H29)&gt;$J$5,ABS(I29)&gt;5%),"O","")</f>
        <v/>
      </c>
      <c r="K29" s="58" t="s">
        <v>79</v>
      </c>
      <c r="L29" s="48" t="n">
        <f aca="false">E29-F29</f>
        <v>0</v>
      </c>
      <c r="M29" s="59"/>
      <c r="N29" s="50" t="n">
        <f aca="false">SUMIF('BS_DEC 2026'!$D:$D,$D29,'BS_DEC 2026'!$E:$E)</f>
        <v>-2420155943</v>
      </c>
      <c r="O29" s="50" t="n">
        <f aca="false">E29-N29</f>
        <v>0</v>
      </c>
      <c r="P29" s="50" t="n">
        <f aca="false">SUMIF('BS_DEC 2026'!$D:$D,$D29,'BS_DEC 2026'!$K:$K)</f>
        <v>-2420155943</v>
      </c>
      <c r="Q29" s="50" t="n">
        <f aca="false">F29-P29</f>
        <v>0</v>
      </c>
    </row>
    <row r="30" customFormat="false" ht="13.5" hidden="false" customHeight="false" outlineLevel="0" collapsed="false">
      <c r="B30" s="22" t="s">
        <v>80</v>
      </c>
      <c r="C30" s="52" t="s">
        <v>30</v>
      </c>
      <c r="D30" s="53" t="s">
        <v>81</v>
      </c>
      <c r="E30" s="54" t="n">
        <f aca="false">SUMIF(FS_map!$H:$H,$D30,FS_map!$M:$M)</f>
        <v>0</v>
      </c>
      <c r="F30" s="54" t="n">
        <f aca="false">SUMIF(FS_map!$H:$H,$D30,FS_map!$P:$P)</f>
        <v>0</v>
      </c>
      <c r="G30" s="54" t="n">
        <f aca="false">SUMIF(WBS_2025YE!$D:$D,$D30,WBS_2025YE!$K:$K)</f>
        <v>0</v>
      </c>
      <c r="H30" s="54" t="n">
        <f aca="false">F30-G30</f>
        <v>0</v>
      </c>
      <c r="I30" s="55" t="n">
        <f aca="false">IFERROR(H30/G30,IF(H30&gt;0,100%,IF(H30=0,0,-100%)))</f>
        <v>0</v>
      </c>
      <c r="J30" s="56" t="str">
        <f aca="false">IF(AND(ABS(H30)&gt;$J$5,ABS(I30)&gt;5%),"O","")</f>
        <v/>
      </c>
      <c r="K30" s="60"/>
      <c r="L30" s="48" t="n">
        <f aca="false">E30-F30</f>
        <v>0</v>
      </c>
      <c r="M30" s="49"/>
      <c r="N30" s="50" t="n">
        <f aca="false">SUMIF('BS_DEC 2026'!$D:$D,$D30,'BS_DEC 2026'!$E:$E)</f>
        <v>0</v>
      </c>
      <c r="O30" s="50" t="n">
        <f aca="false">E30-N30</f>
        <v>0</v>
      </c>
      <c r="P30" s="50" t="n">
        <f aca="false">SUMIF('BS_DEC 2026'!$D:$D,$D30,'BS_DEC 2026'!$K:$K)</f>
        <v>0</v>
      </c>
      <c r="Q30" s="50" t="n">
        <f aca="false">F30-P30</f>
        <v>0</v>
      </c>
    </row>
    <row r="31" customFormat="false" ht="13.5" hidden="false" customHeight="false" outlineLevel="0" collapsed="false">
      <c r="B31" s="22" t="s">
        <v>77</v>
      </c>
      <c r="C31" s="42"/>
      <c r="D31" s="53" t="s">
        <v>82</v>
      </c>
      <c r="E31" s="54" t="n">
        <f aca="false">SUMIF(FS_map!$H:$H,$D31,FS_map!$M:$M)</f>
        <v>0</v>
      </c>
      <c r="F31" s="54" t="n">
        <f aca="false">SUMIF(FS_map!$H:$H,$D31,FS_map!$P:$P)</f>
        <v>0</v>
      </c>
      <c r="G31" s="54" t="n">
        <f aca="false">SUMIF(WBS_2025YE!$D:$D,$D31,WBS_2025YE!$K:$K)</f>
        <v>0</v>
      </c>
      <c r="H31" s="54" t="n">
        <f aca="false">F31-G31</f>
        <v>0</v>
      </c>
      <c r="I31" s="55" t="n">
        <f aca="false">IFERROR(H31/G31,IF(H31&gt;0,100%,IF(H31=0,0,-100%)))</f>
        <v>0</v>
      </c>
      <c r="J31" s="56" t="str">
        <f aca="false">IF(AND(ABS(H31)&gt;$J$5,ABS(I31)&gt;5%),"O","")</f>
        <v/>
      </c>
      <c r="K31" s="60"/>
      <c r="L31" s="48" t="n">
        <f aca="false">E31-F31</f>
        <v>0</v>
      </c>
      <c r="M31" s="49"/>
      <c r="N31" s="50" t="n">
        <f aca="false">SUMIF('BS_DEC 2026'!$D:$D,$D31,'BS_DEC 2026'!$E:$E)</f>
        <v>0</v>
      </c>
      <c r="O31" s="50" t="n">
        <f aca="false">E31-N31</f>
        <v>0</v>
      </c>
      <c r="P31" s="50" t="n">
        <f aca="false">SUMIF('BS_DEC 2026'!$D:$D,$D31,'BS_DEC 2026'!$K:$K)</f>
        <v>0</v>
      </c>
      <c r="Q31" s="50" t="n">
        <f aca="false">F31-P31</f>
        <v>0</v>
      </c>
    </row>
    <row r="32" customFormat="false" ht="13.5" hidden="false" customHeight="false" outlineLevel="0" collapsed="false">
      <c r="B32" s="22" t="s">
        <v>83</v>
      </c>
      <c r="C32" s="52" t="s">
        <v>34</v>
      </c>
      <c r="D32" s="53" t="s">
        <v>84</v>
      </c>
      <c r="E32" s="54" t="n">
        <f aca="false">SUMIF(FS_map!$H:$H,$D32,FS_map!$M:$M)</f>
        <v>0</v>
      </c>
      <c r="F32" s="54" t="n">
        <f aca="false">SUMIF(FS_map!$H:$H,$D32,FS_map!$P:$P)</f>
        <v>0</v>
      </c>
      <c r="G32" s="54" t="n">
        <f aca="false">SUMIF(WBS_2025YE!$D:$D,$D32,WBS_2025YE!$K:$K)</f>
        <v>0</v>
      </c>
      <c r="H32" s="54" t="n">
        <f aca="false">F32-G32</f>
        <v>0</v>
      </c>
      <c r="I32" s="55" t="n">
        <f aca="false">IFERROR(H32/G32,IF(H32&gt;0,100%,IF(H32=0,0,-100%)))</f>
        <v>0</v>
      </c>
      <c r="J32" s="56" t="str">
        <f aca="false">IF(AND(ABS(H32)&gt;$J$5,ABS(I32)&gt;5%),"O","")</f>
        <v/>
      </c>
      <c r="K32" s="60"/>
      <c r="L32" s="48" t="n">
        <f aca="false">E32-F32</f>
        <v>0</v>
      </c>
      <c r="M32" s="49"/>
      <c r="N32" s="50" t="n">
        <f aca="false">SUMIF('BS_DEC 2026'!$D:$D,$D32,'BS_DEC 2026'!$E:$E)</f>
        <v>0</v>
      </c>
      <c r="O32" s="50" t="n">
        <f aca="false">E32-N32</f>
        <v>0</v>
      </c>
      <c r="P32" s="50" t="n">
        <f aca="false">SUMIF('BS_DEC 2026'!$D:$D,$D32,'BS_DEC 2026'!$K:$K)</f>
        <v>0</v>
      </c>
      <c r="Q32" s="50" t="n">
        <f aca="false">F32-P32</f>
        <v>0</v>
      </c>
    </row>
    <row r="33" customFormat="false" ht="13.5" hidden="false" customHeight="false" outlineLevel="0" collapsed="false">
      <c r="B33" s="22" t="s">
        <v>85</v>
      </c>
      <c r="C33" s="52" t="s">
        <v>38</v>
      </c>
      <c r="D33" s="53" t="s">
        <v>86</v>
      </c>
      <c r="E33" s="54" t="n">
        <f aca="false">SUMIF(FS_map!$H:$H,$D33,FS_map!$M:$M)</f>
        <v>0</v>
      </c>
      <c r="F33" s="54" t="n">
        <f aca="false">SUMIF(FS_map!$H:$H,$D33,FS_map!$P:$P)</f>
        <v>0</v>
      </c>
      <c r="G33" s="54" t="n">
        <f aca="false">SUMIF(WBS_2025YE!$D:$D,$D33,WBS_2025YE!$K:$K)</f>
        <v>0</v>
      </c>
      <c r="H33" s="54" t="n">
        <f aca="false">F33-G33</f>
        <v>0</v>
      </c>
      <c r="I33" s="55" t="n">
        <f aca="false">IFERROR(H33/G33,IF(H33&gt;0,100%,IF(H33=0,0,-100%)))</f>
        <v>0</v>
      </c>
      <c r="J33" s="56" t="str">
        <f aca="false">IF(AND(ABS(H33)&gt;$J$5,ABS(I33)&gt;5%),"O","")</f>
        <v/>
      </c>
      <c r="K33" s="60"/>
      <c r="L33" s="48" t="n">
        <f aca="false">E33-F33</f>
        <v>0</v>
      </c>
      <c r="M33" s="49"/>
      <c r="N33" s="50" t="n">
        <f aca="false">SUMIF('BS_DEC 2026'!$D:$D,$D33,'BS_DEC 2026'!$E:$E)</f>
        <v>0</v>
      </c>
      <c r="O33" s="50" t="n">
        <f aca="false">E33-N33</f>
        <v>0</v>
      </c>
      <c r="P33" s="50" t="n">
        <f aca="false">SUMIF('BS_DEC 2026'!$D:$D,$D33,'BS_DEC 2026'!$K:$K)</f>
        <v>0</v>
      </c>
      <c r="Q33" s="50" t="n">
        <f aca="false">F33-P33</f>
        <v>0</v>
      </c>
    </row>
    <row r="34" customFormat="false" ht="13.5" hidden="false" customHeight="false" outlineLevel="0" collapsed="false">
      <c r="B34" s="22" t="s">
        <v>87</v>
      </c>
      <c r="C34" s="52"/>
      <c r="D34" s="53" t="s">
        <v>88</v>
      </c>
      <c r="E34" s="54" t="n">
        <f aca="false">SUMIF(FS_map!$H:$H,$D34,FS_map!$M:$M)</f>
        <v>0</v>
      </c>
      <c r="F34" s="54" t="n">
        <f aca="false">SUMIF(FS_map!$H:$H,$D34,FS_map!$P:$P)</f>
        <v>0</v>
      </c>
      <c r="G34" s="54" t="n">
        <f aca="false">SUMIF(WBS_2025YE!$D:$D,$D34,WBS_2025YE!$K:$K)</f>
        <v>0</v>
      </c>
      <c r="H34" s="54" t="n">
        <f aca="false">F34-G34</f>
        <v>0</v>
      </c>
      <c r="I34" s="55" t="n">
        <f aca="false">IFERROR(H34/G34,IF(H34&gt;0,100%,IF(H34=0,0,-100%)))</f>
        <v>0</v>
      </c>
      <c r="J34" s="56" t="str">
        <f aca="false">IF(AND(ABS(H34)&gt;$J$5,ABS(I34)&gt;5%),"O","")</f>
        <v/>
      </c>
      <c r="K34" s="60"/>
      <c r="L34" s="48" t="n">
        <f aca="false">E34-F34</f>
        <v>0</v>
      </c>
      <c r="M34" s="49"/>
      <c r="N34" s="50" t="n">
        <f aca="false">SUMIF('BS_DEC 2026'!$D:$D,$D34,'BS_DEC 2026'!$E:$E)</f>
        <v>0</v>
      </c>
      <c r="O34" s="50" t="n">
        <f aca="false">E34-N34</f>
        <v>0</v>
      </c>
      <c r="P34" s="50" t="n">
        <f aca="false">SUMIF('BS_DEC 2026'!$D:$D,$D34,'BS_DEC 2026'!$K:$K)</f>
        <v>0</v>
      </c>
      <c r="Q34" s="50" t="n">
        <f aca="false">F34-P34</f>
        <v>0</v>
      </c>
    </row>
    <row r="35" customFormat="false" ht="13.5" hidden="false" customHeight="false" outlineLevel="0" collapsed="false">
      <c r="B35" s="22" t="s">
        <v>89</v>
      </c>
      <c r="C35" s="52" t="s">
        <v>42</v>
      </c>
      <c r="D35" s="53" t="s">
        <v>90</v>
      </c>
      <c r="E35" s="54" t="n">
        <f aca="false">SUMIF(FS_map!$H:$H,$D35,FS_map!$M:$M)</f>
        <v>0</v>
      </c>
      <c r="F35" s="54" t="n">
        <f aca="false">SUMIF(FS_map!$H:$H,$D35,FS_map!$P:$P)</f>
        <v>0</v>
      </c>
      <c r="G35" s="54" t="n">
        <f aca="false">SUMIF(WBS_2025YE!$D:$D,$D35,WBS_2025YE!$K:$K)</f>
        <v>0</v>
      </c>
      <c r="H35" s="54" t="n">
        <f aca="false">F35-G35</f>
        <v>0</v>
      </c>
      <c r="I35" s="55" t="n">
        <f aca="false">IFERROR(H35/G35,IF(H35&gt;0,100%,IF(H35=0,0,-100%)))</f>
        <v>0</v>
      </c>
      <c r="J35" s="56" t="str">
        <f aca="false">IF(AND(ABS(H35)&gt;$J$5,ABS(I35)&gt;5%),"O","")</f>
        <v/>
      </c>
      <c r="K35" s="60"/>
      <c r="L35" s="48" t="n">
        <f aca="false">E35-F35</f>
        <v>0</v>
      </c>
      <c r="M35" s="49"/>
      <c r="N35" s="50" t="n">
        <f aca="false">SUMIF('BS_DEC 2026'!$D:$D,$D35,'BS_DEC 2026'!$E:$E)</f>
        <v>0</v>
      </c>
      <c r="O35" s="50" t="n">
        <f aca="false">E35-N35</f>
        <v>0</v>
      </c>
      <c r="P35" s="50" t="n">
        <f aca="false">SUMIF('BS_DEC 2026'!$D:$D,$D35,'BS_DEC 2026'!$K:$K)</f>
        <v>0</v>
      </c>
      <c r="Q35" s="50" t="n">
        <f aca="false">F35-P35</f>
        <v>0</v>
      </c>
    </row>
    <row r="36" customFormat="false" ht="13.5" hidden="false" customHeight="false" outlineLevel="0" collapsed="false">
      <c r="B36" s="22" t="s">
        <v>91</v>
      </c>
      <c r="C36" s="52"/>
      <c r="D36" s="53" t="s">
        <v>92</v>
      </c>
      <c r="E36" s="54" t="n">
        <f aca="false">SUMIF(FS_map!$H:$H,$D36,FS_map!$M:$M)</f>
        <v>0</v>
      </c>
      <c r="F36" s="54" t="n">
        <f aca="false">SUMIF(FS_map!$H:$H,$D36,FS_map!$P:$P)</f>
        <v>0</v>
      </c>
      <c r="G36" s="54" t="n">
        <f aca="false">SUMIF(WBS_2025YE!$D:$D,$D36,WBS_2025YE!$K:$K)</f>
        <v>0</v>
      </c>
      <c r="H36" s="54" t="n">
        <f aca="false">F36-G36</f>
        <v>0</v>
      </c>
      <c r="I36" s="55" t="n">
        <f aca="false">IFERROR(H36/G36,IF(H36&gt;0,100%,IF(H36=0,0,-100%)))</f>
        <v>0</v>
      </c>
      <c r="J36" s="56" t="str">
        <f aca="false">IF(AND(ABS(H36)&gt;$J$5,ABS(I36)&gt;5%),"O","")</f>
        <v/>
      </c>
      <c r="K36" s="60"/>
      <c r="L36" s="48" t="n">
        <f aca="false">E36-F36</f>
        <v>0</v>
      </c>
      <c r="M36" s="49"/>
      <c r="N36" s="50" t="n">
        <f aca="false">SUMIF('BS_DEC 2026'!$D:$D,$D36,'BS_DEC 2026'!$E:$E)</f>
        <v>0</v>
      </c>
      <c r="O36" s="50" t="n">
        <f aca="false">E36-N36</f>
        <v>0</v>
      </c>
      <c r="P36" s="50" t="n">
        <f aca="false">SUMIF('BS_DEC 2026'!$D:$D,$D36,'BS_DEC 2026'!$K:$K)</f>
        <v>0</v>
      </c>
      <c r="Q36" s="50" t="n">
        <f aca="false">F36-P36</f>
        <v>0</v>
      </c>
    </row>
    <row r="37" customFormat="false" ht="64.5" hidden="false" customHeight="true" outlineLevel="0" collapsed="false">
      <c r="B37" s="22" t="s">
        <v>93</v>
      </c>
      <c r="C37" s="52" t="s">
        <v>45</v>
      </c>
      <c r="D37" s="63" t="s">
        <v>94</v>
      </c>
      <c r="E37" s="54" t="n">
        <f aca="false">SUMIF(FS_map!$H:$H,$D37,FS_map!$M:$M)</f>
        <v>17796523585</v>
      </c>
      <c r="F37" s="54" t="n">
        <f aca="false">SUMIF(FS_map!$H:$H,$D37,FS_map!$P:$P)</f>
        <v>17796523585</v>
      </c>
      <c r="G37" s="54" t="n">
        <f aca="false">SUMIF(WBS_2025YE!$D:$D,$D37,WBS_2025YE!$K:$K)</f>
        <v>20691651164</v>
      </c>
      <c r="H37" s="54" t="n">
        <f aca="false">F37-G37</f>
        <v>-2895127579</v>
      </c>
      <c r="I37" s="55" t="n">
        <f aca="false">IFERROR(H37/G37,IF(H37&gt;0,100%,IF(H37=0,0,-100%)))</f>
        <v>-0.139917668051404</v>
      </c>
      <c r="J37" s="56" t="str">
        <f aca="false">IF(AND(ABS(H37)&gt;$J$5,ABS(I37)&gt;5%),"O","")</f>
        <v/>
      </c>
      <c r="K37" s="57" t="s">
        <v>95</v>
      </c>
      <c r="L37" s="48" t="n">
        <f aca="false">E37-F37</f>
        <v>0</v>
      </c>
      <c r="M37" s="49"/>
      <c r="N37" s="50" t="n">
        <f aca="false">SUMIF('BS_DEC 2026'!$D:$D,$D37,'BS_DEC 2026'!$E:$E)</f>
        <v>17796523585</v>
      </c>
      <c r="O37" s="50" t="n">
        <f aca="false">E37-N37</f>
        <v>0</v>
      </c>
      <c r="P37" s="50" t="n">
        <f aca="false">SUMIF('BS_DEC 2026'!$D:$D,$D37,'BS_DEC 2026'!$K:$K)</f>
        <v>17796523585</v>
      </c>
      <c r="Q37" s="50" t="n">
        <f aca="false">F37-P37</f>
        <v>0</v>
      </c>
    </row>
    <row r="38" customFormat="false" ht="13.5" hidden="false" customHeight="false" outlineLevel="0" collapsed="false">
      <c r="B38" s="22"/>
      <c r="C38" s="42"/>
      <c r="D38" s="43"/>
      <c r="E38" s="61"/>
      <c r="F38" s="61"/>
      <c r="G38" s="61"/>
      <c r="H38" s="54"/>
      <c r="I38" s="55" t="n">
        <f aca="false">IFERROR(H38/G38,IF(H38&gt;0,100%,IF(H38=0,0,-100%)))</f>
        <v>0</v>
      </c>
      <c r="J38" s="56" t="str">
        <f aca="false">IF(AND(ABS(H38)&gt;$J$5,ABS(I38)&gt;5%),"O","")</f>
        <v/>
      </c>
      <c r="K38" s="60"/>
      <c r="L38" s="48" t="n">
        <f aca="false">E38-F38</f>
        <v>0</v>
      </c>
      <c r="M38" s="49"/>
      <c r="N38" s="40"/>
      <c r="O38" s="41"/>
      <c r="P38" s="41"/>
      <c r="Q38" s="41"/>
    </row>
    <row r="39" customFormat="false" ht="13.5" hidden="false" customHeight="false" outlineLevel="0" collapsed="false">
      <c r="B39" s="22" t="s">
        <v>96</v>
      </c>
      <c r="C39" s="42" t="s">
        <v>97</v>
      </c>
      <c r="D39" s="43"/>
      <c r="E39" s="44" t="n">
        <f aca="false">+E44+E40+E58+E66+E73</f>
        <v>3546064105</v>
      </c>
      <c r="F39" s="44" t="n">
        <f aca="false">+F44+F40+F58+F66+F73</f>
        <v>3546064105</v>
      </c>
      <c r="G39" s="44" t="n">
        <f aca="false">+G44+G40+G58+G66+G73</f>
        <v>3167547191</v>
      </c>
      <c r="H39" s="44" t="n">
        <f aca="false">+H44+H40+H58+H66+H73</f>
        <v>378516914</v>
      </c>
      <c r="I39" s="45" t="n">
        <f aca="false">IFERROR(H39/G39,IF(H39&gt;0,100%,IF(H39=0,0,-100%)))</f>
        <v>0.119498429281649</v>
      </c>
      <c r="J39" s="46"/>
      <c r="K39" s="47"/>
      <c r="L39" s="48" t="n">
        <f aca="false">E39-F39</f>
        <v>0</v>
      </c>
      <c r="M39" s="49"/>
      <c r="N39" s="50" t="n">
        <f aca="false">+N44+N40+N58+N66+N73</f>
        <v>3546064105</v>
      </c>
      <c r="O39" s="50" t="n">
        <f aca="false">E39-N39</f>
        <v>0</v>
      </c>
      <c r="P39" s="50" t="n">
        <f aca="false">+P44+P40+P58+P66+P73</f>
        <v>3546064105</v>
      </c>
      <c r="Q39" s="50" t="n">
        <f aca="false">F39-P39</f>
        <v>0</v>
      </c>
    </row>
    <row r="40" customFormat="false" ht="13.5" hidden="false" customHeight="false" outlineLevel="0" collapsed="false">
      <c r="B40" s="22" t="s">
        <v>98</v>
      </c>
      <c r="C40" s="51" t="s">
        <v>99</v>
      </c>
      <c r="D40" s="43"/>
      <c r="E40" s="44" t="n">
        <f aca="false">SUM(E41:E43)</f>
        <v>0</v>
      </c>
      <c r="F40" s="44" t="n">
        <f aca="false">SUM(F41:F43)</f>
        <v>30000000</v>
      </c>
      <c r="G40" s="44" t="n">
        <f aca="false">SUM(G41:G43)</f>
        <v>30000000</v>
      </c>
      <c r="H40" s="44" t="n">
        <f aca="false">SUM(H41:H43)</f>
        <v>0</v>
      </c>
      <c r="I40" s="45" t="n">
        <f aca="false">IFERROR(H40/G40,IF(H40&gt;0,100%,IF(H40=0,0,-100%)))</f>
        <v>0</v>
      </c>
      <c r="J40" s="46" t="str">
        <f aca="false">IF(AND(ABS(H40)&gt;$J$5,ABS(I40)&gt;5%),"O","")</f>
        <v/>
      </c>
      <c r="K40" s="47"/>
      <c r="L40" s="48" t="n">
        <f aca="false">E40-F40</f>
        <v>-30000000</v>
      </c>
      <c r="M40" s="49"/>
      <c r="N40" s="50" t="n">
        <f aca="false">SUM(N41:N43)</f>
        <v>0</v>
      </c>
      <c r="O40" s="50" t="n">
        <f aca="false">E40-N40</f>
        <v>0</v>
      </c>
      <c r="P40" s="50" t="n">
        <f aca="false">SUM(P41:P43)</f>
        <v>30000000</v>
      </c>
      <c r="Q40" s="50" t="n">
        <f aca="false">F40-P40</f>
        <v>0</v>
      </c>
    </row>
    <row r="41" customFormat="false" ht="13.5" hidden="false" customHeight="false" outlineLevel="0" collapsed="false">
      <c r="B41" s="22" t="s">
        <v>100</v>
      </c>
      <c r="C41" s="52" t="s">
        <v>26</v>
      </c>
      <c r="D41" s="63" t="s">
        <v>101</v>
      </c>
      <c r="E41" s="54" t="n">
        <f aca="false">SUMIF(FS_map!$H:$H,$D41,FS_map!$M:$M)</f>
        <v>0</v>
      </c>
      <c r="F41" s="54" t="n">
        <f aca="false">SUMIF(FS_map!$H:$H,$D41,FS_map!$P:$P)</f>
        <v>0</v>
      </c>
      <c r="G41" s="54" t="n">
        <f aca="false">SUMIF(WBS_2025YE!$D:$D,$D41,WBS_2025YE!$K:$K)</f>
        <v>0</v>
      </c>
      <c r="H41" s="54" t="n">
        <f aca="false">F41-G41</f>
        <v>0</v>
      </c>
      <c r="I41" s="55" t="n">
        <f aca="false">IFERROR(H41/G41,IF(H41&gt;0,100%,IF(H41=0,0,-100%)))</f>
        <v>0</v>
      </c>
      <c r="J41" s="56" t="str">
        <f aca="false">IF(AND(ABS(H41)&gt;$J$5,ABS(I41)&gt;5%),"O","")</f>
        <v/>
      </c>
      <c r="K41" s="60"/>
      <c r="L41" s="48" t="n">
        <f aca="false">E41-F41</f>
        <v>0</v>
      </c>
      <c r="M41" s="49"/>
      <c r="N41" s="50" t="n">
        <f aca="false">SUMIF('BS_DEC 2026'!$D:$D,$D41,'BS_DEC 2026'!$E:$E)</f>
        <v>0</v>
      </c>
      <c r="O41" s="50" t="n">
        <f aca="false">E41-N41</f>
        <v>0</v>
      </c>
      <c r="P41" s="50" t="n">
        <f aca="false">SUMIF('BS_DEC 2026'!$D:$D,$D41,'BS_DEC 2026'!$K:$K)</f>
        <v>0</v>
      </c>
      <c r="Q41" s="50" t="n">
        <f aca="false">F41-P41</f>
        <v>0</v>
      </c>
    </row>
    <row r="42" customFormat="false" ht="13.5" hidden="false" customHeight="false" outlineLevel="0" collapsed="false">
      <c r="B42" s="22"/>
      <c r="C42" s="52" t="s">
        <v>30</v>
      </c>
      <c r="D42" s="63" t="s">
        <v>102</v>
      </c>
      <c r="E42" s="54" t="n">
        <f aca="false">SUMIF(FS_map!$H:$H,$D42,FS_map!$M:$M)</f>
        <v>0</v>
      </c>
      <c r="F42" s="54" t="n">
        <f aca="false">SUMIF(FS_map!$H:$H,$D42,FS_map!$P:$P)</f>
        <v>0</v>
      </c>
      <c r="G42" s="54" t="n">
        <f aca="false">SUMIF(WBS_2025YE!$D:$D,$D42,WBS_2025YE!$K:$K)</f>
        <v>0</v>
      </c>
      <c r="H42" s="54" t="n">
        <f aca="false">F42-G42</f>
        <v>0</v>
      </c>
      <c r="I42" s="55" t="n">
        <f aca="false">IFERROR(H42/G42,IF(H42&gt;0,100%,IF(H42=0,0,-100%)))</f>
        <v>0</v>
      </c>
      <c r="J42" s="56" t="str">
        <f aca="false">IF(AND(ABS(H42)&gt;$J$5,ABS(I42)&gt;5%),"O","")</f>
        <v/>
      </c>
      <c r="K42" s="60"/>
      <c r="L42" s="48" t="n">
        <f aca="false">E42-F42</f>
        <v>0</v>
      </c>
      <c r="M42" s="59"/>
      <c r="N42" s="50" t="n">
        <f aca="false">SUMIF('BS_DEC 2026'!$D:$D,$D42,'BS_DEC 2026'!$E:$E)</f>
        <v>0</v>
      </c>
      <c r="O42" s="50" t="n">
        <f aca="false">E42-N42</f>
        <v>0</v>
      </c>
      <c r="P42" s="50" t="n">
        <f aca="false">SUMIF('BS_DEC 2026'!$D:$D,$D42,'BS_DEC 2026'!$K:$K)</f>
        <v>0</v>
      </c>
      <c r="Q42" s="50" t="n">
        <f aca="false">F42-P42</f>
        <v>0</v>
      </c>
    </row>
    <row r="43" customFormat="false" ht="13.5" hidden="false" customHeight="false" outlineLevel="0" collapsed="false">
      <c r="B43" s="22" t="s">
        <v>103</v>
      </c>
      <c r="C43" s="52" t="s">
        <v>34</v>
      </c>
      <c r="D43" s="53" t="s">
        <v>104</v>
      </c>
      <c r="E43" s="54" t="n">
        <f aca="false">SUMIF(FS_map!$H:$H,$D43,FS_map!$M:$M)</f>
        <v>0</v>
      </c>
      <c r="F43" s="54" t="n">
        <f aca="false">SUMIF(FS_map!$H:$H,$D43,FS_map!$P:$P)</f>
        <v>30000000</v>
      </c>
      <c r="G43" s="54" t="n">
        <f aca="false">SUMIF(WBS_2025YE!$D:$D,$D43,WBS_2025YE!$K:$K)</f>
        <v>30000000</v>
      </c>
      <c r="H43" s="54" t="n">
        <f aca="false">F43-G43</f>
        <v>0</v>
      </c>
      <c r="I43" s="55" t="n">
        <f aca="false">IFERROR(H43/G43,IF(H43&gt;0,100%,IF(H43=0,0,-100%)))</f>
        <v>0</v>
      </c>
      <c r="J43" s="56" t="str">
        <f aca="false">IF(AND(ABS(H43)&gt;$J$5,ABS(I43)&gt;5%),"O","")</f>
        <v/>
      </c>
      <c r="K43" s="60"/>
      <c r="L43" s="48" t="n">
        <f aca="false">E43-F43</f>
        <v>-30000000</v>
      </c>
      <c r="M43" s="64" t="s">
        <v>105</v>
      </c>
      <c r="N43" s="50" t="n">
        <f aca="false">SUMIF('BS_DEC 2026'!$D:$D,$D43,'BS_DEC 2026'!$E:$E)</f>
        <v>0</v>
      </c>
      <c r="O43" s="50" t="n">
        <f aca="false">E43-N43</f>
        <v>0</v>
      </c>
      <c r="P43" s="50" t="n">
        <f aca="false">SUMIF('BS_DEC 2026'!$D:$D,$D43,'BS_DEC 2026'!$K:$K)</f>
        <v>30000000</v>
      </c>
      <c r="Q43" s="50" t="n">
        <f aca="false">F43-P43</f>
        <v>0</v>
      </c>
    </row>
    <row r="44" customFormat="false" ht="51.75" hidden="false" customHeight="true" outlineLevel="0" collapsed="false">
      <c r="B44" s="22" t="s">
        <v>106</v>
      </c>
      <c r="C44" s="51" t="s">
        <v>107</v>
      </c>
      <c r="D44" s="43"/>
      <c r="E44" s="44" t="n">
        <f aca="false">SUM(E45:E57)</f>
        <v>1118160218</v>
      </c>
      <c r="F44" s="44" t="n">
        <f aca="false">SUM(F45:F57)</f>
        <v>1118160218</v>
      </c>
      <c r="G44" s="44" t="n">
        <f aca="false">SUM(G45:G57)</f>
        <v>1525937673</v>
      </c>
      <c r="H44" s="44" t="n">
        <f aca="false">SUM(H45:H57)</f>
        <v>-407777455</v>
      </c>
      <c r="I44" s="45" t="n">
        <f aca="false">IFERROR(H44/G44,IF(H44&gt;0,100%,IF(H44=0,0,-100%)))</f>
        <v>-0.267230740950453</v>
      </c>
      <c r="J44" s="46" t="str">
        <f aca="false">IF(AND(ABS(H44)&gt;$J$5,ABS(I44)&gt;5%),"O","")</f>
        <v/>
      </c>
      <c r="K44" s="65" t="s">
        <v>108</v>
      </c>
      <c r="L44" s="48" t="n">
        <f aca="false">E44-F44</f>
        <v>0</v>
      </c>
      <c r="M44" s="49"/>
      <c r="N44" s="50" t="n">
        <f aca="false">SUM(N45:N57)</f>
        <v>1118160218</v>
      </c>
      <c r="O44" s="50" t="n">
        <f aca="false">E44-N44</f>
        <v>0</v>
      </c>
      <c r="P44" s="50" t="n">
        <f aca="false">SUM(P45:P57)</f>
        <v>1118160218</v>
      </c>
      <c r="Q44" s="50" t="n">
        <f aca="false">F44-P44</f>
        <v>0</v>
      </c>
    </row>
    <row r="45" customFormat="false" ht="13.5" hidden="false" customHeight="false" outlineLevel="0" collapsed="false">
      <c r="B45" s="22" t="s">
        <v>109</v>
      </c>
      <c r="C45" s="52" t="s">
        <v>26</v>
      </c>
      <c r="D45" s="53" t="s">
        <v>110</v>
      </c>
      <c r="E45" s="54" t="n">
        <f aca="false">SUMIF(FS_map!$H:$H,$D45,FS_map!$M:$M)</f>
        <v>0</v>
      </c>
      <c r="F45" s="54" t="n">
        <f aca="false">SUMIF(FS_map!$H:$H,$D45,FS_map!$P:$P)</f>
        <v>0</v>
      </c>
      <c r="G45" s="54" t="n">
        <f aca="false">SUMIF(WBS_2025YE!$D:$D,$D45,WBS_2025YE!$K:$K)</f>
        <v>0</v>
      </c>
      <c r="H45" s="54" t="n">
        <f aca="false">F45-G45</f>
        <v>0</v>
      </c>
      <c r="I45" s="55" t="n">
        <f aca="false">IFERROR(H45/G45,IF(H45&gt;0,100%,IF(H45=0,0,-100%)))</f>
        <v>0</v>
      </c>
      <c r="J45" s="56" t="str">
        <f aca="false">IF(AND(ABS(H45)&gt;$J$5,ABS(I45)&gt;5%),"O","")</f>
        <v/>
      </c>
      <c r="K45" s="60"/>
      <c r="L45" s="48" t="n">
        <f aca="false">E45-F45</f>
        <v>0</v>
      </c>
      <c r="M45" s="49"/>
      <c r="N45" s="50" t="n">
        <f aca="false">SUMIF('BS_DEC 2026'!$D:$D,$D45,'BS_DEC 2026'!$E:$E)</f>
        <v>0</v>
      </c>
      <c r="O45" s="50" t="n">
        <f aca="false">E45-N45</f>
        <v>0</v>
      </c>
      <c r="P45" s="50" t="n">
        <f aca="false">SUMIF('BS_DEC 2026'!$D:$D,$D45,'BS_DEC 2026'!$K:$K)</f>
        <v>0</v>
      </c>
      <c r="Q45" s="50" t="n">
        <f aca="false">F45-P45</f>
        <v>0</v>
      </c>
    </row>
    <row r="46" customFormat="false" ht="13.5" hidden="false" customHeight="false" outlineLevel="0" collapsed="false">
      <c r="B46" s="22" t="s">
        <v>111</v>
      </c>
      <c r="C46" s="52" t="s">
        <v>30</v>
      </c>
      <c r="D46" s="53" t="s">
        <v>112</v>
      </c>
      <c r="E46" s="54" t="n">
        <f aca="false">SUMIF(FS_map!$H:$H,$D46,FS_map!$M:$M)</f>
        <v>0</v>
      </c>
      <c r="F46" s="54" t="n">
        <f aca="false">SUMIF(FS_map!$H:$H,$D46,FS_map!$P:$P)</f>
        <v>0</v>
      </c>
      <c r="G46" s="54" t="n">
        <f aca="false">SUMIF(WBS_2025YE!$D:$D,$D46,WBS_2025YE!$K:$K)</f>
        <v>0</v>
      </c>
      <c r="H46" s="54" t="n">
        <f aca="false">F46-G46</f>
        <v>0</v>
      </c>
      <c r="I46" s="55" t="n">
        <f aca="false">IFERROR(H46/G46,IF(H46&gt;0,100%,IF(H46=0,0,-100%)))</f>
        <v>0</v>
      </c>
      <c r="J46" s="56" t="str">
        <f aca="false">IF(AND(ABS(H46)&gt;$J$5,ABS(I46)&gt;5%),"O","")</f>
        <v/>
      </c>
      <c r="K46" s="60"/>
      <c r="L46" s="48" t="n">
        <f aca="false">E46-F46</f>
        <v>0</v>
      </c>
      <c r="M46" s="49"/>
      <c r="N46" s="50" t="n">
        <f aca="false">SUMIF('BS_DEC 2026'!$D:$D,$D46,'BS_DEC 2026'!$E:$E)</f>
        <v>0</v>
      </c>
      <c r="O46" s="50" t="n">
        <f aca="false">E46-N46</f>
        <v>0</v>
      </c>
      <c r="P46" s="50" t="n">
        <f aca="false">SUMIF('BS_DEC 2026'!$D:$D,$D46,'BS_DEC 2026'!$K:$K)</f>
        <v>0</v>
      </c>
      <c r="Q46" s="50" t="n">
        <f aca="false">F46-P46</f>
        <v>0</v>
      </c>
    </row>
    <row r="47" customFormat="false" ht="13.5" hidden="false" customHeight="false" outlineLevel="0" collapsed="false">
      <c r="B47" s="22" t="s">
        <v>113</v>
      </c>
      <c r="C47" s="42"/>
      <c r="D47" s="53" t="s">
        <v>114</v>
      </c>
      <c r="E47" s="54" t="n">
        <f aca="false">SUMIF(FS_map!$H:$H,$D47,FS_map!$M:$M)</f>
        <v>0</v>
      </c>
      <c r="F47" s="54" t="n">
        <f aca="false">SUMIF(FS_map!$H:$H,$D47,FS_map!$P:$P)</f>
        <v>0</v>
      </c>
      <c r="G47" s="54" t="n">
        <f aca="false">SUMIF(WBS_2025YE!$D:$D,$D47,WBS_2025YE!$K:$K)</f>
        <v>0</v>
      </c>
      <c r="H47" s="54" t="n">
        <f aca="false">F47-G47</f>
        <v>0</v>
      </c>
      <c r="I47" s="55" t="n">
        <f aca="false">IFERROR(H47/G47,IF(H47&gt;0,100%,IF(H47=0,0,-100%)))</f>
        <v>0</v>
      </c>
      <c r="J47" s="56" t="str">
        <f aca="false">IF(AND(ABS(H47)&gt;$J$5,ABS(I47)&gt;5%),"O","")</f>
        <v/>
      </c>
      <c r="K47" s="60"/>
      <c r="L47" s="48" t="n">
        <f aca="false">E47-F47</f>
        <v>0</v>
      </c>
      <c r="M47" s="49"/>
      <c r="N47" s="50" t="n">
        <f aca="false">SUMIF('BS_DEC 2026'!$D:$D,$D47,'BS_DEC 2026'!$E:$E)</f>
        <v>0</v>
      </c>
      <c r="O47" s="50" t="n">
        <f aca="false">E47-N47</f>
        <v>0</v>
      </c>
      <c r="P47" s="50" t="n">
        <f aca="false">SUMIF('BS_DEC 2026'!$D:$D,$D47,'BS_DEC 2026'!$K:$K)</f>
        <v>0</v>
      </c>
      <c r="Q47" s="50" t="n">
        <f aca="false">F47-P47</f>
        <v>0</v>
      </c>
    </row>
    <row r="48" customFormat="false" ht="13.5" hidden="false" customHeight="false" outlineLevel="0" collapsed="false">
      <c r="B48" s="22" t="s">
        <v>115</v>
      </c>
      <c r="C48" s="52" t="s">
        <v>34</v>
      </c>
      <c r="D48" s="53" t="s">
        <v>116</v>
      </c>
      <c r="E48" s="54" t="n">
        <f aca="false">SUMIF(FS_map!$H:$H,$D48,FS_map!$M:$M)</f>
        <v>2388145890</v>
      </c>
      <c r="F48" s="54" t="n">
        <f aca="false">SUMIF(FS_map!$H:$H,$D48,FS_map!$P:$P)</f>
        <v>2388145890</v>
      </c>
      <c r="G48" s="54" t="n">
        <f aca="false">SUMIF(WBS_2025YE!$D:$D,$D48,WBS_2025YE!$K:$K)</f>
        <v>2388145890</v>
      </c>
      <c r="H48" s="54" t="n">
        <f aca="false">F48-G48</f>
        <v>0</v>
      </c>
      <c r="I48" s="55" t="n">
        <f aca="false">IFERROR(H48/G48,IF(H48&gt;0,100%,IF(H48=0,0,-100%)))</f>
        <v>0</v>
      </c>
      <c r="J48" s="56" t="str">
        <f aca="false">IF(AND(ABS(H48)&gt;$J$5,ABS(I48)&gt;5%),"O","")</f>
        <v/>
      </c>
      <c r="K48" s="60"/>
      <c r="L48" s="48" t="n">
        <f aca="false">E48-F48</f>
        <v>0</v>
      </c>
      <c r="M48" s="49"/>
      <c r="N48" s="50" t="n">
        <f aca="false">SUMIF('BS_DEC 2026'!$D:$D,$D48,'BS_DEC 2026'!$E:$E)</f>
        <v>2388145890</v>
      </c>
      <c r="O48" s="50" t="n">
        <f aca="false">E48-N48</f>
        <v>0</v>
      </c>
      <c r="P48" s="50" t="n">
        <f aca="false">SUMIF('BS_DEC 2026'!$D:$D,$D48,'BS_DEC 2026'!$K:$K)</f>
        <v>2388145890</v>
      </c>
      <c r="Q48" s="50" t="n">
        <f aca="false">F48-P48</f>
        <v>0</v>
      </c>
    </row>
    <row r="49" customFormat="false" ht="13.5" hidden="false" customHeight="false" outlineLevel="0" collapsed="false">
      <c r="B49" s="22" t="s">
        <v>117</v>
      </c>
      <c r="C49" s="42"/>
      <c r="D49" s="53" t="s">
        <v>118</v>
      </c>
      <c r="E49" s="54" t="n">
        <f aca="false">SUMIF(FS_map!$H:$H,$D49,FS_map!$M:$M)</f>
        <v>-1988077100</v>
      </c>
      <c r="F49" s="54" t="n">
        <f aca="false">SUMIF(FS_map!$H:$H,$D49,FS_map!$P:$P)</f>
        <v>-1988077100</v>
      </c>
      <c r="G49" s="54" t="n">
        <f aca="false">SUMIF(WBS_2025YE!$D:$D,$D49,WBS_2025YE!$K:$K)</f>
        <v>-1743247679</v>
      </c>
      <c r="H49" s="54" t="n">
        <f aca="false">F49-G49</f>
        <v>-244829421</v>
      </c>
      <c r="I49" s="55" t="n">
        <f aca="false">IFERROR(H49/G49,IF(H49&gt;0,100%,IF(H49=0,0,-100%)))</f>
        <v>0.140444426772703</v>
      </c>
      <c r="J49" s="56" t="str">
        <f aca="false">IF(AND(ABS(H49)&gt;$J$5,ABS(I49)&gt;5%),"O","")</f>
        <v/>
      </c>
      <c r="K49" s="60"/>
      <c r="L49" s="48" t="n">
        <f aca="false">E49-F49</f>
        <v>0</v>
      </c>
      <c r="M49" s="49"/>
      <c r="N49" s="50" t="n">
        <f aca="false">SUMIF('BS_DEC 2026'!$D:$D,$D49,'BS_DEC 2026'!$E:$E)</f>
        <v>-1988077100</v>
      </c>
      <c r="O49" s="50" t="n">
        <f aca="false">E49-N49</f>
        <v>0</v>
      </c>
      <c r="P49" s="50" t="n">
        <f aca="false">SUMIF('BS_DEC 2026'!$D:$D,$D49,'BS_DEC 2026'!$K:$K)</f>
        <v>-1988077100</v>
      </c>
      <c r="Q49" s="50" t="n">
        <f aca="false">F49-P49</f>
        <v>0</v>
      </c>
    </row>
    <row r="50" customFormat="false" ht="13.5" hidden="false" customHeight="false" outlineLevel="0" collapsed="false">
      <c r="B50" s="22" t="s">
        <v>119</v>
      </c>
      <c r="C50" s="52" t="s">
        <v>38</v>
      </c>
      <c r="D50" s="53" t="s">
        <v>120</v>
      </c>
      <c r="E50" s="54" t="n">
        <f aca="false">SUMIF(FS_map!$H:$H,$D50,FS_map!$M:$M)</f>
        <v>1434004742</v>
      </c>
      <c r="F50" s="54" t="n">
        <f aca="false">SUMIF(FS_map!$H:$H,$D50,FS_map!$P:$P)</f>
        <v>948975000</v>
      </c>
      <c r="G50" s="54" t="n">
        <f aca="false">SUMIF(WBS_2025YE!$D:$D,$D50,WBS_2025YE!$K:$K)</f>
        <v>948975000</v>
      </c>
      <c r="H50" s="54" t="n">
        <f aca="false">F50-G50</f>
        <v>0</v>
      </c>
      <c r="I50" s="55" t="n">
        <f aca="false">IFERROR(H50/G50,IF(H50&gt;0,100%,IF(H50=0,0,-100%)))</f>
        <v>0</v>
      </c>
      <c r="J50" s="56" t="str">
        <f aca="false">IF(AND(ABS(H50)&gt;$J$5,ABS(I50)&gt;5%),"O","")</f>
        <v/>
      </c>
      <c r="K50" s="60"/>
      <c r="L50" s="48" t="n">
        <f aca="false">E50-F50</f>
        <v>485029742</v>
      </c>
      <c r="M50" s="49"/>
      <c r="N50" s="50" t="n">
        <f aca="false">SUMIF('BS_DEC 2026'!$D:$D,$D50,'BS_DEC 2026'!$E:$E)</f>
        <v>1434004742</v>
      </c>
      <c r="O50" s="50" t="n">
        <f aca="false">E50-N50</f>
        <v>0</v>
      </c>
      <c r="P50" s="50" t="n">
        <f aca="false">SUMIF('BS_DEC 2026'!$D:$D,$D50,'BS_DEC 2026'!$K:$K)</f>
        <v>948975000</v>
      </c>
      <c r="Q50" s="50" t="n">
        <f aca="false">F50-P50</f>
        <v>0</v>
      </c>
    </row>
    <row r="51" customFormat="false" ht="13.5" hidden="false" customHeight="false" outlineLevel="0" collapsed="false">
      <c r="B51" s="22" t="s">
        <v>121</v>
      </c>
      <c r="C51" s="42"/>
      <c r="D51" s="53" t="s">
        <v>122</v>
      </c>
      <c r="E51" s="54" t="n">
        <f aca="false">SUMIF(FS_map!$H:$H,$D51,FS_map!$M:$M)</f>
        <v>-1021598692</v>
      </c>
      <c r="F51" s="54" t="n">
        <f aca="false">SUMIF(FS_map!$H:$H,$D51,FS_map!$P:$P)</f>
        <v>-599068950</v>
      </c>
      <c r="G51" s="54" t="n">
        <f aca="false">SUMIF(WBS_2025YE!$D:$D,$D51,WBS_2025YE!$K:$K)</f>
        <v>-494021176</v>
      </c>
      <c r="H51" s="54" t="n">
        <f aca="false">F51-G51</f>
        <v>-105047774</v>
      </c>
      <c r="I51" s="55" t="n">
        <f aca="false">IFERROR(H51/G51,IF(H51&gt;0,100%,IF(H51=0,0,-100%)))</f>
        <v>0.212638200755994</v>
      </c>
      <c r="J51" s="56" t="str">
        <f aca="false">IF(AND(ABS(H51)&gt;$J$5,ABS(I51)&gt;5%),"O","")</f>
        <v/>
      </c>
      <c r="K51" s="60"/>
      <c r="L51" s="48" t="n">
        <f aca="false">E51-F51</f>
        <v>-422529742</v>
      </c>
      <c r="M51" s="49"/>
      <c r="N51" s="50" t="n">
        <f aca="false">SUMIF('BS_DEC 2026'!$D:$D,$D51,'BS_DEC 2026'!$E:$E)</f>
        <v>-1021598692</v>
      </c>
      <c r="O51" s="50" t="n">
        <f aca="false">E51-N51</f>
        <v>0</v>
      </c>
      <c r="P51" s="50" t="n">
        <f aca="false">SUMIF('BS_DEC 2026'!$D:$D,$D51,'BS_DEC 2026'!$K:$K)</f>
        <v>-599068950</v>
      </c>
      <c r="Q51" s="50" t="n">
        <f aca="false">F51-P51</f>
        <v>0</v>
      </c>
    </row>
    <row r="52" customFormat="false" ht="13.5" hidden="false" customHeight="false" outlineLevel="0" collapsed="false">
      <c r="B52" s="22" t="s">
        <v>123</v>
      </c>
      <c r="C52" s="52" t="s">
        <v>42</v>
      </c>
      <c r="D52" s="53" t="s">
        <v>124</v>
      </c>
      <c r="E52" s="54" t="n">
        <f aca="false">SUMIF(FS_map!$H:$H,$D52,FS_map!$M:$M)</f>
        <v>0</v>
      </c>
      <c r="F52" s="54" t="n">
        <f aca="false">SUMIF(FS_map!$H:$H,$D52,FS_map!$P:$P)</f>
        <v>0</v>
      </c>
      <c r="G52" s="54" t="n">
        <f aca="false">SUMIF(WBS_2025YE!$D:$D,$D52,WBS_2025YE!$K:$K)</f>
        <v>0</v>
      </c>
      <c r="H52" s="54" t="n">
        <f aca="false">F52-G52</f>
        <v>0</v>
      </c>
      <c r="I52" s="55" t="n">
        <f aca="false">IFERROR(H52/G52,IF(H52&gt;0,100%,IF(H52=0,0,-100%)))</f>
        <v>0</v>
      </c>
      <c r="J52" s="56" t="str">
        <f aca="false">IF(AND(ABS(H52)&gt;$J$5,ABS(I52)&gt;5%),"O","")</f>
        <v/>
      </c>
      <c r="K52" s="60"/>
      <c r="L52" s="48" t="n">
        <f aca="false">E52-F52</f>
        <v>0</v>
      </c>
      <c r="M52" s="49"/>
      <c r="N52" s="50" t="n">
        <f aca="false">SUMIF('BS_DEC 2026'!$D:$D,$D52,'BS_DEC 2026'!$E:$E)</f>
        <v>0</v>
      </c>
      <c r="O52" s="50" t="n">
        <f aca="false">E52-N52</f>
        <v>0</v>
      </c>
      <c r="P52" s="50" t="n">
        <f aca="false">SUMIF('BS_DEC 2026'!$D:$D,$D52,'BS_DEC 2026'!$K:$K)</f>
        <v>0</v>
      </c>
      <c r="Q52" s="50" t="n">
        <f aca="false">F52-P52</f>
        <v>0</v>
      </c>
    </row>
    <row r="53" customFormat="false" ht="13.5" hidden="false" customHeight="false" outlineLevel="0" collapsed="false">
      <c r="B53" s="22" t="s">
        <v>125</v>
      </c>
      <c r="C53" s="42"/>
      <c r="D53" s="53" t="s">
        <v>126</v>
      </c>
      <c r="E53" s="54" t="n">
        <f aca="false">SUMIF(FS_map!$H:$H,$D53,FS_map!$M:$M)</f>
        <v>0</v>
      </c>
      <c r="F53" s="54" t="n">
        <f aca="false">SUMIF(FS_map!$H:$H,$D53,FS_map!$P:$P)</f>
        <v>0</v>
      </c>
      <c r="G53" s="54" t="n">
        <f aca="false">SUMIF(WBS_2025YE!$D:$D,$D53,WBS_2025YE!$K:$K)</f>
        <v>0</v>
      </c>
      <c r="H53" s="54" t="n">
        <f aca="false">F53-G53</f>
        <v>0</v>
      </c>
      <c r="I53" s="55" t="n">
        <f aca="false">IFERROR(H53/G53,IF(H53&gt;0,100%,IF(H53=0,0,-100%)))</f>
        <v>0</v>
      </c>
      <c r="J53" s="56" t="str">
        <f aca="false">IF(AND(ABS(H53)&gt;$J$5,ABS(I53)&gt;5%),"O","")</f>
        <v/>
      </c>
      <c r="K53" s="60"/>
      <c r="L53" s="48" t="n">
        <f aca="false">E53-F53</f>
        <v>0</v>
      </c>
      <c r="M53" s="49"/>
      <c r="N53" s="50" t="n">
        <f aca="false">SUMIF('BS_DEC 2026'!$D:$D,$D53,'BS_DEC 2026'!$E:$E)</f>
        <v>0</v>
      </c>
      <c r="O53" s="50" t="n">
        <f aca="false">E53-N53</f>
        <v>0</v>
      </c>
      <c r="P53" s="50" t="n">
        <f aca="false">SUMIF('BS_DEC 2026'!$D:$D,$D53,'BS_DEC 2026'!$K:$K)</f>
        <v>0</v>
      </c>
      <c r="Q53" s="50" t="n">
        <f aca="false">F53-P53</f>
        <v>0</v>
      </c>
    </row>
    <row r="54" customFormat="false" ht="13.5" hidden="false" customHeight="false" outlineLevel="0" collapsed="false">
      <c r="B54" s="22" t="s">
        <v>127</v>
      </c>
      <c r="C54" s="52" t="s">
        <v>45</v>
      </c>
      <c r="D54" s="53" t="s">
        <v>128</v>
      </c>
      <c r="E54" s="54" t="n">
        <f aca="false">SUMIF(FS_map!$H:$H,$D54,FS_map!$M:$M)</f>
        <v>76984016</v>
      </c>
      <c r="F54" s="54" t="n">
        <f aca="false">SUMIF(FS_map!$H:$H,$D54,FS_map!$P:$P)</f>
        <v>562013758</v>
      </c>
      <c r="G54" s="54" t="n">
        <f aca="false">SUMIF(WBS_2025YE!$D:$D,$D54,WBS_2025YE!$K:$K)</f>
        <v>562013758</v>
      </c>
      <c r="H54" s="54" t="n">
        <f aca="false">F54-G54</f>
        <v>0</v>
      </c>
      <c r="I54" s="55" t="n">
        <f aca="false">IFERROR(H54/G54,IF(H54&gt;0,100%,IF(H54=0,0,-100%)))</f>
        <v>0</v>
      </c>
      <c r="J54" s="56" t="str">
        <f aca="false">IF(AND(ABS(H54)&gt;$J$5,ABS(I54)&gt;5%),"O","")</f>
        <v/>
      </c>
      <c r="K54" s="60"/>
      <c r="L54" s="48" t="n">
        <f aca="false">E54-F54</f>
        <v>-485029742</v>
      </c>
      <c r="M54" s="49"/>
      <c r="N54" s="50" t="n">
        <f aca="false">SUMIF('BS_DEC 2026'!$D:$D,$D54,'BS_DEC 2026'!$E:$E)</f>
        <v>76984016</v>
      </c>
      <c r="O54" s="50" t="n">
        <f aca="false">E54-N54</f>
        <v>0</v>
      </c>
      <c r="P54" s="50" t="n">
        <f aca="false">SUMIF('BS_DEC 2026'!$D:$D,$D54,'BS_DEC 2026'!$K:$K)</f>
        <v>562013758</v>
      </c>
      <c r="Q54" s="50" t="n">
        <f aca="false">F54-P54</f>
        <v>0</v>
      </c>
    </row>
    <row r="55" customFormat="false" ht="13.5" hidden="false" customHeight="false" outlineLevel="0" collapsed="false">
      <c r="B55" s="22" t="s">
        <v>129</v>
      </c>
      <c r="C55" s="42"/>
      <c r="D55" s="53" t="s">
        <v>130</v>
      </c>
      <c r="E55" s="54" t="n">
        <f aca="false">SUMIF(FS_map!$H:$H,$D55,FS_map!$M:$M)</f>
        <v>-75250683</v>
      </c>
      <c r="F55" s="54" t="n">
        <f aca="false">SUMIF(FS_map!$H:$H,$D55,FS_map!$P:$P)</f>
        <v>-497780425</v>
      </c>
      <c r="G55" s="54" t="n">
        <f aca="false">SUMIF(WBS_2025YE!$D:$D,$D55,WBS_2025YE!$K:$K)</f>
        <v>-479817925</v>
      </c>
      <c r="H55" s="54" t="n">
        <f aca="false">F55-G55</f>
        <v>-17962500</v>
      </c>
      <c r="I55" s="55" t="n">
        <f aca="false">IFERROR(H55/G55,IF(H55&gt;0,100%,IF(H55=0,0,-100%)))</f>
        <v>0.0374360753612946</v>
      </c>
      <c r="J55" s="56" t="str">
        <f aca="false">IF(AND(ABS(H55)&gt;$J$5,ABS(I55)&gt;5%),"O","")</f>
        <v/>
      </c>
      <c r="K55" s="60"/>
      <c r="L55" s="48" t="n">
        <f aca="false">E55-F55</f>
        <v>422529742</v>
      </c>
      <c r="M55" s="49"/>
      <c r="N55" s="50" t="n">
        <f aca="false">SUMIF('BS_DEC 2026'!$D:$D,$D55,'BS_DEC 2026'!$E:$E)</f>
        <v>-75250683</v>
      </c>
      <c r="O55" s="50" t="n">
        <f aca="false">E55-N55</f>
        <v>0</v>
      </c>
      <c r="P55" s="50" t="n">
        <f aca="false">SUMIF('BS_DEC 2026'!$D:$D,$D55,'BS_DEC 2026'!$K:$K)</f>
        <v>-497780425</v>
      </c>
      <c r="Q55" s="50" t="n">
        <f aca="false">F55-P55</f>
        <v>0</v>
      </c>
    </row>
    <row r="56" customFormat="false" ht="13.5" hidden="false" customHeight="false" outlineLevel="0" collapsed="false">
      <c r="B56" s="22" t="s">
        <v>131</v>
      </c>
      <c r="C56" s="52" t="s">
        <v>49</v>
      </c>
      <c r="D56" s="53" t="s">
        <v>132</v>
      </c>
      <c r="E56" s="54" t="n">
        <f aca="false">SUMIF(FS_map!$H:$H,$D56,FS_map!$M:$M)</f>
        <v>1719424779</v>
      </c>
      <c r="F56" s="54" t="n">
        <f aca="false">SUMIF(FS_map!$H:$H,$D56,FS_map!$P:$P)</f>
        <v>1719424779</v>
      </c>
      <c r="G56" s="54" t="n">
        <f aca="false">SUMIF(WBS_2025YE!$D:$D,$D56,WBS_2025YE!$K:$K)</f>
        <v>1632938339</v>
      </c>
      <c r="H56" s="54" t="n">
        <f aca="false">F56-G56</f>
        <v>86486440</v>
      </c>
      <c r="I56" s="55" t="n">
        <f aca="false">IFERROR(H56/G56,IF(H56&gt;0,100%,IF(H56=0,0,-100%)))</f>
        <v>0.052963690014752</v>
      </c>
      <c r="J56" s="56" t="str">
        <f aca="false">IF(AND(ABS(H56)&gt;$J$5,ABS(I56)&gt;5%),"O","")</f>
        <v/>
      </c>
      <c r="K56" s="60"/>
      <c r="L56" s="48" t="n">
        <f aca="false">E56-F56</f>
        <v>0</v>
      </c>
      <c r="M56" s="49"/>
      <c r="N56" s="50" t="n">
        <f aca="false">SUMIF('BS_DEC 2026'!$D:$D,$D56,'BS_DEC 2026'!$E:$E)</f>
        <v>1719424779</v>
      </c>
      <c r="O56" s="50" t="n">
        <f aca="false">E56-N56</f>
        <v>0</v>
      </c>
      <c r="P56" s="50" t="n">
        <f aca="false">SUMIF('BS_DEC 2026'!$D:$D,$D56,'BS_DEC 2026'!$K:$K)</f>
        <v>1719424779</v>
      </c>
      <c r="Q56" s="50" t="n">
        <f aca="false">F56-P56</f>
        <v>0</v>
      </c>
    </row>
    <row r="57" customFormat="false" ht="13.5" hidden="false" customHeight="false" outlineLevel="0" collapsed="false">
      <c r="B57" s="22" t="s">
        <v>133</v>
      </c>
      <c r="C57" s="42"/>
      <c r="D57" s="53" t="s">
        <v>134</v>
      </c>
      <c r="E57" s="54" t="n">
        <f aca="false">SUMIF(FS_map!$H:$H,$D57,FS_map!$M:$M)</f>
        <v>-1415472734</v>
      </c>
      <c r="F57" s="54" t="n">
        <f aca="false">SUMIF(FS_map!$H:$H,$D57,FS_map!$P:$P)</f>
        <v>-1415472734</v>
      </c>
      <c r="G57" s="54" t="n">
        <f aca="false">SUMIF(WBS_2025YE!$D:$D,$D57,WBS_2025YE!$K:$K)</f>
        <v>-1289048534</v>
      </c>
      <c r="H57" s="54" t="n">
        <f aca="false">F57-G57</f>
        <v>-126424200</v>
      </c>
      <c r="I57" s="55" t="n">
        <f aca="false">IFERROR(H57/G57,IF(H57&gt;0,100%,IF(H57=0,0,-100%)))</f>
        <v>0.0980755934826578</v>
      </c>
      <c r="J57" s="56" t="str">
        <f aca="false">IF(AND(ABS(H57)&gt;$J$5,ABS(I57)&gt;5%),"O","")</f>
        <v/>
      </c>
      <c r="K57" s="60"/>
      <c r="L57" s="48" t="n">
        <f aca="false">E57-F57</f>
        <v>0</v>
      </c>
      <c r="M57" s="49"/>
      <c r="N57" s="50" t="n">
        <f aca="false">SUMIF('BS_DEC 2026'!$D:$D,$D57,'BS_DEC 2026'!$E:$E)</f>
        <v>-1415472734</v>
      </c>
      <c r="O57" s="50" t="n">
        <f aca="false">E57-N57</f>
        <v>0</v>
      </c>
      <c r="P57" s="50" t="n">
        <f aca="false">SUMIF('BS_DEC 2026'!$D:$D,$D57,'BS_DEC 2026'!$K:$K)</f>
        <v>-1415472734</v>
      </c>
      <c r="Q57" s="50" t="n">
        <f aca="false">F57-P57</f>
        <v>0</v>
      </c>
    </row>
    <row r="58" customFormat="false" ht="39" hidden="false" customHeight="true" outlineLevel="0" collapsed="false">
      <c r="B58" s="22" t="s">
        <v>135</v>
      </c>
      <c r="C58" s="51" t="s">
        <v>136</v>
      </c>
      <c r="D58" s="53"/>
      <c r="E58" s="66" t="n">
        <f aca="false">SUM(E59:E65)</f>
        <v>22468609</v>
      </c>
      <c r="F58" s="66" t="n">
        <f aca="false">SUM(F59:F65)</f>
        <v>22468609</v>
      </c>
      <c r="G58" s="66" t="n">
        <f aca="false">SUM(G59:G65)</f>
        <v>0</v>
      </c>
      <c r="H58" s="66" t="n">
        <f aca="false">SUM(H59:H65)</f>
        <v>22468609</v>
      </c>
      <c r="I58" s="67" t="n">
        <f aca="false">IFERROR(H58/G58,IF(H58&gt;0,100%,IF(H58=0,0,-100%)))</f>
        <v>1</v>
      </c>
      <c r="J58" s="46" t="str">
        <f aca="false">IF(AND(ABS(H58)&gt;$J$5,ABS(I58)&gt;5%),"O","")</f>
        <v/>
      </c>
      <c r="K58" s="65" t="s">
        <v>137</v>
      </c>
      <c r="L58" s="48" t="n">
        <f aca="false">E58-F58</f>
        <v>0</v>
      </c>
      <c r="M58" s="49"/>
      <c r="N58" s="50" t="n">
        <f aca="false">SUM(N59:N65)</f>
        <v>22468609</v>
      </c>
      <c r="O58" s="50" t="n">
        <f aca="false">E58-N58</f>
        <v>0</v>
      </c>
      <c r="P58" s="50" t="n">
        <f aca="false">SUM(P59:P65)</f>
        <v>22468609</v>
      </c>
      <c r="Q58" s="50" t="n">
        <f aca="false">F58-P58</f>
        <v>0</v>
      </c>
    </row>
    <row r="59" customFormat="false" ht="13.5" hidden="false" customHeight="false" outlineLevel="0" collapsed="false">
      <c r="B59" s="22" t="s">
        <v>138</v>
      </c>
      <c r="C59" s="52" t="s">
        <v>26</v>
      </c>
      <c r="D59" s="53" t="s">
        <v>139</v>
      </c>
      <c r="E59" s="54" t="n">
        <f aca="false">SUMIF(FS_map!$H:$H,$D59,FS_map!$M:$M)</f>
        <v>378228066</v>
      </c>
      <c r="F59" s="54" t="n">
        <f aca="false">SUMIF(FS_map!$H:$H,$D59,FS_map!$P:$P)</f>
        <v>378228066</v>
      </c>
      <c r="G59" s="54" t="n">
        <f aca="false">SUMIF(WBS_2025YE!$D:$D,$D59,WBS_2025YE!$K:$K)</f>
        <v>355759457</v>
      </c>
      <c r="H59" s="54" t="n">
        <f aca="false">F59-G59</f>
        <v>22468609</v>
      </c>
      <c r="I59" s="55" t="n">
        <f aca="false">IFERROR(H59/G59,IF(H59&gt;0,100%,IF(H59=0,0,-100%)))</f>
        <v>0.0631567441368115</v>
      </c>
      <c r="J59" s="56" t="str">
        <f aca="false">IF(AND(ABS(H59)&gt;$J$5,ABS(I59)&gt;5%),"O","")</f>
        <v/>
      </c>
      <c r="K59" s="60"/>
      <c r="L59" s="48" t="n">
        <f aca="false">E59-F59</f>
        <v>0</v>
      </c>
      <c r="M59" s="49"/>
      <c r="N59" s="50" t="n">
        <f aca="false">SUMIF('BS_DEC 2026'!$D:$D,$D59,'BS_DEC 2026'!$E:$E)</f>
        <v>378228066</v>
      </c>
      <c r="O59" s="50" t="n">
        <f aca="false">E59-N59</f>
        <v>0</v>
      </c>
      <c r="P59" s="50" t="n">
        <f aca="false">SUMIF('BS_DEC 2026'!$D:$D,$D59,'BS_DEC 2026'!$K:$K)</f>
        <v>378228066</v>
      </c>
      <c r="Q59" s="50" t="n">
        <f aca="false">F59-P59</f>
        <v>0</v>
      </c>
    </row>
    <row r="60" customFormat="false" ht="13.5" hidden="false" customHeight="false" outlineLevel="0" collapsed="false">
      <c r="B60" s="22" t="s">
        <v>140</v>
      </c>
      <c r="C60" s="52"/>
      <c r="D60" s="53" t="s">
        <v>141</v>
      </c>
      <c r="E60" s="54" t="n">
        <f aca="false">SUMIF(FS_map!$H:$H,$D60,FS_map!$M:$M)</f>
        <v>-355759457</v>
      </c>
      <c r="F60" s="54" t="n">
        <f aca="false">SUMIF(FS_map!$H:$H,$D60,FS_map!$P:$P)</f>
        <v>-355759457</v>
      </c>
      <c r="G60" s="54" t="n">
        <f aca="false">SUMIF(WBS_2025YE!$D:$D,$D60,WBS_2025YE!$K:$K)</f>
        <v>-355759457</v>
      </c>
      <c r="H60" s="54" t="n">
        <f aca="false">F60-G60</f>
        <v>0</v>
      </c>
      <c r="I60" s="55" t="n">
        <f aca="false">IFERROR(H60/G60,IF(H60&gt;0,100%,IF(H60=0,0,-100%)))</f>
        <v>-0</v>
      </c>
      <c r="J60" s="56" t="str">
        <f aca="false">IF(AND(ABS(H60)&gt;$J$5,ABS(I60)&gt;5%),"O","")</f>
        <v/>
      </c>
      <c r="K60" s="60"/>
      <c r="L60" s="48" t="n">
        <f aca="false">E60-F60</f>
        <v>0</v>
      </c>
      <c r="M60" s="49"/>
      <c r="N60" s="50" t="n">
        <f aca="false">SUMIF('BS_DEC 2026'!$D:$D,$D60,'BS_DEC 2026'!$E:$E)</f>
        <v>-355759457</v>
      </c>
      <c r="O60" s="50" t="n">
        <f aca="false">E60-N60</f>
        <v>0</v>
      </c>
      <c r="P60" s="50" t="n">
        <f aca="false">SUMIF('BS_DEC 2026'!$D:$D,$D60,'BS_DEC 2026'!$K:$K)</f>
        <v>-355759457</v>
      </c>
      <c r="Q60" s="50" t="n">
        <f aca="false">F60-P60</f>
        <v>0</v>
      </c>
    </row>
    <row r="61" customFormat="false" ht="13.5" hidden="false" customHeight="false" outlineLevel="0" collapsed="false">
      <c r="B61" s="22" t="s">
        <v>142</v>
      </c>
      <c r="C61" s="52" t="s">
        <v>30</v>
      </c>
      <c r="D61" s="53" t="s">
        <v>143</v>
      </c>
      <c r="E61" s="54" t="n">
        <f aca="false">SUMIF(FS_map!$H:$H,$D61,FS_map!$M:$M)</f>
        <v>2706860500</v>
      </c>
      <c r="F61" s="54" t="n">
        <f aca="false">SUMIF(FS_map!$H:$H,$D61,FS_map!$P:$P)</f>
        <v>2706860500</v>
      </c>
      <c r="G61" s="54" t="n">
        <f aca="false">SUMIF(WBS_2025YE!$D:$D,$D61,WBS_2025YE!$K:$K)</f>
        <v>3706860500</v>
      </c>
      <c r="H61" s="54" t="n">
        <f aca="false">F61-G61</f>
        <v>-1000000000</v>
      </c>
      <c r="I61" s="55" t="n">
        <f aca="false">IFERROR(H61/G61,IF(H61&gt;0,100%,IF(H61=0,0,-100%)))</f>
        <v>-0.269770065531196</v>
      </c>
      <c r="J61" s="56" t="str">
        <f aca="false">IF(AND(ABS(H61)&gt;$J$5,ABS(I61)&gt;5%),"O","")</f>
        <v/>
      </c>
      <c r="K61" s="60"/>
      <c r="L61" s="48" t="n">
        <f aca="false">E61-F61</f>
        <v>0</v>
      </c>
      <c r="M61" s="49"/>
      <c r="N61" s="50" t="n">
        <f aca="false">SUMIF('BS_DEC 2026'!$D:$D,$D61,'BS_DEC 2026'!$E:$E)</f>
        <v>2706860500</v>
      </c>
      <c r="O61" s="50" t="n">
        <f aca="false">E61-N61</f>
        <v>0</v>
      </c>
      <c r="P61" s="50" t="n">
        <f aca="false">SUMIF('BS_DEC 2026'!$D:$D,$D61,'BS_DEC 2026'!$K:$K)</f>
        <v>2706860500</v>
      </c>
      <c r="Q61" s="50" t="n">
        <f aca="false">F61-P61</f>
        <v>0</v>
      </c>
    </row>
    <row r="62" customFormat="false" ht="13.5" hidden="false" customHeight="false" outlineLevel="0" collapsed="false">
      <c r="B62" s="22" t="s">
        <v>144</v>
      </c>
      <c r="C62" s="52"/>
      <c r="D62" s="53" t="s">
        <v>145</v>
      </c>
      <c r="E62" s="54" t="n">
        <f aca="false">SUMIF(FS_map!$H:$H,$D62,FS_map!$M:$M)</f>
        <v>-2706860500</v>
      </c>
      <c r="F62" s="54" t="n">
        <f aca="false">SUMIF(FS_map!$H:$H,$D62,FS_map!$P:$P)</f>
        <v>-2706860500</v>
      </c>
      <c r="G62" s="54" t="n">
        <f aca="false">SUMIF(WBS_2025YE!$D:$D,$D62,WBS_2025YE!$K:$K)</f>
        <v>-3111195178</v>
      </c>
      <c r="H62" s="54" t="n">
        <f aca="false">F62-G62</f>
        <v>404334678</v>
      </c>
      <c r="I62" s="55" t="n">
        <f aca="false">IFERROR(H62/G62,IF(H62&gt;0,100%,IF(H62=0,0,-100%)))</f>
        <v>-0.129961206181839</v>
      </c>
      <c r="J62" s="56" t="str">
        <f aca="false">IF(AND(ABS(H62)&gt;$J$5,ABS(I62)&gt;5%),"O","")</f>
        <v/>
      </c>
      <c r="K62" s="60"/>
      <c r="L62" s="48" t="n">
        <f aca="false">E62-F62</f>
        <v>0</v>
      </c>
      <c r="M62" s="49"/>
      <c r="N62" s="50" t="n">
        <f aca="false">SUMIF('BS_DEC 2026'!$D:$D,$D62,'BS_DEC 2026'!$E:$E)</f>
        <v>-2706860500</v>
      </c>
      <c r="O62" s="50" t="n">
        <f aca="false">E62-N62</f>
        <v>0</v>
      </c>
      <c r="P62" s="50" t="n">
        <f aca="false">SUMIF('BS_DEC 2026'!$D:$D,$D62,'BS_DEC 2026'!$K:$K)</f>
        <v>-2706860500</v>
      </c>
      <c r="Q62" s="50" t="n">
        <f aca="false">F62-P62</f>
        <v>0</v>
      </c>
    </row>
    <row r="63" customFormat="false" ht="13.5" hidden="false" customHeight="false" outlineLevel="0" collapsed="false">
      <c r="B63" s="22" t="s">
        <v>146</v>
      </c>
      <c r="C63" s="52"/>
      <c r="D63" s="53" t="s">
        <v>147</v>
      </c>
      <c r="E63" s="54" t="n">
        <f aca="false">SUMIF(FS_map!$H:$H,$D63,FS_map!$M:$M)</f>
        <v>0</v>
      </c>
      <c r="F63" s="54" t="n">
        <f aca="false">SUMIF(FS_map!$H:$H,$D63,FS_map!$P:$P)</f>
        <v>0</v>
      </c>
      <c r="G63" s="54" t="n">
        <f aca="false">SUMIF(WBS_2025YE!$D:$D,$D63,WBS_2025YE!$K:$K)</f>
        <v>-595665322</v>
      </c>
      <c r="H63" s="54" t="n">
        <f aca="false">F63-G63</f>
        <v>595665322</v>
      </c>
      <c r="I63" s="55" t="n">
        <f aca="false">IFERROR(H63/G63,IF(H63&gt;0,100%,IF(H63=0,0,-100%)))</f>
        <v>-1</v>
      </c>
      <c r="J63" s="56" t="str">
        <f aca="false">IF(AND(ABS(H63)&gt;$J$5,ABS(I63)&gt;5%),"O","")</f>
        <v/>
      </c>
      <c r="K63" s="68"/>
      <c r="L63" s="48" t="n">
        <f aca="false">E63-F63</f>
        <v>0</v>
      </c>
      <c r="M63" s="49"/>
      <c r="N63" s="50" t="n">
        <f aca="false">SUMIF('BS_DEC 2026'!$D:$D,$D63,'BS_DEC 2026'!$E:$E)</f>
        <v>0</v>
      </c>
      <c r="O63" s="50" t="n">
        <f aca="false">E63-N63</f>
        <v>0</v>
      </c>
      <c r="P63" s="50" t="n">
        <f aca="false">SUMIF('BS_DEC 2026'!$D:$D,$D63,'BS_DEC 2026'!$K:$K)</f>
        <v>0</v>
      </c>
      <c r="Q63" s="50" t="n">
        <f aca="false">F63-P63</f>
        <v>0</v>
      </c>
    </row>
    <row r="64" customFormat="false" ht="13.5" hidden="false" customHeight="false" outlineLevel="0" collapsed="false">
      <c r="B64" s="22" t="s">
        <v>148</v>
      </c>
      <c r="C64" s="52" t="s">
        <v>34</v>
      </c>
      <c r="D64" s="53" t="s">
        <v>149</v>
      </c>
      <c r="E64" s="54" t="n">
        <f aca="false">SUMIF(FS_map!$H:$H,$D64,FS_map!$M:$M)</f>
        <v>0</v>
      </c>
      <c r="F64" s="54" t="n">
        <f aca="false">SUMIF(FS_map!$H:$H,$D64,FS_map!$P:$P)</f>
        <v>0</v>
      </c>
      <c r="G64" s="54" t="n">
        <f aca="false">SUMIF(WBS_2025YE!$D:$D,$D64,WBS_2025YE!$K:$K)</f>
        <v>0</v>
      </c>
      <c r="H64" s="54" t="n">
        <f aca="false">F64-G64</f>
        <v>0</v>
      </c>
      <c r="I64" s="55" t="n">
        <f aca="false">IFERROR(H64/G64,IF(H64&gt;0,100%,IF(H64=0,0,-100%)))</f>
        <v>0</v>
      </c>
      <c r="J64" s="56" t="str">
        <f aca="false">IF(AND(ABS(H64)&gt;$J$5,ABS(I64)&gt;5%),"O","")</f>
        <v/>
      </c>
      <c r="K64" s="60"/>
      <c r="L64" s="48" t="n">
        <f aca="false">E64-F64</f>
        <v>0</v>
      </c>
      <c r="M64" s="49"/>
      <c r="N64" s="50" t="n">
        <f aca="false">SUMIF('BS_DEC 2026'!$D:$D,$D64,'BS_DEC 2026'!$E:$E)</f>
        <v>0</v>
      </c>
      <c r="O64" s="50" t="n">
        <f aca="false">E64-N64</f>
        <v>0</v>
      </c>
      <c r="P64" s="50" t="n">
        <f aca="false">SUMIF('BS_DEC 2026'!$D:$D,$D64,'BS_DEC 2026'!$K:$K)</f>
        <v>0</v>
      </c>
      <c r="Q64" s="50" t="n">
        <f aca="false">F64-P64</f>
        <v>0</v>
      </c>
    </row>
    <row r="65" customFormat="false" ht="13.5" hidden="false" customHeight="false" outlineLevel="0" collapsed="false">
      <c r="B65" s="22" t="s">
        <v>150</v>
      </c>
      <c r="C65" s="52"/>
      <c r="D65" s="53" t="s">
        <v>151</v>
      </c>
      <c r="E65" s="54" t="n">
        <f aca="false">SUMIF(FS_map!$H:$H,$D65,FS_map!$M:$M)</f>
        <v>0</v>
      </c>
      <c r="F65" s="54" t="n">
        <f aca="false">SUMIF(FS_map!$H:$H,$D65,FS_map!$P:$P)</f>
        <v>0</v>
      </c>
      <c r="G65" s="54" t="n">
        <f aca="false">SUMIF(WBS_2025YE!$D:$D,$D65,WBS_2025YE!$K:$K)</f>
        <v>0</v>
      </c>
      <c r="H65" s="54" t="n">
        <f aca="false">F65-G65</f>
        <v>0</v>
      </c>
      <c r="I65" s="55" t="n">
        <f aca="false">IFERROR(H65/G65,IF(H65&gt;0,100%,IF(H65=0,0,-100%)))</f>
        <v>0</v>
      </c>
      <c r="J65" s="56" t="str">
        <f aca="false">IF(AND(ABS(H65)&gt;$J$5,ABS(I65)&gt;5%),"O","")</f>
        <v/>
      </c>
      <c r="K65" s="60"/>
      <c r="L65" s="48" t="n">
        <f aca="false">E65-F65</f>
        <v>0</v>
      </c>
      <c r="M65" s="49"/>
      <c r="N65" s="50" t="n">
        <f aca="false">SUMIF('BS_DEC 2026'!$D:$D,$D65,'BS_DEC 2026'!$E:$E)</f>
        <v>0</v>
      </c>
      <c r="O65" s="50" t="n">
        <f aca="false">E65-N65</f>
        <v>0</v>
      </c>
      <c r="P65" s="50" t="n">
        <f aca="false">SUMIF('BS_DEC 2026'!$D:$D,$D65,'BS_DEC 2026'!$K:$K)</f>
        <v>0</v>
      </c>
      <c r="Q65" s="50" t="n">
        <f aca="false">F65-P65</f>
        <v>0</v>
      </c>
    </row>
    <row r="66" customFormat="false" ht="13.5" hidden="false" customHeight="false" outlineLevel="0" collapsed="false">
      <c r="B66" s="22" t="s">
        <v>152</v>
      </c>
      <c r="C66" s="51" t="s">
        <v>153</v>
      </c>
      <c r="D66" s="53"/>
      <c r="E66" s="66" t="n">
        <f aca="false">SUM(E67:E72)</f>
        <v>2353872442</v>
      </c>
      <c r="F66" s="66" t="n">
        <f aca="false">SUM(F67:F72)</f>
        <v>2323872442</v>
      </c>
      <c r="G66" s="66" t="n">
        <f aca="false">SUM(G67:G72)</f>
        <v>1603371682</v>
      </c>
      <c r="H66" s="66" t="n">
        <f aca="false">SUM(H67:H72)</f>
        <v>720500760</v>
      </c>
      <c r="I66" s="67" t="n">
        <f aca="false">IFERROR(H66/G66,IF(H66&gt;0,100%,IF(H66=0,0,-100%)))</f>
        <v>0.44936602541294</v>
      </c>
      <c r="J66" s="46"/>
      <c r="K66" s="47"/>
      <c r="L66" s="48" t="n">
        <f aca="false">E66-F66</f>
        <v>30000000</v>
      </c>
      <c r="M66" s="49"/>
      <c r="N66" s="50" t="n">
        <f aca="false">SUM(N67:N72)</f>
        <v>2353872442</v>
      </c>
      <c r="O66" s="50" t="n">
        <f aca="false">E66-N66</f>
        <v>0</v>
      </c>
      <c r="P66" s="50" t="n">
        <f aca="false">SUM(P67:P72)</f>
        <v>2323872442</v>
      </c>
      <c r="Q66" s="50" t="n">
        <f aca="false">F66-P66</f>
        <v>0</v>
      </c>
    </row>
    <row r="67" customFormat="false" ht="78" hidden="false" customHeight="true" outlineLevel="0" collapsed="false">
      <c r="B67" s="22" t="s">
        <v>154</v>
      </c>
      <c r="C67" s="52" t="s">
        <v>26</v>
      </c>
      <c r="D67" s="53" t="s">
        <v>155</v>
      </c>
      <c r="E67" s="54" t="n">
        <f aca="false">SUMIF(FS_map!$H:$H,$D67,FS_map!$M:$M)</f>
        <v>1931634850</v>
      </c>
      <c r="F67" s="54" t="n">
        <f aca="false">SUMIF(FS_map!$H:$H,$D67,FS_map!$P:$P)</f>
        <v>1901634850</v>
      </c>
      <c r="G67" s="54" t="n">
        <f aca="false">SUMIF(WBS_2025YE!$D:$D,$D67,WBS_2025YE!$K:$K)</f>
        <v>1181134090</v>
      </c>
      <c r="H67" s="54" t="n">
        <f aca="false">F67-G67</f>
        <v>720500760</v>
      </c>
      <c r="I67" s="55" t="n">
        <f aca="false">IFERROR(H67/G67,IF(H67&gt;0,100%,IF(H67=0,0,-100%)))</f>
        <v>0.610007590247438</v>
      </c>
      <c r="J67" s="56" t="str">
        <f aca="false">IF(AND(ABS(H67)&gt;$J$5,ABS(I67)&gt;5%),"O","")</f>
        <v/>
      </c>
      <c r="K67" s="58" t="s">
        <v>156</v>
      </c>
      <c r="L67" s="48" t="n">
        <f aca="false">E67-F67</f>
        <v>30000000</v>
      </c>
      <c r="M67" s="69"/>
      <c r="N67" s="50" t="n">
        <f aca="false">SUMIF('BS_DEC 2026'!$D:$D,$D67,'BS_DEC 2026'!$E:$E)</f>
        <v>1931634850</v>
      </c>
      <c r="O67" s="50" t="n">
        <f aca="false">E67-N67</f>
        <v>0</v>
      </c>
      <c r="P67" s="50" t="n">
        <f aca="false">SUMIF('BS_DEC 2026'!$D:$D,$D67,'BS_DEC 2026'!$K:$K)</f>
        <v>1901634850</v>
      </c>
      <c r="Q67" s="50" t="n">
        <f aca="false">F67-P67</f>
        <v>0</v>
      </c>
    </row>
    <row r="68" customFormat="false" ht="13.5" hidden="false" customHeight="false" outlineLevel="0" collapsed="false">
      <c r="B68" s="22" t="s">
        <v>157</v>
      </c>
      <c r="C68" s="52" t="s">
        <v>30</v>
      </c>
      <c r="D68" s="53" t="s">
        <v>158</v>
      </c>
      <c r="E68" s="54" t="n">
        <f aca="false">SUMIF(FS_map!$H:$H,$D68,FS_map!$M:$M)</f>
        <v>0</v>
      </c>
      <c r="F68" s="54" t="n">
        <f aca="false">SUMIF(FS_map!$H:$H,$D68,FS_map!$P:$P)</f>
        <v>0</v>
      </c>
      <c r="G68" s="54" t="n">
        <f aca="false">SUMIF(WBS_2025YE!$D:$D,$D68,WBS_2025YE!$K:$K)</f>
        <v>0</v>
      </c>
      <c r="H68" s="54" t="n">
        <f aca="false">F68-G68</f>
        <v>0</v>
      </c>
      <c r="I68" s="55" t="n">
        <f aca="false">IFERROR(H68/G68,IF(H68&gt;0,100%,IF(H68=0,0,-100%)))</f>
        <v>0</v>
      </c>
      <c r="J68" s="56" t="str">
        <f aca="false">IF(AND(ABS(H68)&gt;$J$5,ABS(I68)&gt;5%),"O","")</f>
        <v/>
      </c>
      <c r="K68" s="60"/>
      <c r="L68" s="48" t="n">
        <f aca="false">E68-F68</f>
        <v>0</v>
      </c>
      <c r="M68" s="49"/>
      <c r="N68" s="50" t="n">
        <f aca="false">SUMIF('BS_DEC 2026'!$D:$D,$D68,'BS_DEC 2026'!$E:$E)</f>
        <v>0</v>
      </c>
      <c r="O68" s="50" t="n">
        <f aca="false">E68-N68</f>
        <v>0</v>
      </c>
      <c r="P68" s="50" t="n">
        <f aca="false">SUMIF('BS_DEC 2026'!$D:$D,$D68,'BS_DEC 2026'!$K:$K)</f>
        <v>0</v>
      </c>
      <c r="Q68" s="50" t="n">
        <f aca="false">F68-P68</f>
        <v>0</v>
      </c>
    </row>
    <row r="69" customFormat="false" ht="13.5" hidden="false" customHeight="false" outlineLevel="0" collapsed="false">
      <c r="B69" s="22" t="s">
        <v>159</v>
      </c>
      <c r="C69" s="52" t="s">
        <v>34</v>
      </c>
      <c r="D69" s="53" t="s">
        <v>160</v>
      </c>
      <c r="E69" s="54" t="n">
        <f aca="false">SUMIF(FS_map!$H:$H,$D69,FS_map!$M:$M)</f>
        <v>422237592</v>
      </c>
      <c r="F69" s="54" t="n">
        <f aca="false">SUMIF(FS_map!$H:$H,$D69,FS_map!$P:$P)</f>
        <v>422237592</v>
      </c>
      <c r="G69" s="54" t="n">
        <f aca="false">SUMIF(WBS_2025YE!$D:$D,$D69,WBS_2025YE!$K:$K)</f>
        <v>422237592</v>
      </c>
      <c r="H69" s="54" t="n">
        <f aca="false">F69-G69</f>
        <v>0</v>
      </c>
      <c r="I69" s="55" t="n">
        <f aca="false">IFERROR(H69/G69,IF(H69&gt;0,100%,IF(H69=0,0,-100%)))</f>
        <v>0</v>
      </c>
      <c r="J69" s="56" t="str">
        <f aca="false">IF(AND(ABS(H69)&gt;$J$5,ABS(I69)&gt;5%),"O","")</f>
        <v/>
      </c>
      <c r="K69" s="60"/>
      <c r="L69" s="48" t="n">
        <f aca="false">E69-F69</f>
        <v>0</v>
      </c>
      <c r="M69" s="49"/>
      <c r="N69" s="50" t="n">
        <f aca="false">SUMIF('BS_DEC 2026'!$D:$D,$D69,'BS_DEC 2026'!$E:$E)</f>
        <v>422237592</v>
      </c>
      <c r="O69" s="50" t="n">
        <f aca="false">E69-N69</f>
        <v>0</v>
      </c>
      <c r="P69" s="50" t="n">
        <f aca="false">SUMIF('BS_DEC 2026'!$D:$D,$D69,'BS_DEC 2026'!$K:$K)</f>
        <v>422237592</v>
      </c>
      <c r="Q69" s="50" t="n">
        <f aca="false">F69-P69</f>
        <v>0</v>
      </c>
    </row>
    <row r="70" customFormat="false" ht="13.5" hidden="false" customHeight="false" outlineLevel="0" collapsed="false">
      <c r="B70" s="22" t="s">
        <v>161</v>
      </c>
      <c r="C70" s="52" t="s">
        <v>38</v>
      </c>
      <c r="D70" s="53" t="s">
        <v>162</v>
      </c>
      <c r="E70" s="54" t="n">
        <f aca="false">SUMIF(FS_map!$H:$H,$D70,FS_map!$M:$M)</f>
        <v>0</v>
      </c>
      <c r="F70" s="54" t="n">
        <f aca="false">SUMIF(FS_map!$H:$H,$D70,FS_map!$P:$P)</f>
        <v>0</v>
      </c>
      <c r="G70" s="54" t="n">
        <f aca="false">SUMIF(WBS_2025YE!$D:$D,$D70,WBS_2025YE!$K:$K)</f>
        <v>0</v>
      </c>
      <c r="H70" s="54" t="n">
        <f aca="false">F70-G70</f>
        <v>0</v>
      </c>
      <c r="I70" s="55" t="n">
        <f aca="false">IFERROR(H70/G70,IF(H70&gt;0,100%,IF(H70=0,0,-100%)))</f>
        <v>0</v>
      </c>
      <c r="J70" s="56" t="str">
        <f aca="false">IF(AND(ABS(H70)&gt;$J$5,ABS(I70)&gt;5%),"O","")</f>
        <v/>
      </c>
      <c r="K70" s="60"/>
      <c r="L70" s="48" t="n">
        <f aca="false">E70-F70</f>
        <v>0</v>
      </c>
      <c r="M70" s="49"/>
      <c r="N70" s="50" t="n">
        <f aca="false">SUMIF('BS_DEC 2026'!$D:$D,$D70,'BS_DEC 2026'!$E:$E)</f>
        <v>0</v>
      </c>
      <c r="O70" s="50" t="n">
        <f aca="false">E70-N70</f>
        <v>0</v>
      </c>
      <c r="P70" s="50" t="n">
        <f aca="false">SUMIF('BS_DEC 2026'!$D:$D,$D70,'BS_DEC 2026'!$K:$K)</f>
        <v>0</v>
      </c>
      <c r="Q70" s="50" t="n">
        <f aca="false">F70-P70</f>
        <v>0</v>
      </c>
    </row>
    <row r="71" customFormat="false" ht="13.5" hidden="false" customHeight="false" outlineLevel="0" collapsed="false">
      <c r="B71" s="22"/>
      <c r="C71" s="52" t="s">
        <v>163</v>
      </c>
      <c r="D71" s="53" t="s">
        <v>164</v>
      </c>
      <c r="E71" s="54" t="n">
        <f aca="false">SUMIF(FS_map!$H:$H,$D71,FS_map!$M:$M)</f>
        <v>0</v>
      </c>
      <c r="F71" s="54" t="n">
        <f aca="false">SUMIF(FS_map!$H:$H,$D71,FS_map!$P:$P)</f>
        <v>0</v>
      </c>
      <c r="G71" s="54" t="n">
        <f aca="false">SUMIF(WBS_2025YE!$D:$D,$D71,WBS_2025YE!$K:$K)</f>
        <v>0</v>
      </c>
      <c r="H71" s="54" t="n">
        <f aca="false">F71-G71</f>
        <v>0</v>
      </c>
      <c r="I71" s="55" t="n">
        <f aca="false">IFERROR(H71/G71,IF(H71&gt;0,100%,IF(H71=0,0,-100%)))</f>
        <v>0</v>
      </c>
      <c r="J71" s="56" t="str">
        <f aca="false">IF(AND(ABS(H71)&gt;$J$5,ABS(I71)&gt;5%),"O","")</f>
        <v/>
      </c>
      <c r="K71" s="60"/>
      <c r="L71" s="48" t="n">
        <f aca="false">E71-F71</f>
        <v>0</v>
      </c>
      <c r="M71" s="69"/>
      <c r="N71" s="50" t="n">
        <f aca="false">SUMIF('BS_DEC 2026'!$D:$D,$D71,'BS_DEC 2026'!$E:$E)</f>
        <v>0</v>
      </c>
      <c r="O71" s="50" t="n">
        <f aca="false">E71-N71</f>
        <v>0</v>
      </c>
      <c r="P71" s="50" t="n">
        <f aca="false">SUMIF('BS_DEC 2026'!$D:$D,$D71,'BS_DEC 2026'!$K:$K)</f>
        <v>0</v>
      </c>
      <c r="Q71" s="50" t="n">
        <f aca="false">F71-P71</f>
        <v>0</v>
      </c>
    </row>
    <row r="72" customFormat="false" ht="13.5" hidden="false" customHeight="false" outlineLevel="0" collapsed="false">
      <c r="B72" s="22"/>
      <c r="C72" s="52" t="s">
        <v>165</v>
      </c>
      <c r="D72" s="53" t="s">
        <v>166</v>
      </c>
      <c r="E72" s="54" t="n">
        <f aca="false">SUMIF(FS_map!$H:$H,$D72,FS_map!$M:$M)</f>
        <v>0</v>
      </c>
      <c r="F72" s="54" t="n">
        <f aca="false">SUMIF(FS_map!$H:$H,$D72,FS_map!$P:$P)</f>
        <v>0</v>
      </c>
      <c r="G72" s="54" t="n">
        <f aca="false">SUMIF(WBS_2025YE!$D:$D,$D72,WBS_2025YE!$K:$K)</f>
        <v>0</v>
      </c>
      <c r="H72" s="54" t="n">
        <f aca="false">F72-G72</f>
        <v>0</v>
      </c>
      <c r="I72" s="55" t="n">
        <f aca="false">IFERROR(H72/G72,IF(H72&gt;0,100%,IF(H72=0,0,-100%)))</f>
        <v>0</v>
      </c>
      <c r="J72" s="56" t="str">
        <f aca="false">IF(AND(ABS(H72)&gt;$J$5,ABS(I72)&gt;5%),"O","")</f>
        <v/>
      </c>
      <c r="K72" s="60"/>
      <c r="L72" s="48" t="n">
        <f aca="false">E72-F72</f>
        <v>0</v>
      </c>
      <c r="M72" s="69"/>
      <c r="N72" s="50" t="n">
        <f aca="false">SUMIF('BS_DEC 2026'!$D:$D,$D72,'BS_DEC 2026'!$E:$E)</f>
        <v>0</v>
      </c>
      <c r="O72" s="50" t="n">
        <f aca="false">E72-N72</f>
        <v>0</v>
      </c>
      <c r="P72" s="50" t="n">
        <f aca="false">SUMIF('BS_DEC 2026'!$D:$D,$D72,'BS_DEC 2026'!$K:$K)</f>
        <v>0</v>
      </c>
      <c r="Q72" s="50" t="n">
        <f aca="false">F72-P72</f>
        <v>0</v>
      </c>
    </row>
    <row r="73" customFormat="false" ht="15" hidden="false" customHeight="true" outlineLevel="0" collapsed="false">
      <c r="B73" s="22" t="s">
        <v>167</v>
      </c>
      <c r="C73" s="52" t="s">
        <v>168</v>
      </c>
      <c r="D73" s="70" t="s">
        <v>169</v>
      </c>
      <c r="E73" s="66" t="n">
        <f aca="false">SUMIF(FS_map!$H:$H,$D73,FS_map!$M:$M)</f>
        <v>51562836</v>
      </c>
      <c r="F73" s="66" t="n">
        <f aca="false">SUMIF(FS_map!$H:$H,$D73,FS_map!$P:$P)</f>
        <v>51562836</v>
      </c>
      <c r="G73" s="66" t="n">
        <f aca="false">WBS_2025YE!L69</f>
        <v>8237836</v>
      </c>
      <c r="H73" s="54" t="n">
        <f aca="false">F73-G73</f>
        <v>43325000</v>
      </c>
      <c r="I73" s="55" t="n">
        <f aca="false">IFERROR(H73/G73,IF(H73&gt;0,100%,IF(H73=0,0,-100%)))</f>
        <v>5.25926954603126</v>
      </c>
      <c r="J73" s="56" t="str">
        <f aca="false">IF(AND(ABS(H73)&gt;$J$5,ABS(I73)&gt;5%),"O","")</f>
        <v/>
      </c>
      <c r="K73" s="57" t="s">
        <v>170</v>
      </c>
      <c r="L73" s="48" t="n">
        <f aca="false">E73-F73</f>
        <v>0</v>
      </c>
      <c r="M73" s="49"/>
      <c r="N73" s="50" t="n">
        <f aca="false">'BS_DEC 2026'!F71</f>
        <v>51562836</v>
      </c>
      <c r="O73" s="50" t="n">
        <f aca="false">E73-N73</f>
        <v>0</v>
      </c>
      <c r="P73" s="50" t="n">
        <f aca="false">'BS_DEC 2026'!L71</f>
        <v>51562836</v>
      </c>
      <c r="Q73" s="50" t="n">
        <f aca="false">F73-P73</f>
        <v>0</v>
      </c>
    </row>
    <row r="74" customFormat="false" ht="13.5" hidden="false" customHeight="false" outlineLevel="0" collapsed="false">
      <c r="B74" s="22"/>
      <c r="C74" s="42"/>
      <c r="D74" s="53"/>
      <c r="E74" s="71"/>
      <c r="F74" s="71"/>
      <c r="G74" s="71"/>
      <c r="H74" s="71"/>
      <c r="I74" s="72" t="n">
        <f aca="false">IFERROR(H74/G74,IF(H74&gt;0,100%,IF(H74=0,0,-100%)))</f>
        <v>0</v>
      </c>
      <c r="J74" s="73" t="str">
        <f aca="false">IF(AND(ABS(H74)&gt;$J$5,ABS(I74)&gt;5%),"O","")</f>
        <v/>
      </c>
      <c r="K74" s="74"/>
      <c r="L74" s="48" t="n">
        <f aca="false">E74-F74</f>
        <v>0</v>
      </c>
      <c r="M74" s="49"/>
      <c r="N74" s="40"/>
      <c r="O74" s="41"/>
      <c r="P74" s="41"/>
      <c r="Q74" s="41"/>
    </row>
    <row r="75" customFormat="false" ht="14.25" hidden="false" customHeight="true" outlineLevel="0" collapsed="false">
      <c r="B75" s="22" t="s">
        <v>171</v>
      </c>
      <c r="C75" s="75" t="s">
        <v>172</v>
      </c>
      <c r="D75" s="75"/>
      <c r="E75" s="76" t="n">
        <f aca="false">+E11+E39</f>
        <v>469451959283</v>
      </c>
      <c r="F75" s="76" t="n">
        <f aca="false">+F11+F39</f>
        <v>457036149159</v>
      </c>
      <c r="G75" s="76" t="n">
        <f aca="false">+G11+G39</f>
        <v>402171370716</v>
      </c>
      <c r="H75" s="76" t="n">
        <f aca="false">+H11+H39</f>
        <v>54864778443</v>
      </c>
      <c r="I75" s="77" t="n">
        <f aca="false">IFERROR(H75/G75,IF(H75&gt;0,100%,IF(H75=0,0,-100%)))</f>
        <v>0.136421392565369</v>
      </c>
      <c r="J75" s="78"/>
      <c r="K75" s="79"/>
      <c r="L75" s="48" t="n">
        <f aca="false">E75-F75</f>
        <v>12415810124</v>
      </c>
      <c r="M75" s="49"/>
      <c r="N75" s="50" t="n">
        <f aca="false">+N11+N39</f>
        <v>469451959283</v>
      </c>
      <c r="O75" s="50" t="n">
        <f aca="false">E75-N75</f>
        <v>0</v>
      </c>
      <c r="P75" s="50" t="n">
        <f aca="false">+P11+P39</f>
        <v>457036149159</v>
      </c>
      <c r="Q75" s="50" t="n">
        <f aca="false">F75-P75</f>
        <v>0</v>
      </c>
    </row>
    <row r="76" customFormat="false" ht="14.25" hidden="false" customHeight="true" outlineLevel="0" collapsed="false">
      <c r="B76" s="22"/>
      <c r="C76" s="42"/>
      <c r="D76" s="43"/>
      <c r="E76" s="61"/>
      <c r="F76" s="61"/>
      <c r="G76" s="61"/>
      <c r="H76" s="61"/>
      <c r="I76" s="80" t="n">
        <f aca="false">IFERROR(H76/G76,IF(H76&gt;0,100%,IF(H76=0,0,-100%)))</f>
        <v>0</v>
      </c>
      <c r="J76" s="73" t="str">
        <f aca="false">IF(AND(ABS(H76)&gt;$J$5,ABS(I76)&gt;5%),"O","")</f>
        <v/>
      </c>
      <c r="K76" s="74"/>
      <c r="L76" s="48" t="n">
        <f aca="false">E76-F76</f>
        <v>0</v>
      </c>
      <c r="M76" s="49"/>
      <c r="N76" s="40"/>
      <c r="O76" s="41"/>
      <c r="P76" s="41"/>
      <c r="Q76" s="41"/>
    </row>
    <row r="77" customFormat="false" ht="13.5" hidden="false" customHeight="false" outlineLevel="0" collapsed="false">
      <c r="B77" s="22"/>
      <c r="C77" s="81" t="s">
        <v>173</v>
      </c>
      <c r="D77" s="36"/>
      <c r="E77" s="61"/>
      <c r="F77" s="61"/>
      <c r="G77" s="61"/>
      <c r="H77" s="61"/>
      <c r="I77" s="80" t="n">
        <f aca="false">IFERROR(H77/G77,IF(H77&gt;0,100%,IF(H77=0,0,-100%)))</f>
        <v>0</v>
      </c>
      <c r="J77" s="73" t="str">
        <f aca="false">IF(AND(ABS(H77)&gt;$J$5,ABS(I77)&gt;5%),"O","")</f>
        <v/>
      </c>
      <c r="K77" s="74"/>
      <c r="L77" s="48" t="n">
        <f aca="false">E77-F77</f>
        <v>0</v>
      </c>
      <c r="M77" s="49"/>
      <c r="N77" s="40"/>
      <c r="O77" s="41"/>
      <c r="P77" s="41"/>
      <c r="Q77" s="41"/>
    </row>
    <row r="78" customFormat="false" ht="15" hidden="false" customHeight="true" outlineLevel="0" collapsed="false">
      <c r="B78" s="22" t="s">
        <v>174</v>
      </c>
      <c r="C78" s="42" t="s">
        <v>175</v>
      </c>
      <c r="D78" s="43"/>
      <c r="E78" s="44" t="n">
        <f aca="false">SUM(E79:E91)</f>
        <v>212685219604</v>
      </c>
      <c r="F78" s="44" t="n">
        <f aca="false">SUM(F79:F91)</f>
        <v>198490213063</v>
      </c>
      <c r="G78" s="44" t="n">
        <f aca="false">SUM(G79:G91)</f>
        <v>140791861473</v>
      </c>
      <c r="H78" s="44" t="n">
        <f aca="false">SUM(H79:H91)</f>
        <v>57698351590</v>
      </c>
      <c r="I78" s="45" t="n">
        <f aca="false">IFERROR(H78/G78,IF(H78&gt;0,100%,IF(H78=0,0,-100%)))</f>
        <v>0.409813116939753</v>
      </c>
      <c r="J78" s="46" t="str">
        <f aca="false">IF(AND(ABS(H78)&gt;$J$5,ABS(I78)&gt;5%),"O","")</f>
        <v>O</v>
      </c>
      <c r="K78" s="62" t="s">
        <v>176</v>
      </c>
      <c r="L78" s="48" t="n">
        <f aca="false">E78-F78</f>
        <v>14195006541</v>
      </c>
      <c r="M78" s="49"/>
      <c r="N78" s="50" t="n">
        <f aca="false">SUM(N79:N91)</f>
        <v>212685219604</v>
      </c>
      <c r="O78" s="50" t="n">
        <f aca="false">E78-N78</f>
        <v>0</v>
      </c>
      <c r="P78" s="50" t="n">
        <f aca="false">SUM(P79:P91)</f>
        <v>199623153058</v>
      </c>
      <c r="Q78" s="50" t="n">
        <f aca="false">F78-P78</f>
        <v>-1132939995</v>
      </c>
    </row>
    <row r="79" customFormat="false" ht="142.5" hidden="false" customHeight="true" outlineLevel="0" collapsed="false">
      <c r="B79" s="22" t="s">
        <v>177</v>
      </c>
      <c r="C79" s="52" t="s">
        <v>26</v>
      </c>
      <c r="D79" s="53" t="s">
        <v>178</v>
      </c>
      <c r="E79" s="54" t="n">
        <f aca="false">SUMIF(FS_map!$H:$H,$D79,FS_map!$M:$M)*-1</f>
        <v>90624050033</v>
      </c>
      <c r="F79" s="54" t="n">
        <f aca="false">SUMIF(FS_map!$H:$H,$D79,FS_map!$P:$P)*-1</f>
        <v>90624050033</v>
      </c>
      <c r="G79" s="54" t="n">
        <f aca="false">SUMIF(WBS_2025YE!$D:$D,$D79,WBS_2025YE!$K:$K)</f>
        <v>13684687580</v>
      </c>
      <c r="H79" s="54" t="n">
        <f aca="false">F79-G79</f>
        <v>76939362453</v>
      </c>
      <c r="I79" s="55" t="n">
        <f aca="false">IFERROR(H79/G79,IF(H79&gt;0,100%,IF(H79=0,0,-100%)))</f>
        <v>5.62229586924921</v>
      </c>
      <c r="J79" s="56" t="str">
        <f aca="false">IF(AND(ABS(H79)&gt;$J$5,ABS(I79)&gt;5%),"O","")</f>
        <v>O</v>
      </c>
      <c r="K79" s="58" t="s">
        <v>179</v>
      </c>
      <c r="L79" s="48" t="n">
        <f aca="false">E79-F79</f>
        <v>0</v>
      </c>
      <c r="M79" s="49"/>
      <c r="N79" s="50" t="n">
        <f aca="false">SUMIF('BS_DEC 2026'!$D:$D,$D79,'BS_DEC 2026'!$E:$E)</f>
        <v>90624050033</v>
      </c>
      <c r="O79" s="50" t="n">
        <f aca="false">E79-N79</f>
        <v>0</v>
      </c>
      <c r="P79" s="50" t="n">
        <f aca="false">SUMIF('BS_DEC 2026'!$D:$D,$D79,'BS_DEC 2026'!$K:$K)</f>
        <v>90624050033</v>
      </c>
      <c r="Q79" s="50" t="n">
        <f aca="false">F79-P79</f>
        <v>0</v>
      </c>
    </row>
    <row r="80" customFormat="false" ht="13.5" hidden="false" customHeight="false" outlineLevel="0" collapsed="false">
      <c r="B80" s="22" t="s">
        <v>180</v>
      </c>
      <c r="C80" s="52" t="s">
        <v>30</v>
      </c>
      <c r="D80" s="53" t="s">
        <v>181</v>
      </c>
      <c r="E80" s="54" t="n">
        <f aca="false">SUMIF(FS_map!$H:$H,$D80,FS_map!$M:$M)*-1</f>
        <v>-0</v>
      </c>
      <c r="F80" s="54" t="n">
        <f aca="false">SUMIF(FS_map!$H:$H,$D80,FS_map!$P:$P)*-1</f>
        <v>-0</v>
      </c>
      <c r="G80" s="54" t="n">
        <f aca="false">SUMIF(WBS_2025YE!$D:$D,$D80,WBS_2025YE!$K:$K)</f>
        <v>0</v>
      </c>
      <c r="H80" s="54" t="n">
        <f aca="false">F80-G80</f>
        <v>-0</v>
      </c>
      <c r="I80" s="55" t="n">
        <f aca="false">IFERROR(H80/G80,IF(H80&gt;0,100%,IF(H80=0,0,-100%)))</f>
        <v>0</v>
      </c>
      <c r="J80" s="56" t="str">
        <f aca="false">IF(AND(ABS(H80)&gt;$J$5,ABS(I80)&gt;5%),"O","")</f>
        <v/>
      </c>
      <c r="K80" s="60"/>
      <c r="L80" s="48" t="n">
        <f aca="false">E80-F80</f>
        <v>0</v>
      </c>
      <c r="M80" s="59"/>
      <c r="N80" s="50" t="n">
        <f aca="false">SUMIF('BS_DEC 2026'!$D:$D,$D80,'BS_DEC 2026'!$E:$E)</f>
        <v>0</v>
      </c>
      <c r="O80" s="50" t="n">
        <f aca="false">E80-N80</f>
        <v>-0</v>
      </c>
      <c r="P80" s="50" t="n">
        <f aca="false">SUMIF('BS_DEC 2026'!$D:$D,$D80,'BS_DEC 2026'!$K:$K)</f>
        <v>0</v>
      </c>
      <c r="Q80" s="50" t="n">
        <f aca="false">F80-P80</f>
        <v>-0</v>
      </c>
    </row>
    <row r="81" customFormat="false" ht="117" hidden="false" customHeight="true" outlineLevel="0" collapsed="false">
      <c r="B81" s="22" t="s">
        <v>182</v>
      </c>
      <c r="C81" s="52" t="s">
        <v>34</v>
      </c>
      <c r="D81" s="53" t="s">
        <v>183</v>
      </c>
      <c r="E81" s="54" t="n">
        <f aca="false">SUMIF(FS_map!$H:$H,$D81,FS_map!$M:$M)*-1</f>
        <v>11973774324</v>
      </c>
      <c r="F81" s="54" t="n">
        <f aca="false">SUMIF(FS_map!$H:$H,$D81,FS_map!$P:$P)*-1</f>
        <v>11361514234</v>
      </c>
      <c r="G81" s="54" t="n">
        <f aca="false">SUMIF(WBS_2025YE!$D:$D,$D81,WBS_2025YE!$K:$K)</f>
        <v>14114112505</v>
      </c>
      <c r="H81" s="54" t="n">
        <f aca="false">F81-G81</f>
        <v>-2752598271</v>
      </c>
      <c r="I81" s="55" t="n">
        <f aca="false">IFERROR(H81/G81,IF(H81&gt;0,100%,IF(H81=0,0,-100%)))</f>
        <v>-0.195024538030633</v>
      </c>
      <c r="J81" s="56" t="str">
        <f aca="false">IF(AND(ABS(H81)&gt;$J$5,ABS(I81)&gt;5%),"O","")</f>
        <v/>
      </c>
      <c r="K81" s="58" t="s">
        <v>184</v>
      </c>
      <c r="L81" s="48" t="n">
        <f aca="false">E81-F81</f>
        <v>612260090</v>
      </c>
      <c r="M81" s="49"/>
      <c r="N81" s="50" t="n">
        <f aca="false">SUMIF('BS_DEC 2026'!$D:$D,$D81,'BS_DEC 2026'!$E:$E)</f>
        <v>11973774324</v>
      </c>
      <c r="O81" s="50" t="n">
        <f aca="false">E81-N81</f>
        <v>0</v>
      </c>
      <c r="P81" s="50" t="n">
        <f aca="false">SUMIF('BS_DEC 2026'!$D:$D,$D81,'BS_DEC 2026'!$K:$K)</f>
        <v>11361514312</v>
      </c>
      <c r="Q81" s="50" t="n">
        <f aca="false">F81-P81</f>
        <v>-78</v>
      </c>
    </row>
    <row r="82" customFormat="false" ht="13.5" hidden="false" customHeight="false" outlineLevel="0" collapsed="false">
      <c r="B82" s="22" t="s">
        <v>185</v>
      </c>
      <c r="C82" s="52" t="s">
        <v>38</v>
      </c>
      <c r="D82" s="53" t="s">
        <v>186</v>
      </c>
      <c r="E82" s="54" t="n">
        <f aca="false">SUMIF(FS_map!$H:$H,$D82,FS_map!$M:$M)*-1</f>
        <v>-0</v>
      </c>
      <c r="F82" s="54" t="n">
        <f aca="false">SUMIF(FS_map!$H:$H,$D82,FS_map!$P:$P)*-1</f>
        <v>-0</v>
      </c>
      <c r="G82" s="54" t="n">
        <f aca="false">SUMIF(WBS_2025YE!$D:$D,$D82,WBS_2025YE!$K:$K)</f>
        <v>2737532</v>
      </c>
      <c r="H82" s="54" t="n">
        <f aca="false">F82-G82</f>
        <v>-2737532</v>
      </c>
      <c r="I82" s="55" t="n">
        <f aca="false">IFERROR(H82/G82,IF(H82&gt;0,100%,IF(H82=0,0,-100%)))</f>
        <v>-1</v>
      </c>
      <c r="J82" s="56" t="str">
        <f aca="false">IF(AND(ABS(H82)&gt;$J$5,ABS(I82)&gt;5%),"O","")</f>
        <v/>
      </c>
      <c r="K82" s="60"/>
      <c r="L82" s="48" t="n">
        <f aca="false">E82-F82</f>
        <v>0</v>
      </c>
      <c r="M82" s="49"/>
      <c r="N82" s="50" t="n">
        <f aca="false">SUMIF('BS_DEC 2026'!$D:$D,$D82,'BS_DEC 2026'!$E:$E)</f>
        <v>0</v>
      </c>
      <c r="O82" s="50" t="n">
        <f aca="false">E82-N82</f>
        <v>-0</v>
      </c>
      <c r="P82" s="50" t="n">
        <f aca="false">SUMIF('BS_DEC 2026'!$D:$D,$D82,'BS_DEC 2026'!$K:$K)</f>
        <v>0</v>
      </c>
      <c r="Q82" s="50" t="n">
        <f aca="false">F82-P82</f>
        <v>-0</v>
      </c>
    </row>
    <row r="83" customFormat="false" ht="64.5" hidden="false" customHeight="true" outlineLevel="0" collapsed="false">
      <c r="B83" s="22" t="s">
        <v>187</v>
      </c>
      <c r="C83" s="52" t="s">
        <v>42</v>
      </c>
      <c r="D83" s="53" t="s">
        <v>188</v>
      </c>
      <c r="E83" s="54" t="n">
        <f aca="false">SUMIF(FS_map!$H:$H,$D83,FS_map!$M:$M)*-1</f>
        <v>2221411285</v>
      </c>
      <c r="F83" s="54" t="n">
        <f aca="false">SUMIF(FS_map!$H:$H,$D83,FS_map!$P:$P)*-1</f>
        <v>2221411285</v>
      </c>
      <c r="G83" s="54" t="n">
        <f aca="false">SUMIF(WBS_2025YE!$D:$D,$D83,WBS_2025YE!$K:$K)</f>
        <v>1217627633</v>
      </c>
      <c r="H83" s="54" t="n">
        <f aca="false">F83-G83</f>
        <v>1003783652</v>
      </c>
      <c r="I83" s="55" t="n">
        <f aca="false">IFERROR(H83/G83,IF(H83&gt;0,100%,IF(H83=0,0,-100%)))</f>
        <v>0.824376537453302</v>
      </c>
      <c r="J83" s="56" t="str">
        <f aca="false">IF(AND(ABS(H83)&gt;$J$5,ABS(I83)&gt;5%),"O","")</f>
        <v/>
      </c>
      <c r="K83" s="58" t="s">
        <v>189</v>
      </c>
      <c r="L83" s="48" t="n">
        <f aca="false">E83-F83</f>
        <v>0</v>
      </c>
      <c r="M83" s="49"/>
      <c r="N83" s="50" t="n">
        <f aca="false">SUMIF('BS_DEC 2026'!$D:$D,$D83,'BS_DEC 2026'!$E:$E)</f>
        <v>2221411285</v>
      </c>
      <c r="O83" s="50" t="n">
        <f aca="false">E83-N83</f>
        <v>0</v>
      </c>
      <c r="P83" s="50" t="n">
        <f aca="false">SUMIF('BS_DEC 2026'!$D:$D,$D83,'BS_DEC 2026'!$K:$K)</f>
        <v>2221411285</v>
      </c>
      <c r="Q83" s="50" t="n">
        <f aca="false">F83-P83</f>
        <v>0</v>
      </c>
    </row>
    <row r="84" customFormat="false" ht="259.5" hidden="false" customHeight="true" outlineLevel="0" collapsed="false">
      <c r="B84" s="22" t="s">
        <v>190</v>
      </c>
      <c r="C84" s="52" t="s">
        <v>45</v>
      </c>
      <c r="D84" s="53" t="s">
        <v>191</v>
      </c>
      <c r="E84" s="54" t="n">
        <f aca="false">SUMIF(FS_map!$H:$H,$D84,FS_map!$M:$M)*-1</f>
        <v>94434209558</v>
      </c>
      <c r="F84" s="54" t="n">
        <f aca="false">SUMIF(FS_map!$H:$H,$D84,FS_map!$P:$P)*-1</f>
        <v>82630659524</v>
      </c>
      <c r="G84" s="54" t="n">
        <f aca="false">SUMIF(WBS_2025YE!$D:$D,$D84,WBS_2025YE!$K:$K)</f>
        <v>93900348921</v>
      </c>
      <c r="H84" s="54" t="n">
        <f aca="false">F84-G84</f>
        <v>-11269689397</v>
      </c>
      <c r="I84" s="55" t="n">
        <f aca="false">IFERROR(H84/G84,IF(H84&gt;0,100%,IF(H84=0,0,-100%)))</f>
        <v>-0.120017545477721</v>
      </c>
      <c r="J84" s="56" t="str">
        <f aca="false">IF(AND(ABS(H84)&gt;$J$5,ABS(I84)&gt;5%),"O","")</f>
        <v>O</v>
      </c>
      <c r="K84" s="58" t="s">
        <v>192</v>
      </c>
      <c r="L84" s="48" t="n">
        <f aca="false">E84-F84</f>
        <v>11803550034</v>
      </c>
      <c r="M84" s="49"/>
      <c r="N84" s="50" t="n">
        <f aca="false">SUMIF('BS_DEC 2026'!$D:$D,$D84,'BS_DEC 2026'!$E:$E)</f>
        <v>94434209558</v>
      </c>
      <c r="O84" s="50" t="n">
        <f aca="false">E84-N84</f>
        <v>0</v>
      </c>
      <c r="P84" s="50" t="n">
        <f aca="false">SUMIF('BS_DEC 2026'!$D:$D,$D84,'BS_DEC 2026'!$K:$K)</f>
        <v>82630659524</v>
      </c>
      <c r="Q84" s="50" t="n">
        <f aca="false">F84-P84</f>
        <v>0</v>
      </c>
    </row>
    <row r="85" customFormat="false" ht="25.5" hidden="false" customHeight="true" outlineLevel="0" collapsed="false">
      <c r="B85" s="22" t="s">
        <v>193</v>
      </c>
      <c r="C85" s="52" t="s">
        <v>49</v>
      </c>
      <c r="D85" s="53" t="s">
        <v>194</v>
      </c>
      <c r="E85" s="54" t="n">
        <f aca="false">SUMIF(FS_map!$H:$H,$D85,FS_map!$M:$M)*-1</f>
        <v>3833429789</v>
      </c>
      <c r="F85" s="54" t="n">
        <f aca="false">SUMIF(FS_map!$H:$H,$D85,FS_map!$P:$P)*-1</f>
        <v>3833429789</v>
      </c>
      <c r="G85" s="54" t="n">
        <f aca="false">SUMIF(WBS_2025YE!$D:$D,$D85,WBS_2025YE!$K:$K)</f>
        <v>4357240088</v>
      </c>
      <c r="H85" s="54" t="n">
        <f aca="false">F85-G85</f>
        <v>-523810299</v>
      </c>
      <c r="I85" s="55" t="n">
        <f aca="false">IFERROR(H85/G85,IF(H85&gt;0,100%,IF(H85=0,0,-100%)))</f>
        <v>-0.120216074492336</v>
      </c>
      <c r="J85" s="56" t="str">
        <f aca="false">IF(AND(ABS(H85)&gt;$J$5,ABS(I85)&gt;5%),"O","")</f>
        <v/>
      </c>
      <c r="K85" s="57" t="s">
        <v>195</v>
      </c>
      <c r="L85" s="48" t="n">
        <f aca="false">E85-F85</f>
        <v>0</v>
      </c>
      <c r="M85" s="49"/>
      <c r="N85" s="50" t="n">
        <f aca="false">SUMIF('BS_DEC 2026'!$D:$D,$D85,'BS_DEC 2026'!$E:$E)</f>
        <v>3833429789</v>
      </c>
      <c r="O85" s="50" t="n">
        <f aca="false">E85-N85</f>
        <v>0</v>
      </c>
      <c r="P85" s="50" t="n">
        <f aca="false">SUMIF('BS_DEC 2026'!$D:$D,$D85,'BS_DEC 2026'!$K:$K)</f>
        <v>3833429789</v>
      </c>
      <c r="Q85" s="50" t="n">
        <f aca="false">F85-P85</f>
        <v>0</v>
      </c>
    </row>
    <row r="86" customFormat="false" ht="117" hidden="false" customHeight="true" outlineLevel="0" collapsed="false">
      <c r="B86" s="22" t="s">
        <v>196</v>
      </c>
      <c r="C86" s="52" t="s">
        <v>56</v>
      </c>
      <c r="D86" s="53" t="s">
        <v>197</v>
      </c>
      <c r="E86" s="54" t="n">
        <f aca="false">SUMIF(FS_map!$H:$H,$D86,FS_map!$M:$M)*-1</f>
        <v>2668049829</v>
      </c>
      <c r="F86" s="54" t="n">
        <f aca="false">SUMIF(FS_map!$H:$H,$D86,FS_map!$P:$P)*-1</f>
        <v>1535109912</v>
      </c>
      <c r="G86" s="54" t="n">
        <f aca="false">SUMIF(WBS_2025YE!$D:$D,$D86,WBS_2025YE!$K:$K)</f>
        <v>6632631113</v>
      </c>
      <c r="H86" s="54" t="n">
        <f aca="false">F86-G86</f>
        <v>-5097521201</v>
      </c>
      <c r="I86" s="55" t="n">
        <f aca="false">IFERROR(H86/G86,IF(H86&gt;0,100%,IF(H86=0,0,-100%)))</f>
        <v>-0.768551893532693</v>
      </c>
      <c r="J86" s="56" t="str">
        <f aca="false">IF(AND(ABS(H86)&gt;$J$5,ABS(I86)&gt;5%),"O","")</f>
        <v>O</v>
      </c>
      <c r="K86" s="58" t="s">
        <v>198</v>
      </c>
      <c r="L86" s="48" t="n">
        <f aca="false">E86-F86</f>
        <v>1132939917</v>
      </c>
      <c r="M86" s="49"/>
      <c r="N86" s="50" t="n">
        <f aca="false">SUMIF('BS_DEC 2026'!$D:$D,$D86,'BS_DEC 2026'!$E:$E)</f>
        <v>2668049829</v>
      </c>
      <c r="O86" s="50" t="n">
        <f aca="false">E86-N86</f>
        <v>0</v>
      </c>
      <c r="P86" s="50" t="n">
        <f aca="false">SUMIF('BS_DEC 2026'!$D:$D,$D86,'BS_DEC 2026'!$K:$K)</f>
        <v>2668049829</v>
      </c>
      <c r="Q86" s="50" t="n">
        <f aca="false">F86-P86</f>
        <v>-1132939917</v>
      </c>
    </row>
    <row r="87" customFormat="false" ht="13.5" hidden="false" customHeight="false" outlineLevel="0" collapsed="false">
      <c r="B87" s="22" t="s">
        <v>199</v>
      </c>
      <c r="C87" s="52" t="s">
        <v>59</v>
      </c>
      <c r="D87" s="53" t="s">
        <v>200</v>
      </c>
      <c r="E87" s="54" t="n">
        <f aca="false">SUMIF(FS_map!$H:$H,$D87,FS_map!$M:$M)*-1</f>
        <v>-0</v>
      </c>
      <c r="F87" s="54" t="n">
        <f aca="false">SUMIF(FS_map!$H:$H,$D87,FS_map!$P:$P)*-1</f>
        <v>-0</v>
      </c>
      <c r="G87" s="54" t="n">
        <f aca="false">SUMIF(WBS_2025YE!$D:$D,$D87,WBS_2025YE!$K:$K)</f>
        <v>0</v>
      </c>
      <c r="H87" s="54" t="n">
        <f aca="false">F87-G87</f>
        <v>-0</v>
      </c>
      <c r="I87" s="55" t="n">
        <f aca="false">IFERROR(H87/G87,IF(H87&gt;0,100%,IF(H87=0,0,-100%)))</f>
        <v>0</v>
      </c>
      <c r="J87" s="56" t="str">
        <f aca="false">IF(AND(ABS(H87)&gt;$J$5,ABS(I87)&gt;5%),"O","")</f>
        <v/>
      </c>
      <c r="K87" s="60"/>
      <c r="L87" s="48" t="n">
        <f aca="false">E87-F87</f>
        <v>0</v>
      </c>
      <c r="M87" s="49"/>
      <c r="N87" s="50" t="n">
        <f aca="false">SUMIF('BS_DEC 2026'!$D:$D,$D87,'BS_DEC 2026'!$E:$E)</f>
        <v>0</v>
      </c>
      <c r="O87" s="50" t="n">
        <f aca="false">E87-N87</f>
        <v>-0</v>
      </c>
      <c r="P87" s="50" t="n">
        <f aca="false">SUMIF('BS_DEC 2026'!$D:$D,$D87,'BS_DEC 2026'!$K:$K)</f>
        <v>0</v>
      </c>
      <c r="Q87" s="50" t="n">
        <f aca="false">F87-P87</f>
        <v>-0</v>
      </c>
    </row>
    <row r="88" customFormat="false" ht="13.5" hidden="false" customHeight="false" outlineLevel="0" collapsed="false">
      <c r="B88" s="22" t="s">
        <v>201</v>
      </c>
      <c r="C88" s="52" t="s">
        <v>63</v>
      </c>
      <c r="D88" s="53" t="s">
        <v>202</v>
      </c>
      <c r="E88" s="54" t="n">
        <f aca="false">SUMIF(FS_map!$H:$H,$D88,FS_map!$M:$M)*-1</f>
        <v>-0</v>
      </c>
      <c r="F88" s="54" t="n">
        <f aca="false">SUMIF(FS_map!$H:$H,$D88,FS_map!$P:$P)*-1</f>
        <v>-0</v>
      </c>
      <c r="G88" s="54" t="n">
        <f aca="false">SUMIF(WBS_2025YE!$D:$D,$D88,WBS_2025YE!$K:$K)</f>
        <v>0</v>
      </c>
      <c r="H88" s="54" t="n">
        <f aca="false">F88-G88</f>
        <v>-0</v>
      </c>
      <c r="I88" s="55" t="n">
        <f aca="false">IFERROR(H88/G88,IF(H88&gt;0,100%,IF(H88=0,0,-100%)))</f>
        <v>0</v>
      </c>
      <c r="J88" s="56" t="str">
        <f aca="false">IF(AND(ABS(H88)&gt;$J$5,ABS(I88)&gt;5%),"O","")</f>
        <v/>
      </c>
      <c r="K88" s="60"/>
      <c r="L88" s="48" t="n">
        <f aca="false">E88-F88</f>
        <v>0</v>
      </c>
      <c r="M88" s="49"/>
      <c r="N88" s="50" t="n">
        <f aca="false">SUMIF('BS_DEC 2026'!$D:$D,$D88,'BS_DEC 2026'!$E:$E)</f>
        <v>0</v>
      </c>
      <c r="O88" s="50" t="n">
        <f aca="false">E88-N88</f>
        <v>-0</v>
      </c>
      <c r="P88" s="50" t="n">
        <f aca="false">SUMIF('BS_DEC 2026'!$D:$D,$D88,'BS_DEC 2026'!$K:$K)</f>
        <v>0</v>
      </c>
      <c r="Q88" s="50" t="n">
        <f aca="false">F88-P88</f>
        <v>-0</v>
      </c>
    </row>
    <row r="89" customFormat="false" ht="13.5" hidden="false" customHeight="false" outlineLevel="0" collapsed="false">
      <c r="B89" s="22" t="s">
        <v>203</v>
      </c>
      <c r="C89" s="52" t="s">
        <v>67</v>
      </c>
      <c r="D89" s="53" t="s">
        <v>204</v>
      </c>
      <c r="E89" s="54" t="n">
        <f aca="false">SUMIF(FS_map!$H:$H,$D89,FS_map!$M:$M)*-1</f>
        <v>-0</v>
      </c>
      <c r="F89" s="54" t="n">
        <f aca="false">SUMIF(FS_map!$H:$H,$D89,FS_map!$P:$P)*-1</f>
        <v>-0</v>
      </c>
      <c r="G89" s="54" t="n">
        <f aca="false">SUMIF(WBS_2025YE!$D:$D,$D89,WBS_2025YE!$K:$K)</f>
        <v>0</v>
      </c>
      <c r="H89" s="54" t="n">
        <f aca="false">F89-G89</f>
        <v>-0</v>
      </c>
      <c r="I89" s="55" t="n">
        <f aca="false">IFERROR(H89/G89,IF(H89&gt;0,100%,IF(H89=0,0,-100%)))</f>
        <v>0</v>
      </c>
      <c r="J89" s="56" t="str">
        <f aca="false">IF(AND(ABS(H89)&gt;$J$5,ABS(I89)&gt;5%),"O","")</f>
        <v/>
      </c>
      <c r="K89" s="60"/>
      <c r="L89" s="48" t="n">
        <f aca="false">E89-F89</f>
        <v>0</v>
      </c>
      <c r="M89" s="59"/>
      <c r="N89" s="50" t="n">
        <f aca="false">SUMIF('BS_DEC 2026'!$D:$D,$D89,'BS_DEC 2026'!$E:$E)</f>
        <v>0</v>
      </c>
      <c r="O89" s="50" t="n">
        <f aca="false">E89-N89</f>
        <v>-0</v>
      </c>
      <c r="P89" s="50" t="n">
        <f aca="false">SUMIF('BS_DEC 2026'!$D:$D,$D89,'BS_DEC 2026'!$K:$K)</f>
        <v>0</v>
      </c>
      <c r="Q89" s="50" t="n">
        <f aca="false">F89-P89</f>
        <v>-0</v>
      </c>
    </row>
    <row r="90" customFormat="false" ht="90.75" hidden="false" customHeight="true" outlineLevel="0" collapsed="false">
      <c r="B90" s="22"/>
      <c r="C90" s="52" t="s">
        <v>205</v>
      </c>
      <c r="D90" s="53" t="s">
        <v>206</v>
      </c>
      <c r="E90" s="54" t="n">
        <f aca="false">SUMIF(FS_map!$H:$H,$D90,FS_map!$M:$M)*-1</f>
        <v>6930294786</v>
      </c>
      <c r="F90" s="54" t="n">
        <f aca="false">SUMIF(FS_map!$H:$H,$D90,FS_map!$P:$P)*-1</f>
        <v>6284038286</v>
      </c>
      <c r="G90" s="54" t="n">
        <f aca="false">SUMIF(WBS_2025YE!$D:$D,$D90,WBS_2025YE!$K:$K)</f>
        <v>6882476101</v>
      </c>
      <c r="H90" s="54" t="n">
        <f aca="false">F90-G90</f>
        <v>-598437815</v>
      </c>
      <c r="I90" s="55" t="n">
        <f aca="false">IFERROR(H90/G90,IF(H90&gt;0,100%,IF(H90=0,0,-100%)))</f>
        <v>-0.0869509470455043</v>
      </c>
      <c r="J90" s="56" t="str">
        <f aca="false">IF(AND(ABS(H90)&gt;$J$5,ABS(I90)&gt;5%),"O","")</f>
        <v/>
      </c>
      <c r="K90" s="57" t="s">
        <v>207</v>
      </c>
      <c r="L90" s="48" t="n">
        <f aca="false">E90-F90</f>
        <v>646256500</v>
      </c>
      <c r="M90" s="49"/>
      <c r="N90" s="50" t="n">
        <f aca="false">SUMIF('BS_DEC 2026'!$D:$D,$D90,'BS_DEC 2026'!$E:$E)</f>
        <v>6930294786</v>
      </c>
      <c r="O90" s="50" t="n">
        <f aca="false">E90-N90</f>
        <v>0</v>
      </c>
      <c r="P90" s="50" t="n">
        <f aca="false">SUMIF('BS_DEC 2026'!$D:$D,$D90,'BS_DEC 2026'!$K:$K)</f>
        <v>6284038286</v>
      </c>
      <c r="Q90" s="50" t="n">
        <f aca="false">F90-P90</f>
        <v>0</v>
      </c>
    </row>
    <row r="91" customFormat="false" ht="13.5" hidden="false" customHeight="false" outlineLevel="0" collapsed="false">
      <c r="B91" s="22"/>
      <c r="C91" s="42"/>
      <c r="D91" s="43"/>
      <c r="E91" s="82"/>
      <c r="F91" s="82"/>
      <c r="G91" s="82"/>
      <c r="H91" s="82"/>
      <c r="I91" s="83" t="n">
        <f aca="false">IFERROR(H91/G91,IF(H91&gt;0,100%,IF(H91=0,0,-100%)))</f>
        <v>0</v>
      </c>
      <c r="J91" s="56" t="str">
        <f aca="false">IF(AND(ABS(H91)&gt;$J$5,ABS(I91)&gt;5%),"O","")</f>
        <v/>
      </c>
      <c r="K91" s="60"/>
      <c r="L91" s="48" t="n">
        <f aca="false">E91-F91</f>
        <v>0</v>
      </c>
      <c r="M91" s="49"/>
      <c r="N91" s="40"/>
      <c r="O91" s="41"/>
      <c r="P91" s="41"/>
      <c r="Q91" s="41"/>
    </row>
    <row r="92" customFormat="false" ht="13.5" hidden="false" customHeight="false" outlineLevel="0" collapsed="false">
      <c r="B92" s="22" t="s">
        <v>208</v>
      </c>
      <c r="C92" s="84" t="s">
        <v>209</v>
      </c>
      <c r="D92" s="43"/>
      <c r="E92" s="44" t="n">
        <f aca="false">SUM(E93:E99)</f>
        <v>912409574</v>
      </c>
      <c r="F92" s="44" t="n">
        <f aca="false">SUM(F93:F99)</f>
        <v>1558666074</v>
      </c>
      <c r="G92" s="44" t="n">
        <f aca="false">SUM(G93:G99)</f>
        <v>1681126243</v>
      </c>
      <c r="H92" s="44" t="n">
        <f aca="false">SUM(H93:H99)</f>
        <v>-122460169</v>
      </c>
      <c r="I92" s="45" t="n">
        <f aca="false">IFERROR(H92/G92,IF(H92&gt;0,100%,IF(H92=0,0,-100%)))</f>
        <v>-0.0728441242945965</v>
      </c>
      <c r="J92" s="46"/>
      <c r="K92" s="47"/>
      <c r="L92" s="48" t="n">
        <f aca="false">E92-F92</f>
        <v>-646256500</v>
      </c>
      <c r="M92" s="49"/>
      <c r="N92" s="50" t="n">
        <f aca="false">SUM(N93:N99)</f>
        <v>912409574</v>
      </c>
      <c r="O92" s="50" t="n">
        <f aca="false">E92-N92</f>
        <v>0</v>
      </c>
      <c r="P92" s="50" t="n">
        <f aca="false">SUM(P93:P99)</f>
        <v>1558666074</v>
      </c>
      <c r="Q92" s="50" t="n">
        <f aca="false">F92-P92</f>
        <v>0</v>
      </c>
    </row>
    <row r="93" customFormat="false" ht="13.5" hidden="false" customHeight="false" outlineLevel="0" collapsed="false">
      <c r="B93" s="22" t="s">
        <v>210</v>
      </c>
      <c r="C93" s="52" t="s">
        <v>26</v>
      </c>
      <c r="D93" s="53" t="s">
        <v>211</v>
      </c>
      <c r="E93" s="54" t="n">
        <f aca="false">SUMIF(FS_map!$H:$H,$D93,FS_map!$M:$M)*-1</f>
        <v>-0</v>
      </c>
      <c r="F93" s="54" t="n">
        <f aca="false">SUMIF(FS_map!$H:$H,$D93,FS_map!$P:$P)*-1</f>
        <v>-0</v>
      </c>
      <c r="G93" s="54" t="n">
        <f aca="false">SUMIF(WBS_2025YE!$D:$D,$D93,WBS_2025YE!$K:$K)</f>
        <v>0</v>
      </c>
      <c r="H93" s="54" t="n">
        <f aca="false">F93-G93</f>
        <v>-0</v>
      </c>
      <c r="I93" s="55" t="n">
        <f aca="false">IFERROR(H93/G93,IF(H93&gt;0,100%,IF(H93=0,0,-100%)))</f>
        <v>0</v>
      </c>
      <c r="J93" s="56" t="str">
        <f aca="false">IF(AND(ABS(H93)&gt;$J$5,ABS(I93)&gt;5%),"O","")</f>
        <v/>
      </c>
      <c r="K93" s="60"/>
      <c r="L93" s="48" t="n">
        <f aca="false">E93-F93</f>
        <v>0</v>
      </c>
      <c r="M93" s="49"/>
      <c r="N93" s="50" t="n">
        <f aca="false">SUMIF('BS_DEC 2026'!$D:$D,$D93,'BS_DEC 2026'!$E:$E)</f>
        <v>0</v>
      </c>
      <c r="O93" s="50" t="n">
        <f aca="false">E93-N93</f>
        <v>-0</v>
      </c>
      <c r="P93" s="50" t="n">
        <f aca="false">SUMIF('BS_DEC 2026'!$D:$D,$D93,'BS_DEC 2026'!$K:$K)</f>
        <v>0</v>
      </c>
      <c r="Q93" s="50" t="n">
        <f aca="false">F93-P93</f>
        <v>-0</v>
      </c>
    </row>
    <row r="94" customFormat="false" ht="13.5" hidden="false" customHeight="false" outlineLevel="0" collapsed="false">
      <c r="B94" s="22" t="s">
        <v>212</v>
      </c>
      <c r="C94" s="52" t="s">
        <v>30</v>
      </c>
      <c r="D94" s="53" t="s">
        <v>213</v>
      </c>
      <c r="E94" s="54" t="n">
        <f aca="false">SUMIF(FS_map!$H:$H,$D94,FS_map!$M:$M)*-1</f>
        <v>-0</v>
      </c>
      <c r="F94" s="54" t="n">
        <f aca="false">SUMIF(FS_map!$H:$H,$D94,FS_map!$P:$P)*-1</f>
        <v>-0</v>
      </c>
      <c r="G94" s="54" t="n">
        <f aca="false">SUMIF(WBS_2025YE!$D:$D,$D94,WBS_2025YE!$K:$K)</f>
        <v>0</v>
      </c>
      <c r="H94" s="54" t="n">
        <f aca="false">F94-G94</f>
        <v>-0</v>
      </c>
      <c r="I94" s="55" t="n">
        <f aca="false">IFERROR(H94/G94,IF(H94&gt;0,100%,IF(H94=0,0,-100%)))</f>
        <v>0</v>
      </c>
      <c r="J94" s="56" t="str">
        <f aca="false">IF(AND(ABS(H94)&gt;$J$5,ABS(I94)&gt;5%),"O","")</f>
        <v/>
      </c>
      <c r="K94" s="60"/>
      <c r="L94" s="48" t="n">
        <f aca="false">E94-F94</f>
        <v>0</v>
      </c>
      <c r="M94" s="49"/>
      <c r="N94" s="50" t="n">
        <f aca="false">SUMIF('BS_DEC 2026'!$D:$D,$D94,'BS_DEC 2026'!$E:$E)</f>
        <v>0</v>
      </c>
      <c r="O94" s="50" t="n">
        <f aca="false">E94-N94</f>
        <v>-0</v>
      </c>
      <c r="P94" s="50" t="n">
        <f aca="false">SUMIF('BS_DEC 2026'!$D:$D,$D94,'BS_DEC 2026'!$K:$K)</f>
        <v>0</v>
      </c>
      <c r="Q94" s="50" t="n">
        <f aca="false">F94-P94</f>
        <v>-0</v>
      </c>
    </row>
    <row r="95" customFormat="false" ht="13.5" hidden="false" customHeight="false" outlineLevel="0" collapsed="false">
      <c r="B95" s="22" t="s">
        <v>214</v>
      </c>
      <c r="C95" s="52" t="s">
        <v>34</v>
      </c>
      <c r="D95" s="53" t="s">
        <v>215</v>
      </c>
      <c r="E95" s="54" t="n">
        <f aca="false">SUMIF(FS_map!$H:$H,$D95,FS_map!$M:$M)*-1</f>
        <v>-0</v>
      </c>
      <c r="F95" s="54" t="n">
        <f aca="false">SUMIF(FS_map!$H:$H,$D95,FS_map!$P:$P)*-1</f>
        <v>-0</v>
      </c>
      <c r="G95" s="54" t="n">
        <f aca="false">SUMIF(WBS_2025YE!$D:$D,$D95,WBS_2025YE!$K:$K)</f>
        <v>0</v>
      </c>
      <c r="H95" s="54" t="n">
        <f aca="false">F95-G95</f>
        <v>-0</v>
      </c>
      <c r="I95" s="55" t="n">
        <f aca="false">IFERROR(H95/G95,IF(H95&gt;0,100%,IF(H95=0,0,-100%)))</f>
        <v>0</v>
      </c>
      <c r="J95" s="56" t="str">
        <f aca="false">IF(AND(ABS(H95)&gt;$J$5,ABS(I95)&gt;5%),"O","")</f>
        <v/>
      </c>
      <c r="K95" s="60"/>
      <c r="L95" s="48" t="n">
        <f aca="false">E95-F95</f>
        <v>0</v>
      </c>
      <c r="M95" s="49"/>
      <c r="N95" s="50" t="n">
        <f aca="false">SUMIF('BS_DEC 2026'!$D:$D,$D95,'BS_DEC 2026'!$E:$E)</f>
        <v>0</v>
      </c>
      <c r="O95" s="50" t="n">
        <f aca="false">E95-N95</f>
        <v>-0</v>
      </c>
      <c r="P95" s="50" t="n">
        <f aca="false">SUMIF('BS_DEC 2026'!$D:$D,$D95,'BS_DEC 2026'!$K:$K)</f>
        <v>0</v>
      </c>
      <c r="Q95" s="50" t="n">
        <f aca="false">F95-P95</f>
        <v>-0</v>
      </c>
    </row>
    <row r="96" customFormat="false" ht="15" hidden="false" customHeight="true" outlineLevel="0" collapsed="false">
      <c r="B96" s="22" t="s">
        <v>216</v>
      </c>
      <c r="C96" s="52" t="s">
        <v>38</v>
      </c>
      <c r="D96" s="53" t="s">
        <v>217</v>
      </c>
      <c r="E96" s="54" t="n">
        <f aca="false">SUMIF(FS_map!$H:$H,$D96,FS_map!$M:$M)*-1</f>
        <v>-0</v>
      </c>
      <c r="F96" s="54" t="n">
        <f aca="false">SUMIF(FS_map!$H:$H,$D96,FS_map!$P:$P)*-1</f>
        <v>646256500</v>
      </c>
      <c r="G96" s="54" t="n">
        <f aca="false">SUMIF(WBS_2025YE!$D:$D,$D96,WBS_2025YE!$K:$K)</f>
        <v>779863000</v>
      </c>
      <c r="H96" s="54" t="n">
        <f aca="false">F96-G96</f>
        <v>-133606500</v>
      </c>
      <c r="I96" s="55" t="n">
        <f aca="false">IFERROR(H96/G96,IF(H96&gt;0,100%,IF(H96=0,0,-100%)))</f>
        <v>-0.171320475519418</v>
      </c>
      <c r="J96" s="56" t="str">
        <f aca="false">IF(AND(ABS(H96)&gt;$J$5,ABS(I96)&gt;5%),"O","")</f>
        <v/>
      </c>
      <c r="K96" s="57" t="s">
        <v>218</v>
      </c>
      <c r="L96" s="48" t="n">
        <f aca="false">E96-F96</f>
        <v>-646256500</v>
      </c>
      <c r="M96" s="49"/>
      <c r="N96" s="50" t="n">
        <f aca="false">SUMIF('BS_DEC 2026'!$D:$D,$D96,'BS_DEC 2026'!$E:$E)</f>
        <v>0</v>
      </c>
      <c r="O96" s="50" t="n">
        <f aca="false">E96-N96</f>
        <v>-0</v>
      </c>
      <c r="P96" s="50" t="n">
        <f aca="false">SUMIF('BS_DEC 2026'!$D:$D,$D96,'BS_DEC 2026'!$K:$K)</f>
        <v>646256500</v>
      </c>
      <c r="Q96" s="50" t="n">
        <f aca="false">F96-P96</f>
        <v>0</v>
      </c>
    </row>
    <row r="97" customFormat="false" ht="25.5" hidden="false" customHeight="true" outlineLevel="0" collapsed="false">
      <c r="B97" s="22"/>
      <c r="C97" s="52" t="s">
        <v>42</v>
      </c>
      <c r="D97" s="53" t="s">
        <v>219</v>
      </c>
      <c r="E97" s="54" t="n">
        <f aca="false">SUMIF(FS_map!$H:$H,$D97,FS_map!$M:$M)*-1</f>
        <v>912409574</v>
      </c>
      <c r="F97" s="54" t="n">
        <f aca="false">SUMIF(FS_map!$H:$H,$D97,FS_map!$P:$P)*-1</f>
        <v>912409574</v>
      </c>
      <c r="G97" s="54" t="n">
        <f aca="false">SUMIF(WBS_2025YE!$D:$D,$D97,WBS_2025YE!$K:$K)</f>
        <v>901263243</v>
      </c>
      <c r="H97" s="54" t="n">
        <f aca="false">F97-G97</f>
        <v>11146331</v>
      </c>
      <c r="I97" s="55" t="n">
        <f aca="false">IFERROR(H97/G97,IF(H97&gt;0,100%,IF(H97=0,0,-100%)))</f>
        <v>0.0123674532236527</v>
      </c>
      <c r="J97" s="56" t="str">
        <f aca="false">IF(AND(ABS(H97)&gt;$J$5,ABS(I97)&gt;5%),"O","")</f>
        <v/>
      </c>
      <c r="K97" s="58" t="s">
        <v>220</v>
      </c>
      <c r="L97" s="48" t="n">
        <f aca="false">E97-F97</f>
        <v>0</v>
      </c>
      <c r="M97" s="49"/>
      <c r="N97" s="50" t="n">
        <f aca="false">SUMIF('BS_DEC 2026'!$D:$D,$D97,'BS_DEC 2026'!$E:$E)</f>
        <v>912409574</v>
      </c>
      <c r="O97" s="50" t="n">
        <f aca="false">E97-N97</f>
        <v>0</v>
      </c>
      <c r="P97" s="50" t="n">
        <f aca="false">SUMIF('BS_DEC 2026'!$D:$D,$D97,'BS_DEC 2026'!$K:$K)</f>
        <v>912409574</v>
      </c>
      <c r="Q97" s="50" t="n">
        <f aca="false">F97-P97</f>
        <v>0</v>
      </c>
    </row>
    <row r="98" customFormat="false" ht="13.5" hidden="false" customHeight="false" outlineLevel="0" collapsed="false">
      <c r="B98" s="22"/>
      <c r="C98" s="52" t="s">
        <v>45</v>
      </c>
      <c r="D98" s="53" t="s">
        <v>221</v>
      </c>
      <c r="E98" s="54" t="n">
        <f aca="false">SUMIF(FS_map!$H:$H,$D98,FS_map!$M:$M)*-1</f>
        <v>-0</v>
      </c>
      <c r="F98" s="54" t="n">
        <f aca="false">SUMIF(FS_map!$H:$H,$D98,FS_map!$P:$P)*-1</f>
        <v>-0</v>
      </c>
      <c r="G98" s="54" t="n">
        <f aca="false">SUMIF(WBS_2025YE!$D:$D,$D98,WBS_2025YE!$K:$K)</f>
        <v>0</v>
      </c>
      <c r="H98" s="54" t="n">
        <f aca="false">F98-G98</f>
        <v>-0</v>
      </c>
      <c r="I98" s="55" t="n">
        <f aca="false">IFERROR(H98/G98,IF(H98&gt;0,100%,IF(H98=0,0,-100%)))</f>
        <v>0</v>
      </c>
      <c r="J98" s="56" t="str">
        <f aca="false">IF(AND(ABS(H98)&gt;$J$5,ABS(I98)&gt;5%),"O","")</f>
        <v/>
      </c>
      <c r="K98" s="60"/>
      <c r="L98" s="48" t="n">
        <f aca="false">E98-F98</f>
        <v>0</v>
      </c>
      <c r="M98" s="49"/>
      <c r="N98" s="50" t="n">
        <f aca="false">SUMIF('BS_DEC 2026'!$D:$D,$D98,'BS_DEC 2026'!$E:$E)</f>
        <v>0</v>
      </c>
      <c r="O98" s="50" t="n">
        <f aca="false">E98-N98</f>
        <v>-0</v>
      </c>
      <c r="P98" s="50" t="n">
        <f aca="false">SUMIF('BS_DEC 2026'!$D:$D,$D98,'BS_DEC 2026'!$K:$K)</f>
        <v>0</v>
      </c>
      <c r="Q98" s="50" t="n">
        <f aca="false">F98-P98</f>
        <v>-0</v>
      </c>
    </row>
    <row r="99" customFormat="false" ht="13.5" hidden="false" customHeight="false" outlineLevel="0" collapsed="false">
      <c r="B99" s="22"/>
      <c r="C99" s="52" t="s">
        <v>49</v>
      </c>
      <c r="D99" s="53" t="s">
        <v>222</v>
      </c>
      <c r="E99" s="54" t="n">
        <f aca="false">SUMIF(FS_map!$H:$H,$D99,FS_map!$M:$M)*-1</f>
        <v>-0</v>
      </c>
      <c r="F99" s="54" t="n">
        <f aca="false">SUMIF(FS_map!$H:$H,$D99,FS_map!$P:$P)*-1</f>
        <v>-0</v>
      </c>
      <c r="G99" s="54" t="n">
        <f aca="false">SUMIF(WBS_2025YE!$D:$D,$D99,WBS_2025YE!$K:$K)</f>
        <v>0</v>
      </c>
      <c r="H99" s="54" t="n">
        <f aca="false">F99-G99</f>
        <v>-0</v>
      </c>
      <c r="I99" s="55" t="n">
        <f aca="false">IFERROR(H99/G99,IF(H99&gt;0,100%,IF(H99=0,0,-100%)))</f>
        <v>0</v>
      </c>
      <c r="J99" s="56" t="str">
        <f aca="false">IF(AND(ABS(H99)&gt;$J$5,ABS(I99)&gt;5%),"O","")</f>
        <v/>
      </c>
      <c r="K99" s="60"/>
      <c r="L99" s="48" t="n">
        <f aca="false">E99-F99</f>
        <v>0</v>
      </c>
      <c r="M99" s="69"/>
      <c r="N99" s="50" t="n">
        <f aca="false">SUMIF('BS_DEC 2026'!$D:$D,$D99,'BS_DEC 2026'!$E:$E)</f>
        <v>0</v>
      </c>
      <c r="O99" s="50" t="n">
        <f aca="false">E99-N99</f>
        <v>-0</v>
      </c>
      <c r="P99" s="50" t="n">
        <f aca="false">SUMIF('BS_DEC 2026'!$D:$D,$D99,'BS_DEC 2026'!$K:$K)</f>
        <v>0</v>
      </c>
      <c r="Q99" s="50" t="n">
        <f aca="false">F99-P99</f>
        <v>-0</v>
      </c>
    </row>
    <row r="100" customFormat="false" ht="15" hidden="false" customHeight="true" outlineLevel="0" collapsed="false">
      <c r="B100" s="22" t="s">
        <v>223</v>
      </c>
      <c r="C100" s="75" t="s">
        <v>224</v>
      </c>
      <c r="D100" s="75"/>
      <c r="E100" s="76" t="n">
        <f aca="false">+E78+E92</f>
        <v>213597629178</v>
      </c>
      <c r="F100" s="76" t="n">
        <f aca="false">+F78+F92</f>
        <v>200048879137</v>
      </c>
      <c r="G100" s="76" t="n">
        <f aca="false">+G78+G92</f>
        <v>142472987716</v>
      </c>
      <c r="H100" s="76" t="n">
        <f aca="false">+H78+H92</f>
        <v>57575891421</v>
      </c>
      <c r="I100" s="77" t="n">
        <f aca="false">IFERROR(H100/G100,IF(H100&gt;0,100%,IF(H100=0,0,-100%)))</f>
        <v>0.404117947858084</v>
      </c>
      <c r="J100" s="78" t="str">
        <f aca="false">IF(AND(ABS(H100)&gt;$J$5,ABS(I100)&gt;5%),"O","")</f>
        <v>O</v>
      </c>
      <c r="K100" s="85" t="s">
        <v>225</v>
      </c>
      <c r="L100" s="48" t="n">
        <f aca="false">E100-F100</f>
        <v>13548750041</v>
      </c>
      <c r="M100" s="49"/>
      <c r="N100" s="50" t="n">
        <f aca="false">+N78+N92</f>
        <v>213597629178</v>
      </c>
      <c r="O100" s="50" t="n">
        <f aca="false">E100-N100</f>
        <v>0</v>
      </c>
      <c r="P100" s="50" t="n">
        <f aca="false">+P78+P92</f>
        <v>201181819132</v>
      </c>
      <c r="Q100" s="50" t="n">
        <f aca="false">F100-P100</f>
        <v>-1132939995</v>
      </c>
    </row>
    <row r="101" customFormat="false" ht="14.25" hidden="false" customHeight="true" outlineLevel="0" collapsed="false">
      <c r="B101" s="22"/>
      <c r="C101" s="42"/>
      <c r="D101" s="43"/>
      <c r="E101" s="61"/>
      <c r="F101" s="61"/>
      <c r="G101" s="61"/>
      <c r="H101" s="61"/>
      <c r="I101" s="80" t="n">
        <f aca="false">IFERROR(H101/G101,IF(H101&gt;0,100%,IF(H101=0,0,-100%)))</f>
        <v>0</v>
      </c>
      <c r="J101" s="73" t="str">
        <f aca="false">IF(AND(ABS(H101)&gt;$J$5,ABS(I101)&gt;5%),"O","")</f>
        <v/>
      </c>
      <c r="K101" s="74"/>
      <c r="L101" s="48" t="n">
        <f aca="false">E101-F101</f>
        <v>0</v>
      </c>
      <c r="M101" s="49"/>
      <c r="N101" s="40"/>
      <c r="O101" s="41"/>
      <c r="P101" s="41"/>
      <c r="Q101" s="41"/>
    </row>
    <row r="102" customFormat="false" ht="13.5" hidden="false" customHeight="false" outlineLevel="0" collapsed="false">
      <c r="B102" s="22" t="s">
        <v>226</v>
      </c>
      <c r="C102" s="81" t="s">
        <v>227</v>
      </c>
      <c r="D102" s="86"/>
      <c r="E102" s="87"/>
      <c r="F102" s="87"/>
      <c r="G102" s="87"/>
      <c r="H102" s="87"/>
      <c r="I102" s="88" t="n">
        <f aca="false">IFERROR(H102/G102,IF(H102&gt;0,100%,IF(H102=0,0,-100%)))</f>
        <v>0</v>
      </c>
      <c r="J102" s="89" t="str">
        <f aca="false">IF(AND(ABS(H102)&gt;$J$5,ABS(I102)&gt;5%),"O","")</f>
        <v/>
      </c>
      <c r="K102" s="90"/>
      <c r="L102" s="48" t="n">
        <f aca="false">E102-F102</f>
        <v>0</v>
      </c>
      <c r="M102" s="49"/>
      <c r="N102" s="40"/>
      <c r="O102" s="41"/>
      <c r="P102" s="41"/>
      <c r="Q102" s="41"/>
    </row>
    <row r="103" customFormat="false" ht="13.5" hidden="false" customHeight="false" outlineLevel="0" collapsed="false">
      <c r="B103" s="22" t="s">
        <v>228</v>
      </c>
      <c r="C103" s="52" t="s">
        <v>229</v>
      </c>
      <c r="D103" s="53"/>
      <c r="E103" s="44" t="n">
        <f aca="false">+E104</f>
        <v>4287180000</v>
      </c>
      <c r="F103" s="44" t="n">
        <f aca="false">+F104</f>
        <v>4287180000</v>
      </c>
      <c r="G103" s="44" t="n">
        <f aca="false">+G104</f>
        <v>4287180000</v>
      </c>
      <c r="H103" s="44" t="n">
        <f aca="false">+H104</f>
        <v>0</v>
      </c>
      <c r="I103" s="45" t="n">
        <f aca="false">IFERROR(H103/G103,IF(H103&gt;0,100%,IF(H103=0,0,-100%)))</f>
        <v>0</v>
      </c>
      <c r="J103" s="46" t="str">
        <f aca="false">IF(AND(ABS(H103)&gt;$J$5,ABS(I103)&gt;5%),"O","")</f>
        <v/>
      </c>
      <c r="K103" s="47"/>
      <c r="L103" s="48" t="n">
        <f aca="false">E103-F103</f>
        <v>0</v>
      </c>
      <c r="M103" s="49"/>
      <c r="N103" s="50" t="n">
        <f aca="false">+N104</f>
        <v>4287180000</v>
      </c>
      <c r="O103" s="50" t="n">
        <f aca="false">E103-N103</f>
        <v>0</v>
      </c>
      <c r="P103" s="50" t="n">
        <f aca="false">+P104</f>
        <v>4287180000</v>
      </c>
      <c r="Q103" s="50" t="n">
        <f aca="false">F103-P103</f>
        <v>0</v>
      </c>
    </row>
    <row r="104" customFormat="false" ht="13.5" hidden="false" customHeight="false" outlineLevel="0" collapsed="false">
      <c r="B104" s="22" t="s">
        <v>230</v>
      </c>
      <c r="C104" s="52" t="s">
        <v>26</v>
      </c>
      <c r="D104" s="53" t="s">
        <v>231</v>
      </c>
      <c r="E104" s="54" t="n">
        <f aca="false">SUMIF(FS_map!$H:$H,$D104,FS_map!$M:$M)*-1</f>
        <v>4287180000</v>
      </c>
      <c r="F104" s="54" t="n">
        <f aca="false">SUMIF(FS_map!$H:$H,$D104,FS_map!$P:$P)*-1</f>
        <v>4287180000</v>
      </c>
      <c r="G104" s="54" t="n">
        <f aca="false">SUMIF(WBS_2025YE!$D:$D,$D104,WBS_2025YE!$K:$K)</f>
        <v>4287180000</v>
      </c>
      <c r="H104" s="54" t="n">
        <f aca="false">F104-G104</f>
        <v>0</v>
      </c>
      <c r="I104" s="55" t="n">
        <f aca="false">IFERROR(H104/G104,IF(H104&gt;0,100%,IF(H104=0,0,-100%)))</f>
        <v>0</v>
      </c>
      <c r="J104" s="56" t="str">
        <f aca="false">IF(AND(ABS(H104)&gt;$J$5,ABS(I104)&gt;5%),"O","")</f>
        <v/>
      </c>
      <c r="K104" s="60"/>
      <c r="L104" s="48" t="n">
        <f aca="false">E104-F104</f>
        <v>0</v>
      </c>
      <c r="M104" s="59"/>
      <c r="N104" s="50" t="n">
        <f aca="false">SUMIF('BS_DEC 2026'!$D:$D,$D104,'BS_DEC 2026'!$E:$E)</f>
        <v>4287180000</v>
      </c>
      <c r="O104" s="50" t="n">
        <f aca="false">E104-N104</f>
        <v>0</v>
      </c>
      <c r="P104" s="50" t="n">
        <f aca="false">SUMIF('BS_DEC 2026'!$D:$D,$D104,'BS_DEC 2026'!$K:$K)</f>
        <v>4287180000</v>
      </c>
      <c r="Q104" s="50" t="n">
        <f aca="false">F104-P104</f>
        <v>0</v>
      </c>
    </row>
    <row r="105" customFormat="false" ht="13.5" hidden="false" customHeight="false" outlineLevel="0" collapsed="false">
      <c r="B105" s="22"/>
      <c r="C105" s="52"/>
      <c r="D105" s="53"/>
      <c r="E105" s="91"/>
      <c r="F105" s="91"/>
      <c r="G105" s="91"/>
      <c r="H105" s="91"/>
      <c r="I105" s="92" t="n">
        <f aca="false">IFERROR(H105/G105,IF(H105&gt;0,100%,IF(H105=0,0,-100%)))</f>
        <v>0</v>
      </c>
      <c r="J105" s="73" t="str">
        <f aca="false">IF(AND(ABS(H105)&gt;$J$5,ABS(I105)&gt;5%),"O","")</f>
        <v/>
      </c>
      <c r="K105" s="74"/>
      <c r="L105" s="48" t="n">
        <f aca="false">E105-F105</f>
        <v>0</v>
      </c>
      <c r="M105" s="59"/>
      <c r="N105" s="93"/>
      <c r="O105" s="41"/>
      <c r="P105" s="41"/>
      <c r="Q105" s="41"/>
    </row>
    <row r="106" customFormat="false" ht="13.5" hidden="false" customHeight="false" outlineLevel="0" collapsed="false">
      <c r="B106" s="22" t="s">
        <v>232</v>
      </c>
      <c r="C106" s="84" t="s">
        <v>233</v>
      </c>
      <c r="D106" s="53"/>
      <c r="E106" s="66" t="n">
        <f aca="false">+E108+E107</f>
        <v>134580841795</v>
      </c>
      <c r="F106" s="66" t="n">
        <f aca="false">+F108+F107</f>
        <v>134580841795</v>
      </c>
      <c r="G106" s="66" t="n">
        <f aca="false">+G108+G107</f>
        <v>134580841795</v>
      </c>
      <c r="H106" s="66" t="n">
        <f aca="false">+H108+H107</f>
        <v>0</v>
      </c>
      <c r="I106" s="67" t="n">
        <f aca="false">IFERROR(H106/G106,IF(H106&gt;0,100%,IF(H106=0,0,-100%)))</f>
        <v>0</v>
      </c>
      <c r="J106" s="46" t="str">
        <f aca="false">IF(AND(ABS(H106)&gt;$J$5,ABS(I106)&gt;5%),"O","")</f>
        <v/>
      </c>
      <c r="K106" s="47"/>
      <c r="L106" s="48" t="n">
        <f aca="false">E106-F106</f>
        <v>0</v>
      </c>
      <c r="M106" s="59"/>
      <c r="N106" s="50" t="n">
        <f aca="false">+N108+N107</f>
        <v>134580841795</v>
      </c>
      <c r="O106" s="50" t="n">
        <f aca="false">E106-N106</f>
        <v>0</v>
      </c>
      <c r="P106" s="50" t="n">
        <f aca="false">+P108+P107</f>
        <v>134580841795</v>
      </c>
      <c r="Q106" s="50" t="n">
        <f aca="false">F106-P106</f>
        <v>0</v>
      </c>
    </row>
    <row r="107" customFormat="false" ht="13.5" hidden="false" customHeight="false" outlineLevel="0" collapsed="false">
      <c r="B107" s="22" t="s">
        <v>234</v>
      </c>
      <c r="C107" s="52"/>
      <c r="D107" s="53" t="s">
        <v>235</v>
      </c>
      <c r="E107" s="54" t="n">
        <f aca="false">SUMIF(FS_map!$H:$H,$D107,FS_map!$M:$M)*-1</f>
        <v>152461603149</v>
      </c>
      <c r="F107" s="54" t="n">
        <f aca="false">SUMIF(FS_map!$H:$H,$D107,FS_map!$P:$P)*-1</f>
        <v>152461603149</v>
      </c>
      <c r="G107" s="54" t="n">
        <f aca="false">SUMIF(WBS_2025YE!$D:$D,$D107,WBS_2025YE!$K:$K)</f>
        <v>152461603149</v>
      </c>
      <c r="H107" s="54" t="n">
        <f aca="false">F107-G107</f>
        <v>0</v>
      </c>
      <c r="I107" s="55" t="n">
        <f aca="false">IFERROR(H107/G107,IF(H107&gt;0,100%,IF(H107=0,0,-100%)))</f>
        <v>0</v>
      </c>
      <c r="J107" s="56" t="str">
        <f aca="false">IF(AND(ABS(H107)&gt;$J$5,ABS(I107)&gt;5%),"O","")</f>
        <v/>
      </c>
      <c r="K107" s="60"/>
      <c r="L107" s="48" t="n">
        <f aca="false">E107-F107</f>
        <v>0</v>
      </c>
      <c r="M107" s="49"/>
      <c r="N107" s="50" t="n">
        <f aca="false">SUMIF('BS_DEC 2026'!$D:$D,$D107,'BS_DEC 2026'!$E:$E)</f>
        <v>152461603149</v>
      </c>
      <c r="O107" s="50" t="n">
        <f aca="false">E107-N107</f>
        <v>0</v>
      </c>
      <c r="P107" s="50" t="n">
        <f aca="false">SUMIF('BS_DEC 2026'!$D:$D,$D107,'BS_DEC 2026'!$K:$K)</f>
        <v>152461603149</v>
      </c>
      <c r="Q107" s="50" t="n">
        <f aca="false">F107-P107</f>
        <v>0</v>
      </c>
    </row>
    <row r="108" customFormat="false" ht="13.5" hidden="false" customHeight="false" outlineLevel="0" collapsed="false">
      <c r="B108" s="22" t="s">
        <v>236</v>
      </c>
      <c r="C108" s="52"/>
      <c r="D108" s="53" t="s">
        <v>237</v>
      </c>
      <c r="E108" s="54" t="n">
        <f aca="false">SUMIF(FS_map!$H:$H,$D108,FS_map!$M:$M)*-1</f>
        <v>-17880761354</v>
      </c>
      <c r="F108" s="54" t="n">
        <f aca="false">SUMIF(FS_map!$H:$H,$D108,FS_map!$P:$P)*-1</f>
        <v>-17880761354</v>
      </c>
      <c r="G108" s="54" t="n">
        <f aca="false">SUMIF(WBS_2025YE!$D:$D,$D108,WBS_2025YE!$K:$K)</f>
        <v>-17880761354</v>
      </c>
      <c r="H108" s="54" t="n">
        <f aca="false">F108-G108</f>
        <v>0</v>
      </c>
      <c r="I108" s="55" t="n">
        <f aca="false">IFERROR(H108/G108,IF(H108&gt;0,100%,IF(H108=0,0,-100%)))</f>
        <v>-0</v>
      </c>
      <c r="J108" s="56" t="str">
        <f aca="false">IF(AND(ABS(H108)&gt;$J$5,ABS(I108)&gt;5%),"O","")</f>
        <v/>
      </c>
      <c r="K108" s="60"/>
      <c r="L108" s="48" t="n">
        <f aca="false">E108-F108</f>
        <v>0</v>
      </c>
      <c r="M108" s="49"/>
      <c r="N108" s="50" t="n">
        <f aca="false">SUMIF('BS_DEC 2026'!$D:$D,$D108,'BS_DEC 2026'!$E:$E)</f>
        <v>-17880761354</v>
      </c>
      <c r="O108" s="50" t="n">
        <f aca="false">E108-N108</f>
        <v>0</v>
      </c>
      <c r="P108" s="50" t="n">
        <f aca="false">SUMIF('BS_DEC 2026'!$D:$D,$D108,'BS_DEC 2026'!$K:$K)</f>
        <v>-17880761354</v>
      </c>
      <c r="Q108" s="50" t="n">
        <f aca="false">F108-P108</f>
        <v>0</v>
      </c>
    </row>
    <row r="109" customFormat="false" ht="13.5" hidden="false" customHeight="false" outlineLevel="0" collapsed="false">
      <c r="B109" s="22"/>
      <c r="C109" s="52"/>
      <c r="D109" s="53"/>
      <c r="E109" s="91"/>
      <c r="F109" s="91"/>
      <c r="G109" s="91"/>
      <c r="H109" s="91"/>
      <c r="I109" s="92" t="n">
        <f aca="false">IFERROR(H109/G109,IF(H109&gt;0,100%,IF(H109=0,0,-100%)))</f>
        <v>0</v>
      </c>
      <c r="J109" s="73" t="str">
        <f aca="false">IF(AND(ABS(H109)&gt;$J$5,ABS(I109)&gt;5%),"O","")</f>
        <v/>
      </c>
      <c r="K109" s="74"/>
      <c r="L109" s="48" t="n">
        <f aca="false">E109-F109</f>
        <v>0</v>
      </c>
      <c r="M109" s="49"/>
      <c r="N109" s="40"/>
      <c r="O109" s="41"/>
      <c r="P109" s="41"/>
      <c r="Q109" s="41"/>
    </row>
    <row r="110" customFormat="false" ht="13.5" hidden="false" customHeight="false" outlineLevel="0" collapsed="false">
      <c r="B110" s="22"/>
      <c r="C110" s="42" t="s">
        <v>238</v>
      </c>
      <c r="D110" s="53"/>
      <c r="E110" s="66" t="n">
        <f aca="false">+E111</f>
        <v>-0</v>
      </c>
      <c r="F110" s="66" t="n">
        <f aca="false">+F111</f>
        <v>-0</v>
      </c>
      <c r="G110" s="66" t="n">
        <f aca="false">+G111</f>
        <v>0</v>
      </c>
      <c r="H110" s="66" t="n">
        <f aca="false">+H111</f>
        <v>-0</v>
      </c>
      <c r="I110" s="67" t="n">
        <f aca="false">IFERROR(H110/G110,IF(H110&gt;0,100%,IF(H110=0,0,-100%)))</f>
        <v>0</v>
      </c>
      <c r="J110" s="46" t="str">
        <f aca="false">IF(AND(ABS(H110)&gt;$J$5,ABS(I110)&gt;5%),"O","")</f>
        <v/>
      </c>
      <c r="K110" s="47"/>
      <c r="L110" s="48" t="n">
        <f aca="false">E110-F110</f>
        <v>0</v>
      </c>
      <c r="M110" s="49"/>
      <c r="N110" s="50" t="n">
        <f aca="false">+N111</f>
        <v>0</v>
      </c>
      <c r="O110" s="50" t="n">
        <f aca="false">E110-N110</f>
        <v>-0</v>
      </c>
      <c r="P110" s="50" t="n">
        <f aca="false">+P111</f>
        <v>0</v>
      </c>
      <c r="Q110" s="50" t="n">
        <f aca="false">F110-P110</f>
        <v>-0</v>
      </c>
    </row>
    <row r="111" customFormat="false" ht="13.5" hidden="false" customHeight="false" outlineLevel="0" collapsed="false">
      <c r="B111" s="22"/>
      <c r="C111" s="52"/>
      <c r="D111" s="53" t="s">
        <v>239</v>
      </c>
      <c r="E111" s="54" t="n">
        <f aca="false">SUMIF(FS_map!$H:$H,$D111,FS_map!$M:$M)*-1</f>
        <v>-0</v>
      </c>
      <c r="F111" s="54" t="n">
        <f aca="false">SUMIF(FS_map!$H:$H,$D111,FS_map!$P:$P)*-1</f>
        <v>-0</v>
      </c>
      <c r="G111" s="54" t="n">
        <f aca="false">SUMIF(WBS_2025YE!$D:$D,$D111,WBS_2025YE!$K:$K)</f>
        <v>0</v>
      </c>
      <c r="H111" s="54" t="n">
        <f aca="false">F111-G111</f>
        <v>-0</v>
      </c>
      <c r="I111" s="55" t="n">
        <f aca="false">IFERROR(H111/G111,IF(H111&gt;0,100%,IF(H111=0,0,-100%)))</f>
        <v>0</v>
      </c>
      <c r="J111" s="56" t="str">
        <f aca="false">IF(AND(ABS(H111)&gt;$J$5,ABS(I111)&gt;5%),"O","")</f>
        <v/>
      </c>
      <c r="K111" s="60"/>
      <c r="L111" s="48" t="n">
        <f aca="false">E111-F111</f>
        <v>0</v>
      </c>
      <c r="M111" s="49"/>
      <c r="N111" s="50" t="n">
        <f aca="false">SUMIF('BS_DEC 2026'!$D:$D,$D111,'BS_DEC 2026'!$E:$E)</f>
        <v>0</v>
      </c>
      <c r="O111" s="50" t="n">
        <f aca="false">E111-N111</f>
        <v>-0</v>
      </c>
      <c r="P111" s="50" t="n">
        <f aca="false">SUMIF('BS_DEC 2026'!$D:$D,$D111,'BS_DEC 2026'!$K:$K)</f>
        <v>0</v>
      </c>
      <c r="Q111" s="50" t="n">
        <f aca="false">F111-P111</f>
        <v>-0</v>
      </c>
    </row>
    <row r="112" customFormat="false" ht="13.5" hidden="false" customHeight="false" outlineLevel="0" collapsed="false">
      <c r="B112" s="22"/>
      <c r="C112" s="52"/>
      <c r="D112" s="53"/>
      <c r="E112" s="91"/>
      <c r="F112" s="91"/>
      <c r="G112" s="91"/>
      <c r="H112" s="91"/>
      <c r="I112" s="92" t="n">
        <f aca="false">IFERROR(H112/G112,IF(H112&gt;0,100%,IF(H112=0,0,-100%)))</f>
        <v>0</v>
      </c>
      <c r="J112" s="73" t="str">
        <f aca="false">IF(AND(ABS(H112)&gt;$J$5,ABS(I112)&gt;5%),"O","")</f>
        <v/>
      </c>
      <c r="K112" s="74"/>
      <c r="L112" s="48" t="n">
        <f aca="false">E112-F112</f>
        <v>0</v>
      </c>
      <c r="M112" s="49"/>
      <c r="N112" s="40"/>
      <c r="O112" s="41"/>
      <c r="P112" s="41"/>
      <c r="Q112" s="41"/>
    </row>
    <row r="113" customFormat="false" ht="13.5" hidden="false" customHeight="false" outlineLevel="0" collapsed="false">
      <c r="B113" s="22" t="s">
        <v>240</v>
      </c>
      <c r="C113" s="84" t="s">
        <v>241</v>
      </c>
      <c r="D113" s="43"/>
      <c r="E113" s="44" t="n">
        <f aca="false">+E114+E115</f>
        <v>116986308310</v>
      </c>
      <c r="F113" s="44" t="n">
        <f aca="false">+F114+F115</f>
        <v>118119248227</v>
      </c>
      <c r="G113" s="44" t="n">
        <f aca="false">+G114+G115</f>
        <v>120830361205</v>
      </c>
      <c r="H113" s="44" t="n">
        <f aca="false">+H114+H115</f>
        <v>-2711112978</v>
      </c>
      <c r="I113" s="45" t="n">
        <f aca="false">IFERROR(H113/G113,IF(H113&gt;0,100%,IF(H113=0,0,-100%)))</f>
        <v>-0.0224373489490803</v>
      </c>
      <c r="J113" s="46"/>
      <c r="K113" s="47"/>
      <c r="L113" s="48" t="n">
        <f aca="false">E113-F113</f>
        <v>-1132939917</v>
      </c>
      <c r="M113" s="49"/>
      <c r="N113" s="50" t="n">
        <f aca="false">+N114+N115</f>
        <v>116986308310</v>
      </c>
      <c r="O113" s="50" t="n">
        <f aca="false">E113-N113</f>
        <v>0</v>
      </c>
      <c r="P113" s="50" t="n">
        <f aca="false">+P114+P115</f>
        <v>116986308308</v>
      </c>
      <c r="Q113" s="50" t="n">
        <f aca="false">F113-P113</f>
        <v>1132939919</v>
      </c>
    </row>
    <row r="114" customFormat="false" ht="25.5" hidden="false" customHeight="true" outlineLevel="0" collapsed="false">
      <c r="B114" s="22" t="s">
        <v>242</v>
      </c>
      <c r="C114" s="52" t="s">
        <v>26</v>
      </c>
      <c r="D114" s="53" t="s">
        <v>243</v>
      </c>
      <c r="E114" s="54" t="n">
        <f aca="false">SUMIF(FS_map!$H:$H,$D114,FS_map!$M:$M)*-1</f>
        <v>2143590000</v>
      </c>
      <c r="F114" s="54" t="n">
        <f aca="false">SUMIF(FS_map!$H:$H,$D114,FS_map!$P:$P)*-1</f>
        <v>2143590000</v>
      </c>
      <c r="G114" s="54" t="n">
        <f aca="false">SUMIF(WBS_2025YE!$D:$D,$D114,WBS_2025YE!$K:$K)</f>
        <v>1861200000</v>
      </c>
      <c r="H114" s="54" t="n">
        <f aca="false">F114-G114</f>
        <v>282390000</v>
      </c>
      <c r="I114" s="55" t="n">
        <f aca="false">IFERROR(H114/G114,IF(H114&gt;0,100%,IF(H114=0,0,-100%)))</f>
        <v>0.15172469374597</v>
      </c>
      <c r="J114" s="56" t="str">
        <f aca="false">IF(AND(ABS(H114)&gt;$J$5,ABS(I114)&gt;5%),"O","")</f>
        <v/>
      </c>
      <c r="K114" s="57" t="s">
        <v>244</v>
      </c>
      <c r="L114" s="48" t="n">
        <f aca="false">E114-F114</f>
        <v>0</v>
      </c>
      <c r="M114" s="59"/>
      <c r="N114" s="50" t="n">
        <f aca="false">SUMIF('BS_DEC 2026'!$D:$D,$D114,'BS_DEC 2026'!$E:$E)</f>
        <v>2143590000</v>
      </c>
      <c r="O114" s="50" t="n">
        <f aca="false">E114-N114</f>
        <v>0</v>
      </c>
      <c r="P114" s="50" t="n">
        <f aca="false">SUMIF('BS_DEC 2026'!$D:$D,$D114,'BS_DEC 2026'!$K:$K)</f>
        <v>2143590000</v>
      </c>
      <c r="Q114" s="50" t="n">
        <f aca="false">F114-P114</f>
        <v>0</v>
      </c>
    </row>
    <row r="115" customFormat="false" ht="13.5" hidden="false" customHeight="false" outlineLevel="0" collapsed="false">
      <c r="B115" s="22" t="s">
        <v>245</v>
      </c>
      <c r="C115" s="52" t="s">
        <v>30</v>
      </c>
      <c r="D115" s="53" t="s">
        <v>246</v>
      </c>
      <c r="E115" s="54" t="n">
        <f aca="false">SUM(E116:E117)</f>
        <v>114842718310</v>
      </c>
      <c r="F115" s="54" t="n">
        <f aca="false">SUM(F116:F117)</f>
        <v>115975658227</v>
      </c>
      <c r="G115" s="54" t="n">
        <f aca="false">SUM(G116:G117)</f>
        <v>118969161205</v>
      </c>
      <c r="H115" s="54" t="n">
        <f aca="false">SUM(H116:H117)</f>
        <v>-2993502978</v>
      </c>
      <c r="I115" s="55" t="n">
        <f aca="false">IFERROR(H115/G115,IF(H115&gt;0,100%,IF(H115=0,0,-100%)))</f>
        <v>-0.0251620079328103</v>
      </c>
      <c r="J115" s="56"/>
      <c r="K115" s="60"/>
      <c r="L115" s="48" t="n">
        <f aca="false">E115-F115</f>
        <v>-1132939917</v>
      </c>
      <c r="M115" s="49"/>
      <c r="N115" s="50" t="n">
        <f aca="false">SUM(N116:N117)</f>
        <v>114842718310</v>
      </c>
      <c r="O115" s="50" t="n">
        <f aca="false">E115-N115</f>
        <v>0</v>
      </c>
      <c r="P115" s="50" t="n">
        <f aca="false">SUM(P116:P117)</f>
        <v>114842718308</v>
      </c>
      <c r="Q115" s="50" t="n">
        <f aca="false">F115-P115</f>
        <v>1132939919</v>
      </c>
    </row>
    <row r="116" customFormat="false" ht="90.75" hidden="false" customHeight="true" outlineLevel="0" collapsed="false">
      <c r="B116" s="22" t="s">
        <v>247</v>
      </c>
      <c r="C116" s="52"/>
      <c r="D116" s="53" t="s">
        <v>248</v>
      </c>
      <c r="E116" s="54" t="n">
        <f aca="false">SUMIF(FS_map!$H:$H,$D116,FS_map!$M:$M)*-1</f>
        <v>65553831288</v>
      </c>
      <c r="F116" s="54" t="n">
        <f aca="false">SUMIF(FS_map!$H:$H,$D116,FS_map!$P:$P)*-1</f>
        <v>66686771205</v>
      </c>
      <c r="G116" s="54" t="n">
        <f aca="false">SUMIF(WBS_2025YE!$D:$D,$D116,WBS_2025YE!$K:$K)</f>
        <v>81009322867</v>
      </c>
      <c r="H116" s="54" t="n">
        <f aca="false">F116-G116</f>
        <v>-14322551662</v>
      </c>
      <c r="I116" s="55" t="n">
        <f aca="false">IFERROR(H116/G116,IF(H116&gt;0,100%,IF(H116=0,0,-100%)))</f>
        <v>-0.176801276138483</v>
      </c>
      <c r="J116" s="56" t="str">
        <f aca="false">IF(AND(ABS(H116)&gt;$J$5,ABS(I116)&gt;5%),"O","")</f>
        <v>O</v>
      </c>
      <c r="K116" s="58" t="s">
        <v>249</v>
      </c>
      <c r="L116" s="48" t="n">
        <f aca="false">E116-F116</f>
        <v>-1132939917</v>
      </c>
      <c r="M116" s="49"/>
      <c r="N116" s="50" t="n">
        <f aca="false">SUMIF('BS_DEC 2026'!$D:$D,$D116,'BS_DEC 2026'!$E:$E)</f>
        <v>65553831288</v>
      </c>
      <c r="O116" s="50" t="n">
        <f aca="false">E116-N116</f>
        <v>0</v>
      </c>
      <c r="P116" s="50" t="n">
        <f aca="false">SUMIF('BS_DEC 2026'!$D:$D,$D116,'BS_DEC 2026'!$K:$K)</f>
        <v>65553831288</v>
      </c>
      <c r="Q116" s="50" t="n">
        <f aca="false">F116-P116</f>
        <v>1132939917</v>
      </c>
    </row>
    <row r="117" customFormat="false" ht="15" hidden="false" customHeight="true" outlineLevel="0" collapsed="false">
      <c r="B117" s="22" t="s">
        <v>250</v>
      </c>
      <c r="C117" s="52"/>
      <c r="D117" s="53" t="s">
        <v>251</v>
      </c>
      <c r="E117" s="54" t="n">
        <f aca="false">+'P&amp;L_KO'!E113</f>
        <v>49288887022</v>
      </c>
      <c r="F117" s="54" t="n">
        <f aca="false">+'P&amp;L_KO'!F113</f>
        <v>49288887022</v>
      </c>
      <c r="G117" s="54" t="n">
        <f aca="false">+'P&amp;L_KO'!H113</f>
        <v>37959838338</v>
      </c>
      <c r="H117" s="54" t="n">
        <f aca="false">F117-G117</f>
        <v>11329048684</v>
      </c>
      <c r="I117" s="55" t="n">
        <f aca="false">IFERROR(H117/G117,IF(H117&gt;0,100%,IF(H117=0,0,-100%)))</f>
        <v>0.298448285873203</v>
      </c>
      <c r="J117" s="56"/>
      <c r="K117" s="94" t="s">
        <v>252</v>
      </c>
      <c r="L117" s="48" t="n">
        <f aca="false">E117-F117</f>
        <v>0</v>
      </c>
      <c r="M117" s="49" t="n">
        <f aca="false">++G115-F116</f>
        <v>52282390000</v>
      </c>
      <c r="N117" s="50" t="n">
        <f aca="false">SUMIF('BS_DEC 2026'!$D:$D,$D117,'BS_DEC 2026'!$E:$E)</f>
        <v>49288887022</v>
      </c>
      <c r="O117" s="50" t="n">
        <f aca="false">E117-N117</f>
        <v>0</v>
      </c>
      <c r="P117" s="50" t="n">
        <f aca="false">SUMIF('BS_DEC 2026'!$D:$D,$D117,'BS_DEC 2026'!$K:$K)</f>
        <v>49288887020</v>
      </c>
      <c r="Q117" s="50" t="n">
        <f aca="false">F117-P117</f>
        <v>2</v>
      </c>
    </row>
    <row r="118" customFormat="false" ht="13.5" hidden="false" customHeight="false" outlineLevel="0" collapsed="false">
      <c r="B118" s="22"/>
      <c r="C118" s="42"/>
      <c r="D118" s="53"/>
      <c r="E118" s="91"/>
      <c r="F118" s="91"/>
      <c r="G118" s="91"/>
      <c r="H118" s="91"/>
      <c r="I118" s="92" t="n">
        <f aca="false">IFERROR(H118/G118,IF(H118&gt;0,100%,IF(H118=0,0,-100%)))</f>
        <v>0</v>
      </c>
      <c r="J118" s="73" t="str">
        <f aca="false">IF(AND(ABS(H118)&gt;$J$5,ABS(I118)&gt;5%),"O","")</f>
        <v/>
      </c>
      <c r="K118" s="74"/>
      <c r="L118" s="48" t="n">
        <f aca="false">E118-F118</f>
        <v>0</v>
      </c>
      <c r="M118" s="49"/>
      <c r="N118" s="40"/>
      <c r="O118" s="41"/>
      <c r="P118" s="41"/>
      <c r="Q118" s="41"/>
    </row>
    <row r="119" customFormat="false" ht="14.25" hidden="false" customHeight="true" outlineLevel="0" collapsed="false">
      <c r="B119" s="22"/>
      <c r="C119" s="75" t="s">
        <v>253</v>
      </c>
      <c r="D119" s="75"/>
      <c r="E119" s="76" t="n">
        <f aca="false">+E103+E106+E110+E113</f>
        <v>255854330105</v>
      </c>
      <c r="F119" s="76" t="n">
        <f aca="false">+F103+F106+F110+F113</f>
        <v>256987270022</v>
      </c>
      <c r="G119" s="76" t="n">
        <f aca="false">+G103+G106+G110+G113</f>
        <v>259698383000</v>
      </c>
      <c r="H119" s="76" t="n">
        <f aca="false">+H103+H106+H110+H113</f>
        <v>-2711112978</v>
      </c>
      <c r="I119" s="77" t="n">
        <f aca="false">IFERROR(H119/G119,IF(H119&gt;0,100%,IF(H119=0,0,-100%)))</f>
        <v>-0.0104394680732379</v>
      </c>
      <c r="J119" s="78"/>
      <c r="K119" s="79"/>
      <c r="L119" s="48"/>
      <c r="M119" s="49"/>
      <c r="N119" s="50" t="n">
        <f aca="false">+N103+N106+N110+N113</f>
        <v>255854330105</v>
      </c>
      <c r="O119" s="50" t="n">
        <f aca="false">E119-N119</f>
        <v>0</v>
      </c>
      <c r="P119" s="50" t="n">
        <f aca="false">+P103+P106+P110+P113</f>
        <v>255854330103</v>
      </c>
      <c r="Q119" s="50" t="n">
        <f aca="false">F119-P119</f>
        <v>1132939919</v>
      </c>
    </row>
    <row r="120" customFormat="false" ht="15" hidden="false" customHeight="true" outlineLevel="0" collapsed="false">
      <c r="B120" s="22"/>
      <c r="C120" s="95" t="s">
        <v>254</v>
      </c>
      <c r="D120" s="95"/>
      <c r="E120" s="96" t="n">
        <f aca="false">+E100+E119</f>
        <v>469451959283</v>
      </c>
      <c r="F120" s="96" t="n">
        <f aca="false">+F100+F119</f>
        <v>457036149159</v>
      </c>
      <c r="G120" s="96" t="n">
        <f aca="false">+G100+G119</f>
        <v>402171370716</v>
      </c>
      <c r="H120" s="96" t="n">
        <f aca="false">+H100+H119</f>
        <v>54864778443</v>
      </c>
      <c r="I120" s="97" t="n">
        <f aca="false">IFERROR(H120/G120,IF(H120&gt;0,100%,IF(H120=0,0,-100%)))</f>
        <v>0.136421392565369</v>
      </c>
      <c r="J120" s="98"/>
      <c r="K120" s="99"/>
      <c r="L120" s="48"/>
      <c r="M120" s="49"/>
      <c r="N120" s="50" t="n">
        <f aca="false">+N100+N119</f>
        <v>469451959283</v>
      </c>
      <c r="O120" s="50" t="n">
        <f aca="false">E120-N120</f>
        <v>0</v>
      </c>
      <c r="P120" s="50" t="n">
        <f aca="false">+P100+P119</f>
        <v>457036149235</v>
      </c>
      <c r="Q120" s="50" t="n">
        <f aca="false">F120-P120</f>
        <v>-76</v>
      </c>
    </row>
    <row r="121" customFormat="false" ht="13.5" hidden="false" customHeight="false" outlineLevel="0" collapsed="false">
      <c r="E121" s="100" t="n">
        <f aca="false">ROUND(+E75,0)=ROUND(E120,0)</f>
        <v>1</v>
      </c>
      <c r="F121" s="100" t="n">
        <f aca="false">ROUND(+F75,0)=ROUND(F120,0)</f>
        <v>1</v>
      </c>
      <c r="G121" s="100" t="n">
        <f aca="false">ROUND(+G75,0)=ROUND(G120,0)</f>
        <v>1</v>
      </c>
      <c r="H121" s="100" t="n">
        <f aca="false">ROUND(+H75,0)=ROUND(H120,0)</f>
        <v>1</v>
      </c>
      <c r="I121" s="59"/>
      <c r="J121" s="101"/>
      <c r="K121" s="102"/>
      <c r="L121" s="48"/>
      <c r="M121" s="49"/>
    </row>
    <row r="123" customFormat="false" ht="13.5" hidden="false" customHeight="false" outlineLevel="0" collapsed="false">
      <c r="E123" s="103" t="n">
        <f aca="false">+E120-E75</f>
        <v>0</v>
      </c>
      <c r="F123" s="104" t="n">
        <f aca="false">+F120-F75</f>
        <v>0</v>
      </c>
      <c r="G123" s="103" t="n">
        <f aca="false">+G120-G75</f>
        <v>0</v>
      </c>
      <c r="H123" s="103" t="n">
        <f aca="false">G117-H116</f>
        <v>52282390000</v>
      </c>
      <c r="J123" s="105"/>
      <c r="K123" s="106"/>
    </row>
    <row r="124" customFormat="false" ht="13.5" hidden="false" customHeight="false" outlineLevel="0" collapsed="false">
      <c r="E124" s="103"/>
      <c r="F124" s="103"/>
    </row>
    <row r="125" customFormat="false" ht="13.5" hidden="false" customHeight="false" outlineLevel="0" collapsed="false">
      <c r="E125" s="103"/>
      <c r="F125" s="103"/>
      <c r="G125" s="107"/>
      <c r="H125" s="107"/>
      <c r="I125" s="107"/>
      <c r="J125" s="108"/>
      <c r="K125" s="109"/>
    </row>
    <row r="126" customFormat="false" ht="13.5" hidden="false" customHeight="false" outlineLevel="0" collapsed="false">
      <c r="E126" s="103"/>
      <c r="F126" s="103"/>
      <c r="G126" s="107"/>
      <c r="H126" s="107"/>
      <c r="I126" s="107"/>
      <c r="J126" s="108"/>
      <c r="K126" s="109"/>
    </row>
    <row r="127" customFormat="false" ht="13.5" hidden="false" customHeight="false" outlineLevel="0" collapsed="false">
      <c r="E127" s="103"/>
      <c r="F127" s="103"/>
      <c r="G127" s="107"/>
      <c r="H127" s="107"/>
      <c r="I127" s="107"/>
      <c r="J127" s="108"/>
      <c r="K127" s="109"/>
    </row>
    <row r="128" customFormat="false" ht="13.5" hidden="false" customHeight="false" outlineLevel="0" collapsed="false">
      <c r="E128" s="103"/>
      <c r="F128" s="103"/>
      <c r="G128" s="107"/>
      <c r="H128" s="107"/>
      <c r="I128" s="107"/>
      <c r="J128" s="108"/>
      <c r="K128" s="109"/>
    </row>
    <row r="129" customFormat="false" ht="13.5" hidden="false" customHeight="false" outlineLevel="0" collapsed="false">
      <c r="F129" s="110"/>
    </row>
  </sheetData>
  <mergeCells count="6">
    <mergeCell ref="C8:D9"/>
    <mergeCell ref="E8:F8"/>
    <mergeCell ref="C75:D75"/>
    <mergeCell ref="C100:D100"/>
    <mergeCell ref="C119:D119"/>
    <mergeCell ref="C120:D120"/>
  </mergeCells>
  <printOptions headings="false" gridLines="false" gridLinesSet="true" horizontalCentered="false" verticalCentered="false"/>
  <pageMargins left="0.7" right="0.7" top="0.75" bottom="0.75" header="0.3" footer="0.511811023622047"/>
  <pageSetup paperSize="9" scale="100" fitToWidth="1" fitToHeight="1" pageOrder="downThenOver" orientation="portrait" blackAndWhite="false" draft="false" cellComments="none" horizontalDpi="300" verticalDpi="300" copies="1"/>
  <headerFooter differentFirst="false" differentOddEven="false">
    <oddHeader>&amp;C&amp;"Calibri,Regular"&amp;1 &amp;K4a569e Internal#_x005F_x000d_</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C2:X118"/>
  <sheetViews>
    <sheetView showFormulas="false" showGridLines="false" showRowColHeaders="true" showZeros="true" rightToLeft="false" tabSelected="true" showOutlineSymbols="true" defaultGridColor="true" view="normal" topLeftCell="A1" colorId="64" zoomScale="85" zoomScaleNormal="85" zoomScalePageLayoutView="100" workbookViewId="0">
      <pane xSplit="0" ySplit="9" topLeftCell="A10" activePane="bottomLeft" state="frozen"/>
      <selection pane="topLeft" activeCell="A1" activeCellId="0" sqref="A1"/>
      <selection pane="bottomLeft" activeCell="L17" activeCellId="0" sqref="L17"/>
    </sheetView>
  </sheetViews>
  <sheetFormatPr defaultColWidth="15.62890625" defaultRowHeight="13.5" zeroHeight="false" outlineLevelRow="0" outlineLevelCol="1"/>
  <cols>
    <col collapsed="false" customWidth="true" hidden="false" outlineLevel="0" max="1" min="1" style="1" width="2.63"/>
    <col collapsed="false" customWidth="true" hidden="true" outlineLevel="1" max="2" min="2" style="1" width="9"/>
    <col collapsed="false" customWidth="true" hidden="false" outlineLevel="0" max="3" min="3" style="1" width="6.63"/>
    <col collapsed="false" customWidth="true" hidden="false" outlineLevel="0" max="4" min="4" style="1" width="20.63"/>
    <col collapsed="false" customWidth="false" hidden="false" outlineLevel="0" max="9" min="5" style="69" width="15.63"/>
    <col collapsed="false" customWidth="false" hidden="false" outlineLevel="0" max="10" min="10" style="111" width="15.63"/>
    <col collapsed="false" customWidth="false" hidden="false" outlineLevel="0" max="11" min="11" style="112" width="15.63"/>
    <col collapsed="false" customWidth="true" hidden="false" outlineLevel="0" max="12" min="12" style="113" width="80"/>
    <col collapsed="false" customWidth="false" hidden="false" outlineLevel="0" max="13" min="13" style="114" width="15.63"/>
    <col collapsed="false" customWidth="false" hidden="false" outlineLevel="0" max="16384" min="14" style="1" width="15.63"/>
  </cols>
  <sheetData>
    <row r="2" customFormat="false" ht="13.5" hidden="false" customHeight="false" outlineLevel="0" collapsed="false">
      <c r="C2" s="6" t="s">
        <v>255</v>
      </c>
      <c r="D2" s="2"/>
      <c r="E2" s="112"/>
      <c r="F2" s="112"/>
      <c r="G2" s="112"/>
      <c r="H2" s="112"/>
      <c r="I2" s="112"/>
      <c r="J2" s="115"/>
    </row>
    <row r="3" customFormat="false" ht="14.25" hidden="false" customHeight="true" outlineLevel="0" collapsed="false"/>
    <row r="4" customFormat="false" ht="13.5" hidden="false" customHeight="false" outlineLevel="0" collapsed="false">
      <c r="C4" s="10" t="str">
        <f aca="false">+BS_KO!C4</f>
        <v>제 37(당) 기 2026년 12월 31일 현재</v>
      </c>
      <c r="D4" s="2"/>
      <c r="E4" s="112"/>
      <c r="F4" s="112"/>
      <c r="G4" s="112"/>
      <c r="H4" s="112"/>
      <c r="I4" s="12" t="s">
        <v>2</v>
      </c>
      <c r="J4" s="13" t="n">
        <v>0.01</v>
      </c>
      <c r="K4" s="116" t="n">
        <f aca="false">G10*J4</f>
        <v>7097620215.52</v>
      </c>
      <c r="L4" s="117" t="s">
        <v>256</v>
      </c>
    </row>
    <row r="5" customFormat="false" ht="13.5" hidden="false" customHeight="false" outlineLevel="0" collapsed="false">
      <c r="C5" s="10" t="str">
        <f aca="false">+BS_KO!C5</f>
        <v>제 36(전) 기 2025년 12월 31일 현재</v>
      </c>
      <c r="D5" s="2"/>
      <c r="E5" s="112"/>
      <c r="F5" s="112"/>
      <c r="G5" s="112"/>
      <c r="H5" s="112"/>
      <c r="I5" s="15" t="s">
        <v>4</v>
      </c>
      <c r="J5" s="16" t="n">
        <v>0.8</v>
      </c>
      <c r="K5" s="118" t="n">
        <f aca="false">K4*J5</f>
        <v>5678096172.416</v>
      </c>
    </row>
    <row r="6" customFormat="false" ht="14.25" hidden="false" customHeight="true" outlineLevel="0" collapsed="false">
      <c r="I6" s="19" t="s">
        <v>5</v>
      </c>
      <c r="J6" s="20" t="n">
        <v>0.03</v>
      </c>
      <c r="K6" s="119" t="n">
        <f aca="false">K4*J6</f>
        <v>212928606.4656</v>
      </c>
    </row>
    <row r="7" customFormat="false" ht="14.25" hidden="false" customHeight="true" outlineLevel="0" collapsed="false">
      <c r="C7" s="23" t="str">
        <f aca="false">+BS_KO!C7</f>
        <v>주식회사 사노피-아벤티스코리아</v>
      </c>
    </row>
    <row r="8" customFormat="false" ht="13.5" hidden="false" customHeight="true" outlineLevel="0" collapsed="false">
      <c r="C8" s="24" t="s">
        <v>7</v>
      </c>
      <c r="D8" s="24"/>
      <c r="E8" s="25" t="n">
        <f aca="false">BS_KO!E8</f>
        <v>2026.09</v>
      </c>
      <c r="F8" s="25"/>
      <c r="G8" s="120" t="n">
        <v>2026.09</v>
      </c>
      <c r="H8" s="25" t="n">
        <f aca="false">BS_KO!G8</f>
        <v>2025.12</v>
      </c>
      <c r="I8" s="121"/>
      <c r="J8" s="122"/>
      <c r="K8" s="121"/>
      <c r="L8" s="123"/>
      <c r="U8" s="28" t="s">
        <v>257</v>
      </c>
    </row>
    <row r="9" customFormat="false" ht="13.5" hidden="false" customHeight="false" outlineLevel="0" collapsed="false">
      <c r="C9" s="24"/>
      <c r="D9" s="24"/>
      <c r="E9" s="124" t="s">
        <v>9</v>
      </c>
      <c r="F9" s="124" t="s">
        <v>10</v>
      </c>
      <c r="G9" s="125" t="s">
        <v>258</v>
      </c>
      <c r="H9" s="126" t="s">
        <v>11</v>
      </c>
      <c r="I9" s="127" t="s">
        <v>259</v>
      </c>
      <c r="J9" s="128" t="s">
        <v>13</v>
      </c>
      <c r="K9" s="126" t="s">
        <v>14</v>
      </c>
      <c r="L9" s="129" t="s">
        <v>15</v>
      </c>
      <c r="U9" s="130" t="s">
        <v>16</v>
      </c>
      <c r="V9" s="131" t="s">
        <v>260</v>
      </c>
      <c r="W9" s="130" t="s">
        <v>261</v>
      </c>
      <c r="X9" s="131" t="s">
        <v>262</v>
      </c>
    </row>
    <row r="10" customFormat="false" ht="13.5" hidden="false" customHeight="false" outlineLevel="0" collapsed="false">
      <c r="C10" s="42" t="s">
        <v>263</v>
      </c>
      <c r="D10" s="43"/>
      <c r="E10" s="44" t="n">
        <f aca="false">SUM(E11:E12)</f>
        <v>532321516164</v>
      </c>
      <c r="F10" s="44" t="n">
        <f aca="false">SUM(F11:F12)</f>
        <v>532321516164</v>
      </c>
      <c r="G10" s="44" t="n">
        <f aca="false">F10*12/9</f>
        <v>709762021552</v>
      </c>
      <c r="H10" s="44" t="n">
        <f aca="false">SUM(H11:H12)</f>
        <v>645754460671</v>
      </c>
      <c r="I10" s="44" t="n">
        <f aca="false">G10-H10</f>
        <v>64007560881</v>
      </c>
      <c r="J10" s="45" t="n">
        <f aca="false">IFERROR(I10/H10,IF(I10&gt;0,100%,IF(I10=0,0,-100%)))</f>
        <v>0.0991205865066578</v>
      </c>
      <c r="K10" s="46"/>
      <c r="L10" s="47"/>
      <c r="M10" s="132"/>
      <c r="N10" s="133" t="n">
        <f aca="false">+F10/H10-1</f>
        <v>-0.175659560120007</v>
      </c>
      <c r="O10" s="5"/>
      <c r="U10" s="50" t="n">
        <f aca="false">SUM(U11:U12)</f>
        <v>532321516164</v>
      </c>
      <c r="V10" s="50" t="n">
        <f aca="false">E10-U10</f>
        <v>0</v>
      </c>
      <c r="W10" s="50" t="n">
        <f aca="false">SUM(W11:W12)</f>
        <v>532321516164</v>
      </c>
      <c r="X10" s="50" t="n">
        <f aca="false">F10-W10</f>
        <v>0</v>
      </c>
    </row>
    <row r="11" customFormat="false" ht="220.5" hidden="false" customHeight="true" outlineLevel="0" collapsed="false">
      <c r="C11" s="52" t="s">
        <v>26</v>
      </c>
      <c r="D11" s="63" t="s">
        <v>264</v>
      </c>
      <c r="E11" s="82" t="n">
        <f aca="false">SUMIF(FS_map!$H:$H,$D11,FS_map!$M:$M)*-1</f>
        <v>532321516164</v>
      </c>
      <c r="F11" s="82" t="n">
        <f aca="false">SUMIF(FS_map!$H:$H,$D11,FS_map!$P:$P)*-1</f>
        <v>532321516164</v>
      </c>
      <c r="G11" s="82" t="n">
        <f aca="false">F11*12/9</f>
        <v>709762021552</v>
      </c>
      <c r="H11" s="82" t="n">
        <f aca="false">SUMIF(WPL_2025YE!$D:$D,$D11,WPL_2025YE!$AI:$AI)</f>
        <v>645754460671</v>
      </c>
      <c r="I11" s="54" t="n">
        <f aca="false">G11-H11</f>
        <v>64007560881</v>
      </c>
      <c r="J11" s="55" t="n">
        <f aca="false">IFERROR(I11/H11,IF(I11&gt;0,100%,IF(I11=0,0,-100%)))</f>
        <v>0.0991205865066578</v>
      </c>
      <c r="K11" s="56" t="str">
        <f aca="false">IF(AND(ABS(I11)&gt;$K$5,ABS(J11)&gt;5%),"O","")</f>
        <v>O</v>
      </c>
      <c r="L11" s="134" t="s">
        <v>265</v>
      </c>
      <c r="M11" s="114" t="n">
        <f aca="false">E11-F11</f>
        <v>0</v>
      </c>
      <c r="N11" s="133" t="n">
        <f aca="false">+F11/H11-1</f>
        <v>-0.175659560120007</v>
      </c>
      <c r="U11" s="50" t="n">
        <f aca="false">SUMIF('PL_DEC.2026'!$D:$D,$D11,'PL_DEC.2026'!$E:$E)</f>
        <v>532321516164</v>
      </c>
      <c r="V11" s="50" t="n">
        <f aca="false">E11-U11</f>
        <v>0</v>
      </c>
      <c r="W11" s="50" t="n">
        <f aca="false">SUMIF('PL_DEC.2026'!$D:$D,$D11,'PL_DEC.2026'!$L:$L)</f>
        <v>532321516164</v>
      </c>
      <c r="X11" s="50" t="n">
        <f aca="false">F11-W11</f>
        <v>0</v>
      </c>
    </row>
    <row r="12" customFormat="false" ht="13.5" hidden="false" customHeight="false" outlineLevel="0" collapsed="false">
      <c r="C12" s="52" t="s">
        <v>30</v>
      </c>
      <c r="D12" s="63" t="s">
        <v>266</v>
      </c>
      <c r="E12" s="82" t="n">
        <f aca="false">SUMIF(FS_map!$H:$H,$D12,FS_map!$M:$M)*-1</f>
        <v>-0</v>
      </c>
      <c r="F12" s="82" t="n">
        <f aca="false">SUMIF(FS_map!$H:$H,$D12,FS_map!$P:$P)*-1</f>
        <v>-0</v>
      </c>
      <c r="G12" s="82" t="n">
        <f aca="false">F12*12/9</f>
        <v>-0</v>
      </c>
      <c r="H12" s="82" t="n">
        <f aca="false">SUMIF(WPL_2025YE!$D:$D,$D12,WPL_2025YE!$AI:$AI)</f>
        <v>0</v>
      </c>
      <c r="I12" s="82" t="n">
        <f aca="false">G12-H12</f>
        <v>-0</v>
      </c>
      <c r="J12" s="83" t="n">
        <f aca="false">IFERROR(I12/H12,IF(I12&gt;0,100%,IF(I12=0,0,-100%)))</f>
        <v>0</v>
      </c>
      <c r="K12" s="56" t="str">
        <f aca="false">IF(AND(ABS(I12)&gt;$K$5,ABS(J12)&gt;5%),"O","")</f>
        <v/>
      </c>
      <c r="L12" s="60"/>
      <c r="M12" s="114" t="n">
        <f aca="false">E12-F12</f>
        <v>0</v>
      </c>
      <c r="N12" s="133"/>
      <c r="U12" s="50" t="n">
        <f aca="false">SUMIF('PL_DEC.2026'!$D:$D,$D12,'PL_DEC.2026'!$E:$E)</f>
        <v>0</v>
      </c>
      <c r="V12" s="50" t="n">
        <f aca="false">E12-U12</f>
        <v>-0</v>
      </c>
      <c r="W12" s="50" t="n">
        <f aca="false">SUMIF('PL_DEC.2026'!$D:$D,$D12,'PL_DEC.2026'!$L:$L)</f>
        <v>0</v>
      </c>
      <c r="X12" s="50" t="n">
        <f aca="false">F12-W12</f>
        <v>-0</v>
      </c>
    </row>
    <row r="13" customFormat="false" ht="13.5" hidden="false" customHeight="false" outlineLevel="0" collapsed="false">
      <c r="C13" s="42" t="s">
        <v>267</v>
      </c>
      <c r="D13" s="43"/>
      <c r="E13" s="44" t="n">
        <f aca="false">+E14+E23+E31</f>
        <v>401363779478</v>
      </c>
      <c r="F13" s="44" t="n">
        <f aca="false">+F14+F23+F31</f>
        <v>401363779478</v>
      </c>
      <c r="G13" s="44" t="n">
        <f aca="false">G14</f>
        <v>542995529309</v>
      </c>
      <c r="H13" s="44" t="n">
        <f aca="false">+H14+H23+H31</f>
        <v>501702262547</v>
      </c>
      <c r="I13" s="44" t="n">
        <f aca="false">G13-H13</f>
        <v>41293266762</v>
      </c>
      <c r="J13" s="45" t="n">
        <f aca="false">IFERROR(I13/H13,IF(I13&gt;0,100%,IF(I13=0,0,-100%)))</f>
        <v>0.082306319593549</v>
      </c>
      <c r="K13" s="46"/>
      <c r="L13" s="47"/>
      <c r="M13" s="114" t="n">
        <f aca="false">E13-F13</f>
        <v>0</v>
      </c>
      <c r="N13" s="135" t="n">
        <f aca="false">+F13/F10</f>
        <v>0.753987519366672</v>
      </c>
      <c r="O13" s="135" t="n">
        <f aca="false">+H13/H10</f>
        <v>0.776924191937728</v>
      </c>
      <c r="U13" s="50" t="n">
        <f aca="false">+U14+U23+U31</f>
        <v>401363779478</v>
      </c>
      <c r="V13" s="50" t="n">
        <f aca="false">E13-U13</f>
        <v>0</v>
      </c>
      <c r="W13" s="50" t="n">
        <f aca="false">+W14+W23+W31</f>
        <v>401771822503</v>
      </c>
      <c r="X13" s="50" t="n">
        <f aca="false">F13-W13</f>
        <v>-408043025</v>
      </c>
    </row>
    <row r="14" customFormat="false" ht="117" hidden="false" customHeight="true" outlineLevel="0" collapsed="false">
      <c r="C14" s="52" t="s">
        <v>268</v>
      </c>
      <c r="D14" s="63" t="s">
        <v>269</v>
      </c>
      <c r="E14" s="136" t="n">
        <f aca="false">SUMIF(FS_map!$H:$H,$D14,FS_map!$M:$M)</f>
        <v>401363779478</v>
      </c>
      <c r="F14" s="136" t="n">
        <f aca="false">SUMIF(FS_map!$H:$H,$D14,FS_map!$P:$P)</f>
        <v>401363779478</v>
      </c>
      <c r="G14" s="136" t="n">
        <f aca="false">SUM(G20:G22)</f>
        <v>542995529309</v>
      </c>
      <c r="H14" s="136" t="n">
        <f aca="false">SUMIF(WPL_2025YE!$D:$D,$D14,WPL_2025YE!$AI:$AI)</f>
        <v>501702262547</v>
      </c>
      <c r="I14" s="136" t="n">
        <f aca="false">G14-H14</f>
        <v>41293266762</v>
      </c>
      <c r="J14" s="137" t="n">
        <f aca="false">IFERROR(I14/H14,IF(I14&gt;0,100%,IF(I14=0,0,-100%)))</f>
        <v>0.082306319593549</v>
      </c>
      <c r="K14" s="138" t="str">
        <f aca="false">IF(AND(ABS(I14)&gt;$K$5,ABS(J14)&gt;5%),"O","")</f>
        <v>O</v>
      </c>
      <c r="L14" s="94" t="s">
        <v>270</v>
      </c>
      <c r="M14" s="114" t="n">
        <f aca="false">E14-F14</f>
        <v>0</v>
      </c>
      <c r="N14" s="104" t="n">
        <f aca="false">+F14-R22-SUMIF(FS_map!$D:$D,"86000800",FS_map!$P:$P)</f>
        <v>0</v>
      </c>
      <c r="O14" s="1" t="s">
        <v>271</v>
      </c>
      <c r="U14" s="50" t="n">
        <f aca="false">SUMIF('PL_DEC.2026'!$D:$D,$D14,'PL_DEC.2026'!$E:$E)</f>
        <v>401363779478</v>
      </c>
      <c r="V14" s="50" t="n">
        <f aca="false">E14-U14</f>
        <v>0</v>
      </c>
      <c r="W14" s="50" t="n">
        <f aca="false">SUMIF('PL_DEC.2026'!$D:$D,$D14,'PL_DEC.2026'!$L:$L)</f>
        <v>401771822503</v>
      </c>
      <c r="X14" s="50" t="n">
        <f aca="false">F14-W14</f>
        <v>-408043025</v>
      </c>
    </row>
    <row r="15" customFormat="false" ht="13.5" hidden="false" customHeight="false" outlineLevel="0" collapsed="false">
      <c r="C15" s="52" t="s">
        <v>26</v>
      </c>
      <c r="D15" s="63" t="s">
        <v>272</v>
      </c>
      <c r="E15" s="82" t="n">
        <f aca="false">R17</f>
        <v>155744141506</v>
      </c>
      <c r="F15" s="82" t="n">
        <f aca="false">R17</f>
        <v>155744141506</v>
      </c>
      <c r="G15" s="82" t="n">
        <f aca="false">F15</f>
        <v>155744141506</v>
      </c>
      <c r="H15" s="82" t="n">
        <f aca="false">SUMIF(WPL_2025YE!$D:$D,$D15,WPL_2025YE!$AI:$AI)</f>
        <v>160701424589</v>
      </c>
      <c r="I15" s="82" t="n">
        <f aca="false">G15-H15</f>
        <v>-4957283083</v>
      </c>
      <c r="J15" s="83" t="n">
        <f aca="false">IFERROR(I15/H15,IF(I15&gt;0,100%,IF(I15=0,0,-100%)))</f>
        <v>-0.0308477855481272</v>
      </c>
      <c r="K15" s="56"/>
      <c r="L15" s="60"/>
      <c r="M15" s="114" t="n">
        <f aca="false">E15-F15</f>
        <v>0</v>
      </c>
      <c r="Q15" s="22" t="s">
        <v>273</v>
      </c>
      <c r="R15" s="22"/>
      <c r="T15" s="104"/>
      <c r="U15" s="50" t="n">
        <f aca="false">W15</f>
        <v>155744141506</v>
      </c>
      <c r="V15" s="50" t="n">
        <f aca="false">E15-U15</f>
        <v>0</v>
      </c>
      <c r="W15" s="50" t="n">
        <f aca="false">SUMIF('PL_DEC.2026'!$D:$D,$D15,'PL_DEC.2026'!$L:$L)</f>
        <v>155744141506</v>
      </c>
      <c r="X15" s="50" t="n">
        <f aca="false">F15-W15</f>
        <v>0</v>
      </c>
    </row>
    <row r="16" customFormat="false" ht="13.5" hidden="false" customHeight="false" outlineLevel="0" collapsed="false">
      <c r="C16" s="52"/>
      <c r="D16" s="63" t="s">
        <v>274</v>
      </c>
      <c r="E16" s="82" t="n">
        <f aca="false">SUMIF(FS_map!$H:$H,$D16,FS_map!$M:$M)</f>
        <v>0</v>
      </c>
      <c r="F16" s="82" t="n">
        <f aca="false">SUMIF(FS_map!$H:$H,$D16,FS_map!$P:$P)</f>
        <v>0</v>
      </c>
      <c r="G16" s="82" t="n">
        <f aca="false">F16*12/9</f>
        <v>0</v>
      </c>
      <c r="H16" s="82" t="n">
        <f aca="false">SUMIF(WPL_2025YE!$D:$D,$D16,WPL_2025YE!$AI:$AI)</f>
        <v>0</v>
      </c>
      <c r="I16" s="82" t="n">
        <f aca="false">G16-H16</f>
        <v>0</v>
      </c>
      <c r="J16" s="83" t="n">
        <f aca="false">IFERROR(I16/H16,IF(I16&gt;0,100%,IF(I16=0,0,-100%)))</f>
        <v>0</v>
      </c>
      <c r="K16" s="56" t="str">
        <f aca="false">IF(AND(ABS(I16)&gt;$K$5,ABS(J16)&gt;5%),"O","")</f>
        <v/>
      </c>
      <c r="L16" s="60"/>
      <c r="M16" s="114" t="n">
        <f aca="false">E16-F16</f>
        <v>0</v>
      </c>
      <c r="Q16" s="139" t="s">
        <v>275</v>
      </c>
      <c r="R16" s="140" t="s">
        <v>276</v>
      </c>
      <c r="T16" s="104"/>
      <c r="U16" s="50" t="n">
        <f aca="false">SUMIF('PL_DEC.2026'!$D:$D,$D16,'PL_DEC.2026'!$E:$E)</f>
        <v>0</v>
      </c>
      <c r="V16" s="50" t="n">
        <f aca="false">E16-U16</f>
        <v>0</v>
      </c>
      <c r="W16" s="50" t="n">
        <f aca="false">SUMIF('PL_DEC.2026'!$D:$D,$D16,'PL_DEC.2026'!$L:$L)</f>
        <v>0</v>
      </c>
      <c r="X16" s="50" t="n">
        <f aca="false">F16-W16</f>
        <v>0</v>
      </c>
    </row>
    <row r="17" customFormat="false" ht="78" hidden="false" customHeight="true" outlineLevel="0" collapsed="false">
      <c r="C17" s="52" t="s">
        <v>30</v>
      </c>
      <c r="D17" s="63" t="s">
        <v>277</v>
      </c>
      <c r="E17" s="82" t="n">
        <f aca="false">$R$18</f>
        <v>423703487976</v>
      </c>
      <c r="F17" s="82" t="n">
        <f aca="false">$R$18</f>
        <v>423703487976</v>
      </c>
      <c r="G17" s="82" t="n">
        <f aca="false">F17*12/9</f>
        <v>564937983968</v>
      </c>
      <c r="H17" s="82" t="n">
        <f aca="false">SUMIF(WPL_2025YE!$D:$D,$D17,WPL_2025YE!$AI:$AI)</f>
        <v>497042768857</v>
      </c>
      <c r="I17" s="82" t="n">
        <f aca="false">G17-H17</f>
        <v>67895215111</v>
      </c>
      <c r="J17" s="83" t="n">
        <f aca="false">IFERROR(I17/H17,IF(I17&gt;0,100%,IF(I17=0,0,-100%)))</f>
        <v>0.136598335928178</v>
      </c>
      <c r="K17" s="56" t="str">
        <f aca="false">IF(AND(ABS(I17)&gt;$K$5,ABS(J17)&gt;5%),"O","")</f>
        <v>O</v>
      </c>
      <c r="L17" s="134" t="s">
        <v>278</v>
      </c>
      <c r="M17" s="114" t="n">
        <f aca="false">E17-F17</f>
        <v>0</v>
      </c>
      <c r="N17" s="141"/>
      <c r="Q17" s="142" t="s">
        <v>279</v>
      </c>
      <c r="R17" s="143" t="n">
        <f aca="false">H22*-1</f>
        <v>155744141506</v>
      </c>
      <c r="S17" s="104"/>
      <c r="T17" s="104"/>
      <c r="U17" s="50" t="n">
        <f aca="false">W17</f>
        <v>423703488001</v>
      </c>
      <c r="V17" s="50" t="n">
        <f aca="false">E17-U17</f>
        <v>-25</v>
      </c>
      <c r="W17" s="50" t="n">
        <f aca="false">SUMIF('PL_DEC.2026'!$D:$D,$D17,'PL_DEC.2026'!$L:$L)</f>
        <v>423703488001</v>
      </c>
      <c r="X17" s="50" t="n">
        <f aca="false">F17-W17</f>
        <v>-25</v>
      </c>
    </row>
    <row r="18" customFormat="false" ht="13.5" hidden="false" customHeight="false" outlineLevel="0" collapsed="false">
      <c r="C18" s="52"/>
      <c r="D18" s="63" t="s">
        <v>280</v>
      </c>
      <c r="E18" s="82" t="n">
        <f aca="false">SUMIF(FS_map!$H:$H,$D18,FS_map!$M:$M)</f>
        <v>0</v>
      </c>
      <c r="F18" s="82" t="n">
        <f aca="false">SUMIF(FS_map!$H:$H,$D18,FS_map!$P:$P)</f>
        <v>0</v>
      </c>
      <c r="G18" s="82" t="n">
        <f aca="false">F18*12/9</f>
        <v>0</v>
      </c>
      <c r="H18" s="82" t="n">
        <f aca="false">SUMIF(WPL_2025YE!$D:$D,$D18,WPL_2025YE!$AI:$AI)</f>
        <v>0</v>
      </c>
      <c r="I18" s="82" t="n">
        <f aca="false">G18-H18</f>
        <v>0</v>
      </c>
      <c r="J18" s="83" t="n">
        <f aca="false">IFERROR(I18/H18,IF(I18&gt;0,100%,IF(I18=0,0,-100%)))</f>
        <v>0</v>
      </c>
      <c r="K18" s="56" t="str">
        <f aca="false">IF(AND(ABS(I18)&gt;$K$5,ABS(J18)&gt;5%),"O","")</f>
        <v/>
      </c>
      <c r="L18" s="60"/>
      <c r="M18" s="114" t="n">
        <f aca="false">E18-F18</f>
        <v>0</v>
      </c>
      <c r="N18" s="144" t="n">
        <f aca="false">(+F15+F17+F21+F22)-F14</f>
        <v>408043000</v>
      </c>
      <c r="Q18" s="142" t="s">
        <v>281</v>
      </c>
      <c r="R18" s="145" t="n">
        <f aca="false">+R19+R20</f>
        <v>423703487976</v>
      </c>
      <c r="S18" s="104"/>
      <c r="T18" s="104"/>
      <c r="U18" s="50" t="n">
        <f aca="false">SUMIF('PL_DEC.2026'!$D:$D,$D18,'PL_DEC.2026'!$E:$E)</f>
        <v>0</v>
      </c>
      <c r="V18" s="50" t="n">
        <f aca="false">E18-U18</f>
        <v>0</v>
      </c>
      <c r="W18" s="50" t="n">
        <f aca="false">SUMIF('PL_DEC.2026'!$D:$D,$D18,'PL_DEC.2026'!$L:$L)</f>
        <v>0</v>
      </c>
      <c r="X18" s="50" t="n">
        <f aca="false">F18-W18</f>
        <v>0</v>
      </c>
    </row>
    <row r="19" customFormat="false" ht="13.5" hidden="false" customHeight="false" outlineLevel="0" collapsed="false">
      <c r="C19" s="52" t="s">
        <v>34</v>
      </c>
      <c r="D19" s="63" t="s">
        <v>282</v>
      </c>
      <c r="E19" s="82" t="n">
        <f aca="false">SUMIF(FS_map!$H:$H,$D19,FS_map!$M:$M)</f>
        <v>0</v>
      </c>
      <c r="F19" s="82" t="n">
        <f aca="false">SUMIF(FS_map!$H:$H,$D19,FS_map!$P:$P)</f>
        <v>0</v>
      </c>
      <c r="G19" s="82" t="n">
        <f aca="false">F19*12/9</f>
        <v>0</v>
      </c>
      <c r="H19" s="82" t="n">
        <f aca="false">SUMIF(WPL_2025YE!$D:$D,$D19,WPL_2025YE!$AI:$AI)</f>
        <v>0</v>
      </c>
      <c r="I19" s="82" t="n">
        <f aca="false">G19-H19</f>
        <v>0</v>
      </c>
      <c r="J19" s="83" t="n">
        <f aca="false">IFERROR(I19/H19,IF(I19&gt;0,100%,IF(I19=0,0,-100%)))</f>
        <v>0</v>
      </c>
      <c r="K19" s="56" t="str">
        <f aca="false">IF(AND(ABS(I19)&gt;$K$5,ABS(J19)&gt;5%),"O","")</f>
        <v/>
      </c>
      <c r="L19" s="60"/>
      <c r="M19" s="114" t="n">
        <f aca="false">E19-F19</f>
        <v>0</v>
      </c>
      <c r="Q19" s="146" t="s">
        <v>283</v>
      </c>
      <c r="R19" s="147" t="n">
        <f aca="false">'PL_DEC.2026'!R5</f>
        <v>424753563203</v>
      </c>
      <c r="S19" s="1" t="s">
        <v>284</v>
      </c>
      <c r="T19" s="104"/>
      <c r="U19" s="50" t="n">
        <f aca="false">SUMIF('PL_DEC.2026'!$D:$D,$D19,'PL_DEC.2026'!$E:$E)</f>
        <v>0</v>
      </c>
      <c r="V19" s="50" t="n">
        <f aca="false">E19-U19</f>
        <v>0</v>
      </c>
      <c r="W19" s="50" t="n">
        <f aca="false">SUMIF('PL_DEC.2026'!$D:$D,$D19,'PL_DEC.2026'!$L:$L)</f>
        <v>0</v>
      </c>
      <c r="X19" s="50" t="n">
        <f aca="false">F19-W19</f>
        <v>0</v>
      </c>
    </row>
    <row r="20" customFormat="false" ht="13.5" hidden="false" customHeight="false" outlineLevel="0" collapsed="false">
      <c r="C20" s="42"/>
      <c r="D20" s="63" t="s">
        <v>285</v>
      </c>
      <c r="E20" s="148" t="n">
        <f aca="false">SUM(E15:E19)</f>
        <v>579447629482</v>
      </c>
      <c r="F20" s="148" t="n">
        <f aca="false">SUM(F15:F19)</f>
        <v>579447629482</v>
      </c>
      <c r="G20" s="148" t="n">
        <f aca="false">SUM(G15:G19)</f>
        <v>720682125474</v>
      </c>
      <c r="H20" s="148" t="n">
        <f aca="false">SUM(H15:H19)</f>
        <v>657744193446</v>
      </c>
      <c r="I20" s="148" t="n">
        <f aca="false">G20-H20</f>
        <v>62937932028</v>
      </c>
      <c r="J20" s="149" t="n">
        <f aca="false">IFERROR(I20/H20,IF(I20&gt;0,100%,IF(I20=0,0,-100%)))</f>
        <v>0.0956875524788151</v>
      </c>
      <c r="K20" s="150"/>
      <c r="L20" s="151"/>
      <c r="M20" s="114" t="n">
        <f aca="false">E20-F20</f>
        <v>0</v>
      </c>
      <c r="N20" s="141"/>
      <c r="O20" s="141"/>
      <c r="Q20" s="146" t="s">
        <v>286</v>
      </c>
      <c r="R20" s="147" t="n">
        <f aca="false">'PL_DEC.2026'!R6</f>
        <v>-1050075227</v>
      </c>
      <c r="S20" s="1" t="s">
        <v>287</v>
      </c>
      <c r="T20" s="104"/>
      <c r="U20" s="50" t="n">
        <f aca="false">SUM(U15:U19)</f>
        <v>579447629507</v>
      </c>
      <c r="V20" s="50" t="n">
        <f aca="false">E20-U20</f>
        <v>-25</v>
      </c>
      <c r="W20" s="50" t="n">
        <f aca="false">SUM(W15:W19)</f>
        <v>579447629507</v>
      </c>
      <c r="X20" s="50" t="n">
        <f aca="false">F20-W20</f>
        <v>-25</v>
      </c>
    </row>
    <row r="21" customFormat="false" ht="15" hidden="false" customHeight="true" outlineLevel="0" collapsed="false">
      <c r="C21" s="52" t="s">
        <v>34</v>
      </c>
      <c r="D21" s="63" t="s">
        <v>288</v>
      </c>
      <c r="E21" s="82" t="n">
        <f aca="false">R23*-1</f>
        <v>-32367483</v>
      </c>
      <c r="F21" s="82" t="n">
        <f aca="false">R23*-1</f>
        <v>-32367483</v>
      </c>
      <c r="G21" s="82" t="n">
        <f aca="false">F21*12/9</f>
        <v>-43156644</v>
      </c>
      <c r="H21" s="82" t="n">
        <f aca="false">SUMIF(WPL_2025YE!$D:$D,$D21,WPL_2025YE!$AI:$AI)</f>
        <v>-297789393</v>
      </c>
      <c r="I21" s="82" t="n">
        <f aca="false">G21-H21</f>
        <v>254632749</v>
      </c>
      <c r="J21" s="83" t="n">
        <f aca="false">IFERROR(I21/H21,IF(I21&gt;0,100%,IF(I21=0,0,-100%)))</f>
        <v>-0.855076624572723</v>
      </c>
      <c r="K21" s="56" t="str">
        <f aca="false">IF(AND(ABS(I21)&gt;$K$5,ABS(J21)&gt;5%),"O","")</f>
        <v/>
      </c>
      <c r="L21" s="57" t="s">
        <v>289</v>
      </c>
      <c r="M21" s="114" t="n">
        <f aca="false">E21-F21</f>
        <v>0</v>
      </c>
      <c r="Q21" s="142" t="s">
        <v>290</v>
      </c>
      <c r="R21" s="145" t="n">
        <f aca="false">+R22+R23</f>
        <v>401804189961</v>
      </c>
      <c r="T21" s="104"/>
      <c r="U21" s="50" t="n">
        <f aca="false">W21</f>
        <v>-32367483</v>
      </c>
      <c r="V21" s="50" t="n">
        <f aca="false">E21-U21</f>
        <v>0</v>
      </c>
      <c r="W21" s="50" t="n">
        <f aca="false">SUMIF('PL_DEC.2026'!$D:$D,$D21,'PL_DEC.2026'!$L:$L)</f>
        <v>-32367483</v>
      </c>
      <c r="X21" s="50" t="n">
        <f aca="false">F21-W21</f>
        <v>0</v>
      </c>
    </row>
    <row r="22" customFormat="false" ht="15" hidden="false" customHeight="true" outlineLevel="0" collapsed="false">
      <c r="C22" s="52" t="s">
        <v>38</v>
      </c>
      <c r="D22" s="63" t="s">
        <v>291</v>
      </c>
      <c r="E22" s="82" t="n">
        <f aca="false">SUM(BS_KO!E28:E29)*-1</f>
        <v>-177643439521</v>
      </c>
      <c r="F22" s="82" t="n">
        <f aca="false">SUM(BS_KO!F28:F29)*-1</f>
        <v>-177643439521</v>
      </c>
      <c r="G22" s="82" t="n">
        <f aca="false">F22</f>
        <v>-177643439521</v>
      </c>
      <c r="H22" s="82" t="n">
        <f aca="false">SUMIF(WPL_2025YE!$D:$D,$D22,WPL_2025YE!$AI:$AI)</f>
        <v>-155744141506</v>
      </c>
      <c r="I22" s="82" t="n">
        <f aca="false">G22-H22</f>
        <v>-21899298015</v>
      </c>
      <c r="J22" s="83" t="n">
        <f aca="false">IFERROR(I22/H22,IF(I22&gt;0,100%,IF(I22=0,0,-100%)))</f>
        <v>0.140610733753708</v>
      </c>
      <c r="K22" s="56"/>
      <c r="L22" s="57" t="s">
        <v>292</v>
      </c>
      <c r="M22" s="114" t="n">
        <f aca="false">E22-F22</f>
        <v>0</v>
      </c>
      <c r="N22" s="152" t="n">
        <f aca="false">+F22=-(BS_KO!F28+BS_KO!F29)</f>
        <v>1</v>
      </c>
      <c r="O22" s="104"/>
      <c r="Q22" s="153" t="s">
        <v>293</v>
      </c>
      <c r="R22" s="154" t="n">
        <f aca="false">'PL_DEC.2026'!R8</f>
        <v>401771822478</v>
      </c>
      <c r="S22" s="1" t="s">
        <v>294</v>
      </c>
      <c r="T22" s="104"/>
      <c r="U22" s="50" t="n">
        <f aca="false">W22</f>
        <v>-177643439521</v>
      </c>
      <c r="V22" s="50" t="n">
        <f aca="false">E22-U22</f>
        <v>0</v>
      </c>
      <c r="W22" s="50" t="n">
        <f aca="false">SUMIF('PL_DEC.2026'!$D:$D,$D22,'PL_DEC.2026'!$L:$L)</f>
        <v>-177643439521</v>
      </c>
      <c r="X22" s="50" t="n">
        <f aca="false">F22-W22</f>
        <v>0</v>
      </c>
    </row>
    <row r="23" customFormat="false" ht="13.5" hidden="false" customHeight="false" outlineLevel="0" collapsed="false">
      <c r="C23" s="52" t="s">
        <v>295</v>
      </c>
      <c r="D23" s="43"/>
      <c r="E23" s="148" t="n">
        <f aca="false">SUMIF(FS_map!$H:$H,"제품매출원가",FS_map!$M:$M)</f>
        <v>0</v>
      </c>
      <c r="F23" s="148"/>
      <c r="G23" s="148" t="n">
        <f aca="false">F23*12/9</f>
        <v>0</v>
      </c>
      <c r="H23" s="148" t="n">
        <f aca="false">SUMIF(WPL_2025YE!$D:$D,"제품매출원가",WPL_2025YE!$AI:$AI)</f>
        <v>0</v>
      </c>
      <c r="I23" s="148" t="n">
        <f aca="false">G23-H23</f>
        <v>0</v>
      </c>
      <c r="J23" s="149" t="n">
        <f aca="false">IFERROR(I23/H23,IF(I23&gt;0,100%,IF(I23=0,0,-100%)))</f>
        <v>0</v>
      </c>
      <c r="K23" s="150" t="str">
        <f aca="false">IF(AND(ABS(I23)&gt;$K$5,ABS(J23)&gt;5%),"O","")</f>
        <v/>
      </c>
      <c r="L23" s="151"/>
      <c r="M23" s="114" t="n">
        <f aca="false">E23-F23</f>
        <v>0</v>
      </c>
      <c r="O23" s="104"/>
      <c r="Q23" s="146" t="s">
        <v>296</v>
      </c>
      <c r="R23" s="147" t="n">
        <f aca="false">'PL_DEC.2026'!R9</f>
        <v>32367483</v>
      </c>
      <c r="S23" s="1" t="s">
        <v>297</v>
      </c>
      <c r="T23" s="104"/>
      <c r="U23" s="50" t="n">
        <f aca="false">0</f>
        <v>0</v>
      </c>
      <c r="V23" s="50" t="n">
        <f aca="false">E23-U23</f>
        <v>0</v>
      </c>
      <c r="W23" s="50" t="n">
        <f aca="false">0</f>
        <v>0</v>
      </c>
      <c r="X23" s="50" t="n">
        <f aca="false">F23-W23</f>
        <v>0</v>
      </c>
    </row>
    <row r="24" customFormat="false" ht="13.5" hidden="false" customHeight="false" outlineLevel="0" collapsed="false">
      <c r="C24" s="52" t="s">
        <v>26</v>
      </c>
      <c r="D24" s="63" t="s">
        <v>298</v>
      </c>
      <c r="E24" s="82"/>
      <c r="F24" s="82"/>
      <c r="G24" s="82" t="n">
        <f aca="false">F24*12/9</f>
        <v>0</v>
      </c>
      <c r="H24" s="82"/>
      <c r="I24" s="82" t="n">
        <f aca="false">G24-H24</f>
        <v>0</v>
      </c>
      <c r="J24" s="83" t="n">
        <f aca="false">IFERROR(I24/H24,IF(I24&gt;0,100%,IF(I24=0,0,-100%)))</f>
        <v>0</v>
      </c>
      <c r="K24" s="56" t="str">
        <f aca="false">IF(AND(ABS(I24)&gt;$K$5,ABS(J24)&gt;5%),"O","")</f>
        <v/>
      </c>
      <c r="L24" s="60"/>
      <c r="M24" s="114" t="n">
        <f aca="false">E24-F24</f>
        <v>0</v>
      </c>
      <c r="O24" s="104"/>
      <c r="Q24" s="142" t="s">
        <v>299</v>
      </c>
      <c r="R24" s="155" t="n">
        <f aca="false">R17+R18-R21</f>
        <v>177643439521</v>
      </c>
      <c r="T24" s="104"/>
      <c r="U24" s="156"/>
      <c r="V24" s="41"/>
      <c r="W24" s="41"/>
      <c r="X24" s="41"/>
    </row>
    <row r="25" customFormat="false" ht="13.5" hidden="false" customHeight="false" outlineLevel="0" collapsed="false">
      <c r="C25" s="52"/>
      <c r="D25" s="63" t="s">
        <v>274</v>
      </c>
      <c r="E25" s="82"/>
      <c r="F25" s="82"/>
      <c r="G25" s="82" t="n">
        <f aca="false">F25*12/9</f>
        <v>0</v>
      </c>
      <c r="H25" s="82"/>
      <c r="I25" s="82" t="n">
        <f aca="false">G25-H25</f>
        <v>0</v>
      </c>
      <c r="J25" s="83" t="n">
        <f aca="false">IFERROR(I25/H25,IF(I25&gt;0,100%,IF(I25=0,0,-100%)))</f>
        <v>0</v>
      </c>
      <c r="K25" s="56" t="str">
        <f aca="false">IF(AND(ABS(I25)&gt;$K$5,ABS(J25)&gt;5%),"O","")</f>
        <v/>
      </c>
      <c r="L25" s="60"/>
      <c r="M25" s="114" t="n">
        <f aca="false">E25-F25</f>
        <v>0</v>
      </c>
      <c r="R25" s="141"/>
      <c r="U25" s="41"/>
      <c r="V25" s="41"/>
      <c r="W25" s="41"/>
      <c r="X25" s="41"/>
    </row>
    <row r="26" customFormat="false" ht="13.5" hidden="false" customHeight="false" outlineLevel="0" collapsed="false">
      <c r="C26" s="52" t="s">
        <v>30</v>
      </c>
      <c r="D26" s="63" t="s">
        <v>300</v>
      </c>
      <c r="E26" s="82"/>
      <c r="F26" s="82"/>
      <c r="G26" s="82" t="n">
        <f aca="false">F26*12/9</f>
        <v>0</v>
      </c>
      <c r="H26" s="82"/>
      <c r="I26" s="82" t="n">
        <f aca="false">G26-H26</f>
        <v>0</v>
      </c>
      <c r="J26" s="83" t="n">
        <f aca="false">IFERROR(I26/H26,IF(I26&gt;0,100%,IF(I26=0,0,-100%)))</f>
        <v>0</v>
      </c>
      <c r="K26" s="56" t="str">
        <f aca="false">IF(AND(ABS(I26)&gt;$K$5,ABS(J26)&gt;5%),"O","")</f>
        <v/>
      </c>
      <c r="L26" s="60"/>
      <c r="M26" s="114" t="n">
        <f aca="false">E26-F26</f>
        <v>0</v>
      </c>
      <c r="R26" s="141"/>
      <c r="U26" s="41"/>
      <c r="V26" s="41"/>
      <c r="W26" s="41"/>
      <c r="X26" s="41"/>
    </row>
    <row r="27" customFormat="false" ht="13.5" hidden="false" customHeight="false" outlineLevel="0" collapsed="false">
      <c r="C27" s="52" t="s">
        <v>34</v>
      </c>
      <c r="D27" s="63" t="s">
        <v>301</v>
      </c>
      <c r="E27" s="82"/>
      <c r="F27" s="82"/>
      <c r="G27" s="82" t="n">
        <f aca="false">F27*12/9</f>
        <v>0</v>
      </c>
      <c r="H27" s="82"/>
      <c r="I27" s="82" t="n">
        <f aca="false">G27-H27</f>
        <v>0</v>
      </c>
      <c r="J27" s="83" t="n">
        <f aca="false">IFERROR(I27/H27,IF(I27&gt;0,100%,IF(I27=0,0,-100%)))</f>
        <v>0</v>
      </c>
      <c r="K27" s="56" t="str">
        <f aca="false">IF(AND(ABS(I27)&gt;$K$5,ABS(J27)&gt;5%),"O","")</f>
        <v/>
      </c>
      <c r="L27" s="60"/>
      <c r="M27" s="114" t="n">
        <f aca="false">E27-F27</f>
        <v>0</v>
      </c>
      <c r="Q27" s="2"/>
      <c r="R27" s="104"/>
      <c r="U27" s="41"/>
      <c r="V27" s="41"/>
      <c r="W27" s="41"/>
      <c r="X27" s="41"/>
    </row>
    <row r="28" customFormat="false" ht="13.5" hidden="false" customHeight="false" outlineLevel="0" collapsed="false">
      <c r="C28" s="42"/>
      <c r="D28" s="63" t="s">
        <v>285</v>
      </c>
      <c r="E28" s="148" t="n">
        <f aca="false">SUM(E24:E27)</f>
        <v>0</v>
      </c>
      <c r="F28" s="148" t="n">
        <f aca="false">SUM(F24:F27)</f>
        <v>0</v>
      </c>
      <c r="G28" s="148" t="n">
        <f aca="false">F28*12/9</f>
        <v>0</v>
      </c>
      <c r="H28" s="148" t="n">
        <f aca="false">SUM(H24:H27)</f>
        <v>0</v>
      </c>
      <c r="I28" s="148" t="n">
        <f aca="false">G28-H28</f>
        <v>0</v>
      </c>
      <c r="J28" s="149" t="n">
        <f aca="false">IFERROR(I28/H28,IF(I28&gt;0,100%,IF(I28=0,0,-100%)))</f>
        <v>0</v>
      </c>
      <c r="K28" s="150" t="str">
        <f aca="false">IF(AND(ABS(I28)&gt;$K$5,ABS(J28)&gt;5%),"O","")</f>
        <v/>
      </c>
      <c r="L28" s="151"/>
      <c r="M28" s="114" t="n">
        <f aca="false">E28-F28</f>
        <v>0</v>
      </c>
      <c r="Q28" s="2"/>
      <c r="R28" s="104"/>
      <c r="U28" s="50" t="n">
        <f aca="false">SUM(U24:U27)</f>
        <v>0</v>
      </c>
      <c r="V28" s="50" t="n">
        <f aca="false">E28-U28</f>
        <v>0</v>
      </c>
      <c r="W28" s="50" t="n">
        <f aca="false">SUM(W24:W27)</f>
        <v>0</v>
      </c>
      <c r="X28" s="50" t="n">
        <f aca="false">F28-W28</f>
        <v>0</v>
      </c>
    </row>
    <row r="29" customFormat="false" ht="13.5" hidden="false" customHeight="false" outlineLevel="0" collapsed="false">
      <c r="C29" s="52" t="s">
        <v>38</v>
      </c>
      <c r="D29" s="63" t="s">
        <v>302</v>
      </c>
      <c r="E29" s="82"/>
      <c r="F29" s="82"/>
      <c r="G29" s="82" t="n">
        <f aca="false">F29*12/9</f>
        <v>0</v>
      </c>
      <c r="H29" s="82"/>
      <c r="I29" s="82" t="n">
        <f aca="false">G29-H29</f>
        <v>0</v>
      </c>
      <c r="J29" s="83" t="n">
        <f aca="false">IFERROR(I29/H29,IF(I29&gt;0,100%,IF(I29=0,0,-100%)))</f>
        <v>0</v>
      </c>
      <c r="K29" s="56" t="str">
        <f aca="false">IF(AND(ABS(I29)&gt;$K$5,ABS(J29)&gt;5%),"O","")</f>
        <v/>
      </c>
      <c r="L29" s="60"/>
      <c r="M29" s="114" t="n">
        <f aca="false">E29-F29</f>
        <v>0</v>
      </c>
      <c r="R29" s="104"/>
      <c r="U29" s="41"/>
      <c r="V29" s="41"/>
      <c r="W29" s="41"/>
      <c r="X29" s="41"/>
    </row>
    <row r="30" customFormat="false" ht="13.5" hidden="false" customHeight="false" outlineLevel="0" collapsed="false">
      <c r="C30" s="52" t="s">
        <v>42</v>
      </c>
      <c r="D30" s="63" t="s">
        <v>303</v>
      </c>
      <c r="E30" s="82"/>
      <c r="F30" s="82"/>
      <c r="G30" s="82" t="n">
        <f aca="false">F30*12/9</f>
        <v>0</v>
      </c>
      <c r="H30" s="82"/>
      <c r="I30" s="82" t="n">
        <f aca="false">G30-H30</f>
        <v>0</v>
      </c>
      <c r="J30" s="83" t="n">
        <f aca="false">IFERROR(I30/H30,IF(I30&gt;0,100%,IF(I30=0,0,-100%)))</f>
        <v>0</v>
      </c>
      <c r="K30" s="56" t="str">
        <f aca="false">IF(AND(ABS(I30)&gt;$K$5,ABS(J30)&gt;5%),"O","")</f>
        <v/>
      </c>
      <c r="L30" s="60"/>
      <c r="M30" s="114" t="n">
        <f aca="false">E30-F30</f>
        <v>0</v>
      </c>
      <c r="Q30" s="2"/>
      <c r="R30" s="104"/>
      <c r="U30" s="41"/>
      <c r="V30" s="156"/>
      <c r="W30" s="156"/>
      <c r="X30" s="41"/>
    </row>
    <row r="31" customFormat="false" ht="13.5" hidden="false" customHeight="false" outlineLevel="0" collapsed="false">
      <c r="C31" s="52" t="s">
        <v>304</v>
      </c>
      <c r="D31" s="63" t="s">
        <v>305</v>
      </c>
      <c r="E31" s="82" t="n">
        <f aca="false">SUMIF(FS_map!$H:$H,$D31,FS_map!$M:$M)</f>
        <v>0</v>
      </c>
      <c r="F31" s="82" t="n">
        <f aca="false">SUMIF(FS_map!$H:$H,$D31,FS_map!$P:$P)</f>
        <v>0</v>
      </c>
      <c r="G31" s="82" t="n">
        <f aca="false">F31*12/9</f>
        <v>0</v>
      </c>
      <c r="H31" s="82" t="n">
        <f aca="false">WPL_2025YE!AI17</f>
        <v>0</v>
      </c>
      <c r="I31" s="82" t="n">
        <f aca="false">G31-H31</f>
        <v>0</v>
      </c>
      <c r="J31" s="83" t="n">
        <f aca="false">IFERROR(I31/H31,IF(I31&gt;0,100%,IF(I31=0,0,-100%)))</f>
        <v>0</v>
      </c>
      <c r="K31" s="56" t="str">
        <f aca="false">IF(AND(ABS(I31)&gt;$K$5,ABS(J31)&gt;5%),"O","")</f>
        <v/>
      </c>
      <c r="L31" s="60"/>
      <c r="M31" s="114" t="n">
        <f aca="false">E31-F31</f>
        <v>0</v>
      </c>
      <c r="N31" s="135" t="n">
        <f aca="false">IFERROR(+F31/F12,0)</f>
        <v>0</v>
      </c>
      <c r="O31" s="135" t="n">
        <f aca="false">IFERROR(+H31/H12,0)</f>
        <v>0</v>
      </c>
      <c r="U31" s="50" t="n">
        <f aca="false">SUMIF('PL_DEC.2026'!$D:$D,$D31,'PL_DEC.2026'!$E:$E)</f>
        <v>0</v>
      </c>
      <c r="V31" s="50" t="n">
        <f aca="false">E31-U31</f>
        <v>0</v>
      </c>
      <c r="W31" s="50" t="n">
        <f aca="false">SUMIF('PL_DEC.2026'!$D:$D,$D31,'PL_DEC.2026'!$L:$L)</f>
        <v>0</v>
      </c>
      <c r="X31" s="50" t="n">
        <f aca="false">F31-W31</f>
        <v>0</v>
      </c>
    </row>
    <row r="32" customFormat="false" ht="14.25" hidden="false" customHeight="true" outlineLevel="0" collapsed="false">
      <c r="C32" s="157" t="s">
        <v>306</v>
      </c>
      <c r="D32" s="158"/>
      <c r="E32" s="76" t="n">
        <f aca="false">+E10-E13</f>
        <v>130957736686</v>
      </c>
      <c r="F32" s="76" t="n">
        <f aca="false">+F10-F13</f>
        <v>130957736686</v>
      </c>
      <c r="G32" s="76" t="n">
        <f aca="false">F32*12/9</f>
        <v>174610315581.333</v>
      </c>
      <c r="H32" s="76" t="n">
        <f aca="false">+H10-H13</f>
        <v>144052198124</v>
      </c>
      <c r="I32" s="76" t="n">
        <f aca="false">G32-H32</f>
        <v>30558117457.3333</v>
      </c>
      <c r="J32" s="77" t="n">
        <f aca="false">IFERROR(I32/H32,IF(I32&gt;0,100%,IF(I32=0,0,-100%)))</f>
        <v>0.212132253830858</v>
      </c>
      <c r="K32" s="78"/>
      <c r="L32" s="79"/>
      <c r="M32" s="114" t="n">
        <f aca="false">E32-F32</f>
        <v>0</v>
      </c>
      <c r="N32" s="104"/>
      <c r="U32" s="50" t="n">
        <f aca="false">+U10-U13</f>
        <v>130957736686</v>
      </c>
      <c r="V32" s="50" t="n">
        <f aca="false">E32-U32</f>
        <v>0</v>
      </c>
      <c r="W32" s="50" t="n">
        <f aca="false">+W10-W13</f>
        <v>130549693661</v>
      </c>
      <c r="X32" s="50" t="n">
        <f aca="false">F32-W32</f>
        <v>408043025</v>
      </c>
    </row>
    <row r="33" customFormat="false" ht="14.25" hidden="false" customHeight="true" outlineLevel="0" collapsed="false">
      <c r="C33" s="42" t="s">
        <v>307</v>
      </c>
      <c r="D33" s="43"/>
      <c r="E33" s="44" t="n">
        <f aca="false">E34+E40+E48+E74</f>
        <v>90107200362</v>
      </c>
      <c r="F33" s="44" t="n">
        <f aca="false">F34+F40+F48+F74</f>
        <v>69362864046</v>
      </c>
      <c r="G33" s="44" t="n">
        <f aca="false">F33*12/9</f>
        <v>92483818728</v>
      </c>
      <c r="H33" s="44" t="n">
        <f aca="false">H34+H40+H48+H74</f>
        <v>114570413852</v>
      </c>
      <c r="I33" s="44" t="n">
        <f aca="false">G33-H33</f>
        <v>-22086595124</v>
      </c>
      <c r="J33" s="45" t="n">
        <f aca="false">IFERROR(I33/H33,IF(I33&gt;0,100%,IF(I33=0,0,-100%)))</f>
        <v>-0.192777475278487</v>
      </c>
      <c r="K33" s="46"/>
      <c r="L33" s="47"/>
      <c r="M33" s="114" t="n">
        <f aca="false">E33-F33</f>
        <v>20744336316</v>
      </c>
      <c r="N33" s="107"/>
      <c r="O33" s="104"/>
      <c r="U33" s="50" t="n">
        <f aca="false">U34+U40+U48+U74</f>
        <v>90107200362</v>
      </c>
      <c r="V33" s="50" t="n">
        <f aca="false">E33-U33</f>
        <v>0</v>
      </c>
      <c r="W33" s="50" t="n">
        <f aca="false">W34+W40+W48+W74</f>
        <v>69362864046</v>
      </c>
      <c r="X33" s="50" t="n">
        <f aca="false">F33-W33</f>
        <v>0</v>
      </c>
    </row>
    <row r="34" customFormat="false" ht="13.5" hidden="false" customHeight="false" outlineLevel="0" collapsed="false">
      <c r="C34" s="52" t="s">
        <v>308</v>
      </c>
      <c r="D34" s="43"/>
      <c r="E34" s="148" t="n">
        <f aca="false">SUM(E35:E39)</f>
        <v>15965818075</v>
      </c>
      <c r="F34" s="148" t="n">
        <f aca="false">SUM(F35:F39)</f>
        <v>15958336946</v>
      </c>
      <c r="G34" s="148" t="n">
        <f aca="false">F34*12/9</f>
        <v>21277782594.6667</v>
      </c>
      <c r="H34" s="148" t="n">
        <f aca="false">SUM(H35:H39)</f>
        <v>24336799235</v>
      </c>
      <c r="I34" s="148" t="n">
        <f aca="false">G34-H34</f>
        <v>-3059016640.33333</v>
      </c>
      <c r="J34" s="149" t="n">
        <f aca="false">IFERROR(I34/H34,IF(I34&gt;0,100%,IF(I34=0,0,-100%)))</f>
        <v>-0.125695109319635</v>
      </c>
      <c r="K34" s="150" t="str">
        <f aca="false">IF(AND(ABS(I34)&gt;$K$5,ABS(J34)&gt;5%),"O","")</f>
        <v/>
      </c>
      <c r="L34" s="151"/>
      <c r="M34" s="114" t="n">
        <f aca="false">E34-F34</f>
        <v>7481129</v>
      </c>
      <c r="O34" s="104"/>
      <c r="R34" s="159"/>
      <c r="U34" s="50" t="n">
        <f aca="false">SUM(U35:U39)</f>
        <v>15965818075</v>
      </c>
      <c r="V34" s="50" t="n">
        <f aca="false">E34-U34</f>
        <v>0</v>
      </c>
      <c r="W34" s="50" t="n">
        <f aca="false">SUM(W35:W39)</f>
        <v>15958336946</v>
      </c>
      <c r="X34" s="50" t="n">
        <f aca="false">F34-W34</f>
        <v>0</v>
      </c>
    </row>
    <row r="35" customFormat="false" ht="39" hidden="false" customHeight="true" outlineLevel="0" collapsed="false">
      <c r="C35" s="52" t="s">
        <v>26</v>
      </c>
      <c r="D35" s="63" t="s">
        <v>309</v>
      </c>
      <c r="E35" s="82" t="n">
        <f aca="false">SUMIF(FS_map!$H:$H,$D35,FS_map!$M:$M)</f>
        <v>3354728043</v>
      </c>
      <c r="F35" s="82" t="n">
        <f aca="false">SUMIF(FS_map!$H:$H,$D35,FS_map!$P:$P)</f>
        <v>3354728043</v>
      </c>
      <c r="G35" s="82" t="n">
        <f aca="false">F35*12/9</f>
        <v>4472970724</v>
      </c>
      <c r="H35" s="82" t="n">
        <f aca="false">SUMIF(WPL_2025YE!$D:$D,$D35,WPL_2025YE!$AI:$AI)</f>
        <v>4150097232</v>
      </c>
      <c r="I35" s="82" t="n">
        <f aca="false">G35-H35</f>
        <v>322873492</v>
      </c>
      <c r="J35" s="83" t="n">
        <f aca="false">IFERROR(I35/H35,IF(I35&gt;0,100%,IF(I35=0,0,-100%)))</f>
        <v>0.0777990186616428</v>
      </c>
      <c r="K35" s="56" t="str">
        <f aca="false">IF(AND(ABS(I35)&gt;$K$5,ABS(J35)&gt;5%),"O","")</f>
        <v/>
      </c>
      <c r="L35" s="94" t="s">
        <v>310</v>
      </c>
      <c r="M35" s="114" t="n">
        <f aca="false">E35-F35</f>
        <v>0</v>
      </c>
      <c r="R35" s="160"/>
      <c r="U35" s="50" t="n">
        <f aca="false">SUMIF('PL_DEC.2026'!$D:$D,$D35,'PL_DEC.2026'!$E:$E)</f>
        <v>3354728043</v>
      </c>
      <c r="V35" s="50" t="n">
        <f aca="false">E35-U35</f>
        <v>0</v>
      </c>
      <c r="W35" s="50" t="n">
        <f aca="false">SUMIF('PL_DEC.2026'!$D:$D,$D35,'PL_DEC.2026'!$L:$L)</f>
        <v>3354728043</v>
      </c>
      <c r="X35" s="50" t="n">
        <f aca="false">F35-W35</f>
        <v>0</v>
      </c>
    </row>
    <row r="36" customFormat="false" ht="13.5" hidden="false" customHeight="false" outlineLevel="0" collapsed="false">
      <c r="C36" s="52" t="s">
        <v>30</v>
      </c>
      <c r="D36" s="63" t="s">
        <v>311</v>
      </c>
      <c r="E36" s="82" t="n">
        <f aca="false">SUMIF(FS_map!$H:$H,$D36,FS_map!$M:$M)</f>
        <v>0</v>
      </c>
      <c r="F36" s="82" t="n">
        <f aca="false">SUMIF(FS_map!$H:$H,$D36,FS_map!$P:$P)</f>
        <v>0</v>
      </c>
      <c r="G36" s="82" t="n">
        <f aca="false">F36*12/9</f>
        <v>0</v>
      </c>
      <c r="H36" s="82" t="n">
        <f aca="false">SUMIF(WPL_2025YE!$D:$D,$D36,WPL_2025YE!$AI:$AI)</f>
        <v>0</v>
      </c>
      <c r="I36" s="82" t="n">
        <f aca="false">G36-H36</f>
        <v>0</v>
      </c>
      <c r="J36" s="83" t="n">
        <f aca="false">IFERROR(I36/H36,IF(I36&gt;0,100%,IF(I36=0,0,-100%)))</f>
        <v>0</v>
      </c>
      <c r="K36" s="56" t="str">
        <f aca="false">IF(AND(ABS(I36)&gt;$K$5,ABS(J36)&gt;5%),"O","")</f>
        <v/>
      </c>
      <c r="L36" s="60"/>
      <c r="M36" s="114" t="n">
        <f aca="false">E36-F36</f>
        <v>0</v>
      </c>
      <c r="U36" s="50" t="n">
        <f aca="false">SUMIF('PL_DEC.2026'!$D:$D,$D36,'PL_DEC.2026'!$E:$E)</f>
        <v>0</v>
      </c>
      <c r="V36" s="50" t="n">
        <f aca="false">E36-U36</f>
        <v>0</v>
      </c>
      <c r="W36" s="50" t="n">
        <f aca="false">SUMIF('PL_DEC.2026'!$D:$D,$D36,'PL_DEC.2026'!$L:$L)</f>
        <v>0</v>
      </c>
      <c r="X36" s="50" t="n">
        <f aca="false">F36-W36</f>
        <v>0</v>
      </c>
    </row>
    <row r="37" customFormat="false" ht="25.5" hidden="false" customHeight="true" outlineLevel="0" collapsed="false">
      <c r="C37" s="52" t="s">
        <v>34</v>
      </c>
      <c r="D37" s="63" t="s">
        <v>312</v>
      </c>
      <c r="E37" s="82" t="n">
        <f aca="false">SUMIF(FS_map!$H:$H,$D37,FS_map!$M:$M)</f>
        <v>1641883650</v>
      </c>
      <c r="F37" s="82" t="n">
        <f aca="false">SUMIF(FS_map!$H:$H,$D37,FS_map!$P:$P)</f>
        <v>1641883650</v>
      </c>
      <c r="G37" s="82" t="n">
        <f aca="false">F37*12/9</f>
        <v>2189178200</v>
      </c>
      <c r="H37" s="82" t="n">
        <f aca="false">SUMIF(WPL_2025YE!$D:$D,$D37,WPL_2025YE!$AI:$AI)</f>
        <v>2701698214</v>
      </c>
      <c r="I37" s="82" t="n">
        <f aca="false">G37-H37</f>
        <v>-512520014</v>
      </c>
      <c r="J37" s="83" t="n">
        <f aca="false">IFERROR(I37/H37,IF(I37&gt;0,100%,IF(I37=0,0,-100%)))</f>
        <v>-0.189702910319206</v>
      </c>
      <c r="K37" s="56" t="str">
        <f aca="false">IF(AND(ABS(I37)&gt;$K$5,ABS(J37)&gt;5%),"O","")</f>
        <v/>
      </c>
      <c r="L37" s="134" t="s">
        <v>313</v>
      </c>
      <c r="M37" s="114" t="n">
        <f aca="false">E37-F37</f>
        <v>0</v>
      </c>
      <c r="U37" s="50" t="n">
        <f aca="false">SUMIF('PL_DEC.2026'!$D:$D,$D37,'PL_DEC.2026'!$E:$E)</f>
        <v>1641883650</v>
      </c>
      <c r="V37" s="50" t="n">
        <f aca="false">E37-U37</f>
        <v>0</v>
      </c>
      <c r="W37" s="50" t="n">
        <f aca="false">SUMIF('PL_DEC.2026'!$D:$D,$D37,'PL_DEC.2026'!$L:$L)</f>
        <v>1641883650</v>
      </c>
      <c r="X37" s="50" t="n">
        <f aca="false">F37-W37</f>
        <v>0</v>
      </c>
    </row>
    <row r="38" customFormat="false" ht="13.5" hidden="false" customHeight="false" outlineLevel="0" collapsed="false">
      <c r="C38" s="52" t="s">
        <v>38</v>
      </c>
      <c r="D38" s="63" t="s">
        <v>314</v>
      </c>
      <c r="E38" s="82" t="n">
        <f aca="false">SUMIF(FS_map!$H:$H,$D38,FS_map!$M:$M)</f>
        <v>0</v>
      </c>
      <c r="F38" s="82" t="n">
        <f aca="false">SUMIF(FS_map!$H:$H,$D38,FS_map!$P:$P)</f>
        <v>0</v>
      </c>
      <c r="G38" s="82" t="n">
        <f aca="false">F38*12/9</f>
        <v>0</v>
      </c>
      <c r="H38" s="82" t="n">
        <f aca="false">SUMIF(WPL_2025YE!$D:$D,$D38,WPL_2025YE!$AI:$AI)</f>
        <v>0</v>
      </c>
      <c r="I38" s="82" t="n">
        <f aca="false">G38-H38</f>
        <v>0</v>
      </c>
      <c r="J38" s="83" t="n">
        <f aca="false">IFERROR(I38/H38,IF(I38&gt;0,100%,IF(I38=0,0,-100%)))</f>
        <v>0</v>
      </c>
      <c r="K38" s="56" t="str">
        <f aca="false">IF(AND(ABS(I38)&gt;$K$5,ABS(J38)&gt;5%),"O","")</f>
        <v/>
      </c>
      <c r="L38" s="60"/>
      <c r="M38" s="114" t="n">
        <f aca="false">E38-F38</f>
        <v>0</v>
      </c>
      <c r="U38" s="50" t="n">
        <f aca="false">SUMIF('PL_DEC.2026'!$D:$D,$D38,'PL_DEC.2026'!$E:$E)</f>
        <v>0</v>
      </c>
      <c r="V38" s="50" t="n">
        <f aca="false">E38-U38</f>
        <v>0</v>
      </c>
      <c r="W38" s="50" t="n">
        <f aca="false">SUMIF('PL_DEC.2026'!$D:$D,$D38,'PL_DEC.2026'!$L:$L)</f>
        <v>0</v>
      </c>
      <c r="X38" s="50" t="n">
        <f aca="false">F38-W38</f>
        <v>0</v>
      </c>
    </row>
    <row r="39" customFormat="false" ht="64.5" hidden="false" customHeight="true" outlineLevel="0" collapsed="false">
      <c r="C39" s="52" t="s">
        <v>42</v>
      </c>
      <c r="D39" s="63" t="s">
        <v>315</v>
      </c>
      <c r="E39" s="82" t="n">
        <f aca="false">SUMIF(FS_map!$H:$H,$D39,FS_map!$M:$M)</f>
        <v>10969206382</v>
      </c>
      <c r="F39" s="82" t="n">
        <f aca="false">SUMIF(FS_map!$H:$H,$D39,FS_map!$P:$P)</f>
        <v>10961725253</v>
      </c>
      <c r="G39" s="82" t="n">
        <f aca="false">F39*12/9</f>
        <v>14615633670.6667</v>
      </c>
      <c r="H39" s="82" t="n">
        <f aca="false">SUMIF(WPL_2025YE!$D:$D,$D39,WPL_2025YE!$AI:$AI)</f>
        <v>17485003789</v>
      </c>
      <c r="I39" s="82" t="n">
        <f aca="false">G39-H39</f>
        <v>-2869370118.33333</v>
      </c>
      <c r="J39" s="83" t="n">
        <f aca="false">IFERROR(I39/H39,IF(I39&gt;0,100%,IF(I39=0,0,-100%)))</f>
        <v>-0.164104632344346</v>
      </c>
      <c r="K39" s="56" t="str">
        <f aca="false">IF(AND(ABS(I39)&gt;$K$5,ABS(J39)&gt;5%),"O","")</f>
        <v/>
      </c>
      <c r="L39" s="134" t="s">
        <v>316</v>
      </c>
      <c r="M39" s="114" t="n">
        <f aca="false">E39-F39</f>
        <v>7481129</v>
      </c>
      <c r="U39" s="50" t="n">
        <f aca="false">SUMIF('PL_DEC.2026'!$D:$D,$D39,'PL_DEC.2026'!$E:$E)</f>
        <v>10969206382</v>
      </c>
      <c r="V39" s="50" t="n">
        <f aca="false">E39-U39</f>
        <v>0</v>
      </c>
      <c r="W39" s="50" t="n">
        <f aca="false">SUMIF('PL_DEC.2026'!$D:$D,$D39,'PL_DEC.2026'!$L:$L)</f>
        <v>10961725253</v>
      </c>
      <c r="X39" s="50" t="n">
        <f aca="false">F39-W39</f>
        <v>0</v>
      </c>
    </row>
    <row r="40" customFormat="false" ht="13.5" hidden="false" customHeight="false" outlineLevel="0" collapsed="false">
      <c r="C40" s="52" t="s">
        <v>317</v>
      </c>
      <c r="D40" s="43"/>
      <c r="E40" s="148" t="n">
        <f aca="false">SUM(E41:E47)</f>
        <v>34547108797</v>
      </c>
      <c r="F40" s="148" t="n">
        <f aca="false">SUM(F41:F47)</f>
        <v>31494645340</v>
      </c>
      <c r="G40" s="148" t="n">
        <f aca="false">F40*12/9</f>
        <v>41992860453.3333</v>
      </c>
      <c r="H40" s="148" t="n">
        <f aca="false">SUM(H41:H47)</f>
        <v>59889099005</v>
      </c>
      <c r="I40" s="148" t="n">
        <f aca="false">G40-H40</f>
        <v>-17896238551.6667</v>
      </c>
      <c r="J40" s="149" t="n">
        <f aca="false">IFERROR(I40/H40,IF(I40&gt;0,100%,IF(I40=0,0,-100%)))</f>
        <v>-0.298822971943067</v>
      </c>
      <c r="K40" s="150"/>
      <c r="L40" s="151"/>
      <c r="M40" s="114" t="n">
        <f aca="false">E40-F40</f>
        <v>3052463457</v>
      </c>
      <c r="U40" s="50" t="n">
        <f aca="false">SUM(U41:U47)</f>
        <v>34547108797</v>
      </c>
      <c r="V40" s="50" t="n">
        <f aca="false">E40-U40</f>
        <v>0</v>
      </c>
      <c r="W40" s="50" t="n">
        <f aca="false">SUM(W41:W47)</f>
        <v>31494645340</v>
      </c>
      <c r="X40" s="50" t="n">
        <f aca="false">F40-W40</f>
        <v>0</v>
      </c>
    </row>
    <row r="41" customFormat="false" ht="13.5" hidden="false" customHeight="false" outlineLevel="0" collapsed="false">
      <c r="C41" s="52" t="s">
        <v>26</v>
      </c>
      <c r="D41" s="63" t="s">
        <v>318</v>
      </c>
      <c r="E41" s="82" t="n">
        <f aca="false">SUMIF(FS_map!$H:$H,$D41,FS_map!$M:$M)</f>
        <v>0</v>
      </c>
      <c r="F41" s="82" t="n">
        <f aca="false">SUMIF(FS_map!$H:$H,$D41,FS_map!$P:$P)</f>
        <v>0</v>
      </c>
      <c r="G41" s="82" t="n">
        <f aca="false">F41*12/9</f>
        <v>0</v>
      </c>
      <c r="H41" s="82" t="n">
        <f aca="false">SUMIF(WPL_2025YE!$D:$D,$D41,WPL_2025YE!$AI:$AI)</f>
        <v>0</v>
      </c>
      <c r="I41" s="82" t="n">
        <f aca="false">G41-H41</f>
        <v>0</v>
      </c>
      <c r="J41" s="83" t="n">
        <f aca="false">IFERROR(I41/H41,IF(I41&gt;0,100%,IF(I41=0,0,-100%)))</f>
        <v>0</v>
      </c>
      <c r="K41" s="56" t="str">
        <f aca="false">IF(AND(ABS(I41)&gt;$K$5,ABS(J41)&gt;5%),"O","")</f>
        <v/>
      </c>
      <c r="L41" s="60"/>
      <c r="M41" s="114" t="n">
        <f aca="false">E41-F41</f>
        <v>0</v>
      </c>
      <c r="U41" s="50" t="n">
        <f aca="false">SUMIF('PL_DEC.2026'!$D:$D,$D41,'PL_DEC.2026'!$E:$E)</f>
        <v>0</v>
      </c>
      <c r="V41" s="50" t="n">
        <f aca="false">E41-U41</f>
        <v>0</v>
      </c>
      <c r="W41" s="50" t="n">
        <f aca="false">SUMIF('PL_DEC.2026'!$D:$D,$D41,'PL_DEC.2026'!$L:$L)</f>
        <v>0</v>
      </c>
      <c r="X41" s="50" t="n">
        <f aca="false">F41-W41</f>
        <v>0</v>
      </c>
    </row>
    <row r="42" customFormat="false" ht="90.75" hidden="false" customHeight="true" outlineLevel="0" collapsed="false">
      <c r="C42" s="52" t="s">
        <v>30</v>
      </c>
      <c r="D42" s="63" t="s">
        <v>319</v>
      </c>
      <c r="E42" s="82" t="n">
        <f aca="false">SUMIF(FS_map!$H:$H,$D42,FS_map!$M:$M)</f>
        <v>27029848823</v>
      </c>
      <c r="F42" s="82" t="n">
        <f aca="false">SUMIF(FS_map!$H:$H,$D42,FS_map!$P:$P)</f>
        <v>24660200591</v>
      </c>
      <c r="G42" s="82" t="n">
        <f aca="false">F42*12/9</f>
        <v>32880267454.6667</v>
      </c>
      <c r="H42" s="82" t="n">
        <f aca="false">SUMIF(WPL_2025YE!$D:$D,$D42,WPL_2025YE!$AI:$AI)</f>
        <v>51357142027</v>
      </c>
      <c r="I42" s="82" t="n">
        <f aca="false">G42-H42</f>
        <v>-18476874572.3333</v>
      </c>
      <c r="J42" s="83" t="n">
        <f aca="false">IFERROR(I42/H42,IF(I42&gt;0,100%,IF(I42=0,0,-100%)))</f>
        <v>-0.359772250617441</v>
      </c>
      <c r="K42" s="56" t="str">
        <f aca="false">IF(AND(ABS(I42)&gt;$K$5,ABS(J42)&gt;5%),"O","")</f>
        <v>O</v>
      </c>
      <c r="L42" s="134" t="s">
        <v>320</v>
      </c>
      <c r="M42" s="114" t="n">
        <f aca="false">E42-F42</f>
        <v>2369648232</v>
      </c>
      <c r="R42" s="141"/>
      <c r="U42" s="50" t="n">
        <f aca="false">SUMIF('PL_DEC.2026'!$D:$D,$D42,'PL_DEC.2026'!$E:$E)</f>
        <v>27029848823</v>
      </c>
      <c r="V42" s="50" t="n">
        <f aca="false">E42-U42</f>
        <v>0</v>
      </c>
      <c r="W42" s="50" t="n">
        <f aca="false">SUMIF('PL_DEC.2026'!$D:$D,$D42,'PL_DEC.2026'!$L:$L)</f>
        <v>24660200591</v>
      </c>
      <c r="X42" s="50" t="n">
        <f aca="false">F42-W42</f>
        <v>0</v>
      </c>
    </row>
    <row r="43" customFormat="false" ht="25.5" hidden="false" customHeight="true" outlineLevel="0" collapsed="false">
      <c r="C43" s="52" t="s">
        <v>34</v>
      </c>
      <c r="D43" s="63" t="s">
        <v>321</v>
      </c>
      <c r="E43" s="82" t="n">
        <f aca="false">SUMIF(FS_map!$H:$H,$D43,FS_map!$M:$M)</f>
        <v>2514418581</v>
      </c>
      <c r="F43" s="82" t="n">
        <f aca="false">SUMIF(FS_map!$H:$H,$D43,FS_map!$P:$P)</f>
        <v>2514418581</v>
      </c>
      <c r="G43" s="82" t="n">
        <f aca="false">F43*12/9</f>
        <v>3352558108</v>
      </c>
      <c r="H43" s="82" t="n">
        <f aca="false">SUMIF(WPL_2025YE!$D:$D,$D43,WPL_2025YE!$AI:$AI)</f>
        <v>3105838674</v>
      </c>
      <c r="I43" s="82" t="n">
        <f aca="false">G43-H43</f>
        <v>246719434</v>
      </c>
      <c r="J43" s="83" t="n">
        <f aca="false">IFERROR(I43/H43,IF(I43&gt;0,100%,IF(I43=0,0,-100%)))</f>
        <v>0.0794372985517148</v>
      </c>
      <c r="K43" s="56" t="str">
        <f aca="false">IF(AND(ABS(I43)&gt;$K$5,ABS(J43)&gt;5%),"O","")</f>
        <v/>
      </c>
      <c r="L43" s="94" t="s">
        <v>322</v>
      </c>
      <c r="M43" s="114" t="n">
        <f aca="false">E43-F43</f>
        <v>0</v>
      </c>
      <c r="R43" s="141"/>
      <c r="U43" s="50" t="n">
        <f aca="false">SUMIF('PL_DEC.2026'!$D:$D,$D43,'PL_DEC.2026'!$E:$E)</f>
        <v>2514418581</v>
      </c>
      <c r="V43" s="50" t="n">
        <f aca="false">E43-U43</f>
        <v>0</v>
      </c>
      <c r="W43" s="50" t="n">
        <f aca="false">SUMIF('PL_DEC.2026'!$D:$D,$D43,'PL_DEC.2026'!$L:$L)</f>
        <v>2514418581</v>
      </c>
      <c r="X43" s="50" t="n">
        <f aca="false">F43-W43</f>
        <v>0</v>
      </c>
    </row>
    <row r="44" customFormat="false" ht="25.5" hidden="false" customHeight="true" outlineLevel="0" collapsed="false">
      <c r="C44" s="52" t="s">
        <v>38</v>
      </c>
      <c r="D44" s="63" t="s">
        <v>323</v>
      </c>
      <c r="E44" s="82" t="n">
        <f aca="false">SUMIF(FS_map!$H:$H,$D44,FS_map!$M:$M)</f>
        <v>342470945</v>
      </c>
      <c r="F44" s="82" t="n">
        <f aca="false">SUMIF(FS_map!$H:$H,$D44,FS_map!$P:$P)</f>
        <v>9060981</v>
      </c>
      <c r="G44" s="82" t="n">
        <f aca="false">F44*12/9</f>
        <v>12081308</v>
      </c>
      <c r="H44" s="82" t="n">
        <f aca="false">SUMIF(WPL_2025YE!$D:$D,$D44,WPL_2025YE!$AI:$AI)</f>
        <v>238756591</v>
      </c>
      <c r="I44" s="82" t="n">
        <f aca="false">G44-H44</f>
        <v>-226675283</v>
      </c>
      <c r="J44" s="83" t="n">
        <f aca="false">IFERROR(I44/H44,IF(I44&gt;0,100%,IF(I44=0,0,-100%)))</f>
        <v>-0.949399059731088</v>
      </c>
      <c r="K44" s="56" t="str">
        <f aca="false">IF(AND(ABS(I44)&gt;$K$5,ABS(J44)&gt;5%),"O","")</f>
        <v/>
      </c>
      <c r="L44" s="94" t="s">
        <v>324</v>
      </c>
      <c r="M44" s="114" t="n">
        <f aca="false">E44-F44</f>
        <v>333409964</v>
      </c>
      <c r="R44" s="141"/>
      <c r="U44" s="50" t="n">
        <f aca="false">SUMIF('PL_DEC.2026'!$D:$D,$D44,'PL_DEC.2026'!$E:$E)</f>
        <v>342470945</v>
      </c>
      <c r="V44" s="50" t="n">
        <f aca="false">E44-U44</f>
        <v>0</v>
      </c>
      <c r="W44" s="50" t="n">
        <f aca="false">SUMIF('PL_DEC.2026'!$D:$D,$D44,'PL_DEC.2026'!$L:$L)</f>
        <v>9060981</v>
      </c>
      <c r="X44" s="50" t="n">
        <f aca="false">F44-W44</f>
        <v>0</v>
      </c>
    </row>
    <row r="45" customFormat="false" ht="25.5" hidden="false" customHeight="true" outlineLevel="0" collapsed="false">
      <c r="C45" s="52" t="s">
        <v>42</v>
      </c>
      <c r="D45" s="63" t="s">
        <v>325</v>
      </c>
      <c r="E45" s="82" t="n">
        <f aca="false">SUMIF(FS_map!$H:$H,$D45,FS_map!$M:$M)</f>
        <v>4660370448</v>
      </c>
      <c r="F45" s="82" t="n">
        <f aca="false">SUMIF(FS_map!$H:$H,$D45,FS_map!$P:$P)</f>
        <v>4310965187</v>
      </c>
      <c r="G45" s="82" t="n">
        <f aca="false">F45*12/9</f>
        <v>5747953582.66667</v>
      </c>
      <c r="H45" s="82" t="n">
        <f aca="false">SUMIF(WPL_2025YE!$D:$D,$D45,WPL_2025YE!$AI:$AI)</f>
        <v>5187361713</v>
      </c>
      <c r="I45" s="82" t="n">
        <f aca="false">G45-H45</f>
        <v>560591869.666667</v>
      </c>
      <c r="J45" s="83" t="n">
        <f aca="false">IFERROR(I45/H45,IF(I45&gt;0,100%,IF(I45=0,0,-100%)))</f>
        <v>0.10806878345533</v>
      </c>
      <c r="K45" s="56" t="str">
        <f aca="false">IF(AND(ABS(I45)&gt;$K$5,ABS(J45)&gt;5%),"O","")</f>
        <v/>
      </c>
      <c r="L45" s="58" t="s">
        <v>326</v>
      </c>
      <c r="M45" s="114" t="n">
        <f aca="false">E45-F45</f>
        <v>349405261</v>
      </c>
      <c r="R45" s="141"/>
      <c r="U45" s="50" t="n">
        <f aca="false">SUMIF('PL_DEC.2026'!$D:$D,$D45,'PL_DEC.2026'!$E:$E)</f>
        <v>4660370448</v>
      </c>
      <c r="V45" s="50" t="n">
        <f aca="false">E45-U45</f>
        <v>0</v>
      </c>
      <c r="W45" s="50" t="n">
        <f aca="false">SUMIF('PL_DEC.2026'!$D:$D,$D45,'PL_DEC.2026'!$L:$L)</f>
        <v>4310965187</v>
      </c>
      <c r="X45" s="50" t="n">
        <f aca="false">F45-W45</f>
        <v>0</v>
      </c>
    </row>
    <row r="46" customFormat="false" ht="13.5" hidden="false" customHeight="false" outlineLevel="0" collapsed="false">
      <c r="C46" s="52" t="s">
        <v>45</v>
      </c>
      <c r="D46" s="63" t="s">
        <v>327</v>
      </c>
      <c r="E46" s="82" t="n">
        <f aca="false">SUMIF(FS_map!$H:$H,$D46,FS_map!$M:$M)</f>
        <v>0</v>
      </c>
      <c r="F46" s="82" t="n">
        <f aca="false">SUMIF(FS_map!$H:$H,$D46,FS_map!$P:$P)</f>
        <v>0</v>
      </c>
      <c r="G46" s="82" t="n">
        <f aca="false">F46*12/9</f>
        <v>0</v>
      </c>
      <c r="H46" s="82" t="n">
        <f aca="false">SUMIF(WPL_2025YE!$D:$D,$D46,WPL_2025YE!$AI:$AI)</f>
        <v>0</v>
      </c>
      <c r="I46" s="82" t="n">
        <f aca="false">G46-H46</f>
        <v>0</v>
      </c>
      <c r="J46" s="83" t="n">
        <f aca="false">IFERROR(I46/H46,IF(I46&gt;0,100%,IF(I46=0,0,-100%)))</f>
        <v>0</v>
      </c>
      <c r="K46" s="56" t="str">
        <f aca="false">IF(AND(ABS(I46)&gt;$K$5,ABS(J46)&gt;5%),"O","")</f>
        <v/>
      </c>
      <c r="L46" s="60"/>
      <c r="M46" s="114" t="n">
        <f aca="false">E46-F46</f>
        <v>0</v>
      </c>
      <c r="U46" s="50" t="n">
        <f aca="false">SUMIF('PL_DEC.2026'!$D:$D,$D46,'PL_DEC.2026'!$E:$E)</f>
        <v>0</v>
      </c>
      <c r="V46" s="50" t="n">
        <f aca="false">E46-U46</f>
        <v>0</v>
      </c>
      <c r="W46" s="50" t="n">
        <f aca="false">SUMIF('PL_DEC.2026'!$D:$D,$D46,'PL_DEC.2026'!$L:$L)</f>
        <v>0</v>
      </c>
      <c r="X46" s="50" t="n">
        <f aca="false">F46-W46</f>
        <v>0</v>
      </c>
    </row>
    <row r="47" customFormat="false" ht="13.5" hidden="false" customHeight="false" outlineLevel="0" collapsed="false">
      <c r="C47" s="52" t="s">
        <v>49</v>
      </c>
      <c r="D47" s="63" t="s">
        <v>328</v>
      </c>
      <c r="E47" s="82" t="n">
        <f aca="false">SUMIF(FS_map!$H:$H,$D47,FS_map!$M:$M)</f>
        <v>0</v>
      </c>
      <c r="F47" s="82" t="n">
        <f aca="false">SUMIF(FS_map!$H:$H,$D47,FS_map!$P:$P)</f>
        <v>0</v>
      </c>
      <c r="G47" s="82" t="n">
        <f aca="false">F47*12/9</f>
        <v>0</v>
      </c>
      <c r="H47" s="82" t="n">
        <f aca="false">SUMIF(WPL_2025YE!$D:$D,$D47,WPL_2025YE!$AI:$AI)</f>
        <v>0</v>
      </c>
      <c r="I47" s="82" t="n">
        <f aca="false">G47-H47</f>
        <v>0</v>
      </c>
      <c r="J47" s="83" t="n">
        <f aca="false">IFERROR(I47/H47,IF(I47&gt;0,100%,IF(I47=0,0,-100%)))</f>
        <v>0</v>
      </c>
      <c r="K47" s="56" t="str">
        <f aca="false">IF(AND(ABS(I47)&gt;$K$5,ABS(J47)&gt;5%),"O","")</f>
        <v/>
      </c>
      <c r="L47" s="60"/>
      <c r="M47" s="114" t="n">
        <f aca="false">E47-F47</f>
        <v>0</v>
      </c>
      <c r="U47" s="50" t="n">
        <f aca="false">SUMIF('PL_DEC.2026'!$D:$D,$D47,'PL_DEC.2026'!$E:$E)</f>
        <v>0</v>
      </c>
      <c r="V47" s="50" t="n">
        <f aca="false">E47-U47</f>
        <v>0</v>
      </c>
      <c r="W47" s="50" t="n">
        <f aca="false">SUMIF('PL_DEC.2026'!$D:$D,$D47,'PL_DEC.2026'!$L:$L)</f>
        <v>0</v>
      </c>
      <c r="X47" s="50" t="n">
        <f aca="false">F47-W47</f>
        <v>0</v>
      </c>
    </row>
    <row r="48" customFormat="false" ht="13.5" hidden="false" customHeight="false" outlineLevel="0" collapsed="false">
      <c r="C48" s="52" t="s">
        <v>329</v>
      </c>
      <c r="D48" s="43"/>
      <c r="E48" s="148" t="n">
        <f aca="false">SUM(E49:E73)</f>
        <v>39594273490</v>
      </c>
      <c r="F48" s="148" t="n">
        <f aca="false">SUM(F49:F73)</f>
        <v>21909881760</v>
      </c>
      <c r="G48" s="148" t="n">
        <f aca="false">F48*12/9</f>
        <v>29213175680</v>
      </c>
      <c r="H48" s="148" t="n">
        <f aca="false">SUM(H49:H73)</f>
        <v>30344515612</v>
      </c>
      <c r="I48" s="148" t="n">
        <f aca="false">G48-H48</f>
        <v>-1131339932</v>
      </c>
      <c r="J48" s="149" t="n">
        <f aca="false">IFERROR(I48/H48,IF(I48&gt;0,100%,IF(I48=0,0,-100%)))</f>
        <v>-0.0372831765207879</v>
      </c>
      <c r="K48" s="150" t="str">
        <f aca="false">IF(AND(ABS(I48)&gt;$K$5,ABS(J48)&gt;5%),"O","")</f>
        <v/>
      </c>
      <c r="L48" s="151"/>
      <c r="M48" s="114" t="n">
        <f aca="false">E48-F48</f>
        <v>17684391730</v>
      </c>
      <c r="U48" s="50" t="n">
        <f aca="false">SUM(U49:U73)</f>
        <v>39594273490</v>
      </c>
      <c r="V48" s="50" t="n">
        <f aca="false">E48-U48</f>
        <v>0</v>
      </c>
      <c r="W48" s="50" t="n">
        <f aca="false">SUM(W49:W73)</f>
        <v>21909881760</v>
      </c>
      <c r="X48" s="50" t="n">
        <f aca="false">F48-W48</f>
        <v>0</v>
      </c>
    </row>
    <row r="49" customFormat="false" ht="15" hidden="false" customHeight="true" outlineLevel="0" collapsed="false">
      <c r="C49" s="52" t="s">
        <v>26</v>
      </c>
      <c r="D49" s="63" t="s">
        <v>330</v>
      </c>
      <c r="E49" s="82" t="n">
        <f aca="false">SUMIF(FS_map!$H:$H,$D49,FS_map!$M:$M)</f>
        <v>2631063371</v>
      </c>
      <c r="F49" s="82" t="n">
        <f aca="false">SUMIF(FS_map!$H:$H,$D49,FS_map!$P:$P)</f>
        <v>2475705734</v>
      </c>
      <c r="G49" s="82" t="n">
        <f aca="false">F49*12/9</f>
        <v>3300940978.66667</v>
      </c>
      <c r="H49" s="82" t="n">
        <f aca="false">SUMIF(WPL_2025YE!$D:$D,$D49,WPL_2025YE!$AI:$AI)</f>
        <v>3449415516</v>
      </c>
      <c r="I49" s="82" t="n">
        <f aca="false">G49-H49</f>
        <v>-148474537.333334</v>
      </c>
      <c r="J49" s="83" t="n">
        <f aca="false">IFERROR(I49/H49,IF(I49&gt;0,100%,IF(I49=0,0,-100%)))</f>
        <v>-0.0430433900017668</v>
      </c>
      <c r="K49" s="56" t="str">
        <f aca="false">IF(AND(ABS(I49)&gt;$K$5,ABS(J49)&gt;5%),"O","")</f>
        <v/>
      </c>
      <c r="L49" s="94" t="s">
        <v>331</v>
      </c>
      <c r="M49" s="114" t="n">
        <f aca="false">E49-F49</f>
        <v>155357637</v>
      </c>
      <c r="U49" s="50" t="n">
        <f aca="false">SUMIF('PL_DEC.2026'!$D:$D,$D49,'PL_DEC.2026'!$E:$E)</f>
        <v>2631063371</v>
      </c>
      <c r="V49" s="50" t="n">
        <f aca="false">E49-U49</f>
        <v>0</v>
      </c>
      <c r="W49" s="50" t="n">
        <f aca="false">SUMIF('PL_DEC.2026'!$D:$D,$D49,'PL_DEC.2026'!$L:$L)</f>
        <v>2475705734</v>
      </c>
      <c r="X49" s="50" t="n">
        <f aca="false">F49-W49</f>
        <v>0</v>
      </c>
    </row>
    <row r="50" customFormat="false" ht="15" hidden="false" customHeight="true" outlineLevel="0" collapsed="false">
      <c r="C50" s="52" t="s">
        <v>30</v>
      </c>
      <c r="D50" s="63" t="s">
        <v>332</v>
      </c>
      <c r="E50" s="82" t="n">
        <f aca="false">SUMIF(FS_map!$H:$H,$D50,FS_map!$M:$M)</f>
        <v>3180643883</v>
      </c>
      <c r="F50" s="82" t="n">
        <f aca="false">SUMIF(FS_map!$H:$H,$D50,FS_map!$P:$P)</f>
        <v>3052418493</v>
      </c>
      <c r="G50" s="82" t="n">
        <f aca="false">F50*12/9</f>
        <v>4069891324</v>
      </c>
      <c r="H50" s="82" t="n">
        <f aca="false">SUMIF(WPL_2025YE!$D:$D,$D50,WPL_2025YE!$AI:$AI)</f>
        <v>4880498630</v>
      </c>
      <c r="I50" s="82" t="n">
        <f aca="false">G50-H50</f>
        <v>-810607306</v>
      </c>
      <c r="J50" s="83" t="n">
        <f aca="false">IFERROR(I50/H50,IF(I50&gt;0,100%,IF(I50=0,0,-100%)))</f>
        <v>-0.166091083607168</v>
      </c>
      <c r="K50" s="56" t="str">
        <f aca="false">IF(AND(ABS(I50)&gt;$K$5,ABS(J50)&gt;5%),"O","")</f>
        <v/>
      </c>
      <c r="L50" s="134" t="s">
        <v>333</v>
      </c>
      <c r="M50" s="114" t="n">
        <f aca="false">E50-F50</f>
        <v>128225390</v>
      </c>
      <c r="U50" s="50" t="n">
        <f aca="false">SUMIF('PL_DEC.2026'!$D:$D,$D50,'PL_DEC.2026'!$E:$E)</f>
        <v>3180643883</v>
      </c>
      <c r="V50" s="50" t="n">
        <f aca="false">E50-U50</f>
        <v>0</v>
      </c>
      <c r="W50" s="50" t="n">
        <f aca="false">SUMIF('PL_DEC.2026'!$D:$D,$D50,'PL_DEC.2026'!$L:$L)</f>
        <v>3052418493</v>
      </c>
      <c r="X50" s="50" t="n">
        <f aca="false">F50-W50</f>
        <v>0</v>
      </c>
    </row>
    <row r="51" customFormat="false" ht="13.5" hidden="false" customHeight="false" outlineLevel="0" collapsed="false">
      <c r="C51" s="52" t="s">
        <v>34</v>
      </c>
      <c r="D51" s="63" t="s">
        <v>334</v>
      </c>
      <c r="E51" s="82" t="n">
        <f aca="false">SUMIF(FS_map!$H:$H,$D51,FS_map!$M:$M)</f>
        <v>286038515</v>
      </c>
      <c r="F51" s="82" t="n">
        <f aca="false">SUMIF(FS_map!$H:$H,$D51,FS_map!$P:$P)</f>
        <v>271017893</v>
      </c>
      <c r="G51" s="82" t="n">
        <f aca="false">F51*12/9</f>
        <v>361357190.666667</v>
      </c>
      <c r="H51" s="82" t="n">
        <f aca="false">SUMIF(WPL_2025YE!$D:$D,$D51,WPL_2025YE!$AI:$AI)</f>
        <v>376080533</v>
      </c>
      <c r="I51" s="82" t="n">
        <f aca="false">G51-H51</f>
        <v>-14723342.3333333</v>
      </c>
      <c r="J51" s="83" t="n">
        <f aca="false">IFERROR(I51/H51,IF(I51&gt;0,100%,IF(I51=0,0,-100%)))</f>
        <v>-0.0391494401900704</v>
      </c>
      <c r="K51" s="56" t="str">
        <f aca="false">IF(AND(ABS(I51)&gt;$K$5,ABS(J51)&gt;5%),"O","")</f>
        <v/>
      </c>
      <c r="L51" s="60"/>
      <c r="M51" s="114" t="n">
        <f aca="false">E51-F51</f>
        <v>15020622</v>
      </c>
      <c r="U51" s="50" t="n">
        <f aca="false">SUMIF('PL_DEC.2026'!$D:$D,$D51,'PL_DEC.2026'!$E:$E)</f>
        <v>286038515</v>
      </c>
      <c r="V51" s="50" t="n">
        <f aca="false">E51-U51</f>
        <v>0</v>
      </c>
      <c r="W51" s="50" t="n">
        <f aca="false">SUMIF('PL_DEC.2026'!$D:$D,$D51,'PL_DEC.2026'!$L:$L)</f>
        <v>271017893</v>
      </c>
      <c r="X51" s="50" t="n">
        <f aca="false">F51-W51</f>
        <v>0</v>
      </c>
    </row>
    <row r="52" customFormat="false" ht="13.5" hidden="false" customHeight="false" outlineLevel="0" collapsed="false">
      <c r="C52" s="52" t="s">
        <v>38</v>
      </c>
      <c r="D52" s="63" t="s">
        <v>335</v>
      </c>
      <c r="E52" s="82" t="n">
        <f aca="false">SUMIF(FS_map!$H:$H,$D52,FS_map!$M:$M)</f>
        <v>52610582</v>
      </c>
      <c r="F52" s="82" t="n">
        <f aca="false">SUMIF(FS_map!$H:$H,$D52,FS_map!$P:$P)</f>
        <v>34644206</v>
      </c>
      <c r="G52" s="82" t="n">
        <f aca="false">F52*12/9</f>
        <v>46192274.6666667</v>
      </c>
      <c r="H52" s="82" t="n">
        <f aca="false">SUMIF(WPL_2025YE!$D:$D,$D52,WPL_2025YE!$AI:$AI)</f>
        <v>88805964</v>
      </c>
      <c r="I52" s="82" t="n">
        <f aca="false">G52-H52</f>
        <v>-42613689.3333333</v>
      </c>
      <c r="J52" s="83" t="n">
        <f aca="false">IFERROR(I52/H52,IF(I52&gt;0,100%,IF(I52=0,0,-100%)))</f>
        <v>-0.479851661013818</v>
      </c>
      <c r="K52" s="56" t="str">
        <f aca="false">IF(AND(ABS(I52)&gt;$K$5,ABS(J52)&gt;5%),"O","")</f>
        <v/>
      </c>
      <c r="L52" s="60"/>
      <c r="M52" s="114" t="n">
        <f aca="false">E52-F52</f>
        <v>17966376</v>
      </c>
      <c r="U52" s="50" t="n">
        <f aca="false">SUMIF('PL_DEC.2026'!$D:$D,$D52,'PL_DEC.2026'!$E:$E)</f>
        <v>52610582</v>
      </c>
      <c r="V52" s="50" t="n">
        <f aca="false">E52-U52</f>
        <v>0</v>
      </c>
      <c r="W52" s="50" t="n">
        <f aca="false">SUMIF('PL_DEC.2026'!$D:$D,$D52,'PL_DEC.2026'!$L:$L)</f>
        <v>34644206</v>
      </c>
      <c r="X52" s="50" t="n">
        <f aca="false">F52-W52</f>
        <v>0</v>
      </c>
    </row>
    <row r="53" customFormat="false" ht="15" hidden="false" customHeight="true" outlineLevel="0" collapsed="false">
      <c r="C53" s="52" t="s">
        <v>42</v>
      </c>
      <c r="D53" s="63" t="s">
        <v>336</v>
      </c>
      <c r="E53" s="82" t="n">
        <f aca="false">SUMIF(FS_map!$H:$H,$D53,FS_map!$M:$M)</f>
        <v>473528691</v>
      </c>
      <c r="F53" s="82" t="n">
        <f aca="false">SUMIF(FS_map!$H:$H,$D53,FS_map!$P:$P)</f>
        <v>473055604</v>
      </c>
      <c r="G53" s="82" t="n">
        <f aca="false">F53*12/9</f>
        <v>630740805.333333</v>
      </c>
      <c r="H53" s="82" t="n">
        <f aca="false">SUMIF(WPL_2025YE!$D:$D,$D53,WPL_2025YE!$AI:$AI)</f>
        <v>327254962</v>
      </c>
      <c r="I53" s="82" t="n">
        <f aca="false">G53-H53</f>
        <v>303485843.333333</v>
      </c>
      <c r="J53" s="83" t="n">
        <f aca="false">IFERROR(I53/H53,IF(I53&gt;0,100%,IF(I53=0,0,-100%)))</f>
        <v>0.927368194751264</v>
      </c>
      <c r="K53" s="56" t="str">
        <f aca="false">IF(AND(ABS(I53)&gt;$K$5,ABS(J53)&gt;5%),"O","")</f>
        <v/>
      </c>
      <c r="L53" s="57" t="s">
        <v>337</v>
      </c>
      <c r="M53" s="114" t="n">
        <f aca="false">E53-F53</f>
        <v>473087</v>
      </c>
      <c r="U53" s="50" t="n">
        <f aca="false">SUMIF('PL_DEC.2026'!$D:$D,$D53,'PL_DEC.2026'!$E:$E)</f>
        <v>473528691</v>
      </c>
      <c r="V53" s="50" t="n">
        <f aca="false">E53-U53</f>
        <v>0</v>
      </c>
      <c r="W53" s="50" t="n">
        <f aca="false">SUMIF('PL_DEC.2026'!$D:$D,$D53,'PL_DEC.2026'!$L:$L)</f>
        <v>473055604</v>
      </c>
      <c r="X53" s="50" t="n">
        <f aca="false">F53-W53</f>
        <v>0</v>
      </c>
    </row>
    <row r="54" customFormat="false" ht="64.5" hidden="false" customHeight="true" outlineLevel="0" collapsed="false">
      <c r="C54" s="52" t="s">
        <v>45</v>
      </c>
      <c r="D54" s="63" t="s">
        <v>338</v>
      </c>
      <c r="E54" s="82" t="n">
        <f aca="false">SUMIF(FS_map!$H:$H,$D54,FS_map!$M:$M)</f>
        <v>1596899456</v>
      </c>
      <c r="F54" s="82" t="n">
        <f aca="false">SUMIF(FS_map!$H:$H,$D54,FS_map!$P:$P)</f>
        <v>1596899456</v>
      </c>
      <c r="G54" s="82" t="n">
        <f aca="false">F54*12/9</f>
        <v>2129199274.66667</v>
      </c>
      <c r="H54" s="82" t="n">
        <f aca="false">SUMIF(WPL_2025YE!$D:$D,$D54,WPL_2025YE!$AI:$AI)</f>
        <v>1464303590</v>
      </c>
      <c r="I54" s="82" t="n">
        <f aca="false">G54-H54</f>
        <v>664895684.666667</v>
      </c>
      <c r="J54" s="83" t="n">
        <f aca="false">IFERROR(I54/H54,IF(I54&gt;0,100%,IF(I54=0,0,-100%)))</f>
        <v>0.454069558531006</v>
      </c>
      <c r="K54" s="56" t="str">
        <f aca="false">IF(AND(ABS(I54)&gt;$K$5,ABS(J54)&gt;5%),"O","")</f>
        <v/>
      </c>
      <c r="L54" s="134" t="s">
        <v>339</v>
      </c>
      <c r="M54" s="114" t="n">
        <f aca="false">E54-F54</f>
        <v>0</v>
      </c>
      <c r="U54" s="50" t="n">
        <f aca="false">SUMIF('PL_DEC.2026'!$D:$D,$D54,'PL_DEC.2026'!$E:$E)</f>
        <v>1596899456</v>
      </c>
      <c r="V54" s="50" t="n">
        <f aca="false">E54-U54</f>
        <v>0</v>
      </c>
      <c r="W54" s="50" t="n">
        <f aca="false">SUMIF('PL_DEC.2026'!$D:$D,$D54,'PL_DEC.2026'!$L:$L)</f>
        <v>1596899456</v>
      </c>
      <c r="X54" s="50" t="n">
        <f aca="false">F54-W54</f>
        <v>0</v>
      </c>
    </row>
    <row r="55" customFormat="false" ht="13.5" hidden="false" customHeight="false" outlineLevel="0" collapsed="false">
      <c r="C55" s="52" t="s">
        <v>49</v>
      </c>
      <c r="D55" s="63" t="s">
        <v>340</v>
      </c>
      <c r="E55" s="82" t="n">
        <f aca="false">SUMIF(FS_map!$H:$H,$D55,FS_map!$M:$M)</f>
        <v>0</v>
      </c>
      <c r="F55" s="82" t="n">
        <f aca="false">SUMIF(FS_map!$H:$H,$D55,FS_map!$P:$P)</f>
        <v>0</v>
      </c>
      <c r="G55" s="82" t="n">
        <f aca="false">F55*12/9</f>
        <v>0</v>
      </c>
      <c r="H55" s="82" t="n">
        <f aca="false">SUMIF(WPL_2025YE!$D:$D,$D55,WPL_2025YE!$AI:$AI)</f>
        <v>0</v>
      </c>
      <c r="I55" s="82" t="n">
        <f aca="false">G55-H55</f>
        <v>0</v>
      </c>
      <c r="J55" s="83" t="n">
        <f aca="false">IFERROR(I55/H55,IF(I55&gt;0,100%,IF(I55=0,0,-100%)))</f>
        <v>0</v>
      </c>
      <c r="K55" s="56" t="str">
        <f aca="false">IF(AND(ABS(I55)&gt;$K$5,ABS(J55)&gt;5%),"O","")</f>
        <v/>
      </c>
      <c r="L55" s="60"/>
      <c r="M55" s="114" t="n">
        <f aca="false">E55-F55</f>
        <v>0</v>
      </c>
      <c r="U55" s="50" t="n">
        <f aca="false">SUMIF('PL_DEC.2026'!$D:$D,$D55,'PL_DEC.2026'!$E:$E)</f>
        <v>0</v>
      </c>
      <c r="V55" s="50" t="n">
        <f aca="false">E55-U55</f>
        <v>0</v>
      </c>
      <c r="W55" s="50" t="n">
        <f aca="false">SUMIF('PL_DEC.2026'!$D:$D,$D55,'PL_DEC.2026'!$L:$L)</f>
        <v>0</v>
      </c>
      <c r="X55" s="50" t="n">
        <f aca="false">F55-W55</f>
        <v>0</v>
      </c>
    </row>
    <row r="56" customFormat="false" ht="13.5" hidden="false" customHeight="false" outlineLevel="0" collapsed="false">
      <c r="C56" s="52" t="s">
        <v>53</v>
      </c>
      <c r="D56" s="63" t="s">
        <v>341</v>
      </c>
      <c r="E56" s="82" t="n">
        <f aca="false">SUMIF(FS_map!$H:$H,$D56,FS_map!$M:$M)</f>
        <v>71728174</v>
      </c>
      <c r="F56" s="82" t="n">
        <f aca="false">SUMIF(FS_map!$H:$H,$D56,FS_map!$P:$P)</f>
        <v>71728174</v>
      </c>
      <c r="G56" s="82" t="n">
        <f aca="false">F56*12/9</f>
        <v>95637565.3333333</v>
      </c>
      <c r="H56" s="82" t="n">
        <f aca="false">SUMIF(WPL_2025YE!$D:$D,$D56,WPL_2025YE!$AI:$AI)</f>
        <v>96139930</v>
      </c>
      <c r="I56" s="82" t="n">
        <f aca="false">G56-H56</f>
        <v>-502364.666666672</v>
      </c>
      <c r="J56" s="83" t="n">
        <f aca="false">IFERROR(I56/H56,IF(I56&gt;0,100%,IF(I56=0,0,-100%)))</f>
        <v>-0.00522534878761272</v>
      </c>
      <c r="K56" s="56" t="str">
        <f aca="false">IF(AND(ABS(I56)&gt;$K$5,ABS(J56)&gt;5%),"O","")</f>
        <v/>
      </c>
      <c r="L56" s="60"/>
      <c r="M56" s="114" t="n">
        <f aca="false">E56-F56</f>
        <v>0</v>
      </c>
      <c r="U56" s="50" t="n">
        <f aca="false">SUMIF('PL_DEC.2026'!$D:$D,$D56,'PL_DEC.2026'!$E:$E)</f>
        <v>71728174</v>
      </c>
      <c r="V56" s="50" t="n">
        <f aca="false">E56-U56</f>
        <v>0</v>
      </c>
      <c r="W56" s="50" t="n">
        <f aca="false">SUMIF('PL_DEC.2026'!$D:$D,$D56,'PL_DEC.2026'!$L:$L)</f>
        <v>71728174</v>
      </c>
      <c r="X56" s="50" t="n">
        <f aca="false">F56-W56</f>
        <v>0</v>
      </c>
    </row>
    <row r="57" customFormat="false" ht="13.5" hidden="false" customHeight="false" outlineLevel="0" collapsed="false">
      <c r="C57" s="52" t="s">
        <v>56</v>
      </c>
      <c r="D57" s="63" t="s">
        <v>342</v>
      </c>
      <c r="E57" s="82" t="n">
        <f aca="false">SUMIF(FS_map!$H:$H,$D57,FS_map!$M:$M)</f>
        <v>16172820</v>
      </c>
      <c r="F57" s="82" t="n">
        <f aca="false">SUMIF(FS_map!$H:$H,$D57,FS_map!$P:$P)</f>
        <v>16172820</v>
      </c>
      <c r="G57" s="82" t="n">
        <f aca="false">F57*12/9</f>
        <v>21563760</v>
      </c>
      <c r="H57" s="82" t="n">
        <f aca="false">SUMIF(WPL_2025YE!$D:$D,$D57,WPL_2025YE!$AI:$AI)</f>
        <v>26593320</v>
      </c>
      <c r="I57" s="82" t="n">
        <f aca="false">G57-H57</f>
        <v>-5029560</v>
      </c>
      <c r="J57" s="83" t="n">
        <f aca="false">IFERROR(I57/H57,IF(I57&gt;0,100%,IF(I57=0,0,-100%)))</f>
        <v>-0.189128698485184</v>
      </c>
      <c r="K57" s="56" t="str">
        <f aca="false">IF(AND(ABS(I57)&gt;$K$5,ABS(J57)&gt;5%),"O","")</f>
        <v/>
      </c>
      <c r="L57" s="60"/>
      <c r="M57" s="114" t="n">
        <f aca="false">E57-F57</f>
        <v>0</v>
      </c>
      <c r="U57" s="50" t="n">
        <f aca="false">SUMIF('PL_DEC.2026'!$D:$D,$D57,'PL_DEC.2026'!$E:$E)</f>
        <v>16172820</v>
      </c>
      <c r="V57" s="50" t="n">
        <f aca="false">E57-U57</f>
        <v>0</v>
      </c>
      <c r="W57" s="50" t="n">
        <f aca="false">SUMIF('PL_DEC.2026'!$D:$D,$D57,'PL_DEC.2026'!$L:$L)</f>
        <v>16172820</v>
      </c>
      <c r="X57" s="50" t="n">
        <f aca="false">F57-W57</f>
        <v>0</v>
      </c>
    </row>
    <row r="58" customFormat="false" ht="13.5" hidden="false" customHeight="false" outlineLevel="0" collapsed="false">
      <c r="C58" s="52" t="s">
        <v>59</v>
      </c>
      <c r="D58" s="63" t="s">
        <v>343</v>
      </c>
      <c r="E58" s="82" t="n">
        <f aca="false">SUMIF(FS_map!$H:$H,$D58,FS_map!$M:$M)</f>
        <v>0</v>
      </c>
      <c r="F58" s="82" t="n">
        <f aca="false">SUMIF(FS_map!$H:$H,$D58,FS_map!$P:$P)</f>
        <v>0</v>
      </c>
      <c r="G58" s="82" t="n">
        <f aca="false">F58*12/9</f>
        <v>0</v>
      </c>
      <c r="H58" s="82" t="n">
        <f aca="false">SUMIF(WPL_2025YE!$D:$D,$D58,WPL_2025YE!$AI:$AI)</f>
        <v>0</v>
      </c>
      <c r="I58" s="82" t="n">
        <f aca="false">G58-H58</f>
        <v>0</v>
      </c>
      <c r="J58" s="83" t="n">
        <f aca="false">IFERROR(I58/H58,IF(I58&gt;0,100%,IF(I58=0,0,-100%)))</f>
        <v>0</v>
      </c>
      <c r="K58" s="56" t="str">
        <f aca="false">IF(AND(ABS(I58)&gt;$K$5,ABS(J58)&gt;5%),"O","")</f>
        <v/>
      </c>
      <c r="L58" s="60"/>
      <c r="M58" s="114" t="n">
        <f aca="false">E58-F58</f>
        <v>0</v>
      </c>
      <c r="U58" s="50" t="n">
        <f aca="false">SUMIF('PL_DEC.2026'!$D:$D,$D58,'PL_DEC.2026'!$E:$E)</f>
        <v>0</v>
      </c>
      <c r="V58" s="50" t="n">
        <f aca="false">E58-U58</f>
        <v>0</v>
      </c>
      <c r="W58" s="50" t="n">
        <f aca="false">SUMIF('PL_DEC.2026'!$D:$D,$D58,'PL_DEC.2026'!$L:$L)</f>
        <v>0</v>
      </c>
      <c r="X58" s="50" t="n">
        <f aca="false">F58-W58</f>
        <v>0</v>
      </c>
    </row>
    <row r="59" customFormat="false" ht="117" hidden="false" customHeight="true" outlineLevel="0" collapsed="false">
      <c r="C59" s="52" t="s">
        <v>63</v>
      </c>
      <c r="D59" s="63" t="s">
        <v>344</v>
      </c>
      <c r="E59" s="82" t="n">
        <f aca="false">SUMIF(FS_map!$H:$H,$D59,FS_map!$M:$M)</f>
        <v>14049051551</v>
      </c>
      <c r="F59" s="82" t="n">
        <f aca="false">SUMIF(FS_map!$H:$H,$D59,FS_map!$P:$P)</f>
        <v>13987368867</v>
      </c>
      <c r="G59" s="82" t="n">
        <f aca="false">F59*12/9</f>
        <v>18649825156</v>
      </c>
      <c r="H59" s="82" t="n">
        <f aca="false">SUMIF(WPL_2025YE!$D:$D,$D59,WPL_2025YE!$AI:$AI)</f>
        <v>10883770009</v>
      </c>
      <c r="I59" s="82" t="n">
        <f aca="false">G59-H59</f>
        <v>7766055147</v>
      </c>
      <c r="J59" s="83" t="n">
        <f aca="false">IFERROR(I59/H59,IF(I59&gt;0,100%,IF(I59=0,0,-100%)))</f>
        <v>0.713544584328601</v>
      </c>
      <c r="K59" s="56" t="str">
        <f aca="false">IF(AND(ABS(I59)&gt;$K$5,ABS(J59)&gt;5%),"O","")</f>
        <v>O</v>
      </c>
      <c r="L59" s="134" t="s">
        <v>345</v>
      </c>
      <c r="M59" s="114" t="n">
        <f aca="false">E59-F59</f>
        <v>61682684</v>
      </c>
      <c r="U59" s="50" t="n">
        <f aca="false">SUMIF('PL_DEC.2026'!$D:$D,$D59,'PL_DEC.2026'!$E:$E)</f>
        <v>14049051551</v>
      </c>
      <c r="V59" s="50" t="n">
        <f aca="false">E59-U59</f>
        <v>0</v>
      </c>
      <c r="W59" s="50" t="n">
        <f aca="false">SUMIF('PL_DEC.2026'!$D:$D,$D59,'PL_DEC.2026'!$L:$L)</f>
        <v>13987368867</v>
      </c>
      <c r="X59" s="50" t="n">
        <f aca="false">F59-W59</f>
        <v>0</v>
      </c>
    </row>
    <row r="60" customFormat="false" ht="15" hidden="false" customHeight="true" outlineLevel="0" collapsed="false">
      <c r="C60" s="52" t="s">
        <v>67</v>
      </c>
      <c r="D60" s="63" t="s">
        <v>346</v>
      </c>
      <c r="E60" s="82" t="n">
        <f aca="false">SUMIF(FS_map!$H:$H,$D60,FS_map!$M:$M)</f>
        <v>1609276386</v>
      </c>
      <c r="F60" s="82" t="n">
        <f aca="false">SUMIF(FS_map!$H:$H,$D60,FS_map!$P:$P)</f>
        <v>1609276386</v>
      </c>
      <c r="G60" s="82" t="n">
        <f aca="false">F60*12/9</f>
        <v>2145701848</v>
      </c>
      <c r="H60" s="82" t="n">
        <f aca="false">SUMIF(WPL_2025YE!$D:$D,$D60,WPL_2025YE!$AI:$AI)</f>
        <v>2776269144</v>
      </c>
      <c r="I60" s="82" t="n">
        <f aca="false">G60-H60</f>
        <v>-630567296</v>
      </c>
      <c r="J60" s="83" t="n">
        <f aca="false">IFERROR(I60/H60,IF(I60&gt;0,100%,IF(I60=0,0,-100%)))</f>
        <v>-0.227127581402821</v>
      </c>
      <c r="K60" s="56" t="str">
        <f aca="false">IF(AND(ABS(I60)&gt;$K$5,ABS(J60)&gt;5%),"O","")</f>
        <v/>
      </c>
      <c r="L60" s="94" t="s">
        <v>347</v>
      </c>
      <c r="M60" s="114" t="n">
        <f aca="false">E60-F60</f>
        <v>0</v>
      </c>
      <c r="U60" s="50" t="n">
        <f aca="false">SUMIF('PL_DEC.2026'!$D:$D,$D60,'PL_DEC.2026'!$E:$E)</f>
        <v>1609276386</v>
      </c>
      <c r="V60" s="50" t="n">
        <f aca="false">E60-U60</f>
        <v>0</v>
      </c>
      <c r="W60" s="50" t="n">
        <f aca="false">SUMIF('PL_DEC.2026'!$D:$D,$D60,'PL_DEC.2026'!$L:$L)</f>
        <v>1609276386</v>
      </c>
      <c r="X60" s="50" t="n">
        <f aca="false">F60-W60</f>
        <v>0</v>
      </c>
    </row>
    <row r="61" customFormat="false" ht="15" hidden="false" customHeight="true" outlineLevel="0" collapsed="false">
      <c r="C61" s="52" t="s">
        <v>205</v>
      </c>
      <c r="D61" s="63" t="s">
        <v>348</v>
      </c>
      <c r="E61" s="82" t="n">
        <f aca="false">SUMIF(FS_map!$H:$H,$D61,FS_map!$M:$M)</f>
        <v>417021348</v>
      </c>
      <c r="F61" s="82" t="n">
        <f aca="false">SUMIF(FS_map!$H:$H,$D61,FS_map!$P:$P)</f>
        <v>409977159</v>
      </c>
      <c r="G61" s="82" t="n">
        <f aca="false">F61*12/9</f>
        <v>546636212</v>
      </c>
      <c r="H61" s="82" t="n">
        <f aca="false">SUMIF(WPL_2025YE!$D:$D,$D61,WPL_2025YE!$AI:$AI)</f>
        <v>799707733</v>
      </c>
      <c r="I61" s="82" t="n">
        <f aca="false">G61-H61</f>
        <v>-253071521</v>
      </c>
      <c r="J61" s="83" t="n">
        <f aca="false">IFERROR(I61/H61,IF(I61&gt;0,100%,IF(I61=0,0,-100%)))</f>
        <v>-0.316455012946586</v>
      </c>
      <c r="K61" s="56" t="str">
        <f aca="false">IF(AND(ABS(I61)&gt;$K$5,ABS(J61)&gt;5%),"O","")</f>
        <v/>
      </c>
      <c r="L61" s="94" t="s">
        <v>349</v>
      </c>
      <c r="M61" s="114" t="n">
        <f aca="false">E61-F61</f>
        <v>7044189</v>
      </c>
      <c r="U61" s="50" t="n">
        <f aca="false">SUMIF('PL_DEC.2026'!$D:$D,$D61,'PL_DEC.2026'!$E:$E)</f>
        <v>417021348</v>
      </c>
      <c r="V61" s="50" t="n">
        <f aca="false">E61-U61</f>
        <v>0</v>
      </c>
      <c r="W61" s="50" t="n">
        <f aca="false">SUMIF('PL_DEC.2026'!$D:$D,$D61,'PL_DEC.2026'!$L:$L)</f>
        <v>409977159</v>
      </c>
      <c r="X61" s="50" t="n">
        <f aca="false">F61-W61</f>
        <v>0</v>
      </c>
    </row>
    <row r="62" customFormat="false" ht="13.5" hidden="false" customHeight="false" outlineLevel="0" collapsed="false">
      <c r="C62" s="52" t="s">
        <v>350</v>
      </c>
      <c r="D62" s="63" t="s">
        <v>351</v>
      </c>
      <c r="E62" s="82" t="n">
        <f aca="false">SUMIF(FS_map!$H:$H,$D62,FS_map!$M:$M)</f>
        <v>0</v>
      </c>
      <c r="F62" s="82" t="n">
        <f aca="false">SUMIF(FS_map!$H:$H,$D62,FS_map!$P:$P)</f>
        <v>0</v>
      </c>
      <c r="G62" s="82" t="n">
        <f aca="false">F62*12/9</f>
        <v>0</v>
      </c>
      <c r="H62" s="82" t="n">
        <f aca="false">SUMIF(WPL_2025YE!$D:$D,$D62,WPL_2025YE!$AI:$AI)</f>
        <v>0</v>
      </c>
      <c r="I62" s="82" t="n">
        <f aca="false">G62-H62</f>
        <v>0</v>
      </c>
      <c r="J62" s="83" t="n">
        <f aca="false">IFERROR(I62/H62,IF(I62&gt;0,100%,IF(I62=0,0,-100%)))</f>
        <v>0</v>
      </c>
      <c r="K62" s="56" t="str">
        <f aca="false">IF(AND(ABS(I62)&gt;$K$5,ABS(J62)&gt;5%),"O","")</f>
        <v/>
      </c>
      <c r="L62" s="60"/>
      <c r="M62" s="114" t="n">
        <f aca="false">E62-F62</f>
        <v>0</v>
      </c>
      <c r="U62" s="50" t="n">
        <f aca="false">SUMIF('PL_DEC.2026'!$D:$D,$D62,'PL_DEC.2026'!$E:$E)</f>
        <v>0</v>
      </c>
      <c r="V62" s="50" t="n">
        <f aca="false">E62-U62</f>
        <v>0</v>
      </c>
      <c r="W62" s="50" t="n">
        <f aca="false">SUMIF('PL_DEC.2026'!$D:$D,$D62,'PL_DEC.2026'!$L:$L)</f>
        <v>0</v>
      </c>
      <c r="X62" s="50" t="n">
        <f aca="false">F62-W62</f>
        <v>0</v>
      </c>
    </row>
    <row r="63" customFormat="false" ht="13.5" hidden="false" customHeight="false" outlineLevel="0" collapsed="false">
      <c r="C63" s="52" t="s">
        <v>352</v>
      </c>
      <c r="D63" s="63" t="s">
        <v>353</v>
      </c>
      <c r="E63" s="82" t="n">
        <f aca="false">SUMIF(FS_map!$H:$H,$D63,FS_map!$M:$M)</f>
        <v>274311</v>
      </c>
      <c r="F63" s="82" t="n">
        <f aca="false">SUMIF(FS_map!$H:$H,$D63,FS_map!$P:$P)</f>
        <v>274311</v>
      </c>
      <c r="G63" s="82" t="n">
        <f aca="false">F63*12/9</f>
        <v>365748</v>
      </c>
      <c r="H63" s="82" t="n">
        <f aca="false">SUMIF(WPL_2025YE!$D:$D,$D63,WPL_2025YE!$AI:$AI)</f>
        <v>1991992</v>
      </c>
      <c r="I63" s="82" t="n">
        <f aca="false">G63-H63</f>
        <v>-1626244</v>
      </c>
      <c r="J63" s="83" t="n">
        <f aca="false">IFERROR(I63/H63,IF(I63&gt;0,100%,IF(I63=0,0,-100%)))</f>
        <v>-0.816390828878831</v>
      </c>
      <c r="K63" s="56" t="str">
        <f aca="false">IF(AND(ABS(I63)&gt;$K$5,ABS(J63)&gt;5%),"O","")</f>
        <v/>
      </c>
      <c r="L63" s="60"/>
      <c r="M63" s="114" t="n">
        <f aca="false">E63-F63</f>
        <v>0</v>
      </c>
      <c r="U63" s="50" t="n">
        <f aca="false">SUMIF('PL_DEC.2026'!$D:$D,$D63,'PL_DEC.2026'!$E:$E)</f>
        <v>274311</v>
      </c>
      <c r="V63" s="50" t="n">
        <f aca="false">E63-U63</f>
        <v>0</v>
      </c>
      <c r="W63" s="50" t="n">
        <f aca="false">SUMIF('PL_DEC.2026'!$D:$D,$D63,'PL_DEC.2026'!$L:$L)</f>
        <v>274311</v>
      </c>
      <c r="X63" s="50" t="n">
        <f aca="false">F63-W63</f>
        <v>0</v>
      </c>
    </row>
    <row r="64" customFormat="false" ht="51.75" hidden="false" customHeight="true" outlineLevel="0" collapsed="false">
      <c r="C64" s="52" t="s">
        <v>354</v>
      </c>
      <c r="D64" s="63" t="s">
        <v>355</v>
      </c>
      <c r="E64" s="82" t="n">
        <f aca="false">SUMIF(FS_map!$H:$H,$D64,FS_map!$M:$M)</f>
        <v>13638965984</v>
      </c>
      <c r="F64" s="82" t="n">
        <f aca="false">SUMIF(FS_map!$H:$H,$D64,FS_map!$P:$P)</f>
        <v>324767226</v>
      </c>
      <c r="G64" s="82" t="n">
        <f aca="false">F64*12/9</f>
        <v>433022968</v>
      </c>
      <c r="H64" s="82" t="n">
        <f aca="false">SUMIF(WPL_2025YE!$D:$D,$D64,WPL_2025YE!$AI:$AI)</f>
        <v>2352493481</v>
      </c>
      <c r="I64" s="82" t="n">
        <f aca="false">G64-H64</f>
        <v>-1919470513</v>
      </c>
      <c r="J64" s="83" t="n">
        <f aca="false">IFERROR(I64/H64,IF(I64&gt;0,100%,IF(I64=0,0,-100%)))</f>
        <v>-0.81593021553627</v>
      </c>
      <c r="K64" s="56" t="str">
        <f aca="false">IF(AND(ABS(I64)&gt;$K$5,ABS(J64)&gt;5%),"O","")</f>
        <v/>
      </c>
      <c r="L64" s="134" t="s">
        <v>356</v>
      </c>
      <c r="M64" s="114" t="n">
        <f aca="false">E64-F64</f>
        <v>13314198758</v>
      </c>
      <c r="U64" s="50" t="n">
        <f aca="false">SUMIF('PL_DEC.2026'!$D:$D,$D64,'PL_DEC.2026'!$E:$E)</f>
        <v>13638965984</v>
      </c>
      <c r="V64" s="50" t="n">
        <f aca="false">E64-U64</f>
        <v>0</v>
      </c>
      <c r="W64" s="50" t="n">
        <f aca="false">SUMIF('PL_DEC.2026'!$D:$D,$D64,'PL_DEC.2026'!$L:$L)</f>
        <v>324767226</v>
      </c>
      <c r="X64" s="50" t="n">
        <f aca="false">F64-W64</f>
        <v>0</v>
      </c>
    </row>
    <row r="65" customFormat="false" ht="15" hidden="false" customHeight="true" outlineLevel="0" collapsed="false">
      <c r="C65" s="52" t="s">
        <v>357</v>
      </c>
      <c r="D65" s="63" t="s">
        <v>358</v>
      </c>
      <c r="E65" s="82" t="n">
        <f aca="false">SUMIF(FS_map!$H:$H,$D65,FS_map!$M:$M)</f>
        <v>494263895</v>
      </c>
      <c r="F65" s="82" t="n">
        <f aca="false">SUMIF(FS_map!$H:$H,$D65,FS_map!$P:$P)</f>
        <v>494263895</v>
      </c>
      <c r="G65" s="82" t="n">
        <f aca="false">F65*12/9</f>
        <v>659018526.666667</v>
      </c>
      <c r="H65" s="82" t="n">
        <f aca="false">SUMIF(WPL_2025YE!$D:$D,$D65,WPL_2025YE!$AI:$AI)</f>
        <v>1118402963</v>
      </c>
      <c r="I65" s="82" t="n">
        <f aca="false">G65-H65</f>
        <v>-459384436.333333</v>
      </c>
      <c r="J65" s="83" t="n">
        <f aca="false">IFERROR(I65/H65,IF(I65&gt;0,100%,IF(I65=0,0,-100%)))</f>
        <v>-0.410750374892679</v>
      </c>
      <c r="K65" s="56" t="str">
        <f aca="false">IF(AND(ABS(I65)&gt;$K$5,ABS(J65)&gt;5%),"O","")</f>
        <v/>
      </c>
      <c r="L65" s="134" t="s">
        <v>359</v>
      </c>
      <c r="M65" s="114" t="n">
        <f aca="false">E65-F65</f>
        <v>0</v>
      </c>
      <c r="U65" s="50" t="n">
        <f aca="false">SUMIF('PL_DEC.2026'!$D:$D,$D65,'PL_DEC.2026'!$E:$E)</f>
        <v>494263895</v>
      </c>
      <c r="V65" s="50" t="n">
        <f aca="false">E65-U65</f>
        <v>0</v>
      </c>
      <c r="W65" s="50" t="n">
        <f aca="false">SUMIF('PL_DEC.2026'!$D:$D,$D65,'PL_DEC.2026'!$L:$L)</f>
        <v>494263895</v>
      </c>
      <c r="X65" s="50" t="n">
        <f aca="false">F65-W65</f>
        <v>0</v>
      </c>
    </row>
    <row r="66" customFormat="false" ht="51.75" hidden="false" customHeight="true" outlineLevel="0" collapsed="false">
      <c r="C66" s="52" t="s">
        <v>360</v>
      </c>
      <c r="D66" s="63" t="s">
        <v>361</v>
      </c>
      <c r="E66" s="82" t="n">
        <f aca="false">SUMIF(FS_map!$H:$H,$D66,FS_map!$M:$M)</f>
        <v>943115504</v>
      </c>
      <c r="F66" s="82" t="n">
        <f aca="false">SUMIF(FS_map!$H:$H,$D66,FS_map!$P:$P)</f>
        <v>-3034833479</v>
      </c>
      <c r="G66" s="82" t="n">
        <f aca="false">F66*12/9</f>
        <v>-4046444638.66667</v>
      </c>
      <c r="H66" s="82" t="n">
        <f aca="false">SUMIF(WPL_2025YE!$D:$D,$D66,WPL_2025YE!$AI:$AI)</f>
        <v>1412322391</v>
      </c>
      <c r="I66" s="82" t="n">
        <f aca="false">G66-H66</f>
        <v>-5458767029.66667</v>
      </c>
      <c r="J66" s="83" t="n">
        <f aca="false">IFERROR(I66/H66,IF(I66&gt;0,100%,IF(I66=0,0,-100%)))</f>
        <v>-3.86509982738542</v>
      </c>
      <c r="K66" s="56" t="str">
        <f aca="false">IF(AND(ABS(I66)&gt;$K$5,ABS(J66)&gt;5%),"O","")</f>
        <v/>
      </c>
      <c r="L66" s="58" t="s">
        <v>362</v>
      </c>
      <c r="M66" s="114" t="n">
        <f aca="false">E66-F66</f>
        <v>3977948983</v>
      </c>
      <c r="U66" s="50" t="n">
        <f aca="false">SUMIF('PL_DEC.2026'!$D:$D,$D66,'PL_DEC.2026'!$E:$E)</f>
        <v>943115504</v>
      </c>
      <c r="V66" s="50" t="n">
        <f aca="false">E66-U66</f>
        <v>0</v>
      </c>
      <c r="W66" s="50" t="n">
        <f aca="false">SUMIF('PL_DEC.2026'!$D:$D,$D66,'PL_DEC.2026'!$L:$L)</f>
        <v>-3034833479</v>
      </c>
      <c r="X66" s="50" t="n">
        <f aca="false">F66-W66</f>
        <v>0</v>
      </c>
    </row>
    <row r="67" customFormat="false" ht="13.5" hidden="false" customHeight="false" outlineLevel="0" collapsed="false">
      <c r="C67" s="52" t="s">
        <v>363</v>
      </c>
      <c r="D67" s="63" t="s">
        <v>364</v>
      </c>
      <c r="E67" s="82" t="n">
        <f aca="false">SUMIF(FS_map!$H:$H,$D67,FS_map!$M:$M)</f>
        <v>137743628</v>
      </c>
      <c r="F67" s="82" t="n">
        <f aca="false">SUMIF(FS_map!$H:$H,$D67,FS_map!$P:$P)</f>
        <v>131269624</v>
      </c>
      <c r="G67" s="82" t="n">
        <f aca="false">F67*12/9</f>
        <v>175026165.333333</v>
      </c>
      <c r="H67" s="82" t="n">
        <f aca="false">SUMIF(WPL_2025YE!$D:$D,$D67,WPL_2025YE!$AI:$AI)</f>
        <v>229334737</v>
      </c>
      <c r="I67" s="82" t="n">
        <f aca="false">G67-H67</f>
        <v>-54308571.6666667</v>
      </c>
      <c r="J67" s="83" t="n">
        <f aca="false">IFERROR(I67/H67,IF(I67&gt;0,100%,IF(I67=0,0,-100%)))</f>
        <v>-0.236809182843795</v>
      </c>
      <c r="K67" s="56" t="str">
        <f aca="false">IF(AND(ABS(I67)&gt;$K$5,ABS(J67)&gt;5%),"O","")</f>
        <v/>
      </c>
      <c r="L67" s="60"/>
      <c r="M67" s="114" t="n">
        <f aca="false">E67-F67</f>
        <v>6474004</v>
      </c>
      <c r="U67" s="50" t="n">
        <f aca="false">SUMIF('PL_DEC.2026'!$D:$D,$D67,'PL_DEC.2026'!$E:$E)</f>
        <v>137743628</v>
      </c>
      <c r="V67" s="50" t="n">
        <f aca="false">E67-U67</f>
        <v>0</v>
      </c>
      <c r="W67" s="50" t="n">
        <f aca="false">SUMIF('PL_DEC.2026'!$D:$D,$D67,'PL_DEC.2026'!$L:$L)</f>
        <v>131269624</v>
      </c>
      <c r="X67" s="50" t="n">
        <f aca="false">F67-W67</f>
        <v>0</v>
      </c>
    </row>
    <row r="68" customFormat="false" ht="13.5" hidden="false" customHeight="false" outlineLevel="0" collapsed="false">
      <c r="C68" s="52" t="s">
        <v>365</v>
      </c>
      <c r="D68" s="63" t="s">
        <v>366</v>
      </c>
      <c r="E68" s="82" t="n">
        <f aca="false">SUMIF(FS_map!$H:$H,$D68,FS_map!$M:$M)</f>
        <v>0</v>
      </c>
      <c r="F68" s="82" t="n">
        <f aca="false">SUMIF(FS_map!$H:$H,$D68,FS_map!$P:$P)</f>
        <v>0</v>
      </c>
      <c r="G68" s="82" t="n">
        <f aca="false">F68*12/9</f>
        <v>0</v>
      </c>
      <c r="H68" s="82" t="n">
        <f aca="false">SUMIF(WPL_2025YE!$D:$D,$D68,WPL_2025YE!$AI:$AI)</f>
        <v>0</v>
      </c>
      <c r="I68" s="82" t="n">
        <f aca="false">G68-H68</f>
        <v>0</v>
      </c>
      <c r="J68" s="83" t="n">
        <f aca="false">IFERROR(I68/H68,IF(I68&gt;0,100%,IF(I68=0,0,-100%)))</f>
        <v>0</v>
      </c>
      <c r="K68" s="56" t="str">
        <f aca="false">IF(AND(ABS(I68)&gt;$K$5,ABS(J68)&gt;5%),"O","")</f>
        <v/>
      </c>
      <c r="L68" s="60"/>
      <c r="M68" s="114" t="n">
        <f aca="false">E68-F68</f>
        <v>0</v>
      </c>
      <c r="U68" s="50" t="n">
        <f aca="false">SUMIF('PL_DEC.2026'!$D:$D,$D68,'PL_DEC.2026'!$E:$E)</f>
        <v>0</v>
      </c>
      <c r="V68" s="50" t="n">
        <f aca="false">E68-U68</f>
        <v>0</v>
      </c>
      <c r="W68" s="50" t="n">
        <f aca="false">SUMIF('PL_DEC.2026'!$D:$D,$D68,'PL_DEC.2026'!$L:$L)</f>
        <v>0</v>
      </c>
      <c r="X68" s="50" t="n">
        <f aca="false">F68-W68</f>
        <v>0</v>
      </c>
    </row>
    <row r="69" customFormat="false" ht="13.5" hidden="false" customHeight="false" outlineLevel="0" collapsed="false">
      <c r="C69" s="52" t="s">
        <v>367</v>
      </c>
      <c r="D69" s="63" t="s">
        <v>368</v>
      </c>
      <c r="E69" s="82" t="n">
        <f aca="false">SUMIF(FS_map!$H:$H,$D69,FS_map!$M:$M)</f>
        <v>0</v>
      </c>
      <c r="F69" s="82" t="n">
        <f aca="false">SUMIF(FS_map!$H:$H,$D69,FS_map!$P:$P)</f>
        <v>0</v>
      </c>
      <c r="G69" s="82" t="n">
        <f aca="false">F69*12/9</f>
        <v>0</v>
      </c>
      <c r="H69" s="82" t="n">
        <f aca="false">SUMIF(WPL_2025YE!$D:$D,$D69,WPL_2025YE!$AI:$AI)</f>
        <v>0</v>
      </c>
      <c r="I69" s="82" t="n">
        <f aca="false">G69-H69</f>
        <v>0</v>
      </c>
      <c r="J69" s="83" t="n">
        <f aca="false">IFERROR(I69/H69,IF(I69&gt;0,100%,IF(I69=0,0,-100%)))</f>
        <v>0</v>
      </c>
      <c r="K69" s="56" t="str">
        <f aca="false">IF(AND(ABS(I69)&gt;$K$5,ABS(J69)&gt;5%),"O","")</f>
        <v/>
      </c>
      <c r="L69" s="60"/>
      <c r="M69" s="114" t="n">
        <f aca="false">E69-F69</f>
        <v>0</v>
      </c>
      <c r="U69" s="50" t="n">
        <f aca="false">SUMIF('PL_DEC.2026'!$D:$D,$D69,'PL_DEC.2026'!$E:$E)</f>
        <v>0</v>
      </c>
      <c r="V69" s="50" t="n">
        <f aca="false">E69-U69</f>
        <v>0</v>
      </c>
      <c r="W69" s="50" t="n">
        <f aca="false">SUMIF('PL_DEC.2026'!$D:$D,$D69,'PL_DEC.2026'!$L:$L)</f>
        <v>0</v>
      </c>
      <c r="X69" s="50" t="n">
        <f aca="false">F69-W69</f>
        <v>0</v>
      </c>
    </row>
    <row r="70" customFormat="false" ht="13.5" hidden="false" customHeight="false" outlineLevel="0" collapsed="false">
      <c r="C70" s="52" t="s">
        <v>369</v>
      </c>
      <c r="D70" s="63" t="s">
        <v>370</v>
      </c>
      <c r="E70" s="82" t="n">
        <f aca="false">SUMIF(FS_map!$H:$H,$D70,FS_map!$M:$M)</f>
        <v>0</v>
      </c>
      <c r="F70" s="82" t="n">
        <f aca="false">SUMIF(FS_map!$H:$H,$D70,FS_map!$P:$P)</f>
        <v>0</v>
      </c>
      <c r="G70" s="82" t="n">
        <f aca="false">F70*12/9</f>
        <v>0</v>
      </c>
      <c r="H70" s="82" t="n">
        <f aca="false">SUMIF(WPL_2025YE!$D:$D,$D70,WPL_2025YE!$AI:$AI)</f>
        <v>0</v>
      </c>
      <c r="I70" s="82" t="n">
        <f aca="false">G70-H70</f>
        <v>0</v>
      </c>
      <c r="J70" s="83" t="n">
        <f aca="false">IFERROR(I70/H70,IF(I70&gt;0,100%,IF(I70=0,0,-100%)))</f>
        <v>0</v>
      </c>
      <c r="K70" s="56" t="str">
        <f aca="false">IF(AND(ABS(I70)&gt;$K$5,ABS(J70)&gt;5%),"O","")</f>
        <v/>
      </c>
      <c r="L70" s="60"/>
      <c r="M70" s="114" t="n">
        <f aca="false">E70-F70</f>
        <v>0</v>
      </c>
      <c r="U70" s="50" t="n">
        <f aca="false">SUMIF('PL_DEC.2026'!$D:$D,$D70,'PL_DEC.2026'!$E:$E)</f>
        <v>0</v>
      </c>
      <c r="V70" s="50" t="n">
        <f aca="false">E70-U70</f>
        <v>0</v>
      </c>
      <c r="W70" s="50" t="n">
        <f aca="false">SUMIF('PL_DEC.2026'!$D:$D,$D70,'PL_DEC.2026'!$L:$L)</f>
        <v>0</v>
      </c>
      <c r="X70" s="50" t="n">
        <f aca="false">F70-W70</f>
        <v>0</v>
      </c>
    </row>
    <row r="71" customFormat="false" ht="13.5" hidden="false" customHeight="false" outlineLevel="0" collapsed="false">
      <c r="C71" s="52" t="s">
        <v>371</v>
      </c>
      <c r="D71" s="63" t="s">
        <v>372</v>
      </c>
      <c r="E71" s="82" t="n">
        <f aca="false">SUMIF(FS_map!$H:$H,$D71,FS_map!$M:$M)</f>
        <v>0</v>
      </c>
      <c r="F71" s="82" t="n">
        <f aca="false">SUMIF(FS_map!$H:$H,$D71,FS_map!$P:$P)</f>
        <v>0</v>
      </c>
      <c r="G71" s="82" t="n">
        <f aca="false">F71*12/9</f>
        <v>0</v>
      </c>
      <c r="H71" s="82" t="n">
        <f aca="false">SUMIF(WPL_2025YE!$D:$D,$D71,WPL_2025YE!$AI:$AI)</f>
        <v>0</v>
      </c>
      <c r="I71" s="82" t="n">
        <f aca="false">G71-H71</f>
        <v>0</v>
      </c>
      <c r="J71" s="83" t="n">
        <f aca="false">IFERROR(I71/H71,IF(I71&gt;0,100%,IF(I71=0,0,-100%)))</f>
        <v>0</v>
      </c>
      <c r="K71" s="56" t="str">
        <f aca="false">IF(AND(ABS(I71)&gt;$K$5,ABS(J71)&gt;5%),"O","")</f>
        <v/>
      </c>
      <c r="L71" s="60"/>
      <c r="M71" s="114" t="n">
        <f aca="false">E71-F71</f>
        <v>0</v>
      </c>
      <c r="P71" s="2"/>
      <c r="Q71" s="2"/>
      <c r="T71" s="2"/>
      <c r="U71" s="50" t="n">
        <f aca="false">SUMIF('PL_DEC.2026'!$D:$D,$D71,'PL_DEC.2026'!$E:$E)</f>
        <v>0</v>
      </c>
      <c r="V71" s="50" t="n">
        <f aca="false">E71-U71</f>
        <v>0</v>
      </c>
      <c r="W71" s="50" t="n">
        <f aca="false">SUMIF('PL_DEC.2026'!$D:$D,$D71,'PL_DEC.2026'!$L:$L)</f>
        <v>0</v>
      </c>
      <c r="X71" s="50" t="n">
        <f aca="false">F71-W71</f>
        <v>0</v>
      </c>
    </row>
    <row r="72" customFormat="false" ht="15" hidden="false" customHeight="true" outlineLevel="0" collapsed="false">
      <c r="C72" s="52" t="s">
        <v>373</v>
      </c>
      <c r="D72" s="63" t="s">
        <v>374</v>
      </c>
      <c r="E72" s="82" t="n">
        <f aca="false">SUMIF(FS_map!$H:$H,$D72,FS_map!$M:$M)</f>
        <v>-4124609</v>
      </c>
      <c r="F72" s="82" t="n">
        <f aca="false">SUMIF(FS_map!$H:$H,$D72,FS_map!$P:$P)</f>
        <v>-4124609</v>
      </c>
      <c r="G72" s="82" t="n">
        <f aca="false">F72*12/9</f>
        <v>-5499478.66666667</v>
      </c>
      <c r="H72" s="82" t="n">
        <f aca="false">SUMIF(WPL_2025YE!$D:$D,$D72,WPL_2025YE!$AI:$AI)</f>
        <v>61130717</v>
      </c>
      <c r="I72" s="82" t="n">
        <f aca="false">G72-H72</f>
        <v>-66630195.6666667</v>
      </c>
      <c r="J72" s="83" t="n">
        <f aca="false">IFERROR(I72/H72,IF(I72&gt;0,100%,IF(I72=0,0,-100%)))</f>
        <v>-1.08996260696021</v>
      </c>
      <c r="K72" s="56" t="str">
        <f aca="false">IF(AND(ABS(I72)&gt;$K$5,ABS(J72)&gt;5%),"O","")</f>
        <v/>
      </c>
      <c r="L72" s="57" t="s">
        <v>375</v>
      </c>
      <c r="M72" s="114" t="n">
        <f aca="false">E72-F72</f>
        <v>0</v>
      </c>
      <c r="P72" s="2"/>
      <c r="Q72" s="2"/>
      <c r="S72" s="2"/>
      <c r="T72" s="2"/>
      <c r="U72" s="50" t="n">
        <f aca="false">SUMIF('PL_DEC.2026'!$D:$D,$D72,'PL_DEC.2026'!$E:$E)</f>
        <v>-4124609</v>
      </c>
      <c r="V72" s="50" t="n">
        <f aca="false">E72-U72</f>
        <v>0</v>
      </c>
      <c r="W72" s="50" t="n">
        <f aca="false">SUMIF('PL_DEC.2026'!$D:$D,$D72,'PL_DEC.2026'!$L:$L)</f>
        <v>-4124609</v>
      </c>
      <c r="X72" s="50" t="n">
        <f aca="false">F72-W72</f>
        <v>0</v>
      </c>
    </row>
    <row r="73" customFormat="false" ht="13.5" hidden="false" customHeight="false" outlineLevel="0" collapsed="false">
      <c r="C73" s="52" t="s">
        <v>376</v>
      </c>
      <c r="D73" s="63" t="s">
        <v>377</v>
      </c>
      <c r="E73" s="82" t="n">
        <f aca="false">SUMIF(FS_map!$H:$H,$D73,FS_map!$M:$M)</f>
        <v>0</v>
      </c>
      <c r="F73" s="82" t="n">
        <f aca="false">SUMIF(FS_map!$H:$H,$D73,FS_map!$P:$P)</f>
        <v>0</v>
      </c>
      <c r="G73" s="82" t="n">
        <f aca="false">F73*12/9</f>
        <v>0</v>
      </c>
      <c r="H73" s="82" t="n">
        <f aca="false">SUMIF(WPL_2025YE!$D:$D,$D73,WPL_2025YE!$AI:$AI)</f>
        <v>0</v>
      </c>
      <c r="I73" s="82" t="n">
        <f aca="false">G73-H73</f>
        <v>0</v>
      </c>
      <c r="J73" s="83" t="n">
        <f aca="false">IFERROR(I73/H73,IF(I73&gt;0,100%,IF(I73=0,0,-100%)))</f>
        <v>0</v>
      </c>
      <c r="K73" s="56" t="str">
        <f aca="false">IF(AND(ABS(I73)&gt;$K$5,ABS(J73)&gt;5%),"O","")</f>
        <v/>
      </c>
      <c r="L73" s="60"/>
      <c r="M73" s="114" t="n">
        <f aca="false">E73-F73</f>
        <v>0</v>
      </c>
      <c r="R73" s="161"/>
      <c r="S73" s="161"/>
      <c r="T73" s="161"/>
      <c r="U73" s="50" t="n">
        <f aca="false">SUMIF('PL_DEC.2026'!$D:$D,$D73,'PL_DEC.2026'!$E:$E)</f>
        <v>0</v>
      </c>
      <c r="V73" s="50" t="n">
        <f aca="false">E73-U73</f>
        <v>0</v>
      </c>
      <c r="W73" s="50" t="n">
        <f aca="false">SUMIF('PL_DEC.2026'!$D:$D,$D73,'PL_DEC.2026'!$L:$L)</f>
        <v>0</v>
      </c>
      <c r="X73" s="50" t="n">
        <f aca="false">F73-W73</f>
        <v>0</v>
      </c>
    </row>
    <row r="74" customFormat="false" ht="13.5" hidden="false" customHeight="false" outlineLevel="0" collapsed="false">
      <c r="C74" s="52" t="s">
        <v>378</v>
      </c>
      <c r="D74" s="43"/>
      <c r="E74" s="148" t="n">
        <f aca="false">SUMIF(FS_map!$H:$H,"판매 및 일반관리비 대체",FS_map!$M:$M)</f>
        <v>0</v>
      </c>
      <c r="F74" s="148" t="n">
        <f aca="false">SUMIF(FS_map!$H:$H,"판매 및 일반관리비 대체",FS_map!$P:$P)</f>
        <v>0</v>
      </c>
      <c r="G74" s="148" t="n">
        <f aca="false">F74*12/9</f>
        <v>0</v>
      </c>
      <c r="H74" s="148" t="n">
        <f aca="false">WPL_2025YE!AI60</f>
        <v>0</v>
      </c>
      <c r="I74" s="148" t="n">
        <f aca="false">G74-H74</f>
        <v>0</v>
      </c>
      <c r="J74" s="149" t="n">
        <f aca="false">IFERROR(I74/H74,IF(I74&gt;0,100%,IF(I74=0,0,-100%)))</f>
        <v>0</v>
      </c>
      <c r="K74" s="150" t="str">
        <f aca="false">IF(AND(ABS(I74)&gt;$K$5,ABS(J74)&gt;5%),"O","")</f>
        <v/>
      </c>
      <c r="L74" s="151"/>
      <c r="M74" s="114" t="n">
        <f aca="false">E74-F74</f>
        <v>0</v>
      </c>
      <c r="P74" s="162"/>
      <c r="Q74" s="162"/>
      <c r="R74" s="162"/>
      <c r="S74" s="162"/>
      <c r="T74" s="162"/>
      <c r="U74" s="50" t="n">
        <f aca="false">0</f>
        <v>0</v>
      </c>
      <c r="V74" s="50" t="n">
        <f aca="false">E74-U74</f>
        <v>0</v>
      </c>
      <c r="W74" s="50" t="n">
        <f aca="false">0</f>
        <v>0</v>
      </c>
      <c r="X74" s="50" t="n">
        <f aca="false">F74-W74</f>
        <v>0</v>
      </c>
    </row>
    <row r="75" customFormat="false" ht="14.25" hidden="false" customHeight="true" outlineLevel="0" collapsed="false">
      <c r="C75" s="157" t="s">
        <v>379</v>
      </c>
      <c r="D75" s="158"/>
      <c r="E75" s="76" t="n">
        <f aca="false">+E32-E33</f>
        <v>40850536324</v>
      </c>
      <c r="F75" s="76" t="n">
        <f aca="false">+F32-F33</f>
        <v>61594872640</v>
      </c>
      <c r="G75" s="76" t="n">
        <f aca="false">F75*12/9</f>
        <v>82126496853.3333</v>
      </c>
      <c r="H75" s="76" t="n">
        <f aca="false">+H32-H33</f>
        <v>29481784272</v>
      </c>
      <c r="I75" s="76" t="n">
        <f aca="false">G75-H75</f>
        <v>52644712581.3333</v>
      </c>
      <c r="J75" s="77" t="n">
        <f aca="false">IFERROR(I75/H75,IF(I75&gt;0,100%,IF(I75=0,0,-100%)))</f>
        <v>1.78566914728197</v>
      </c>
      <c r="K75" s="78"/>
      <c r="L75" s="79"/>
      <c r="M75" s="114" t="n">
        <f aca="false">E75-F75</f>
        <v>-20744336316</v>
      </c>
      <c r="N75" s="163"/>
      <c r="P75" s="162"/>
      <c r="Q75" s="162"/>
      <c r="R75" s="162"/>
      <c r="S75" s="162"/>
      <c r="T75" s="162"/>
      <c r="U75" s="50" t="n">
        <f aca="false">+U32-U33</f>
        <v>40850536324</v>
      </c>
      <c r="V75" s="50" t="n">
        <f aca="false">E75-U75</f>
        <v>0</v>
      </c>
      <c r="W75" s="50" t="n">
        <f aca="false">+W32-W33</f>
        <v>61186829615</v>
      </c>
      <c r="X75" s="50" t="n">
        <f aca="false">F75-W75</f>
        <v>408043025</v>
      </c>
    </row>
    <row r="76" customFormat="false" ht="15" hidden="false" customHeight="true" outlineLevel="0" collapsed="false">
      <c r="C76" s="42" t="s">
        <v>380</v>
      </c>
      <c r="D76" s="43"/>
      <c r="E76" s="44" t="n">
        <f aca="false">SUM(E77:E90)</f>
        <v>21799718927</v>
      </c>
      <c r="F76" s="44" t="n">
        <f aca="false">SUM(F77:F90)</f>
        <v>1055382611</v>
      </c>
      <c r="G76" s="44" t="n">
        <f aca="false">F76*12/9</f>
        <v>1407176814.66667</v>
      </c>
      <c r="H76" s="44" t="n">
        <f aca="false">SUM(H77:H90)</f>
        <v>19209610002</v>
      </c>
      <c r="I76" s="44" t="n">
        <f aca="false">G76-H76</f>
        <v>-17802433187.3333</v>
      </c>
      <c r="J76" s="45" t="n">
        <f aca="false">IFERROR(I76/H76,IF(I76&gt;0,100%,IF(I76=0,0,-100%)))</f>
        <v>-0.926746205960446</v>
      </c>
      <c r="K76" s="46" t="str">
        <f aca="false">IF(AND(ABS(I76)&gt;$K$5,ABS(J76)&gt;5%),"O","")</f>
        <v>O</v>
      </c>
      <c r="L76" s="62" t="s">
        <v>381</v>
      </c>
      <c r="M76" s="114" t="n">
        <f aca="false">E76-F76</f>
        <v>20744336316</v>
      </c>
      <c r="N76" s="107"/>
      <c r="P76" s="164"/>
      <c r="Q76" s="164"/>
      <c r="R76" s="164"/>
      <c r="S76" s="164"/>
      <c r="T76" s="164"/>
      <c r="U76" s="50" t="n">
        <f aca="false">SUM(U77:U90)</f>
        <v>21799718927</v>
      </c>
      <c r="V76" s="50" t="n">
        <f aca="false">E76-U76</f>
        <v>0</v>
      </c>
      <c r="W76" s="50" t="n">
        <f aca="false">SUM(W77:W90)</f>
        <v>954170351</v>
      </c>
      <c r="X76" s="50" t="n">
        <f aca="false">F76-W76</f>
        <v>101212260</v>
      </c>
    </row>
    <row r="77" customFormat="false" ht="13.5" hidden="false" customHeight="false" outlineLevel="0" collapsed="false">
      <c r="C77" s="52" t="s">
        <v>26</v>
      </c>
      <c r="D77" s="63" t="s">
        <v>382</v>
      </c>
      <c r="E77" s="82" t="n">
        <f aca="false">-SUMIF(FS_map!$H:$H,$D77,FS_map!$M:$M)</f>
        <v>201226458</v>
      </c>
      <c r="F77" s="82" t="n">
        <f aca="false">-SUMIF(FS_map!$H:$H,$D77,FS_map!$P:$P)</f>
        <v>201226458</v>
      </c>
      <c r="G77" s="82" t="n">
        <f aca="false">F77*12/9</f>
        <v>268301944</v>
      </c>
      <c r="H77" s="82" t="n">
        <f aca="false">SUMIF(WPL_2025YE!$D:$D,$D77,WPL_2025YE!$AI:$AI)</f>
        <v>238441022</v>
      </c>
      <c r="I77" s="82" t="n">
        <f aca="false">G77-H77</f>
        <v>29860922</v>
      </c>
      <c r="J77" s="83" t="n">
        <f aca="false">IFERROR(I77/H77,IF(I77&gt;0,100%,IF(I77=0,0,-100%)))</f>
        <v>0.125233996019359</v>
      </c>
      <c r="K77" s="56" t="str">
        <f aca="false">IF(AND(ABS(I77)&gt;$K$5,ABS(J77)&gt;5%),"O","")</f>
        <v/>
      </c>
      <c r="L77" s="60"/>
      <c r="M77" s="114" t="n">
        <f aca="false">E77-F77</f>
        <v>0</v>
      </c>
      <c r="U77" s="50" t="n">
        <f aca="false">SUMIF('PL_DEC.2026'!$D:$D,$D77,'PL_DEC.2026'!$E:$E)</f>
        <v>201226458</v>
      </c>
      <c r="V77" s="50" t="n">
        <f aca="false">E77-U77</f>
        <v>0</v>
      </c>
      <c r="W77" s="50" t="n">
        <f aca="false">SUMIF('PL_DEC.2026'!$D:$D,$D77,'PL_DEC.2026'!$L:$L)</f>
        <v>201226458</v>
      </c>
      <c r="X77" s="50" t="n">
        <f aca="false">F77-W77</f>
        <v>0</v>
      </c>
    </row>
    <row r="78" customFormat="false" ht="13.5" hidden="false" customHeight="false" outlineLevel="0" collapsed="false">
      <c r="C78" s="52" t="s">
        <v>30</v>
      </c>
      <c r="D78" s="63" t="s">
        <v>383</v>
      </c>
      <c r="E78" s="82" t="n">
        <f aca="false">-SUMIF(FS_map!$H:$H,$D78,FS_map!$M:$M)</f>
        <v>-0</v>
      </c>
      <c r="F78" s="82" t="n">
        <f aca="false">-SUMIF(FS_map!$H:$H,$D78,FS_map!$P:$P)</f>
        <v>-0</v>
      </c>
      <c r="G78" s="82" t="n">
        <f aca="false">F78*12/9</f>
        <v>-0</v>
      </c>
      <c r="H78" s="82" t="n">
        <f aca="false">SUMIF(WPL_2025YE!$D:$D,$D78,WPL_2025YE!$AI:$AI)</f>
        <v>0</v>
      </c>
      <c r="I78" s="82" t="n">
        <f aca="false">G78-H78</f>
        <v>-0</v>
      </c>
      <c r="J78" s="83" t="n">
        <f aca="false">IFERROR(I78/H78,IF(I78&gt;0,100%,IF(I78=0,0,-100%)))</f>
        <v>0</v>
      </c>
      <c r="K78" s="56" t="str">
        <f aca="false">IF(AND(ABS(I78)&gt;$K$5,ABS(J78)&gt;5%),"O","")</f>
        <v/>
      </c>
      <c r="L78" s="60"/>
      <c r="M78" s="114" t="n">
        <f aca="false">E78-F78</f>
        <v>0</v>
      </c>
      <c r="P78" s="104"/>
      <c r="U78" s="50" t="n">
        <f aca="false">SUMIF('PL_DEC.2026'!$D:$D,$D78,'PL_DEC.2026'!$E:$E)</f>
        <v>0</v>
      </c>
      <c r="V78" s="50" t="n">
        <f aca="false">E78-U78</f>
        <v>-0</v>
      </c>
      <c r="W78" s="50" t="n">
        <f aca="false">SUMIF('PL_DEC.2026'!$D:$D,$D78,'PL_DEC.2026'!$L:$L)</f>
        <v>0</v>
      </c>
      <c r="X78" s="50" t="n">
        <f aca="false">F78-W78</f>
        <v>-0</v>
      </c>
    </row>
    <row r="79" customFormat="false" ht="15" hidden="false" customHeight="true" outlineLevel="0" collapsed="false">
      <c r="C79" s="52" t="s">
        <v>34</v>
      </c>
      <c r="D79" s="63" t="s">
        <v>384</v>
      </c>
      <c r="E79" s="82" t="n">
        <f aca="false">-SUMIF(FS_map!$H:$H,$D79,FS_map!$M:$M)</f>
        <v>123781136</v>
      </c>
      <c r="F79" s="82" t="n">
        <f aca="false">-SUMIF(FS_map!$H:$H,$D79,FS_map!$P:$P)</f>
        <v>123781136</v>
      </c>
      <c r="G79" s="82" t="n">
        <f aca="false">F79*12/9</f>
        <v>165041514.666667</v>
      </c>
      <c r="H79" s="82" t="n">
        <f aca="false">SUMIF(WPL_2025YE!$D:$D,$D79,WPL_2025YE!$AI:$AI)</f>
        <v>24481540</v>
      </c>
      <c r="I79" s="82" t="n">
        <f aca="false">G79-H79</f>
        <v>140559974.666667</v>
      </c>
      <c r="J79" s="83" t="n">
        <f aca="false">IFERROR(I79/H79,IF(I79&gt;0,100%,IF(I79=0,0,-100%)))</f>
        <v>5.74146784339003</v>
      </c>
      <c r="K79" s="56" t="str">
        <f aca="false">IF(AND(ABS(I79)&gt;$K$5,ABS(J79)&gt;5%),"O","")</f>
        <v/>
      </c>
      <c r="L79" s="57" t="s">
        <v>385</v>
      </c>
      <c r="M79" s="114" t="n">
        <f aca="false">E79-F79</f>
        <v>0</v>
      </c>
      <c r="P79" s="163"/>
      <c r="U79" s="50" t="n">
        <f aca="false">SUMIF('PL_DEC.2026'!$D:$D,$D79,'PL_DEC.2026'!$E:$E)</f>
        <v>123781136</v>
      </c>
      <c r="V79" s="50" t="n">
        <f aca="false">E79-U79</f>
        <v>0</v>
      </c>
      <c r="W79" s="50" t="n">
        <f aca="false">SUMIF('PL_DEC.2026'!$D:$D,$D79,'PL_DEC.2026'!$L:$L)</f>
        <v>123781136</v>
      </c>
      <c r="X79" s="50" t="n">
        <f aca="false">F79-W79</f>
        <v>0</v>
      </c>
    </row>
    <row r="80" customFormat="false" ht="13.5" hidden="false" customHeight="false" outlineLevel="0" collapsed="false">
      <c r="C80" s="52" t="s">
        <v>38</v>
      </c>
      <c r="D80" s="63" t="s">
        <v>386</v>
      </c>
      <c r="E80" s="82" t="n">
        <f aca="false">-SUMIF(FS_map!$H:$H,$D80,FS_map!$M:$M)</f>
        <v>-0</v>
      </c>
      <c r="F80" s="82" t="n">
        <f aca="false">-SUMIF(FS_map!$H:$H,$D80,FS_map!$P:$P)</f>
        <v>-0</v>
      </c>
      <c r="G80" s="82" t="n">
        <f aca="false">F80*12/9</f>
        <v>-0</v>
      </c>
      <c r="H80" s="82" t="n">
        <f aca="false">SUMIF(WPL_2025YE!$D:$D,$D80,WPL_2025YE!$AI:$AI)</f>
        <v>0</v>
      </c>
      <c r="I80" s="82" t="n">
        <f aca="false">G80-H80</f>
        <v>-0</v>
      </c>
      <c r="J80" s="83" t="n">
        <f aca="false">IFERROR(I80/H80,IF(I80&gt;0,100%,IF(I80=0,0,-100%)))</f>
        <v>0</v>
      </c>
      <c r="K80" s="56" t="str">
        <f aca="false">IF(AND(ABS(I80)&gt;$K$5,ABS(J80)&gt;5%),"O","")</f>
        <v/>
      </c>
      <c r="L80" s="60"/>
      <c r="M80" s="114" t="n">
        <f aca="false">E80-F80</f>
        <v>0</v>
      </c>
      <c r="U80" s="50" t="n">
        <f aca="false">SUMIF('PL_DEC.2026'!$D:$D,$D80,'PL_DEC.2026'!$E:$E)</f>
        <v>0</v>
      </c>
      <c r="V80" s="50" t="n">
        <f aca="false">E80-U80</f>
        <v>-0</v>
      </c>
      <c r="W80" s="50" t="n">
        <f aca="false">SUMIF('PL_DEC.2026'!$D:$D,$D80,'PL_DEC.2026'!$L:$L)</f>
        <v>0</v>
      </c>
      <c r="X80" s="50" t="n">
        <f aca="false">F80-W80</f>
        <v>-0</v>
      </c>
    </row>
    <row r="81" customFormat="false" ht="13.5" hidden="false" customHeight="false" outlineLevel="0" collapsed="false">
      <c r="C81" s="52" t="s">
        <v>42</v>
      </c>
      <c r="D81" s="63" t="s">
        <v>387</v>
      </c>
      <c r="E81" s="82" t="n">
        <f aca="false">-SUMIF(FS_map!$H:$H,$D81,FS_map!$M:$M)</f>
        <v>-0</v>
      </c>
      <c r="F81" s="82" t="n">
        <f aca="false">-SUMIF(FS_map!$H:$H,$D81,FS_map!$P:$P)</f>
        <v>-0</v>
      </c>
      <c r="G81" s="82" t="n">
        <f aca="false">F81*12/9</f>
        <v>-0</v>
      </c>
      <c r="H81" s="82" t="n">
        <f aca="false">SUMIF(WPL_2025YE!$D:$D,$D81,WPL_2025YE!$AI:$AI)</f>
        <v>0</v>
      </c>
      <c r="I81" s="82" t="n">
        <f aca="false">G81-H81</f>
        <v>-0</v>
      </c>
      <c r="J81" s="83" t="n">
        <f aca="false">IFERROR(I81/H81,IF(I81&gt;0,100%,IF(I81=0,0,-100%)))</f>
        <v>0</v>
      </c>
      <c r="K81" s="56" t="str">
        <f aca="false">IF(AND(ABS(I81)&gt;$K$5,ABS(J81)&gt;5%),"O","")</f>
        <v/>
      </c>
      <c r="L81" s="60"/>
      <c r="M81" s="114" t="n">
        <f aca="false">E81-F81</f>
        <v>0</v>
      </c>
      <c r="U81" s="50" t="n">
        <f aca="false">SUMIF('PL_DEC.2026'!$D:$D,$D81,'PL_DEC.2026'!$E:$E)</f>
        <v>0</v>
      </c>
      <c r="V81" s="50" t="n">
        <f aca="false">E81-U81</f>
        <v>-0</v>
      </c>
      <c r="W81" s="50" t="n">
        <f aca="false">SUMIF('PL_DEC.2026'!$D:$D,$D81,'PL_DEC.2026'!$L:$L)</f>
        <v>0</v>
      </c>
      <c r="X81" s="50" t="n">
        <f aca="false">F81-W81</f>
        <v>-0</v>
      </c>
    </row>
    <row r="82" customFormat="false" ht="13.5" hidden="false" customHeight="false" outlineLevel="0" collapsed="false">
      <c r="C82" s="52" t="s">
        <v>45</v>
      </c>
      <c r="D82" s="63" t="s">
        <v>388</v>
      </c>
      <c r="E82" s="82" t="n">
        <f aca="false">-SUMIF(FS_map!$H:$H,$D82,FS_map!$M:$M)</f>
        <v>-0</v>
      </c>
      <c r="F82" s="82" t="n">
        <f aca="false">-SUMIF(FS_map!$H:$H,$D82,FS_map!$P:$P)</f>
        <v>-0</v>
      </c>
      <c r="G82" s="82" t="n">
        <f aca="false">F82*12/9</f>
        <v>-0</v>
      </c>
      <c r="H82" s="82" t="n">
        <f aca="false">SUMIF(WPL_2025YE!$D:$D,$D82,WPL_2025YE!$AI:$AI)</f>
        <v>0</v>
      </c>
      <c r="I82" s="82" t="n">
        <f aca="false">G82-H82</f>
        <v>-0</v>
      </c>
      <c r="J82" s="83" t="n">
        <f aca="false">IFERROR(I82/H82,IF(I82&gt;0,100%,IF(I82=0,0,-100%)))</f>
        <v>0</v>
      </c>
      <c r="K82" s="56" t="str">
        <f aca="false">IF(AND(ABS(I82)&gt;$K$5,ABS(J82)&gt;5%),"O","")</f>
        <v/>
      </c>
      <c r="L82" s="60"/>
      <c r="M82" s="114" t="n">
        <f aca="false">E82-F82</f>
        <v>0</v>
      </c>
      <c r="U82" s="50" t="n">
        <f aca="false">SUMIF('PL_DEC.2026'!$D:$D,$D82,'PL_DEC.2026'!$E:$E)</f>
        <v>0</v>
      </c>
      <c r="V82" s="50" t="n">
        <f aca="false">E82-U82</f>
        <v>-0</v>
      </c>
      <c r="W82" s="50" t="n">
        <f aca="false">SUMIF('PL_DEC.2026'!$D:$D,$D82,'PL_DEC.2026'!$L:$L)</f>
        <v>0</v>
      </c>
      <c r="X82" s="50" t="n">
        <f aca="false">F82-W82</f>
        <v>-0</v>
      </c>
    </row>
    <row r="83" customFormat="false" ht="13.5" hidden="false" customHeight="false" outlineLevel="0" collapsed="false">
      <c r="C83" s="52" t="s">
        <v>49</v>
      </c>
      <c r="D83" s="63" t="s">
        <v>389</v>
      </c>
      <c r="E83" s="82" t="n">
        <f aca="false">-SUMIF(FS_map!$H:$H,$D83,FS_map!$M:$M)</f>
        <v>-0</v>
      </c>
      <c r="F83" s="82" t="n">
        <f aca="false">-SUMIF(FS_map!$H:$H,$D83,FS_map!$P:$P)</f>
        <v>-0</v>
      </c>
      <c r="G83" s="82" t="n">
        <f aca="false">F83*12/9</f>
        <v>-0</v>
      </c>
      <c r="H83" s="82" t="n">
        <f aca="false">SUMIF(WPL_2025YE!$D:$D,$D83,WPL_2025YE!$AI:$AI)</f>
        <v>0</v>
      </c>
      <c r="I83" s="82" t="n">
        <f aca="false">G83-H83</f>
        <v>-0</v>
      </c>
      <c r="J83" s="83" t="n">
        <f aca="false">IFERROR(I83/H83,IF(I83&gt;0,100%,IF(I83=0,0,-100%)))</f>
        <v>0</v>
      </c>
      <c r="K83" s="56" t="str">
        <f aca="false">IF(AND(ABS(I83)&gt;$K$5,ABS(J83)&gt;5%),"O","")</f>
        <v/>
      </c>
      <c r="L83" s="60"/>
      <c r="M83" s="114" t="n">
        <f aca="false">E83-F83</f>
        <v>0</v>
      </c>
      <c r="U83" s="50" t="n">
        <f aca="false">SUMIF('PL_DEC.2026'!$D:$D,$D83,'PL_DEC.2026'!$E:$E)</f>
        <v>0</v>
      </c>
      <c r="V83" s="50" t="n">
        <f aca="false">E83-U83</f>
        <v>-0</v>
      </c>
      <c r="W83" s="50" t="n">
        <f aca="false">SUMIF('PL_DEC.2026'!$D:$D,$D83,'PL_DEC.2026'!$L:$L)</f>
        <v>0</v>
      </c>
      <c r="X83" s="50" t="n">
        <f aca="false">F83-W83</f>
        <v>-0</v>
      </c>
    </row>
    <row r="84" customFormat="false" ht="13.5" hidden="false" customHeight="false" outlineLevel="0" collapsed="false">
      <c r="C84" s="52" t="s">
        <v>53</v>
      </c>
      <c r="D84" s="63" t="s">
        <v>390</v>
      </c>
      <c r="E84" s="82" t="n">
        <f aca="false">-SUMIF(FS_map!$H:$H,$D84,FS_map!$M:$M)</f>
        <v>-0</v>
      </c>
      <c r="F84" s="82" t="n">
        <f aca="false">-SUMIF(FS_map!$H:$H,$D84,FS_map!$P:$P)</f>
        <v>-0</v>
      </c>
      <c r="G84" s="82" t="n">
        <f aca="false">F84*12/9</f>
        <v>-0</v>
      </c>
      <c r="H84" s="82" t="n">
        <f aca="false">SUMIF(WPL_2025YE!$D:$D,$D84,WPL_2025YE!$AI:$AI)</f>
        <v>0</v>
      </c>
      <c r="I84" s="82" t="n">
        <f aca="false">G84-H84</f>
        <v>-0</v>
      </c>
      <c r="J84" s="83" t="n">
        <f aca="false">IFERROR(I84/H84,IF(I84&gt;0,100%,IF(I84=0,0,-100%)))</f>
        <v>0</v>
      </c>
      <c r="K84" s="56" t="str">
        <f aca="false">IF(AND(ABS(I84)&gt;$K$5,ABS(J84)&gt;5%),"O","")</f>
        <v/>
      </c>
      <c r="L84" s="60"/>
      <c r="M84" s="114" t="n">
        <f aca="false">E84-F84</f>
        <v>0</v>
      </c>
      <c r="U84" s="50" t="n">
        <f aca="false">SUMIF('PL_DEC.2026'!$D:$D,$D84,'PL_DEC.2026'!$E:$E)</f>
        <v>0</v>
      </c>
      <c r="V84" s="50" t="n">
        <f aca="false">E84-U84</f>
        <v>-0</v>
      </c>
      <c r="W84" s="50" t="n">
        <f aca="false">SUMIF('PL_DEC.2026'!$D:$D,$D84,'PL_DEC.2026'!$L:$L)</f>
        <v>0</v>
      </c>
      <c r="X84" s="50" t="n">
        <f aca="false">F84-W84</f>
        <v>-0</v>
      </c>
    </row>
    <row r="85" customFormat="false" ht="13.5" hidden="false" customHeight="false" outlineLevel="0" collapsed="false">
      <c r="C85" s="52" t="s">
        <v>56</v>
      </c>
      <c r="D85" s="63" t="s">
        <v>391</v>
      </c>
      <c r="E85" s="82" t="n">
        <f aca="false">-SUMIF(FS_map!$H:$H,$D85,FS_map!$M:$M)</f>
        <v>-0</v>
      </c>
      <c r="F85" s="82" t="n">
        <f aca="false">-SUMIF(FS_map!$H:$H,$D85,FS_map!$P:$P)</f>
        <v>-0</v>
      </c>
      <c r="G85" s="82" t="n">
        <f aca="false">F85*12/9</f>
        <v>-0</v>
      </c>
      <c r="H85" s="82" t="n">
        <f aca="false">SUMIF(WPL_2025YE!$D:$D,$D85,WPL_2025YE!$AI:$AI)</f>
        <v>0</v>
      </c>
      <c r="I85" s="82" t="n">
        <f aca="false">G85-H85</f>
        <v>-0</v>
      </c>
      <c r="J85" s="83" t="n">
        <f aca="false">IFERROR(I85/H85,IF(I85&gt;0,100%,IF(I85=0,0,-100%)))</f>
        <v>0</v>
      </c>
      <c r="K85" s="56" t="str">
        <f aca="false">IF(AND(ABS(I85)&gt;$K$5,ABS(J85)&gt;5%),"O","")</f>
        <v/>
      </c>
      <c r="L85" s="60"/>
      <c r="M85" s="114" t="n">
        <f aca="false">E85-F85</f>
        <v>0</v>
      </c>
      <c r="U85" s="50" t="n">
        <f aca="false">SUMIF('PL_DEC.2026'!$D:$D,$D85,'PL_DEC.2026'!$E:$E)</f>
        <v>0</v>
      </c>
      <c r="V85" s="50" t="n">
        <f aca="false">E85-U85</f>
        <v>-0</v>
      </c>
      <c r="W85" s="50" t="n">
        <f aca="false">SUMIF('PL_DEC.2026'!$D:$D,$D85,'PL_DEC.2026'!$L:$L)</f>
        <v>0</v>
      </c>
      <c r="X85" s="50" t="n">
        <f aca="false">F85-W85</f>
        <v>-0</v>
      </c>
    </row>
    <row r="86" customFormat="false" ht="13.5" hidden="false" customHeight="false" outlineLevel="0" collapsed="false">
      <c r="C86" s="52" t="s">
        <v>59</v>
      </c>
      <c r="D86" s="63" t="s">
        <v>392</v>
      </c>
      <c r="E86" s="82" t="n">
        <f aca="false">-SUMIF(FS_map!$H:$H,$D86,FS_map!$M:$M)</f>
        <v>-0</v>
      </c>
      <c r="F86" s="82" t="n">
        <f aca="false">-SUMIF(FS_map!$H:$H,$D86,FS_map!$P:$P)</f>
        <v>-0</v>
      </c>
      <c r="G86" s="82" t="n">
        <f aca="false">F86*12/9</f>
        <v>-0</v>
      </c>
      <c r="H86" s="82" t="n">
        <f aca="false">SUMIF(WPL_2025YE!$D:$D,$D86,WPL_2025YE!$AI:$AI)</f>
        <v>0</v>
      </c>
      <c r="I86" s="82" t="n">
        <f aca="false">G86-H86</f>
        <v>-0</v>
      </c>
      <c r="J86" s="83" t="n">
        <f aca="false">IFERROR(I86/H86,IF(I86&gt;0,100%,IF(I86=0,0,-100%)))</f>
        <v>0</v>
      </c>
      <c r="K86" s="56" t="str">
        <f aca="false">IF(AND(ABS(I86)&gt;$K$5,ABS(J86)&gt;5%),"O","")</f>
        <v/>
      </c>
      <c r="L86" s="60"/>
      <c r="M86" s="114" t="n">
        <f aca="false">E86-F86</f>
        <v>0</v>
      </c>
      <c r="U86" s="50" t="n">
        <f aca="false">SUMIF('PL_DEC.2026'!$D:$D,$D86,'PL_DEC.2026'!$E:$E)</f>
        <v>0</v>
      </c>
      <c r="V86" s="50" t="n">
        <f aca="false">E86-U86</f>
        <v>-0</v>
      </c>
      <c r="W86" s="50" t="n">
        <f aca="false">SUMIF('PL_DEC.2026'!$D:$D,$D86,'PL_DEC.2026'!$L:$L)</f>
        <v>0</v>
      </c>
      <c r="X86" s="50" t="n">
        <f aca="false">F86-W86</f>
        <v>-0</v>
      </c>
    </row>
    <row r="87" customFormat="false" ht="129.75" hidden="false" customHeight="true" outlineLevel="0" collapsed="false">
      <c r="C87" s="52" t="s">
        <v>63</v>
      </c>
      <c r="D87" s="63" t="s">
        <v>393</v>
      </c>
      <c r="E87" s="82" t="n">
        <f aca="false">-SUMIF(FS_map!$H:$H,$D87,FS_map!$M:$M)</f>
        <v>21474711333</v>
      </c>
      <c r="F87" s="82" t="n">
        <f aca="false">-SUMIF(FS_map!$H:$H,$D87,FS_map!$P:$P)</f>
        <v>730375017</v>
      </c>
      <c r="G87" s="82" t="n">
        <f aca="false">F87*12/9</f>
        <v>973833356</v>
      </c>
      <c r="H87" s="82" t="n">
        <f aca="false">SUMIF(WPL_2025YE!$D:$D,$D87,WPL_2025YE!$AI:$AI)</f>
        <v>18946687440</v>
      </c>
      <c r="I87" s="82" t="n">
        <f aca="false">G87-H87</f>
        <v>-17972854084</v>
      </c>
      <c r="J87" s="83" t="n">
        <f aca="false">IFERROR(I87/H87,IF(I87&gt;0,100%,IF(I87=0,0,-100%)))</f>
        <v>-0.948601392244216</v>
      </c>
      <c r="K87" s="56" t="str">
        <f aca="false">IF(AND(ABS(I87)&gt;$K$5,ABS(J87)&gt;5%),"O","")</f>
        <v>O</v>
      </c>
      <c r="L87" s="134" t="s">
        <v>394</v>
      </c>
      <c r="M87" s="114" t="n">
        <f aca="false">E87-F87</f>
        <v>20744336316</v>
      </c>
      <c r="N87" s="107"/>
      <c r="U87" s="50" t="n">
        <f aca="false">SUMIF('PL_DEC.2026'!$D:$D,$D87,'PL_DEC.2026'!$E:$E)</f>
        <v>21474711333</v>
      </c>
      <c r="V87" s="50" t="n">
        <f aca="false">E87-U87</f>
        <v>0</v>
      </c>
      <c r="W87" s="50" t="n">
        <f aca="false">SUMIF('PL_DEC.2026'!$D:$D,$D87,'PL_DEC.2026'!$L:$L)</f>
        <v>629162757</v>
      </c>
      <c r="X87" s="50" t="n">
        <f aca="false">F87-W87</f>
        <v>101212260</v>
      </c>
    </row>
    <row r="88" customFormat="false" ht="13.5" hidden="false" customHeight="false" outlineLevel="0" collapsed="false">
      <c r="C88" s="52" t="s">
        <v>67</v>
      </c>
      <c r="D88" s="63" t="s">
        <v>395</v>
      </c>
      <c r="E88" s="82" t="n">
        <f aca="false">-SUMIF(FS_map!$H:$H,$D88,FS_map!$M:$M)</f>
        <v>-0</v>
      </c>
      <c r="F88" s="82" t="n">
        <f aca="false">-SUMIF(FS_map!$H:$H,$D88,FS_map!$P:$P)</f>
        <v>-0</v>
      </c>
      <c r="G88" s="82" t="n">
        <f aca="false">F88*12/9</f>
        <v>-0</v>
      </c>
      <c r="H88" s="82" t="n">
        <f aca="false">SUMIF(WPL_2025YE!$D:$D,$D88,WPL_2025YE!$AI:$AI)</f>
        <v>0</v>
      </c>
      <c r="I88" s="82" t="n">
        <f aca="false">G88-H88</f>
        <v>-0</v>
      </c>
      <c r="J88" s="83" t="n">
        <f aca="false">IFERROR(I88/H88,IF(I88&gt;0,100%,IF(I88=0,0,-100%)))</f>
        <v>0</v>
      </c>
      <c r="K88" s="56" t="str">
        <f aca="false">IF(AND(ABS(I88)&gt;$K$5,ABS(J88)&gt;5%),"O","")</f>
        <v/>
      </c>
      <c r="L88" s="60"/>
      <c r="M88" s="114" t="n">
        <f aca="false">E88-F88</f>
        <v>0</v>
      </c>
      <c r="N88" s="107"/>
      <c r="U88" s="50" t="n">
        <f aca="false">SUMIF('PL_DEC.2026'!$D:$D,$D88,'PL_DEC.2026'!$E:$E)</f>
        <v>0</v>
      </c>
      <c r="V88" s="50" t="n">
        <f aca="false">E88-U88</f>
        <v>-0</v>
      </c>
      <c r="W88" s="50" t="n">
        <f aca="false">SUMIF('PL_DEC.2026'!$D:$D,$D88,'PL_DEC.2026'!$L:$L)</f>
        <v>0</v>
      </c>
      <c r="X88" s="50" t="n">
        <f aca="false">F88-W88</f>
        <v>-0</v>
      </c>
    </row>
    <row r="89" customFormat="false" ht="13.5" hidden="false" customHeight="false" outlineLevel="0" collapsed="false">
      <c r="C89" s="52" t="s">
        <v>205</v>
      </c>
      <c r="D89" s="63" t="s">
        <v>396</v>
      </c>
      <c r="E89" s="82" t="n">
        <f aca="false">-SUMIF(FS_map!$H:$H,$D89,FS_map!$M:$M)</f>
        <v>-0</v>
      </c>
      <c r="F89" s="82" t="n">
        <f aca="false">-SUMIF(FS_map!$H:$H,$D89,FS_map!$P:$P)</f>
        <v>-0</v>
      </c>
      <c r="G89" s="82" t="n">
        <f aca="false">F89*12/9</f>
        <v>-0</v>
      </c>
      <c r="H89" s="82" t="n">
        <f aca="false">SUMIF(WPL_2025YE!$D:$D,$D89,WPL_2025YE!$AI:$AI)</f>
        <v>0</v>
      </c>
      <c r="I89" s="82" t="n">
        <f aca="false">G89-H89</f>
        <v>-0</v>
      </c>
      <c r="J89" s="83" t="n">
        <f aca="false">IFERROR(I89/H89,IF(I89&gt;0,100%,IF(I89=0,0,-100%)))</f>
        <v>0</v>
      </c>
      <c r="K89" s="56" t="str">
        <f aca="false">IF(AND(ABS(I89)&gt;$K$5,ABS(J89)&gt;5%),"O","")</f>
        <v/>
      </c>
      <c r="L89" s="60"/>
      <c r="M89" s="114" t="n">
        <f aca="false">E89-F89</f>
        <v>0</v>
      </c>
      <c r="U89" s="50" t="n">
        <f aca="false">SUMIF('PL_DEC.2026'!$D:$D,$D89,'PL_DEC.2026'!$E:$E)</f>
        <v>0</v>
      </c>
      <c r="V89" s="50" t="n">
        <f aca="false">E89-U89</f>
        <v>-0</v>
      </c>
      <c r="W89" s="50" t="n">
        <f aca="false">SUMIF('PL_DEC.2026'!$D:$D,$D89,'PL_DEC.2026'!$L:$L)</f>
        <v>0</v>
      </c>
      <c r="X89" s="50" t="n">
        <f aca="false">F89-W89</f>
        <v>-0</v>
      </c>
    </row>
    <row r="90" customFormat="false" ht="13.5" hidden="false" customHeight="false" outlineLevel="0" collapsed="false">
      <c r="C90" s="52" t="s">
        <v>397</v>
      </c>
      <c r="D90" s="63" t="s">
        <v>398</v>
      </c>
      <c r="E90" s="82" t="n">
        <f aca="false">-SUMIF(FS_map!$H:$H,$D90,FS_map!$M:$M)</f>
        <v>-0</v>
      </c>
      <c r="F90" s="82" t="n">
        <f aca="false">-SUMIF(FS_map!$H:$H,$D90,FS_map!$P:$P)</f>
        <v>-0</v>
      </c>
      <c r="G90" s="82" t="n">
        <f aca="false">F90*12/9</f>
        <v>-0</v>
      </c>
      <c r="H90" s="82" t="n">
        <f aca="false">SUMIF(WPL_2025YE!$D:$D,$D90,WPL_2025YE!$AI:$AI)</f>
        <v>0</v>
      </c>
      <c r="I90" s="82" t="n">
        <f aca="false">G90-H90</f>
        <v>-0</v>
      </c>
      <c r="J90" s="83" t="n">
        <f aca="false">IFERROR(I90/H90,IF(I90&gt;0,100%,IF(I90=0,0,-100%)))</f>
        <v>0</v>
      </c>
      <c r="K90" s="56" t="str">
        <f aca="false">IF(AND(ABS(I90)&gt;$K$5,ABS(J90)&gt;5%),"O","")</f>
        <v/>
      </c>
      <c r="L90" s="60"/>
      <c r="M90" s="114" t="n">
        <f aca="false">E90-F90</f>
        <v>0</v>
      </c>
      <c r="U90" s="50" t="n">
        <f aca="false">SUMIF('PL_DEC.2026'!$D:$D,$D90,'PL_DEC.2026'!$E:$E)</f>
        <v>0</v>
      </c>
      <c r="V90" s="50" t="n">
        <f aca="false">E90-U90</f>
        <v>-0</v>
      </c>
      <c r="W90" s="50" t="n">
        <f aca="false">SUMIF('PL_DEC.2026'!$D:$D,$D90,'PL_DEC.2026'!$L:$L)</f>
        <v>0</v>
      </c>
      <c r="X90" s="50" t="n">
        <f aca="false">F90-W90</f>
        <v>-0</v>
      </c>
    </row>
    <row r="91" customFormat="false" ht="13.5" hidden="false" customHeight="false" outlineLevel="0" collapsed="false">
      <c r="C91" s="42" t="s">
        <v>399</v>
      </c>
      <c r="D91" s="43"/>
      <c r="E91" s="44" t="n">
        <f aca="false">SUM(E92:E107)</f>
        <v>2174644784</v>
      </c>
      <c r="F91" s="44" t="n">
        <f aca="false">SUM(F92:F107)</f>
        <v>2174644784</v>
      </c>
      <c r="G91" s="44" t="n">
        <f aca="false">F91*12/9</f>
        <v>2899526378.66667</v>
      </c>
      <c r="H91" s="44" t="n">
        <f aca="false">SUM(H92:H107)</f>
        <v>483100924</v>
      </c>
      <c r="I91" s="44" t="n">
        <f aca="false">G91-H91</f>
        <v>2416425454.66667</v>
      </c>
      <c r="J91" s="45" t="n">
        <f aca="false">IFERROR(I91/H91,IF(I91&gt;0,100%,IF(I91=0,0,-100%)))</f>
        <v>5.0019060917107</v>
      </c>
      <c r="K91" s="46"/>
      <c r="L91" s="47"/>
      <c r="M91" s="114" t="n">
        <f aca="false">E91-F91</f>
        <v>0</v>
      </c>
      <c r="N91" s="141"/>
      <c r="U91" s="50" t="n">
        <f aca="false">SUM(U92:U107)</f>
        <v>2174644784</v>
      </c>
      <c r="V91" s="50" t="n">
        <f aca="false">E91-U91</f>
        <v>0</v>
      </c>
      <c r="W91" s="50" t="n">
        <f aca="false">SUM(W92:W107)</f>
        <v>2174644784</v>
      </c>
      <c r="X91" s="50" t="n">
        <f aca="false">F91-W91</f>
        <v>0</v>
      </c>
    </row>
    <row r="92" customFormat="false" ht="15" hidden="false" customHeight="true" outlineLevel="0" collapsed="false">
      <c r="C92" s="52" t="s">
        <v>26</v>
      </c>
      <c r="D92" s="63" t="s">
        <v>400</v>
      </c>
      <c r="E92" s="82" t="n">
        <f aca="false">SUMIF(FS_map!$H:$H,$D92,FS_map!$M:$M)</f>
        <v>149258988</v>
      </c>
      <c r="F92" s="82" t="n">
        <f aca="false">SUMIF(FS_map!$H:$H,$D92,FS_map!$P:$P)</f>
        <v>149258988</v>
      </c>
      <c r="G92" s="82" t="n">
        <f aca="false">F92*12/9</f>
        <v>199011984</v>
      </c>
      <c r="H92" s="82" t="n">
        <f aca="false">SUMIF(WPL_2025YE!$D:$D,$D92,WPL_2025YE!$AI:$AI)</f>
        <v>92801999</v>
      </c>
      <c r="I92" s="82" t="n">
        <f aca="false">G92-H92</f>
        <v>106209985</v>
      </c>
      <c r="J92" s="83" t="n">
        <f aca="false">IFERROR(I92/H92,IF(I92&gt;0,100%,IF(I92=0,0,-100%)))</f>
        <v>1.14447949553328</v>
      </c>
      <c r="K92" s="56" t="str">
        <f aca="false">IF(AND(ABS(I92)&gt;$K$5,ABS(J92)&gt;5%),"O","")</f>
        <v/>
      </c>
      <c r="L92" s="57" t="s">
        <v>401</v>
      </c>
      <c r="M92" s="114" t="n">
        <f aca="false">E92-F92</f>
        <v>0</v>
      </c>
      <c r="U92" s="50" t="n">
        <f aca="false">SUMIF('PL_DEC.2026'!$D:$D,$D92,'PL_DEC.2026'!$E:$E)</f>
        <v>149258988</v>
      </c>
      <c r="V92" s="50" t="n">
        <f aca="false">E92-U92</f>
        <v>0</v>
      </c>
      <c r="W92" s="50" t="n">
        <f aca="false">SUMIF('PL_DEC.2026'!$D:$D,$D92,'PL_DEC.2026'!$L:$L)</f>
        <v>149258988</v>
      </c>
      <c r="X92" s="50" t="n">
        <f aca="false">F92-W92</f>
        <v>0</v>
      </c>
    </row>
    <row r="93" customFormat="false" ht="13.5" hidden="false" customHeight="false" outlineLevel="0" collapsed="false">
      <c r="C93" s="52" t="s">
        <v>30</v>
      </c>
      <c r="D93" s="63" t="s">
        <v>402</v>
      </c>
      <c r="E93" s="82" t="n">
        <f aca="false">SUMIF(FS_map!$H:$H,$D93,FS_map!$M:$M)</f>
        <v>0</v>
      </c>
      <c r="F93" s="82" t="n">
        <f aca="false">SUMIF(FS_map!$H:$H,$D93,FS_map!$P:$P)</f>
        <v>0</v>
      </c>
      <c r="G93" s="82" t="n">
        <f aca="false">F93*12/9</f>
        <v>0</v>
      </c>
      <c r="H93" s="82" t="n">
        <f aca="false">SUMIF(WPL_2025YE!$D:$D,$D93,WPL_2025YE!$AI:$AI)</f>
        <v>0</v>
      </c>
      <c r="I93" s="82" t="n">
        <f aca="false">G93-H93</f>
        <v>0</v>
      </c>
      <c r="J93" s="83" t="n">
        <f aca="false">IFERROR(I93/H93,IF(I93&gt;0,100%,IF(I93=0,0,-100%)))</f>
        <v>0</v>
      </c>
      <c r="K93" s="56" t="str">
        <f aca="false">IF(AND(ABS(I93)&gt;$K$5,ABS(J93)&gt;5%),"O","")</f>
        <v/>
      </c>
      <c r="L93" s="60"/>
      <c r="M93" s="114" t="n">
        <f aca="false">E93-F93</f>
        <v>0</v>
      </c>
      <c r="U93" s="50" t="n">
        <f aca="false">SUMIF('PL_DEC.2026'!$D:$D,$D93,'PL_DEC.2026'!$E:$E)</f>
        <v>0</v>
      </c>
      <c r="V93" s="50" t="n">
        <f aca="false">E93-U93</f>
        <v>0</v>
      </c>
      <c r="W93" s="50" t="n">
        <f aca="false">SUMIF('PL_DEC.2026'!$D:$D,$D93,'PL_DEC.2026'!$L:$L)</f>
        <v>0</v>
      </c>
      <c r="X93" s="50" t="n">
        <f aca="false">F93-W93</f>
        <v>0</v>
      </c>
    </row>
    <row r="94" customFormat="false" ht="25.5" hidden="false" customHeight="true" outlineLevel="0" collapsed="false">
      <c r="C94" s="52" t="s">
        <v>34</v>
      </c>
      <c r="D94" s="63" t="s">
        <v>403</v>
      </c>
      <c r="E94" s="82" t="n">
        <f aca="false">SUMIF(FS_map!$H:$H,$D94,FS_map!$M:$M)</f>
        <v>-37435248</v>
      </c>
      <c r="F94" s="82" t="n">
        <f aca="false">SUMIF(FS_map!$H:$H,$D94,FS_map!$P:$P)</f>
        <v>-37435248</v>
      </c>
      <c r="G94" s="82" t="n">
        <f aca="false">F94*12/9</f>
        <v>-49913664</v>
      </c>
      <c r="H94" s="82" t="n">
        <f aca="false">SUMIF(WPL_2025YE!$D:$D,$D94,WPL_2025YE!$AI:$AI)</f>
        <v>33586551</v>
      </c>
      <c r="I94" s="82" t="n">
        <f aca="false">G94-H94</f>
        <v>-83500215</v>
      </c>
      <c r="J94" s="83" t="n">
        <f aca="false">IFERROR(I94/H94,IF(I94&gt;0,100%,IF(I94=0,0,-100%)))</f>
        <v>-2.48612056057795</v>
      </c>
      <c r="K94" s="56" t="str">
        <f aca="false">IF(AND(ABS(I94)&gt;$K$5,ABS(J94)&gt;5%),"O","")</f>
        <v/>
      </c>
      <c r="L94" s="57" t="s">
        <v>404</v>
      </c>
      <c r="M94" s="114" t="n">
        <f aca="false">E94-F94</f>
        <v>0</v>
      </c>
      <c r="U94" s="50" t="n">
        <f aca="false">SUMIF('PL_DEC.2026'!$D:$D,$D94,'PL_DEC.2026'!$E:$E)</f>
        <v>-37435248</v>
      </c>
      <c r="V94" s="50" t="n">
        <f aca="false">E94-U94</f>
        <v>0</v>
      </c>
      <c r="W94" s="50" t="n">
        <f aca="false">SUMIF('PL_DEC.2026'!$D:$D,$D94,'PL_DEC.2026'!$L:$L)</f>
        <v>-37435248</v>
      </c>
      <c r="X94" s="50" t="n">
        <f aca="false">F94-W94</f>
        <v>0</v>
      </c>
    </row>
    <row r="95" customFormat="false" ht="13.5" hidden="false" customHeight="false" outlineLevel="0" collapsed="false">
      <c r="C95" s="52" t="s">
        <v>38</v>
      </c>
      <c r="D95" s="63" t="s">
        <v>405</v>
      </c>
      <c r="E95" s="82" t="n">
        <f aca="false">SUMIF(FS_map!$H:$H,$D95,FS_map!$M:$M)</f>
        <v>0</v>
      </c>
      <c r="F95" s="82" t="n">
        <f aca="false">SUMIF(FS_map!$H:$H,$D95,FS_map!$P:$P)</f>
        <v>0</v>
      </c>
      <c r="G95" s="82" t="n">
        <f aca="false">F95*12/9</f>
        <v>0</v>
      </c>
      <c r="H95" s="82" t="n">
        <f aca="false">SUMIF(WPL_2025YE!$D:$D,$D95,WPL_2025YE!$AI:$AI)</f>
        <v>0</v>
      </c>
      <c r="I95" s="82" t="n">
        <f aca="false">G95-H95</f>
        <v>0</v>
      </c>
      <c r="J95" s="83" t="n">
        <f aca="false">IFERROR(I95/H95,IF(I95&gt;0,100%,IF(I95=0,0,-100%)))</f>
        <v>0</v>
      </c>
      <c r="K95" s="56" t="str">
        <f aca="false">IF(AND(ABS(I95)&gt;$K$5,ABS(J95)&gt;5%),"O","")</f>
        <v/>
      </c>
      <c r="L95" s="60"/>
      <c r="M95" s="114" t="n">
        <f aca="false">E95-F95</f>
        <v>0</v>
      </c>
      <c r="U95" s="50" t="n">
        <f aca="false">SUMIF('PL_DEC.2026'!$D:$D,$D95,'PL_DEC.2026'!$E:$E)</f>
        <v>0</v>
      </c>
      <c r="V95" s="50" t="n">
        <f aca="false">E95-U95</f>
        <v>0</v>
      </c>
      <c r="W95" s="50" t="n">
        <f aca="false">SUMIF('PL_DEC.2026'!$D:$D,$D95,'PL_DEC.2026'!$L:$L)</f>
        <v>0</v>
      </c>
      <c r="X95" s="50" t="n">
        <f aca="false">F95-W95</f>
        <v>0</v>
      </c>
    </row>
    <row r="96" customFormat="false" ht="15" hidden="false" customHeight="true" outlineLevel="0" collapsed="false">
      <c r="C96" s="52" t="s">
        <v>42</v>
      </c>
      <c r="D96" s="63" t="s">
        <v>406</v>
      </c>
      <c r="E96" s="82" t="n">
        <f aca="false">SUMIF(FS_map!$H:$H,$D96,FS_map!$M:$M)</f>
        <v>290797619</v>
      </c>
      <c r="F96" s="82" t="n">
        <f aca="false">SUMIF(FS_map!$H:$H,$D96,FS_map!$P:$P)</f>
        <v>290797619</v>
      </c>
      <c r="G96" s="82" t="n">
        <f aca="false">F96*12/9</f>
        <v>387730158.666667</v>
      </c>
      <c r="H96" s="82" t="n">
        <f aca="false">SUMIF(WPL_2025YE!$D:$D,$D96,WPL_2025YE!$AI:$AI)</f>
        <v>259053818</v>
      </c>
      <c r="I96" s="82" t="n">
        <f aca="false">G96-H96</f>
        <v>128676340.666667</v>
      </c>
      <c r="J96" s="83" t="n">
        <f aca="false">IFERROR(I96/H96,IF(I96&gt;0,100%,IF(I96=0,0,-100%)))</f>
        <v>0.496716634636385</v>
      </c>
      <c r="K96" s="56" t="str">
        <f aca="false">IF(AND(ABS(I96)&gt;$K$5,ABS(J96)&gt;5%),"O","")</f>
        <v/>
      </c>
      <c r="L96" s="94" t="s">
        <v>407</v>
      </c>
      <c r="M96" s="114" t="n">
        <f aca="false">E96-F96</f>
        <v>0</v>
      </c>
      <c r="U96" s="50" t="n">
        <f aca="false">SUMIF('PL_DEC.2026'!$D:$D,$D96,'PL_DEC.2026'!$E:$E)</f>
        <v>290797619</v>
      </c>
      <c r="V96" s="50" t="n">
        <f aca="false">E96-U96</f>
        <v>0</v>
      </c>
      <c r="W96" s="50" t="n">
        <f aca="false">SUMIF('PL_DEC.2026'!$D:$D,$D96,'PL_DEC.2026'!$L:$L)</f>
        <v>290797619</v>
      </c>
      <c r="X96" s="50" t="n">
        <f aca="false">F96-W96</f>
        <v>0</v>
      </c>
    </row>
    <row r="97" customFormat="false" ht="13.5" hidden="false" customHeight="false" outlineLevel="0" collapsed="false">
      <c r="C97" s="52" t="s">
        <v>45</v>
      </c>
      <c r="D97" s="63" t="s">
        <v>408</v>
      </c>
      <c r="E97" s="82" t="n">
        <f aca="false">SUMIF(FS_map!$H:$H,$D97,FS_map!$M:$M)</f>
        <v>0</v>
      </c>
      <c r="F97" s="82" t="n">
        <f aca="false">SUMIF(FS_map!$H:$H,$D97,FS_map!$P:$P)</f>
        <v>0</v>
      </c>
      <c r="G97" s="82" t="n">
        <f aca="false">F97*12/9</f>
        <v>0</v>
      </c>
      <c r="H97" s="82" t="n">
        <f aca="false">SUMIF(WPL_2025YE!$D:$D,$D97,WPL_2025YE!$AI:$AI)</f>
        <v>0</v>
      </c>
      <c r="I97" s="82" t="n">
        <f aca="false">G97-H97</f>
        <v>0</v>
      </c>
      <c r="J97" s="83" t="n">
        <f aca="false">IFERROR(I97/H97,IF(I97&gt;0,100%,IF(I97=0,0,-100%)))</f>
        <v>0</v>
      </c>
      <c r="K97" s="56" t="str">
        <f aca="false">IF(AND(ABS(I97)&gt;$K$5,ABS(J97)&gt;5%),"O","")</f>
        <v/>
      </c>
      <c r="L97" s="60"/>
      <c r="M97" s="114" t="n">
        <f aca="false">E97-F97</f>
        <v>0</v>
      </c>
      <c r="U97" s="50" t="n">
        <f aca="false">SUMIF('PL_DEC.2026'!$D:$D,$D97,'PL_DEC.2026'!$E:$E)</f>
        <v>0</v>
      </c>
      <c r="V97" s="50" t="n">
        <f aca="false">E97-U97</f>
        <v>0</v>
      </c>
      <c r="W97" s="50" t="n">
        <f aca="false">SUMIF('PL_DEC.2026'!$D:$D,$D97,'PL_DEC.2026'!$L:$L)</f>
        <v>0</v>
      </c>
      <c r="X97" s="50" t="n">
        <f aca="false">F97-W97</f>
        <v>0</v>
      </c>
    </row>
    <row r="98" customFormat="false" ht="64.5" hidden="false" customHeight="true" outlineLevel="0" collapsed="false">
      <c r="C98" s="52" t="s">
        <v>49</v>
      </c>
      <c r="D98" s="63" t="s">
        <v>409</v>
      </c>
      <c r="E98" s="82" t="n">
        <f aca="false">SUMIF(FS_map!$H:$H,$D98,FS_map!$M:$M)</f>
        <v>1372357643</v>
      </c>
      <c r="F98" s="82" t="n">
        <f aca="false">SUMIF(FS_map!$H:$H,$D98,FS_map!$P:$P)</f>
        <v>1372357643</v>
      </c>
      <c r="G98" s="82" t="n">
        <f aca="false">F98*12/9</f>
        <v>1829810190.66667</v>
      </c>
      <c r="H98" s="82" t="n">
        <f aca="false">SUMIF(WPL_2025YE!$D:$D,$D98,WPL_2025YE!$AI:$AI)</f>
        <v>0</v>
      </c>
      <c r="I98" s="82" t="n">
        <f aca="false">G98-H98</f>
        <v>1829810190.66667</v>
      </c>
      <c r="J98" s="83" t="n">
        <f aca="false">IFERROR(I98/H98,IF(I98&gt;0,100%,IF(I98=0,0,-100%)))</f>
        <v>1</v>
      </c>
      <c r="K98" s="56" t="str">
        <f aca="false">IF(AND(ABS(I98)&gt;$K$5,ABS(J98)&gt;5%),"O","")</f>
        <v/>
      </c>
      <c r="L98" s="134" t="s">
        <v>410</v>
      </c>
      <c r="M98" s="114" t="n">
        <f aca="false">E98-F98</f>
        <v>0</v>
      </c>
      <c r="U98" s="50" t="n">
        <f aca="false">SUMIF('PL_DEC.2026'!$D:$D,$D98,'PL_DEC.2026'!$E:$E)</f>
        <v>1372357643</v>
      </c>
      <c r="V98" s="50" t="n">
        <f aca="false">E98-U98</f>
        <v>0</v>
      </c>
      <c r="W98" s="50" t="n">
        <f aca="false">SUMIF('PL_DEC.2026'!$D:$D,$D98,'PL_DEC.2026'!$L:$L)</f>
        <v>1372357643</v>
      </c>
      <c r="X98" s="50" t="n">
        <f aca="false">F98-W98</f>
        <v>0</v>
      </c>
    </row>
    <row r="99" customFormat="false" ht="13.5" hidden="false" customHeight="false" outlineLevel="0" collapsed="false">
      <c r="C99" s="52" t="s">
        <v>53</v>
      </c>
      <c r="D99" s="63" t="s">
        <v>411</v>
      </c>
      <c r="E99" s="82" t="n">
        <f aca="false">SUMIF(FS_map!$H:$H,$D99,FS_map!$M:$M)</f>
        <v>0</v>
      </c>
      <c r="F99" s="82" t="n">
        <f aca="false">SUMIF(FS_map!$H:$H,$D99,FS_map!$P:$P)</f>
        <v>0</v>
      </c>
      <c r="G99" s="82" t="n">
        <f aca="false">F99*12/9</f>
        <v>0</v>
      </c>
      <c r="H99" s="82" t="n">
        <f aca="false">SUMIF(WPL_2025YE!$D:$D,$D99,WPL_2025YE!$AI:$AI)</f>
        <v>0</v>
      </c>
      <c r="I99" s="82" t="n">
        <f aca="false">G99-H99</f>
        <v>0</v>
      </c>
      <c r="J99" s="83" t="n">
        <f aca="false">IFERROR(I99/H99,IF(I99&gt;0,100%,IF(I99=0,0,-100%)))</f>
        <v>0</v>
      </c>
      <c r="K99" s="56" t="str">
        <f aca="false">IF(AND(ABS(I99)&gt;$K$5,ABS(J99)&gt;5%),"O","")</f>
        <v/>
      </c>
      <c r="L99" s="60"/>
      <c r="M99" s="114" t="n">
        <f aca="false">E99-F99</f>
        <v>0</v>
      </c>
      <c r="U99" s="50" t="n">
        <f aca="false">SUMIF('PL_DEC.2026'!$D:$D,$D99,'PL_DEC.2026'!$E:$E)</f>
        <v>0</v>
      </c>
      <c r="V99" s="50" t="n">
        <f aca="false">E99-U99</f>
        <v>0</v>
      </c>
      <c r="W99" s="50" t="n">
        <f aca="false">SUMIF('PL_DEC.2026'!$D:$D,$D99,'PL_DEC.2026'!$L:$L)</f>
        <v>0</v>
      </c>
      <c r="X99" s="50" t="n">
        <f aca="false">F99-W99</f>
        <v>0</v>
      </c>
    </row>
    <row r="100" customFormat="false" ht="13.5" hidden="false" customHeight="false" outlineLevel="0" collapsed="false">
      <c r="C100" s="52" t="s">
        <v>56</v>
      </c>
      <c r="D100" s="63" t="s">
        <v>412</v>
      </c>
      <c r="E100" s="82" t="n">
        <f aca="false">SUMIF(FS_map!$H:$H,$D100,FS_map!$M:$M)</f>
        <v>0</v>
      </c>
      <c r="F100" s="82" t="n">
        <f aca="false">SUMIF(FS_map!$H:$H,$D100,FS_map!$P:$P)</f>
        <v>0</v>
      </c>
      <c r="G100" s="82" t="n">
        <f aca="false">F100*12/9</f>
        <v>0</v>
      </c>
      <c r="H100" s="82" t="n">
        <f aca="false">SUMIF(WPL_2025YE!$D:$D,$D100,WPL_2025YE!$AI:$AI)</f>
        <v>0</v>
      </c>
      <c r="I100" s="82" t="n">
        <f aca="false">G100-H100</f>
        <v>0</v>
      </c>
      <c r="J100" s="83" t="n">
        <f aca="false">IFERROR(I100/H100,IF(I100&gt;0,100%,IF(I100=0,0,-100%)))</f>
        <v>0</v>
      </c>
      <c r="K100" s="56" t="str">
        <f aca="false">IF(AND(ABS(I100)&gt;$K$5,ABS(J100)&gt;5%),"O","")</f>
        <v/>
      </c>
      <c r="L100" s="60"/>
      <c r="M100" s="114" t="n">
        <f aca="false">E100-F100</f>
        <v>0</v>
      </c>
      <c r="U100" s="50" t="n">
        <f aca="false">SUMIF('PL_DEC.2026'!$D:$D,$D100,'PL_DEC.2026'!$E:$E)</f>
        <v>0</v>
      </c>
      <c r="V100" s="50" t="n">
        <f aca="false">E100-U100</f>
        <v>0</v>
      </c>
      <c r="W100" s="50" t="n">
        <f aca="false">SUMIF('PL_DEC.2026'!$D:$D,$D100,'PL_DEC.2026'!$L:$L)</f>
        <v>0</v>
      </c>
      <c r="X100" s="50" t="n">
        <f aca="false">F100-W100</f>
        <v>0</v>
      </c>
    </row>
    <row r="101" customFormat="false" ht="13.5" hidden="false" customHeight="false" outlineLevel="0" collapsed="false">
      <c r="C101" s="52" t="s">
        <v>59</v>
      </c>
      <c r="D101" s="63" t="s">
        <v>413</v>
      </c>
      <c r="E101" s="82" t="n">
        <f aca="false">SUMIF(FS_map!$H:$H,$D101,FS_map!$M:$M)</f>
        <v>0</v>
      </c>
      <c r="F101" s="82" t="n">
        <f aca="false">SUMIF(FS_map!$H:$H,$D101,FS_map!$P:$P)</f>
        <v>0</v>
      </c>
      <c r="G101" s="82" t="n">
        <f aca="false">F101*12/9</f>
        <v>0</v>
      </c>
      <c r="H101" s="82" t="n">
        <f aca="false">SUMIF(WPL_2025YE!$D:$D,$D101,WPL_2025YE!$AI:$AI)</f>
        <v>0</v>
      </c>
      <c r="I101" s="82" t="n">
        <f aca="false">G101-H101</f>
        <v>0</v>
      </c>
      <c r="J101" s="83" t="n">
        <f aca="false">IFERROR(I101/H101,IF(I101&gt;0,100%,IF(I101=0,0,-100%)))</f>
        <v>0</v>
      </c>
      <c r="K101" s="56" t="str">
        <f aca="false">IF(AND(ABS(I101)&gt;$K$5,ABS(J101)&gt;5%),"O","")</f>
        <v/>
      </c>
      <c r="L101" s="60"/>
      <c r="M101" s="114" t="n">
        <f aca="false">E101-F101</f>
        <v>0</v>
      </c>
      <c r="U101" s="50" t="n">
        <f aca="false">SUMIF('PL_DEC.2026'!$D:$D,$D101,'PL_DEC.2026'!$E:$E)</f>
        <v>0</v>
      </c>
      <c r="V101" s="50" t="n">
        <f aca="false">E101-U101</f>
        <v>0</v>
      </c>
      <c r="W101" s="50" t="n">
        <f aca="false">SUMIF('PL_DEC.2026'!$D:$D,$D101,'PL_DEC.2026'!$L:$L)</f>
        <v>0</v>
      </c>
      <c r="X101" s="50" t="n">
        <f aca="false">F101-W101</f>
        <v>0</v>
      </c>
    </row>
    <row r="102" customFormat="false" ht="13.5" hidden="false" customHeight="false" outlineLevel="0" collapsed="false">
      <c r="C102" s="52" t="s">
        <v>63</v>
      </c>
      <c r="D102" s="63" t="s">
        <v>414</v>
      </c>
      <c r="E102" s="82" t="n">
        <f aca="false">SUMIF(FS_map!$H:$H,$D102,FS_map!$M:$M)</f>
        <v>0</v>
      </c>
      <c r="F102" s="82" t="n">
        <f aca="false">SUMIF(FS_map!$H:$H,$D102,FS_map!$P:$P)</f>
        <v>0</v>
      </c>
      <c r="G102" s="82" t="n">
        <f aca="false">F102*12/9</f>
        <v>0</v>
      </c>
      <c r="H102" s="82" t="n">
        <f aca="false">SUMIF(WPL_2025YE!$D:$D,$D102,WPL_2025YE!$AI:$AI)</f>
        <v>0</v>
      </c>
      <c r="I102" s="82" t="n">
        <f aca="false">G102-H102</f>
        <v>0</v>
      </c>
      <c r="J102" s="83" t="n">
        <f aca="false">IFERROR(I102/H102,IF(I102&gt;0,100%,IF(I102=0,0,-100%)))</f>
        <v>0</v>
      </c>
      <c r="K102" s="56" t="str">
        <f aca="false">IF(AND(ABS(I102)&gt;$K$5,ABS(J102)&gt;5%),"O","")</f>
        <v/>
      </c>
      <c r="L102" s="60"/>
      <c r="M102" s="114" t="n">
        <f aca="false">E102-F102</f>
        <v>0</v>
      </c>
      <c r="U102" s="50" t="n">
        <f aca="false">SUMIF('PL_DEC.2026'!$D:$D,$D102,'PL_DEC.2026'!$E:$E)</f>
        <v>0</v>
      </c>
      <c r="V102" s="50" t="n">
        <f aca="false">E102-U102</f>
        <v>0</v>
      </c>
      <c r="W102" s="50" t="n">
        <f aca="false">SUMIF('PL_DEC.2026'!$D:$D,$D102,'PL_DEC.2026'!$L:$L)</f>
        <v>0</v>
      </c>
      <c r="X102" s="50" t="n">
        <f aca="false">F102-W102</f>
        <v>0</v>
      </c>
    </row>
    <row r="103" customFormat="false" ht="13.5" hidden="false" customHeight="false" outlineLevel="0" collapsed="false">
      <c r="C103" s="52" t="s">
        <v>67</v>
      </c>
      <c r="D103" s="63" t="s">
        <v>415</v>
      </c>
      <c r="E103" s="82" t="n">
        <f aca="false">SUMIF(FS_map!$H:$H,$D103,FS_map!$M:$M)</f>
        <v>0</v>
      </c>
      <c r="F103" s="82" t="n">
        <f aca="false">SUMIF(FS_map!$H:$H,$D103,FS_map!$P:$P)</f>
        <v>0</v>
      </c>
      <c r="G103" s="82" t="n">
        <f aca="false">F103*12/9</f>
        <v>0</v>
      </c>
      <c r="H103" s="82" t="n">
        <f aca="false">SUMIF(WPL_2025YE!$D:$D,$D103,WPL_2025YE!$AI:$AI)</f>
        <v>0</v>
      </c>
      <c r="I103" s="82" t="n">
        <f aca="false">G103-H103</f>
        <v>0</v>
      </c>
      <c r="J103" s="83" t="n">
        <f aca="false">IFERROR(I103/H103,IF(I103&gt;0,100%,IF(I103=0,0,-100%)))</f>
        <v>0</v>
      </c>
      <c r="K103" s="56" t="str">
        <f aca="false">IF(AND(ABS(I103)&gt;$K$5,ABS(J103)&gt;5%),"O","")</f>
        <v/>
      </c>
      <c r="L103" s="60"/>
      <c r="M103" s="114" t="n">
        <f aca="false">E103-F103</f>
        <v>0</v>
      </c>
      <c r="U103" s="50" t="n">
        <f aca="false">SUMIF('PL_DEC.2026'!$D:$D,$D103,'PL_DEC.2026'!$E:$E)</f>
        <v>0</v>
      </c>
      <c r="V103" s="50" t="n">
        <f aca="false">E103-U103</f>
        <v>0</v>
      </c>
      <c r="W103" s="50" t="n">
        <f aca="false">SUMIF('PL_DEC.2026'!$D:$D,$D103,'PL_DEC.2026'!$L:$L)</f>
        <v>0</v>
      </c>
      <c r="X103" s="50" t="n">
        <f aca="false">F103-W103</f>
        <v>0</v>
      </c>
    </row>
    <row r="104" customFormat="false" ht="13.5" hidden="false" customHeight="false" outlineLevel="0" collapsed="false">
      <c r="C104" s="52" t="s">
        <v>205</v>
      </c>
      <c r="D104" s="63" t="s">
        <v>416</v>
      </c>
      <c r="E104" s="82" t="n">
        <f aca="false">SUMIF(FS_map!$H:$H,$D104,FS_map!$M:$M)</f>
        <v>0</v>
      </c>
      <c r="F104" s="82" t="n">
        <f aca="false">SUMIF(FS_map!$H:$H,$D104,FS_map!$P:$P)</f>
        <v>0</v>
      </c>
      <c r="G104" s="82" t="n">
        <f aca="false">F104*12/9</f>
        <v>0</v>
      </c>
      <c r="H104" s="82" t="n">
        <f aca="false">SUMIF(WPL_2025YE!$D:$D,$D104,WPL_2025YE!$AI:$AI)</f>
        <v>0</v>
      </c>
      <c r="I104" s="82" t="n">
        <f aca="false">G104-H104</f>
        <v>0</v>
      </c>
      <c r="J104" s="83" t="n">
        <f aca="false">IFERROR(I104/H104,IF(I104&gt;0,100%,IF(I104=0,0,-100%)))</f>
        <v>0</v>
      </c>
      <c r="K104" s="56" t="str">
        <f aca="false">IF(AND(ABS(I104)&gt;$K$5,ABS(J104)&gt;5%),"O","")</f>
        <v/>
      </c>
      <c r="L104" s="60"/>
      <c r="M104" s="114" t="n">
        <f aca="false">E104-F104</f>
        <v>0</v>
      </c>
      <c r="U104" s="50" t="n">
        <f aca="false">SUMIF('PL_DEC.2026'!$D:$D,$D104,'PL_DEC.2026'!$E:$E)</f>
        <v>0</v>
      </c>
      <c r="V104" s="50" t="n">
        <f aca="false">E104-U104</f>
        <v>0</v>
      </c>
      <c r="W104" s="50" t="n">
        <f aca="false">SUMIF('PL_DEC.2026'!$D:$D,$D104,'PL_DEC.2026'!$L:$L)</f>
        <v>0</v>
      </c>
      <c r="X104" s="50" t="n">
        <f aca="false">F104-W104</f>
        <v>0</v>
      </c>
    </row>
    <row r="105" customFormat="false" ht="13.5" hidden="false" customHeight="false" outlineLevel="0" collapsed="false">
      <c r="C105" s="52" t="s">
        <v>350</v>
      </c>
      <c r="D105" s="63" t="s">
        <v>417</v>
      </c>
      <c r="E105" s="82" t="n">
        <f aca="false">SUMIF(FS_map!$H:$H,$D105,FS_map!$M:$M)</f>
        <v>0</v>
      </c>
      <c r="F105" s="82" t="n">
        <f aca="false">SUMIF(FS_map!$H:$H,$D105,FS_map!$P:$P)</f>
        <v>0</v>
      </c>
      <c r="G105" s="82" t="n">
        <f aca="false">F105*12/9</f>
        <v>0</v>
      </c>
      <c r="H105" s="82" t="n">
        <f aca="false">SUMIF(WPL_2025YE!$D:$D,$D105,WPL_2025YE!$AI:$AI)</f>
        <v>0</v>
      </c>
      <c r="I105" s="82" t="n">
        <f aca="false">G105-H105</f>
        <v>0</v>
      </c>
      <c r="J105" s="83" t="n">
        <f aca="false">IFERROR(I105/H105,IF(I105&gt;0,100%,IF(I105=0,0,-100%)))</f>
        <v>0</v>
      </c>
      <c r="K105" s="56" t="str">
        <f aca="false">IF(AND(ABS(I105)&gt;$K$5,ABS(J105)&gt;5%),"O","")</f>
        <v/>
      </c>
      <c r="L105" s="60"/>
      <c r="M105" s="114" t="n">
        <f aca="false">E105-F105</f>
        <v>0</v>
      </c>
      <c r="U105" s="50" t="n">
        <f aca="false">SUMIF('PL_DEC.2026'!$D:$D,$D105,'PL_DEC.2026'!$E:$E)</f>
        <v>0</v>
      </c>
      <c r="V105" s="50" t="n">
        <f aca="false">E105-U105</f>
        <v>0</v>
      </c>
      <c r="W105" s="50" t="n">
        <f aca="false">SUMIF('PL_DEC.2026'!$D:$D,$D105,'PL_DEC.2026'!$L:$L)</f>
        <v>0</v>
      </c>
      <c r="X105" s="50" t="n">
        <f aca="false">F105-W105</f>
        <v>0</v>
      </c>
    </row>
    <row r="106" customFormat="false" ht="13.5" hidden="false" customHeight="false" outlineLevel="0" collapsed="false">
      <c r="C106" s="52" t="s">
        <v>352</v>
      </c>
      <c r="D106" s="63" t="s">
        <v>418</v>
      </c>
      <c r="E106" s="82" t="n">
        <f aca="false">SUMIF(FS_map!$H:$H,$D106,FS_map!$M:$M)</f>
        <v>0</v>
      </c>
      <c r="F106" s="82" t="n">
        <f aca="false">SUMIF(FS_map!$H:$H,$D106,FS_map!$P:$P)</f>
        <v>0</v>
      </c>
      <c r="G106" s="82" t="n">
        <f aca="false">F106*12/9</f>
        <v>0</v>
      </c>
      <c r="H106" s="82" t="n">
        <f aca="false">SUMIF(WPL_2025YE!$D:$D,$D106,WPL_2025YE!$AI:$AI)</f>
        <v>0</v>
      </c>
      <c r="I106" s="82" t="n">
        <f aca="false">G106-H106</f>
        <v>0</v>
      </c>
      <c r="J106" s="83" t="n">
        <f aca="false">IFERROR(I106/H106,IF(I106&gt;0,100%,IF(I106=0,0,-100%)))</f>
        <v>0</v>
      </c>
      <c r="K106" s="56" t="str">
        <f aca="false">IF(AND(ABS(I106)&gt;$K$5,ABS(J106)&gt;5%),"O","")</f>
        <v/>
      </c>
      <c r="L106" s="60"/>
      <c r="M106" s="114" t="n">
        <f aca="false">E106-F106</f>
        <v>0</v>
      </c>
      <c r="U106" s="50" t="n">
        <f aca="false">SUMIF('PL_DEC.2026'!$D:$D,$D106,'PL_DEC.2026'!$E:$E)</f>
        <v>0</v>
      </c>
      <c r="V106" s="50" t="n">
        <f aca="false">E106-U106</f>
        <v>0</v>
      </c>
      <c r="W106" s="50" t="n">
        <f aca="false">SUMIF('PL_DEC.2026'!$D:$D,$D106,'PL_DEC.2026'!$L:$L)</f>
        <v>0</v>
      </c>
      <c r="X106" s="50" t="n">
        <f aca="false">F106-W106</f>
        <v>0</v>
      </c>
    </row>
    <row r="107" customFormat="false" ht="64.5" hidden="false" customHeight="true" outlineLevel="0" collapsed="false">
      <c r="C107" s="52" t="s">
        <v>354</v>
      </c>
      <c r="D107" s="63" t="s">
        <v>419</v>
      </c>
      <c r="E107" s="82" t="n">
        <f aca="false">SUMIF(FS_map!$H:$H,$D107,FS_map!$M:$M)</f>
        <v>399665782</v>
      </c>
      <c r="F107" s="82" t="n">
        <f aca="false">SUMIF(FS_map!$H:$H,$D107,FS_map!$P:$P)</f>
        <v>399665782</v>
      </c>
      <c r="G107" s="82" t="n">
        <f aca="false">F107*12/9</f>
        <v>532887709.333333</v>
      </c>
      <c r="H107" s="82" t="n">
        <f aca="false">SUMIF(WPL_2025YE!$D:$D,$D107,WPL_2025YE!$AI:$AI)</f>
        <v>97658556</v>
      </c>
      <c r="I107" s="82" t="n">
        <f aca="false">G107-H107</f>
        <v>435229153.333333</v>
      </c>
      <c r="J107" s="83" t="n">
        <f aca="false">IFERROR(I107/H107,IF(I107&gt;0,100%,IF(I107=0,0,-100%)))</f>
        <v>4.45664129350155</v>
      </c>
      <c r="K107" s="56" t="str">
        <f aca="false">IF(AND(ABS(I107)&gt;$K$5,ABS(J107)&gt;5%),"O","")</f>
        <v/>
      </c>
      <c r="L107" s="134" t="s">
        <v>420</v>
      </c>
      <c r="M107" s="114" t="n">
        <f aca="false">E107-F107</f>
        <v>0</v>
      </c>
      <c r="U107" s="50" t="n">
        <f aca="false">SUMIF('PL_DEC.2026'!$D:$D,$D107,'PL_DEC.2026'!$E:$E)</f>
        <v>399665782</v>
      </c>
      <c r="V107" s="50" t="n">
        <f aca="false">E107-U107</f>
        <v>0</v>
      </c>
      <c r="W107" s="50" t="n">
        <f aca="false">SUMIF('PL_DEC.2026'!$D:$D,$D107,'PL_DEC.2026'!$L:$L)</f>
        <v>399665782</v>
      </c>
      <c r="X107" s="50" t="n">
        <f aca="false">F107-W107</f>
        <v>0</v>
      </c>
    </row>
    <row r="108" customFormat="false" ht="14.25" hidden="false" customHeight="true" outlineLevel="0" collapsed="false">
      <c r="C108" s="157" t="s">
        <v>421</v>
      </c>
      <c r="D108" s="158"/>
      <c r="E108" s="76" t="n">
        <f aca="false">+E75+E76-E91</f>
        <v>60475610467</v>
      </c>
      <c r="F108" s="76" t="n">
        <f aca="false">+F75+F76-F91</f>
        <v>60475610467</v>
      </c>
      <c r="G108" s="76" t="n">
        <f aca="false">F108*12/9</f>
        <v>80634147289.3333</v>
      </c>
      <c r="H108" s="76" t="n">
        <f aca="false">+H75+H76-H91</f>
        <v>48208293350</v>
      </c>
      <c r="I108" s="76" t="n">
        <f aca="false">G108-H108</f>
        <v>32425853939.3333</v>
      </c>
      <c r="J108" s="77" t="n">
        <f aca="false">IFERROR(I108/H108,IF(I108&gt;0,100%,IF(I108=0,0,-100%)))</f>
        <v>0.672619827130498</v>
      </c>
      <c r="K108" s="78"/>
      <c r="L108" s="79"/>
      <c r="M108" s="114" t="n">
        <f aca="false">E108-F108</f>
        <v>0</v>
      </c>
      <c r="N108" s="107"/>
      <c r="U108" s="50" t="n">
        <f aca="false">+U75+U76-U91</f>
        <v>60475610467</v>
      </c>
      <c r="V108" s="50" t="n">
        <f aca="false">E108-U108</f>
        <v>0</v>
      </c>
      <c r="W108" s="50" t="n">
        <f aca="false">+W75+W76-W91</f>
        <v>59966355182</v>
      </c>
      <c r="X108" s="50" t="n">
        <f aca="false">F108-W108</f>
        <v>509255285</v>
      </c>
    </row>
    <row r="109" customFormat="false" ht="14.25" hidden="false" customHeight="true" outlineLevel="0" collapsed="false">
      <c r="C109" s="42" t="s">
        <v>422</v>
      </c>
      <c r="D109" s="63" t="s">
        <v>423</v>
      </c>
      <c r="E109" s="82" t="n">
        <f aca="false">SUMIF(FS_map!$H:$H,$D109,FS_map!$M:$M)</f>
        <v>0</v>
      </c>
      <c r="F109" s="82" t="n">
        <f aca="false">SUMIF(FS_map!$H:$H,$D109,FS_map!$P:$P)</f>
        <v>0</v>
      </c>
      <c r="G109" s="82" t="n">
        <f aca="false">F109*12/9</f>
        <v>0</v>
      </c>
      <c r="H109" s="82" t="n">
        <f aca="false">SUMIF(WPL_2025YE!$D:$D,$D109,WPL_2025YE!$AI:$AI)</f>
        <v>0</v>
      </c>
      <c r="I109" s="82" t="n">
        <f aca="false">G109-H109</f>
        <v>0</v>
      </c>
      <c r="J109" s="83" t="n">
        <f aca="false">IFERROR(I109/H109,IF(I109&gt;0,100%,IF(I109=0,0,-100%)))</f>
        <v>0</v>
      </c>
      <c r="K109" s="56" t="str">
        <f aca="false">IF(AND(ABS(I109)&gt;$K$5,ABS(J109)&gt;5%),"O","")</f>
        <v/>
      </c>
      <c r="L109" s="60"/>
      <c r="M109" s="114" t="n">
        <f aca="false">E109-F109</f>
        <v>0</v>
      </c>
      <c r="O109" s="163"/>
      <c r="U109" s="50" t="n">
        <f aca="false">SUMIF('PL_DEC.2026'!$D:$D,$D109,'PL_DEC.2026'!$E:$E)</f>
        <v>0</v>
      </c>
      <c r="V109" s="50" t="n">
        <f aca="false">E109-U109</f>
        <v>0</v>
      </c>
      <c r="W109" s="50" t="n">
        <f aca="false">SUMIF('PL_DEC.2026'!$D:$D,$D109,'PL_DEC.2026'!$L:$L)</f>
        <v>0</v>
      </c>
      <c r="X109" s="50" t="n">
        <f aca="false">F109-W109</f>
        <v>0</v>
      </c>
    </row>
    <row r="110" customFormat="false" ht="13.5" hidden="false" customHeight="false" outlineLevel="0" collapsed="false">
      <c r="C110" s="42" t="s">
        <v>424</v>
      </c>
      <c r="D110" s="63" t="s">
        <v>425</v>
      </c>
      <c r="E110" s="82" t="n">
        <f aca="false">SUMIF(FS_map!$H:$H,$D110,FS_map!$M:$M)</f>
        <v>0</v>
      </c>
      <c r="F110" s="82" t="n">
        <f aca="false">SUMIF(FS_map!$H:$H,$D110,FS_map!$P:$P)</f>
        <v>0</v>
      </c>
      <c r="G110" s="82" t="n">
        <f aca="false">F110*12/9</f>
        <v>0</v>
      </c>
      <c r="H110" s="82" t="n">
        <f aca="false">SUMIF(WPL_2025YE!$D:$D,$D110,WPL_2025YE!$AI:$AI)</f>
        <v>0</v>
      </c>
      <c r="I110" s="82" t="n">
        <f aca="false">G110-H110</f>
        <v>0</v>
      </c>
      <c r="J110" s="83" t="n">
        <f aca="false">IFERROR(I110/H110,IF(I110&gt;0,100%,IF(I110=0,0,-100%)))</f>
        <v>0</v>
      </c>
      <c r="K110" s="56" t="str">
        <f aca="false">IF(AND(ABS(I110)&gt;$K$5,ABS(J110)&gt;5%),"O","")</f>
        <v/>
      </c>
      <c r="L110" s="60"/>
      <c r="M110" s="114" t="n">
        <f aca="false">E110-F110</f>
        <v>0</v>
      </c>
      <c r="U110" s="50" t="n">
        <f aca="false">SUMIF('PL_DEC.2026'!$D:$D,$D110,'PL_DEC.2026'!$E:$E)</f>
        <v>0</v>
      </c>
      <c r="V110" s="50" t="n">
        <f aca="false">E110-U110</f>
        <v>0</v>
      </c>
      <c r="W110" s="50" t="n">
        <f aca="false">SUMIF('PL_DEC.2026'!$D:$D,$D110,'PL_DEC.2026'!$L:$L)</f>
        <v>0</v>
      </c>
      <c r="X110" s="50" t="n">
        <f aca="false">F110-W110</f>
        <v>0</v>
      </c>
    </row>
    <row r="111" customFormat="false" ht="14.25" hidden="false" customHeight="true" outlineLevel="0" collapsed="false">
      <c r="C111" s="157" t="s">
        <v>426</v>
      </c>
      <c r="D111" s="158"/>
      <c r="E111" s="76" t="n">
        <f aca="false">+E108+E109-E110</f>
        <v>60475610467</v>
      </c>
      <c r="F111" s="76" t="n">
        <f aca="false">+F108+F109-F110</f>
        <v>60475610467</v>
      </c>
      <c r="G111" s="76" t="n">
        <f aca="false">F111*12/9</f>
        <v>80634147289.3333</v>
      </c>
      <c r="H111" s="76" t="n">
        <f aca="false">+H108+H109-H110</f>
        <v>48208293350</v>
      </c>
      <c r="I111" s="76" t="n">
        <f aca="false">G111-H111</f>
        <v>32425853939.3333</v>
      </c>
      <c r="J111" s="77" t="n">
        <f aca="false">IFERROR(I111/H111,IF(I111&gt;0,100%,IF(I111=0,0,-100%)))</f>
        <v>0.672619827130498</v>
      </c>
      <c r="K111" s="78"/>
      <c r="L111" s="79"/>
      <c r="M111" s="114" t="n">
        <f aca="false">E111-F111</f>
        <v>0</v>
      </c>
      <c r="P111" s="104"/>
      <c r="U111" s="50" t="n">
        <f aca="false">+U108+U109-U110</f>
        <v>60475610467</v>
      </c>
      <c r="V111" s="50" t="n">
        <f aca="false">E111-U111</f>
        <v>0</v>
      </c>
      <c r="W111" s="50" t="n">
        <f aca="false">+W108+W109-W110</f>
        <v>59966355182</v>
      </c>
      <c r="X111" s="50" t="n">
        <f aca="false">F111-W111</f>
        <v>509255285</v>
      </c>
    </row>
    <row r="112" customFormat="false" ht="78" hidden="false" customHeight="true" outlineLevel="0" collapsed="false">
      <c r="C112" s="42" t="s">
        <v>427</v>
      </c>
      <c r="D112" s="63" t="s">
        <v>428</v>
      </c>
      <c r="E112" s="82" t="n">
        <f aca="false">SUMIF(FS_map!$H:$H,$D112,FS_map!$M:$M)</f>
        <v>11186723445</v>
      </c>
      <c r="F112" s="82" t="n">
        <f aca="false">SUMIF(FS_map!$H:$H,$D112,FS_map!$P:$P)</f>
        <v>11186723445</v>
      </c>
      <c r="G112" s="82" t="n">
        <f aca="false">F112*12/9</f>
        <v>14915631260</v>
      </c>
      <c r="H112" s="82" t="n">
        <f aca="false">WPL_2025YE!AJ95</f>
        <v>10248455012</v>
      </c>
      <c r="I112" s="82" t="n">
        <f aca="false">G112-H112</f>
        <v>4667176248</v>
      </c>
      <c r="J112" s="83" t="n">
        <f aca="false">IFERROR(I112/H112,IF(I112&gt;0,100%,IF(I112=0,0,-100%)))</f>
        <v>0.455402911222732</v>
      </c>
      <c r="K112" s="56" t="str">
        <f aca="false">IF(AND(ABS(I112)&gt;$K$5,ABS(J112)&gt;5%),"O","")</f>
        <v/>
      </c>
      <c r="L112" s="94" t="s">
        <v>429</v>
      </c>
      <c r="M112" s="114" t="n">
        <f aca="false">E112-F112</f>
        <v>0</v>
      </c>
      <c r="P112" s="163"/>
      <c r="U112" s="50" t="n">
        <f aca="false">'PL_DEC.2026'!F98</f>
        <v>11186723445</v>
      </c>
      <c r="V112" s="50" t="n">
        <f aca="false">E112-U112</f>
        <v>0</v>
      </c>
      <c r="W112" s="50" t="n">
        <f aca="false">'PL_DEC.2026'!M98</f>
        <v>11186723445</v>
      </c>
      <c r="X112" s="50" t="n">
        <f aca="false">F112-W112</f>
        <v>0</v>
      </c>
    </row>
    <row r="113" customFormat="false" ht="51.75" hidden="false" customHeight="true" outlineLevel="0" collapsed="false">
      <c r="C113" s="165" t="s">
        <v>430</v>
      </c>
      <c r="D113" s="166"/>
      <c r="E113" s="167" t="n">
        <f aca="false">+E111-E112</f>
        <v>49288887022</v>
      </c>
      <c r="F113" s="167" t="n">
        <f aca="false">+F111-F112</f>
        <v>49288887022</v>
      </c>
      <c r="G113" s="167" t="n">
        <f aca="false">F113*12/9</f>
        <v>65718516029.3333</v>
      </c>
      <c r="H113" s="167" t="n">
        <f aca="false">+H111-H112</f>
        <v>37959838338</v>
      </c>
      <c r="I113" s="167" t="n">
        <f aca="false">G113-H113</f>
        <v>27758677691.3333</v>
      </c>
      <c r="J113" s="168" t="n">
        <f aca="false">IFERROR(I113/H113,IF(I113&gt;0,100%,IF(I113=0,0,-100%)))</f>
        <v>0.731264381164271</v>
      </c>
      <c r="K113" s="169"/>
      <c r="L113" s="170" t="s">
        <v>431</v>
      </c>
      <c r="M113" s="114" t="n">
        <f aca="false">E113-F113</f>
        <v>0</v>
      </c>
      <c r="N113" s="163"/>
      <c r="U113" s="50" t="n">
        <f aca="false">+U111-U112</f>
        <v>49288887022</v>
      </c>
      <c r="V113" s="50" t="n">
        <f aca="false">E113-U113</f>
        <v>0</v>
      </c>
      <c r="W113" s="50" t="n">
        <f aca="false">+W111-W112</f>
        <v>48779631737</v>
      </c>
      <c r="X113" s="50" t="n">
        <f aca="false">F113-W113</f>
        <v>509255285</v>
      </c>
    </row>
    <row r="114" customFormat="false" ht="13.5" hidden="false" customHeight="false" outlineLevel="0" collapsed="false">
      <c r="E114" s="69" t="n">
        <f aca="false">E113=BS_KO!E117</f>
        <v>1</v>
      </c>
      <c r="F114" s="69" t="n">
        <f aca="false">F113=BS_KO!F117</f>
        <v>1</v>
      </c>
      <c r="H114" s="69" t="n">
        <f aca="false">H113=BS_KO!G117</f>
        <v>1</v>
      </c>
      <c r="M114" s="114" t="n">
        <f aca="false">E114-F114</f>
        <v>0</v>
      </c>
    </row>
    <row r="115" customFormat="false" ht="13.5" hidden="false" customHeight="false" outlineLevel="0" collapsed="false">
      <c r="G115" s="111" t="n">
        <f aca="false">G112/G111</f>
        <v>0.184979090886636</v>
      </c>
      <c r="H115" s="111" t="n">
        <f aca="false">H112/H111</f>
        <v>0.212586969996937</v>
      </c>
    </row>
    <row r="116" customFormat="false" ht="13.5" hidden="false" customHeight="false" outlineLevel="0" collapsed="false">
      <c r="E116" s="69" t="n">
        <f aca="false">+E113/E10</f>
        <v>0.0925923253622814</v>
      </c>
      <c r="F116" s="69" t="n">
        <f aca="false">+F113/F10</f>
        <v>0.0925923253622814</v>
      </c>
      <c r="H116" s="69" t="n">
        <f aca="false">+H113/H10</f>
        <v>0.0587837028621624</v>
      </c>
    </row>
    <row r="117" customFormat="false" ht="13.5" hidden="false" customHeight="false" outlineLevel="0" collapsed="false">
      <c r="E117" s="69" t="n">
        <f aca="false">E111/E10</f>
        <v>0.113607300532952</v>
      </c>
      <c r="F117" s="69" t="n">
        <f aca="false">F111/F10</f>
        <v>0.113607300532952</v>
      </c>
      <c r="H117" s="69" t="n">
        <f aca="false">H111/H10</f>
        <v>0.074654216557648</v>
      </c>
      <c r="M117" s="171"/>
      <c r="P117" s="104"/>
    </row>
    <row r="118" customFormat="false" ht="13.5" hidden="false" customHeight="false" outlineLevel="0" collapsed="false">
      <c r="P118" s="163"/>
    </row>
  </sheetData>
  <mergeCells count="2">
    <mergeCell ref="C8:D9"/>
    <mergeCell ref="E8:F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D1:T81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4" ySplit="2" topLeftCell="E384" activePane="bottomRight" state="frozen"/>
      <selection pane="topLeft" activeCell="A1" activeCellId="0" sqref="A1"/>
      <selection pane="topRight" activeCell="E1" activeCellId="0" sqref="E1"/>
      <selection pane="bottomLeft" activeCell="A384" activeCellId="0" sqref="A384"/>
      <selection pane="bottomRight" activeCell="I404" activeCellId="0" sqref="I404"/>
    </sheetView>
  </sheetViews>
  <sheetFormatPr defaultColWidth="8.5" defaultRowHeight="16.5" zeroHeight="false" outlineLevelRow="0" outlineLevelCol="0"/>
  <cols>
    <col collapsed="false" customWidth="true" hidden="false" outlineLevel="0" max="1" min="1" style="172" width="1.75"/>
    <col collapsed="false" customWidth="true" hidden="false" outlineLevel="0" max="3" min="2" style="172" width="2.75"/>
    <col collapsed="false" customWidth="true" hidden="false" outlineLevel="0" max="4" min="4" style="172" width="11.37"/>
    <col collapsed="false" customWidth="true" hidden="false" outlineLevel="0" max="5" min="5" style="172" width="44.13"/>
    <col collapsed="false" customWidth="true" hidden="false" outlineLevel="0" max="6" min="6" style="172" width="6.88"/>
    <col collapsed="false" customWidth="true" hidden="false" outlineLevel="0" max="7" min="7" style="173" width="12.87"/>
    <col collapsed="false" customWidth="true" hidden="false" outlineLevel="0" max="8" min="8" style="172" width="15.63"/>
    <col collapsed="false" customWidth="true" hidden="false" outlineLevel="0" max="9" min="9" style="172" width="34.63"/>
    <col collapsed="false" customWidth="true" hidden="false" outlineLevel="0" max="10" min="10" style="172" width="17.63"/>
    <col collapsed="false" customWidth="true" hidden="false" outlineLevel="0" max="12" min="11" style="172" width="13.63"/>
    <col collapsed="false" customWidth="true" hidden="false" outlineLevel="0" max="13" min="13" style="172" width="17.5"/>
    <col collapsed="false" customWidth="true" hidden="false" outlineLevel="0" max="14" min="14" style="172" width="18.5"/>
    <col collapsed="false" customWidth="true" hidden="false" outlineLevel="0" max="15" min="15" style="172" width="15.13"/>
    <col collapsed="false" customWidth="true" hidden="false" outlineLevel="0" max="17" min="16" style="172" width="16.5"/>
    <col collapsed="false" customWidth="true" hidden="false" outlineLevel="0" max="18" min="18" style="172" width="22"/>
    <col collapsed="false" customWidth="true" hidden="false" outlineLevel="0" max="19" min="19" style="172" width="18"/>
    <col collapsed="false" customWidth="true" hidden="false" outlineLevel="0" max="20" min="20" style="172" width="10"/>
  </cols>
  <sheetData>
    <row r="1" customFormat="false" ht="17.25" hidden="false" customHeight="true" outlineLevel="0" collapsed="false">
      <c r="K1" s="174"/>
      <c r="L1" s="174"/>
    </row>
    <row r="2" customFormat="false" ht="27.75" hidden="false" customHeight="true" outlineLevel="0" collapsed="false">
      <c r="D2" s="175" t="s">
        <v>432</v>
      </c>
      <c r="E2" s="176" t="s">
        <v>433</v>
      </c>
      <c r="F2" s="176" t="s">
        <v>434</v>
      </c>
      <c r="G2" s="177" t="s">
        <v>434</v>
      </c>
      <c r="H2" s="178" t="s">
        <v>435</v>
      </c>
      <c r="I2" s="179" t="s">
        <v>436</v>
      </c>
      <c r="J2" s="180" t="s">
        <v>437</v>
      </c>
      <c r="K2" s="181" t="s">
        <v>438</v>
      </c>
      <c r="L2" s="182" t="s">
        <v>439</v>
      </c>
      <c r="M2" s="183" t="s">
        <v>9</v>
      </c>
      <c r="N2" s="181" t="s">
        <v>438</v>
      </c>
      <c r="O2" s="182" t="s">
        <v>439</v>
      </c>
      <c r="P2" s="183" t="s">
        <v>10</v>
      </c>
      <c r="Q2" s="184" t="s">
        <v>440</v>
      </c>
      <c r="R2" s="184" t="s">
        <v>441</v>
      </c>
      <c r="S2" s="185" t="s">
        <v>442</v>
      </c>
      <c r="T2" s="185" t="s">
        <v>443</v>
      </c>
    </row>
    <row r="3" customFormat="false" ht="17.25" hidden="false" customHeight="true" outlineLevel="0" collapsed="false">
      <c r="D3" s="186" t="s">
        <v>444</v>
      </c>
      <c r="E3" s="187" t="s">
        <v>445</v>
      </c>
      <c r="F3" s="188" t="s">
        <v>446</v>
      </c>
      <c r="G3" s="189" t="s">
        <v>447</v>
      </c>
      <c r="H3" s="190" t="s">
        <v>116</v>
      </c>
      <c r="I3" s="191" t="s">
        <v>448</v>
      </c>
      <c r="J3" s="192" t="n">
        <f aca="false">IFERROR(VLOOKUP(VALUE($D3),BSPL2026!$B:$Z,25,FALSE()),0)</f>
        <v>12060074810</v>
      </c>
      <c r="K3" s="193"/>
      <c r="L3" s="194"/>
      <c r="M3" s="192" t="n">
        <f aca="false">J3+K3-L3</f>
        <v>12060074810</v>
      </c>
      <c r="N3" s="193" t="n">
        <f aca="false">SUMIF('statutory adj_2026 조정분개'!$S:$S,$D3,'statutory adj_2026 조정분개'!$K:$K)</f>
        <v>0</v>
      </c>
      <c r="O3" s="194" t="n">
        <f aca="false">SUMIF('statutory adj_2026 조정분개'!$S:$S,$D3,'statutory adj_2026 조정분개'!$L:$L)</f>
        <v>0</v>
      </c>
      <c r="P3" s="192" t="n">
        <f aca="false">M3+N3-O3</f>
        <v>12060074810</v>
      </c>
      <c r="Q3" s="195" t="n">
        <f aca="false">IFERROR(VLOOKUP(VALUE($D3),BSPL2026!$B:$Q,16,FALSE()),0)</f>
        <v>12060074810</v>
      </c>
      <c r="R3" s="196" t="s">
        <v>449</v>
      </c>
      <c r="S3" s="172" t="str">
        <f aca="false">IFERROR(VLOOKUP(VALUE($D3),BSPL2026!$B:$M,12,FALSE()),"")</f>
        <v>구축물</v>
      </c>
      <c r="T3" s="172" t="str">
        <f aca="false">IF(OR(S3="",S3=0,LEFT(S3,5)="(원본오류"),"",IF(S3=H3,"","매핑차이"))</f>
        <v/>
      </c>
    </row>
    <row r="4" customFormat="false" ht="17.25" hidden="false" customHeight="true" outlineLevel="0" collapsed="false">
      <c r="D4" s="186" t="s">
        <v>450</v>
      </c>
      <c r="E4" s="187" t="s">
        <v>451</v>
      </c>
      <c r="F4" s="188" t="s">
        <v>446</v>
      </c>
      <c r="G4" s="189" t="s">
        <v>447</v>
      </c>
      <c r="H4" s="190" t="s">
        <v>118</v>
      </c>
      <c r="I4" s="191" t="s">
        <v>452</v>
      </c>
      <c r="J4" s="192" t="n">
        <f aca="false">IFERROR(VLOOKUP(VALUE($D4),BSPL2026!$B:$Z,25,FALSE()),0)</f>
        <v>-11842919020</v>
      </c>
      <c r="K4" s="193"/>
      <c r="L4" s="194"/>
      <c r="M4" s="192" t="n">
        <f aca="false">J4+K4-L4</f>
        <v>-11842919020</v>
      </c>
      <c r="N4" s="193" t="n">
        <f aca="false">SUMIF('statutory adj_2026 조정분개'!$S:$S,$D4,'statutory adj_2026 조정분개'!$K:$K)</f>
        <v>0</v>
      </c>
      <c r="O4" s="194" t="n">
        <f aca="false">SUMIF('statutory adj_2026 조정분개'!$S:$S,$D4,'statutory adj_2026 조정분개'!$L:$L)</f>
        <v>0</v>
      </c>
      <c r="P4" s="192" t="n">
        <f aca="false">M4+N4-O4</f>
        <v>-11842919020</v>
      </c>
      <c r="Q4" s="195" t="n">
        <f aca="false">IFERROR(VLOOKUP(VALUE($D4),BSPL2026!$B:$Q,16,FALSE()),0)</f>
        <v>-10865717938</v>
      </c>
      <c r="R4" s="196" t="s">
        <v>449</v>
      </c>
      <c r="S4" s="172" t="str">
        <f aca="false">IFERROR(VLOOKUP(VALUE($D4),BSPL2026!$B:$M,12,FALSE()),"")</f>
        <v>감가상각누계액-구축물</v>
      </c>
      <c r="T4" s="172" t="str">
        <f aca="false">IF(OR(S4="",S4=0,LEFT(S4,5)="(원본오류"),"",IF(S4=H4,"","매핑차이"))</f>
        <v/>
      </c>
    </row>
    <row r="5" customFormat="false" ht="17.25" hidden="false" customHeight="true" outlineLevel="0" collapsed="false">
      <c r="D5" s="186" t="s">
        <v>453</v>
      </c>
      <c r="E5" s="187" t="s">
        <v>454</v>
      </c>
      <c r="F5" s="188" t="s">
        <v>446</v>
      </c>
      <c r="G5" s="189" t="s">
        <v>447</v>
      </c>
      <c r="H5" s="190" t="s">
        <v>116</v>
      </c>
      <c r="I5" s="191" t="s">
        <v>455</v>
      </c>
      <c r="J5" s="192" t="n">
        <f aca="false">IFERROR(VLOOKUP(VALUE($D5),BSPL2026!$B:$Z,25,FALSE()),0)</f>
        <v>239169200</v>
      </c>
      <c r="K5" s="193"/>
      <c r="L5" s="194"/>
      <c r="M5" s="192" t="n">
        <f aca="false">J5+K5-L5</f>
        <v>239169200</v>
      </c>
      <c r="N5" s="193" t="n">
        <f aca="false">SUMIF('statutory adj_2026 조정분개'!$S:$S,$D5,'statutory adj_2026 조정분개'!$K:$K)</f>
        <v>0</v>
      </c>
      <c r="O5" s="194" t="n">
        <f aca="false">SUMIF('statutory adj_2026 조정분개'!$S:$S,$D5,'statutory adj_2026 조정분개'!$L:$L)</f>
        <v>0</v>
      </c>
      <c r="P5" s="192" t="n">
        <f aca="false">M5+N5-O5</f>
        <v>239169200</v>
      </c>
      <c r="Q5" s="195" t="n">
        <f aca="false">IFERROR(VLOOKUP(VALUE($D5),BSPL2026!$B:$Q,16,FALSE()),0)</f>
        <v>239169200</v>
      </c>
      <c r="R5" s="196" t="s">
        <v>449</v>
      </c>
      <c r="S5" s="172" t="str">
        <f aca="false">IFERROR(VLOOKUP(VALUE($D5),BSPL2026!$B:$M,12,FALSE()),"")</f>
        <v>구축물</v>
      </c>
      <c r="T5" s="172" t="str">
        <f aca="false">IF(OR(S5="",S5=0,LEFT(S5,5)="(원본오류"),"",IF(S5=H5,"","매핑차이"))</f>
        <v/>
      </c>
    </row>
    <row r="6" customFormat="false" ht="17.25" hidden="false" customHeight="true" outlineLevel="0" collapsed="false">
      <c r="D6" s="186" t="s">
        <v>456</v>
      </c>
      <c r="E6" s="187" t="s">
        <v>457</v>
      </c>
      <c r="F6" s="188" t="s">
        <v>446</v>
      </c>
      <c r="G6" s="189" t="s">
        <v>447</v>
      </c>
      <c r="H6" s="190" t="s">
        <v>116</v>
      </c>
      <c r="I6" s="191" t="s">
        <v>458</v>
      </c>
      <c r="J6" s="192" t="n">
        <f aca="false">IFERROR(VLOOKUP(VALUE($D6),BSPL2026!$B:$Z,25,FALSE()),0)</f>
        <v>1304901001</v>
      </c>
      <c r="K6" s="193"/>
      <c r="L6" s="194"/>
      <c r="M6" s="192" t="n">
        <f aca="false">J6+K6-L6</f>
        <v>1304901001</v>
      </c>
      <c r="N6" s="193" t="n">
        <f aca="false">SUMIF('statutory adj_2026 조정분개'!$S:$S,$D6,'statutory adj_2026 조정분개'!$K:$K)</f>
        <v>0</v>
      </c>
      <c r="O6" s="194" t="n">
        <f aca="false">SUMIF('statutory adj_2026 조정분개'!$S:$S,$D6,'statutory adj_2026 조정분개'!$L:$L)</f>
        <v>0</v>
      </c>
      <c r="P6" s="192" t="n">
        <f aca="false">M6+N6-O6</f>
        <v>1304901001</v>
      </c>
      <c r="Q6" s="195" t="n">
        <f aca="false">IFERROR(VLOOKUP(VALUE($D6),BSPL2026!$B:$Q,16,FALSE()),0)</f>
        <v>1304901001</v>
      </c>
      <c r="R6" s="196" t="s">
        <v>449</v>
      </c>
      <c r="S6" s="172" t="str">
        <f aca="false">IFERROR(VLOOKUP(VALUE($D6),BSPL2026!$B:$M,12,FALSE()),"")</f>
        <v>구축물</v>
      </c>
      <c r="T6" s="172" t="str">
        <f aca="false">IF(OR(S6="",S6=0,LEFT(S6,5)="(원본오류"),"",IF(S6=H6,"","매핑차이"))</f>
        <v/>
      </c>
    </row>
    <row r="7" customFormat="false" ht="17.25" hidden="false" customHeight="true" outlineLevel="0" collapsed="false">
      <c r="D7" s="186" t="s">
        <v>459</v>
      </c>
      <c r="E7" s="187" t="s">
        <v>460</v>
      </c>
      <c r="F7" s="188" t="s">
        <v>446</v>
      </c>
      <c r="G7" s="189" t="s">
        <v>447</v>
      </c>
      <c r="H7" s="190" t="s">
        <v>120</v>
      </c>
      <c r="I7" s="191" t="s">
        <v>461</v>
      </c>
      <c r="J7" s="192" t="n">
        <f aca="false">IFERROR(VLOOKUP(VALUE($D7),BSPL2026!$B:$Z,25,FALSE()),0)</f>
        <v>1434004742</v>
      </c>
      <c r="K7" s="193"/>
      <c r="L7" s="194"/>
      <c r="M7" s="192" t="n">
        <f aca="false">J7+K7-L7</f>
        <v>1434004742</v>
      </c>
      <c r="N7" s="193" t="n">
        <f aca="false">SUMIF('statutory adj_2026 조정분개'!$S:$S,$D7,'statutory adj_2026 조정분개'!$K:$K)</f>
        <v>0</v>
      </c>
      <c r="O7" s="194" t="n">
        <f aca="false">SUMIF('statutory adj_2026 조정분개'!$S:$S,$D7,'statutory adj_2026 조정분개'!$L:$L)</f>
        <v>485029742</v>
      </c>
      <c r="P7" s="192" t="n">
        <f aca="false">M7+N7-O7</f>
        <v>948975000</v>
      </c>
      <c r="Q7" s="195" t="n">
        <f aca="false">IFERROR(VLOOKUP(VALUE($D7),BSPL2026!$B:$Q,16,FALSE()),0)</f>
        <v>1434004742</v>
      </c>
      <c r="R7" s="196" t="s">
        <v>449</v>
      </c>
      <c r="S7" s="172" t="str">
        <f aca="false">IFERROR(VLOOKUP(VALUE($D7),BSPL2026!$B:$M,12,FALSE()),"")</f>
        <v>기계장치</v>
      </c>
      <c r="T7" s="172" t="str">
        <f aca="false">IF(OR(S7="",S7=0,LEFT(S7,5)="(원본오류"),"",IF(S7=H7,"","매핑차이"))</f>
        <v/>
      </c>
    </row>
    <row r="8" customFormat="false" ht="17.25" hidden="false" customHeight="true" outlineLevel="0" collapsed="false">
      <c r="D8" s="186" t="s">
        <v>462</v>
      </c>
      <c r="E8" s="187" t="s">
        <v>463</v>
      </c>
      <c r="F8" s="188" t="s">
        <v>446</v>
      </c>
      <c r="G8" s="189" t="s">
        <v>447</v>
      </c>
      <c r="H8" s="190" t="s">
        <v>75</v>
      </c>
      <c r="I8" s="191" t="s">
        <v>463</v>
      </c>
      <c r="J8" s="192" t="n">
        <f aca="false">IFERROR(VLOOKUP(VALUE($D8),BSPL2026!$B:$Z,25,FALSE()),0)</f>
        <v>0</v>
      </c>
      <c r="K8" s="193"/>
      <c r="L8" s="194"/>
      <c r="M8" s="192" t="n">
        <f aca="false">J8+K8-L8</f>
        <v>0</v>
      </c>
      <c r="N8" s="193" t="n">
        <f aca="false">SUMIF('statutory adj_2026 조정분개'!$S:$S,$D8,'statutory adj_2026 조정분개'!$K:$K)</f>
        <v>0</v>
      </c>
      <c r="O8" s="194" t="n">
        <f aca="false">SUMIF('statutory adj_2026 조정분개'!$S:$S,$D8,'statutory adj_2026 조정분개'!$L:$L)</f>
        <v>0</v>
      </c>
      <c r="P8" s="192" t="n">
        <f aca="false">M8+N8-O8</f>
        <v>0</v>
      </c>
      <c r="Q8" s="195" t="n">
        <f aca="false">IFERROR(VLOOKUP(VALUE($D8),BSPL2026!$B:$Q,16,FALSE()),0)</f>
        <v>0</v>
      </c>
      <c r="R8" s="196" t="s">
        <v>449</v>
      </c>
      <c r="S8" s="172" t="str">
        <f aca="false">IFERROR(VLOOKUP(VALUE($D8),BSPL2026!$B:$M,12,FALSE()),"")</f>
        <v>상품</v>
      </c>
      <c r="T8" s="172" t="str">
        <f aca="false">IF(OR(S8="",S8=0,LEFT(S8,5)="(원본오류"),"",IF(S8=H8,"","매핑차이"))</f>
        <v/>
      </c>
    </row>
    <row r="9" customFormat="false" ht="17.25" hidden="false" customHeight="true" outlineLevel="0" collapsed="false">
      <c r="D9" s="186" t="s">
        <v>464</v>
      </c>
      <c r="E9" s="187" t="s">
        <v>465</v>
      </c>
      <c r="F9" s="188" t="s">
        <v>446</v>
      </c>
      <c r="G9" s="189" t="s">
        <v>447</v>
      </c>
      <c r="H9" s="190" t="s">
        <v>132</v>
      </c>
      <c r="I9" s="191" t="s">
        <v>466</v>
      </c>
      <c r="J9" s="192" t="n">
        <f aca="false">IFERROR(VLOOKUP(VALUE($D9),BSPL2026!$B:$Z,25,FALSE()),0)</f>
        <v>350199634</v>
      </c>
      <c r="K9" s="193"/>
      <c r="L9" s="194"/>
      <c r="M9" s="192" t="n">
        <f aca="false">J9+K9-L9</f>
        <v>350199634</v>
      </c>
      <c r="N9" s="193" t="n">
        <f aca="false">SUMIF('statutory adj_2026 조정분개'!$S:$S,$D9,'statutory adj_2026 조정분개'!$K:$K)</f>
        <v>0</v>
      </c>
      <c r="O9" s="194" t="n">
        <f aca="false">SUMIF('statutory adj_2026 조정분개'!$S:$S,$D9,'statutory adj_2026 조정분개'!$L:$L)</f>
        <v>0</v>
      </c>
      <c r="P9" s="192" t="n">
        <f aca="false">M9+N9-O9</f>
        <v>350199634</v>
      </c>
      <c r="Q9" s="195" t="n">
        <f aca="false">IFERROR(VLOOKUP(VALUE($D9),BSPL2026!$B:$Q,16,FALSE()),0)</f>
        <v>350199634</v>
      </c>
      <c r="R9" s="196" t="s">
        <v>449</v>
      </c>
      <c r="S9" s="172" t="str">
        <f aca="false">IFERROR(VLOOKUP(VALUE($D9),BSPL2026!$B:$M,12,FALSE()),"")</f>
        <v>집기비품</v>
      </c>
      <c r="T9" s="172" t="str">
        <f aca="false">IF(OR(S9="",S9=0,LEFT(S9,5)="(원본오류"),"",IF(S9=H9,"","매핑차이"))</f>
        <v/>
      </c>
    </row>
    <row r="10" customFormat="false" ht="17.25" hidden="false" customHeight="true" outlineLevel="0" collapsed="false">
      <c r="D10" s="186" t="s">
        <v>467</v>
      </c>
      <c r="E10" s="187" t="s">
        <v>468</v>
      </c>
      <c r="F10" s="188" t="s">
        <v>446</v>
      </c>
      <c r="G10" s="189" t="s">
        <v>447</v>
      </c>
      <c r="H10" s="190" t="s">
        <v>128</v>
      </c>
      <c r="I10" s="191" t="s">
        <v>469</v>
      </c>
      <c r="J10" s="192" t="n">
        <f aca="false">IFERROR(VLOOKUP(VALUE($D10),BSPL2026!$B:$Z,25,FALSE()),0)</f>
        <v>42938000</v>
      </c>
      <c r="K10" s="193"/>
      <c r="L10" s="194"/>
      <c r="M10" s="192" t="n">
        <f aca="false">J10+K10-L10</f>
        <v>42938000</v>
      </c>
      <c r="N10" s="193" t="n">
        <f aca="false">SUMIF('statutory adj_2026 조정분개'!$S:$S,$D10,'statutory adj_2026 조정분개'!$K:$K)</f>
        <v>485029742</v>
      </c>
      <c r="O10" s="194" t="n">
        <f aca="false">SUMIF('statutory adj_2026 조정분개'!$S:$S,$D10,'statutory adj_2026 조정분개'!$L:$L)</f>
        <v>0</v>
      </c>
      <c r="P10" s="192" t="n">
        <f aca="false">M10+N10-O10</f>
        <v>527967742</v>
      </c>
      <c r="Q10" s="195" t="n">
        <f aca="false">IFERROR(VLOOKUP(VALUE($D10),BSPL2026!$B:$Q,16,FALSE()),0)</f>
        <v>42938000</v>
      </c>
      <c r="R10" s="196" t="s">
        <v>449</v>
      </c>
      <c r="S10" s="172" t="str">
        <f aca="false">IFERROR(VLOOKUP(VALUE($D10),BSPL2026!$B:$M,12,FALSE()),"")</f>
        <v>공구와기구</v>
      </c>
      <c r="T10" s="172" t="str">
        <f aca="false">IF(OR(S10="",S10=0,LEFT(S10,5)="(원본오류"),"",IF(S10=H10,"","매핑차이"))</f>
        <v/>
      </c>
    </row>
    <row r="11" customFormat="false" ht="17.25" hidden="false" customHeight="true" outlineLevel="0" collapsed="false">
      <c r="D11" s="186" t="s">
        <v>470</v>
      </c>
      <c r="E11" s="187" t="s">
        <v>471</v>
      </c>
      <c r="F11" s="188" t="s">
        <v>446</v>
      </c>
      <c r="G11" s="189" t="s">
        <v>447</v>
      </c>
      <c r="H11" s="190" t="s">
        <v>132</v>
      </c>
      <c r="I11" s="191" t="s">
        <v>472</v>
      </c>
      <c r="J11" s="192" t="n">
        <f aca="false">IFERROR(VLOOKUP(VALUE($D11),BSPL2026!$B:$Z,25,FALSE()),0)</f>
        <v>1369225145</v>
      </c>
      <c r="K11" s="193"/>
      <c r="L11" s="194"/>
      <c r="M11" s="192" t="n">
        <f aca="false">J11+K11-L11</f>
        <v>1369225145</v>
      </c>
      <c r="N11" s="193" t="n">
        <f aca="false">SUMIF('statutory adj_2026 조정분개'!$S:$S,$D11,'statutory adj_2026 조정분개'!$K:$K)</f>
        <v>0</v>
      </c>
      <c r="O11" s="194" t="n">
        <f aca="false">SUMIF('statutory adj_2026 조정분개'!$S:$S,$D11,'statutory adj_2026 조정분개'!$L:$L)</f>
        <v>0</v>
      </c>
      <c r="P11" s="192" t="n">
        <f aca="false">M11+N11-O11</f>
        <v>1369225145</v>
      </c>
      <c r="Q11" s="195" t="n">
        <f aca="false">IFERROR(VLOOKUP(VALUE($D11),BSPL2026!$B:$Q,16,FALSE()),0)</f>
        <v>1282738705</v>
      </c>
      <c r="R11" s="196" t="s">
        <v>449</v>
      </c>
      <c r="S11" s="172" t="str">
        <f aca="false">IFERROR(VLOOKUP(VALUE($D11),BSPL2026!$B:$M,12,FALSE()),"")</f>
        <v>집기비품</v>
      </c>
      <c r="T11" s="172" t="str">
        <f aca="false">IF(OR(S11="",S11=0,LEFT(S11,5)="(원본오류"),"",IF(S11=H11,"","매핑차이"))</f>
        <v/>
      </c>
    </row>
    <row r="12" customFormat="false" ht="17.25" hidden="false" customHeight="true" outlineLevel="0" collapsed="false">
      <c r="D12" s="186" t="s">
        <v>473</v>
      </c>
      <c r="E12" s="187" t="s">
        <v>468</v>
      </c>
      <c r="F12" s="188" t="s">
        <v>446</v>
      </c>
      <c r="G12" s="189" t="s">
        <v>447</v>
      </c>
      <c r="H12" s="190" t="s">
        <v>128</v>
      </c>
      <c r="I12" s="191" t="s">
        <v>474</v>
      </c>
      <c r="J12" s="192" t="n">
        <f aca="false">IFERROR(VLOOKUP(VALUE($D12),BSPL2026!$B:$Z,25,FALSE()),0)</f>
        <v>34046016</v>
      </c>
      <c r="K12" s="193"/>
      <c r="L12" s="194"/>
      <c r="M12" s="192" t="n">
        <f aca="false">J12+K12-L12</f>
        <v>34046016</v>
      </c>
      <c r="N12" s="193" t="n">
        <f aca="false">SUMIF('statutory adj_2026 조정분개'!$S:$S,$D12,'statutory adj_2026 조정분개'!$K:$K)</f>
        <v>0</v>
      </c>
      <c r="O12" s="194" t="n">
        <f aca="false">SUMIF('statutory adj_2026 조정분개'!$S:$S,$D12,'statutory adj_2026 조정분개'!$L:$L)</f>
        <v>0</v>
      </c>
      <c r="P12" s="192" t="n">
        <f aca="false">M12+N12-O12</f>
        <v>34046016</v>
      </c>
      <c r="Q12" s="195" t="n">
        <f aca="false">IFERROR(VLOOKUP(VALUE($D12),BSPL2026!$B:$Q,16,FALSE()),0)</f>
        <v>34046016</v>
      </c>
      <c r="R12" s="196" t="s">
        <v>449</v>
      </c>
      <c r="S12" s="172" t="str">
        <f aca="false">IFERROR(VLOOKUP(VALUE($D12),BSPL2026!$B:$M,12,FALSE()),"")</f>
        <v>공구와기구</v>
      </c>
      <c r="T12" s="172" t="str">
        <f aca="false">IF(OR(S12="",S12=0,LEFT(S12,5)="(원본오류"),"",IF(S12=H12,"","매핑차이"))</f>
        <v/>
      </c>
    </row>
    <row r="13" customFormat="false" ht="17.25" hidden="false" customHeight="true" outlineLevel="0" collapsed="false">
      <c r="D13" s="186" t="s">
        <v>475</v>
      </c>
      <c r="E13" s="187" t="s">
        <v>476</v>
      </c>
      <c r="F13" s="188" t="s">
        <v>446</v>
      </c>
      <c r="G13" s="189" t="s">
        <v>447</v>
      </c>
      <c r="H13" s="190" t="s">
        <v>139</v>
      </c>
      <c r="I13" s="191" t="s">
        <v>476</v>
      </c>
      <c r="J13" s="192" t="n">
        <f aca="false">IFERROR(VLOOKUP(VALUE($D13),BSPL2026!$B:$Z,25,FALSE()),0)</f>
        <v>22468609</v>
      </c>
      <c r="K13" s="193"/>
      <c r="L13" s="194"/>
      <c r="M13" s="192" t="n">
        <f aca="false">J13+K13-L13</f>
        <v>22468609</v>
      </c>
      <c r="N13" s="193" t="n">
        <f aca="false">SUMIF('statutory adj_2026 조정분개'!$S:$S,$D13,'statutory adj_2026 조정분개'!$K:$K)</f>
        <v>0</v>
      </c>
      <c r="O13" s="194" t="n">
        <f aca="false">SUMIF('statutory adj_2026 조정분개'!$S:$S,$D13,'statutory adj_2026 조정분개'!$L:$L)</f>
        <v>0</v>
      </c>
      <c r="P13" s="192" t="n">
        <f aca="false">M13+N13-O13</f>
        <v>22468609</v>
      </c>
      <c r="Q13" s="195" t="n">
        <f aca="false">IFERROR(VLOOKUP(VALUE($D13),BSPL2026!$B:$Q,16,FALSE()),0)</f>
        <v>0</v>
      </c>
      <c r="R13" s="196" t="s">
        <v>449</v>
      </c>
      <c r="S13" s="172" t="str">
        <f aca="false">IFERROR(VLOOKUP(VALUE($D13),BSPL2026!$B:$M,12,FALSE()),"")</f>
        <v>소프트웨어</v>
      </c>
      <c r="T13" s="172" t="str">
        <f aca="false">IF(OR(S13="",S13=0,LEFT(S13,5)="(원본오류"),"",IF(S13=H13,"","매핑차이"))</f>
        <v/>
      </c>
    </row>
    <row r="14" customFormat="false" ht="17.25" hidden="false" customHeight="true" outlineLevel="0" collapsed="false">
      <c r="D14" s="186" t="s">
        <v>477</v>
      </c>
      <c r="E14" s="187" t="s">
        <v>478</v>
      </c>
      <c r="F14" s="188" t="s">
        <v>446</v>
      </c>
      <c r="G14" s="189" t="s">
        <v>447</v>
      </c>
      <c r="H14" s="190" t="s">
        <v>169</v>
      </c>
      <c r="I14" s="191" t="s">
        <v>479</v>
      </c>
      <c r="J14" s="192" t="n">
        <f aca="false">IFERROR(VLOOKUP(VALUE($D14),BSPL2026!$B:$Z,25,FALSE()),0)</f>
        <v>51562836</v>
      </c>
      <c r="K14" s="193"/>
      <c r="L14" s="194"/>
      <c r="M14" s="192" t="n">
        <f aca="false">J14+K14-L14</f>
        <v>51562836</v>
      </c>
      <c r="N14" s="193" t="n">
        <f aca="false">SUMIF('statutory adj_2026 조정분개'!$S:$S,$D14,'statutory adj_2026 조정분개'!$K:$K)</f>
        <v>0</v>
      </c>
      <c r="O14" s="194" t="n">
        <f aca="false">SUMIF('statutory adj_2026 조정분개'!$S:$S,$D14,'statutory adj_2026 조정분개'!$L:$L)</f>
        <v>0</v>
      </c>
      <c r="P14" s="192" t="n">
        <f aca="false">M14+N14-O14</f>
        <v>51562836</v>
      </c>
      <c r="Q14" s="195" t="n">
        <f aca="false">IFERROR(VLOOKUP(VALUE($D14),BSPL2026!$B:$Q,16,FALSE()),0)</f>
        <v>8237836</v>
      </c>
      <c r="R14" s="196" t="s">
        <v>449</v>
      </c>
      <c r="S14" s="172" t="str">
        <f aca="false">IFERROR(VLOOKUP(VALUE($D14),BSPL2026!$B:$M,12,FALSE()),"")</f>
        <v>건설중인자산</v>
      </c>
      <c r="T14" s="172" t="str">
        <f aca="false">IF(OR(S14="",S14=0,LEFT(S14,5)="(원본오류"),"",IF(S14=H14,"","매핑차이"))</f>
        <v/>
      </c>
    </row>
    <row r="15" customFormat="false" ht="17.25" hidden="false" customHeight="true" outlineLevel="0" collapsed="false">
      <c r="D15" s="186" t="s">
        <v>480</v>
      </c>
      <c r="E15" s="187" t="s">
        <v>481</v>
      </c>
      <c r="F15" s="188" t="s">
        <v>446</v>
      </c>
      <c r="G15" s="189" t="s">
        <v>447</v>
      </c>
      <c r="H15" s="190" t="s">
        <v>118</v>
      </c>
      <c r="I15" s="191" t="s">
        <v>482</v>
      </c>
      <c r="J15" s="192" t="n">
        <f aca="false">IFERROR(VLOOKUP(VALUE($D15),BSPL2026!$B:$Z,25,FALSE()),0)</f>
        <v>-226248021</v>
      </c>
      <c r="K15" s="193"/>
      <c r="L15" s="194"/>
      <c r="M15" s="192" t="n">
        <f aca="false">J15+K15-L15</f>
        <v>-226248021</v>
      </c>
      <c r="N15" s="193" t="n">
        <f aca="false">SUMIF('statutory adj_2026 조정분개'!$S:$S,$D15,'statutory adj_2026 조정분개'!$K:$K)</f>
        <v>0</v>
      </c>
      <c r="O15" s="194" t="n">
        <f aca="false">SUMIF('statutory adj_2026 조정분개'!$S:$S,$D15,'statutory adj_2026 조정분개'!$L:$L)</f>
        <v>0</v>
      </c>
      <c r="P15" s="192" t="n">
        <f aca="false">M15+N15-O15</f>
        <v>-226248021</v>
      </c>
      <c r="Q15" s="195" t="n">
        <f aca="false">IFERROR(VLOOKUP(VALUE($D15),BSPL2026!$B:$Q,16,FALSE()),0)</f>
        <v>-168102710</v>
      </c>
      <c r="R15" s="196" t="s">
        <v>449</v>
      </c>
      <c r="S15" s="172" t="str">
        <f aca="false">IFERROR(VLOOKUP(VALUE($D15),BSPL2026!$B:$M,12,FALSE()),"")</f>
        <v>감가상각누계액-구축물</v>
      </c>
      <c r="T15" s="172" t="str">
        <f aca="false">IF(OR(S15="",S15=0,LEFT(S15,5)="(원본오류"),"",IF(S15=H15,"","매핑차이"))</f>
        <v/>
      </c>
    </row>
    <row r="16" customFormat="false" ht="17.25" hidden="false" customHeight="true" outlineLevel="0" collapsed="false">
      <c r="D16" s="186" t="s">
        <v>483</v>
      </c>
      <c r="E16" s="187" t="s">
        <v>458</v>
      </c>
      <c r="F16" s="188" t="s">
        <v>446</v>
      </c>
      <c r="G16" s="189" t="s">
        <v>447</v>
      </c>
      <c r="H16" s="190" t="s">
        <v>118</v>
      </c>
      <c r="I16" s="191" t="s">
        <v>468</v>
      </c>
      <c r="J16" s="192" t="n">
        <f aca="false">IFERROR(VLOOKUP(VALUE($D16),BSPL2026!$B:$Z,25,FALSE()),0)</f>
        <v>-1229180693</v>
      </c>
      <c r="K16" s="193"/>
      <c r="L16" s="194"/>
      <c r="M16" s="192" t="n">
        <f aca="false">J16+K16-L16</f>
        <v>-1229180693</v>
      </c>
      <c r="N16" s="193" t="n">
        <f aca="false">SUMIF('statutory adj_2026 조정분개'!$S:$S,$D16,'statutory adj_2026 조정분개'!$K:$K)</f>
        <v>0</v>
      </c>
      <c r="O16" s="194" t="n">
        <f aca="false">SUMIF('statutory adj_2026 조정분개'!$S:$S,$D16,'statutory adj_2026 조정분개'!$L:$L)</f>
        <v>0</v>
      </c>
      <c r="P16" s="192" t="n">
        <f aca="false">M16+N16-O16</f>
        <v>-1229180693</v>
      </c>
      <c r="Q16" s="195" t="n">
        <f aca="false">IFERROR(VLOOKUP(VALUE($D16),BSPL2026!$B:$Q,16,FALSE()),0)</f>
        <v>-888439305</v>
      </c>
      <c r="R16" s="196" t="s">
        <v>449</v>
      </c>
      <c r="S16" s="172" t="str">
        <f aca="false">IFERROR(VLOOKUP(VALUE($D16),BSPL2026!$B:$M,12,FALSE()),"")</f>
        <v>감가상각누계액-구축물</v>
      </c>
      <c r="T16" s="172" t="str">
        <f aca="false">IF(OR(S16="",S16=0,LEFT(S16,5)="(원본오류"),"",IF(S16=H16,"","매핑차이"))</f>
        <v/>
      </c>
    </row>
    <row r="17" customFormat="false" ht="17.25" hidden="false" customHeight="true" outlineLevel="0" collapsed="false">
      <c r="D17" s="186" t="s">
        <v>484</v>
      </c>
      <c r="E17" s="187" t="s">
        <v>485</v>
      </c>
      <c r="F17" s="188" t="s">
        <v>446</v>
      </c>
      <c r="G17" s="189" t="s">
        <v>447</v>
      </c>
      <c r="H17" s="190" t="s">
        <v>122</v>
      </c>
      <c r="I17" s="191" t="s">
        <v>486</v>
      </c>
      <c r="J17" s="192" t="n">
        <f aca="false">IFERROR(VLOOKUP(VALUE($D17),BSPL2026!$B:$Z,25,FALSE()),0)</f>
        <v>-1021598692</v>
      </c>
      <c r="K17" s="193"/>
      <c r="L17" s="194"/>
      <c r="M17" s="192" t="n">
        <f aca="false">J17+K17-L17</f>
        <v>-1021598692</v>
      </c>
      <c r="N17" s="193" t="n">
        <f aca="false">SUMIF('statutory adj_2026 조정분개'!$S:$S,$D17,'statutory adj_2026 조정분개'!$K:$K)</f>
        <v>422529742</v>
      </c>
      <c r="O17" s="194" t="n">
        <f aca="false">SUMIF('statutory adj_2026 조정분개'!$S:$S,$D17,'statutory adj_2026 조정분개'!$L:$L)</f>
        <v>0</v>
      </c>
      <c r="P17" s="192" t="n">
        <f aca="false">M17+N17-O17</f>
        <v>-599068950</v>
      </c>
      <c r="Q17" s="195" t="n">
        <f aca="false">IFERROR(VLOOKUP(VALUE($D17),BSPL2026!$B:$Q,16,FALSE()),0)</f>
        <v>-902488418</v>
      </c>
      <c r="R17" s="196" t="s">
        <v>449</v>
      </c>
      <c r="S17" s="172" t="str">
        <f aca="false">IFERROR(VLOOKUP(VALUE($D17),BSPL2026!$B:$M,12,FALSE()),"")</f>
        <v>감가상각누계액-기계장치</v>
      </c>
      <c r="T17" s="172" t="str">
        <f aca="false">IF(OR(S17="",S17=0,LEFT(S17,5)="(원본오류"),"",IF(S17=H17,"","매핑차이"))</f>
        <v/>
      </c>
    </row>
    <row r="18" customFormat="false" ht="17.25" hidden="false" customHeight="true" outlineLevel="0" collapsed="false">
      <c r="D18" s="186" t="s">
        <v>487</v>
      </c>
      <c r="E18" s="187" t="s">
        <v>488</v>
      </c>
      <c r="F18" s="188" t="s">
        <v>446</v>
      </c>
      <c r="G18" s="189" t="s">
        <v>447</v>
      </c>
      <c r="H18" s="190" t="s">
        <v>134</v>
      </c>
      <c r="I18" s="191" t="s">
        <v>489</v>
      </c>
      <c r="J18" s="192" t="n">
        <f aca="false">IFERROR(VLOOKUP(VALUE($D18),BSPL2026!$B:$Z,25,FALSE()),0)</f>
        <v>-248164738</v>
      </c>
      <c r="K18" s="193"/>
      <c r="L18" s="194"/>
      <c r="M18" s="192" t="n">
        <f aca="false">J18+K18-L18</f>
        <v>-248164738</v>
      </c>
      <c r="N18" s="193" t="n">
        <f aca="false">SUMIF('statutory adj_2026 조정분개'!$S:$S,$D18,'statutory adj_2026 조정분개'!$K:$K)</f>
        <v>0</v>
      </c>
      <c r="O18" s="194" t="n">
        <f aca="false">SUMIF('statutory adj_2026 조정분개'!$S:$S,$D18,'statutory adj_2026 조정분개'!$L:$L)</f>
        <v>0</v>
      </c>
      <c r="P18" s="192" t="n">
        <f aca="false">M18+N18-O18</f>
        <v>-248164738</v>
      </c>
      <c r="Q18" s="195" t="n">
        <f aca="false">IFERROR(VLOOKUP(VALUE($D18),BSPL2026!$B:$Q,16,FALSE()),0)</f>
        <v>-212428145</v>
      </c>
      <c r="R18" s="196" t="s">
        <v>449</v>
      </c>
      <c r="S18" s="172" t="str">
        <f aca="false">IFERROR(VLOOKUP(VALUE($D18),BSPL2026!$B:$M,12,FALSE()),"")</f>
        <v>감가상각누계액-집기비품</v>
      </c>
      <c r="T18" s="172" t="str">
        <f aca="false">IF(OR(S18="",S18=0,LEFT(S18,5)="(원본오류"),"",IF(S18=H18,"","매핑차이"))</f>
        <v/>
      </c>
    </row>
    <row r="19" customFormat="false" ht="17.25" hidden="false" customHeight="true" outlineLevel="0" collapsed="false">
      <c r="D19" s="186" t="s">
        <v>490</v>
      </c>
      <c r="E19" s="187" t="s">
        <v>491</v>
      </c>
      <c r="F19" s="188" t="s">
        <v>446</v>
      </c>
      <c r="G19" s="189" t="s">
        <v>447</v>
      </c>
      <c r="H19" s="190" t="s">
        <v>130</v>
      </c>
      <c r="I19" s="191" t="s">
        <v>492</v>
      </c>
      <c r="J19" s="192" t="n">
        <f aca="false">IFERROR(VLOOKUP(VALUE($D19),BSPL2026!$B:$Z,25,FALSE()),0)</f>
        <v>-41204667</v>
      </c>
      <c r="K19" s="193"/>
      <c r="L19" s="194"/>
      <c r="M19" s="192" t="n">
        <f aca="false">J19+K19-L19</f>
        <v>-41204667</v>
      </c>
      <c r="N19" s="193" t="n">
        <f aca="false">SUMIF('statutory adj_2026 조정분개'!$S:$S,$D19,'statutory adj_2026 조정분개'!$K:$K)</f>
        <v>0</v>
      </c>
      <c r="O19" s="194" t="n">
        <f aca="false">SUMIF('statutory adj_2026 조정분개'!$S:$S,$D19,'statutory adj_2026 조정분개'!$L:$L)</f>
        <v>422529742</v>
      </c>
      <c r="P19" s="192" t="n">
        <f aca="false">M19+N19-O19</f>
        <v>-463734409</v>
      </c>
      <c r="Q19" s="195" t="n">
        <f aca="false">IFERROR(VLOOKUP(VALUE($D19),BSPL2026!$B:$Q,16,FALSE()),0)</f>
        <v>-37304667</v>
      </c>
      <c r="R19" s="196" t="s">
        <v>449</v>
      </c>
      <c r="S19" s="172" t="str">
        <f aca="false">IFERROR(VLOOKUP(VALUE($D19),BSPL2026!$B:$M,12,FALSE()),"")</f>
        <v>감가상각누계액-공구와기구</v>
      </c>
      <c r="T19" s="172" t="str">
        <f aca="false">IF(OR(S19="",S19=0,LEFT(S19,5)="(원본오류"),"",IF(S19=H19,"","매핑차이"))</f>
        <v/>
      </c>
    </row>
    <row r="20" customFormat="false" ht="17.25" hidden="false" customHeight="true" outlineLevel="0" collapsed="false">
      <c r="D20" s="186" t="s">
        <v>493</v>
      </c>
      <c r="E20" s="187" t="s">
        <v>491</v>
      </c>
      <c r="F20" s="188" t="s">
        <v>446</v>
      </c>
      <c r="G20" s="189" t="s">
        <v>447</v>
      </c>
      <c r="H20" s="190" t="s">
        <v>134</v>
      </c>
      <c r="I20" s="191" t="s">
        <v>494</v>
      </c>
      <c r="J20" s="192" t="n">
        <f aca="false">IFERROR(VLOOKUP(VALUE($D20),BSPL2026!$B:$Z,25,FALSE()),0)</f>
        <v>-1167307996</v>
      </c>
      <c r="K20" s="193"/>
      <c r="L20" s="194"/>
      <c r="M20" s="192" t="n">
        <f aca="false">J20+K20-L20</f>
        <v>-1167307996</v>
      </c>
      <c r="N20" s="193" t="n">
        <f aca="false">SUMIF('statutory adj_2026 조정분개'!$S:$S,$D20,'statutory adj_2026 조정분개'!$K:$K)</f>
        <v>0</v>
      </c>
      <c r="O20" s="194" t="n">
        <f aca="false">SUMIF('statutory adj_2026 조정분개'!$S:$S,$D20,'statutory adj_2026 조정분개'!$L:$L)</f>
        <v>0</v>
      </c>
      <c r="P20" s="192" t="n">
        <f aca="false">M20+N20-O20</f>
        <v>-1167307996</v>
      </c>
      <c r="Q20" s="195" t="n">
        <f aca="false">IFERROR(VLOOKUP(VALUE($D20),BSPL2026!$B:$Q,16,FALSE()),0)</f>
        <v>-1076620389</v>
      </c>
      <c r="R20" s="196" t="s">
        <v>449</v>
      </c>
      <c r="S20" s="172" t="str">
        <f aca="false">IFERROR(VLOOKUP(VALUE($D20),BSPL2026!$B:$M,12,FALSE()),"")</f>
        <v>감가상각누계액-집기비품</v>
      </c>
      <c r="T20" s="172" t="str">
        <f aca="false">IF(OR(S20="",S20=0,LEFT(S20,5)="(원본오류"),"",IF(S20=H20,"","매핑차이"))</f>
        <v/>
      </c>
    </row>
    <row r="21" customFormat="false" ht="17.25" hidden="false" customHeight="true" outlineLevel="0" collapsed="false">
      <c r="D21" s="186" t="s">
        <v>495</v>
      </c>
      <c r="E21" s="187" t="s">
        <v>474</v>
      </c>
      <c r="F21" s="188" t="s">
        <v>446</v>
      </c>
      <c r="G21" s="189" t="s">
        <v>447</v>
      </c>
      <c r="H21" s="190" t="s">
        <v>130</v>
      </c>
      <c r="I21" s="191" t="s">
        <v>496</v>
      </c>
      <c r="J21" s="192" t="n">
        <f aca="false">IFERROR(VLOOKUP(VALUE($D21),BSPL2026!$B:$Z,25,FALSE()),0)</f>
        <v>-34046016</v>
      </c>
      <c r="K21" s="193"/>
      <c r="L21" s="194"/>
      <c r="M21" s="192" t="n">
        <f aca="false">J21+K21-L21</f>
        <v>-34046016</v>
      </c>
      <c r="N21" s="193" t="n">
        <f aca="false">SUMIF('statutory adj_2026 조정분개'!$S:$S,$D21,'statutory adj_2026 조정분개'!$K:$K)</f>
        <v>0</v>
      </c>
      <c r="O21" s="194" t="n">
        <f aca="false">SUMIF('statutory adj_2026 조정분개'!$S:$S,$D21,'statutory adj_2026 조정분개'!$L:$L)</f>
        <v>0</v>
      </c>
      <c r="P21" s="192" t="n">
        <f aca="false">M21+N21-O21</f>
        <v>-34046016</v>
      </c>
      <c r="Q21" s="195" t="n">
        <f aca="false">IFERROR(VLOOKUP(VALUE($D21),BSPL2026!$B:$Q,16,FALSE()),0)</f>
        <v>-34046016</v>
      </c>
      <c r="R21" s="196" t="s">
        <v>449</v>
      </c>
      <c r="S21" s="172" t="str">
        <f aca="false">IFERROR(VLOOKUP(VALUE($D21),BSPL2026!$B:$M,12,FALSE()),"")</f>
        <v>감가상각누계액-공구와기구</v>
      </c>
      <c r="T21" s="172" t="str">
        <f aca="false">IF(OR(S21="",S21=0,LEFT(S21,5)="(원본오류"),"",IF(S21=H21,"","매핑차이"))</f>
        <v/>
      </c>
    </row>
    <row r="22" customFormat="false" ht="17.25" hidden="false" customHeight="true" outlineLevel="0" collapsed="false">
      <c r="D22" s="186" t="s">
        <v>497</v>
      </c>
      <c r="E22" s="187" t="s">
        <v>498</v>
      </c>
      <c r="F22" s="188" t="s">
        <v>446</v>
      </c>
      <c r="G22" s="189" t="s">
        <v>447</v>
      </c>
      <c r="H22" s="190" t="s">
        <v>139</v>
      </c>
      <c r="I22" s="191" t="s">
        <v>499</v>
      </c>
      <c r="J22" s="192" t="n">
        <f aca="false">IFERROR(VLOOKUP(VALUE($D22),BSPL2026!$B:$Z,25,FALSE()),0)</f>
        <v>355759457</v>
      </c>
      <c r="K22" s="193"/>
      <c r="L22" s="194"/>
      <c r="M22" s="192" t="n">
        <f aca="false">J22+K22-L22</f>
        <v>355759457</v>
      </c>
      <c r="N22" s="193" t="n">
        <f aca="false">SUMIF('statutory adj_2026 조정분개'!$S:$S,$D22,'statutory adj_2026 조정분개'!$K:$K)</f>
        <v>0</v>
      </c>
      <c r="O22" s="194" t="n">
        <f aca="false">SUMIF('statutory adj_2026 조정분개'!$S:$S,$D22,'statutory adj_2026 조정분개'!$L:$L)</f>
        <v>0</v>
      </c>
      <c r="P22" s="192" t="n">
        <f aca="false">M22+N22-O22</f>
        <v>355759457</v>
      </c>
      <c r="Q22" s="195" t="n">
        <f aca="false">IFERROR(VLOOKUP(VALUE($D22),BSPL2026!$B:$Q,16,FALSE()),0)</f>
        <v>355759457</v>
      </c>
      <c r="R22" s="196" t="s">
        <v>449</v>
      </c>
      <c r="S22" s="172" t="str">
        <f aca="false">IFERROR(VLOOKUP(VALUE($D22),BSPL2026!$B:$M,12,FALSE()),"")</f>
        <v>소프트웨어</v>
      </c>
      <c r="T22" s="172" t="str">
        <f aca="false">IF(OR(S22="",S22=0,LEFT(S22,5)="(원본오류"),"",IF(S22=H22,"","매핑차이"))</f>
        <v/>
      </c>
    </row>
    <row r="23" customFormat="false" ht="17.25" hidden="false" customHeight="true" outlineLevel="0" collapsed="false">
      <c r="D23" s="186" t="s">
        <v>500</v>
      </c>
      <c r="E23" s="187" t="s">
        <v>501</v>
      </c>
      <c r="F23" s="188" t="s">
        <v>446</v>
      </c>
      <c r="G23" s="189" t="s">
        <v>447</v>
      </c>
      <c r="H23" s="190" t="s">
        <v>143</v>
      </c>
      <c r="I23" s="191" t="s">
        <v>502</v>
      </c>
      <c r="J23" s="192" t="n">
        <f aca="false">IFERROR(VLOOKUP(VALUE($D23),BSPL2026!$B:$Z,25,FALSE()),0)</f>
        <v>2706860500</v>
      </c>
      <c r="K23" s="193"/>
      <c r="L23" s="194"/>
      <c r="M23" s="192" t="n">
        <f aca="false">J23+K23-L23</f>
        <v>2706860500</v>
      </c>
      <c r="N23" s="193" t="n">
        <f aca="false">SUMIF('statutory adj_2026 조정분개'!$S:$S,$D23,'statutory adj_2026 조정분개'!$K:$K)</f>
        <v>0</v>
      </c>
      <c r="O23" s="194" t="n">
        <f aca="false">SUMIF('statutory adj_2026 조정분개'!$S:$S,$D23,'statutory adj_2026 조정분개'!$L:$L)</f>
        <v>0</v>
      </c>
      <c r="P23" s="192" t="n">
        <f aca="false">M23+N23-O23</f>
        <v>2706860500</v>
      </c>
      <c r="Q23" s="195" t="n">
        <f aca="false">IFERROR(VLOOKUP(VALUE($D23),BSPL2026!$B:$Q,16,FALSE()),0)</f>
        <v>3706860500</v>
      </c>
      <c r="R23" s="196" t="s">
        <v>449</v>
      </c>
      <c r="S23" s="172" t="str">
        <f aca="false">IFERROR(VLOOKUP(VALUE($D23),BSPL2026!$B:$M,12,FALSE()),"")</f>
        <v>상표권</v>
      </c>
      <c r="T23" s="172" t="str">
        <f aca="false">IF(OR(S23="",S23=0,LEFT(S23,5)="(원본오류"),"",IF(S23=H23,"","매핑차이"))</f>
        <v/>
      </c>
    </row>
    <row r="24" customFormat="false" ht="17.25" hidden="false" customHeight="true" outlineLevel="0" collapsed="false">
      <c r="D24" s="186" t="s">
        <v>503</v>
      </c>
      <c r="E24" s="187" t="s">
        <v>504</v>
      </c>
      <c r="F24" s="188" t="s">
        <v>446</v>
      </c>
      <c r="G24" s="189" t="s">
        <v>447</v>
      </c>
      <c r="H24" s="190" t="s">
        <v>141</v>
      </c>
      <c r="I24" s="191" t="s">
        <v>505</v>
      </c>
      <c r="J24" s="192" t="n">
        <f aca="false">IFERROR(VLOOKUP(VALUE($D24),BSPL2026!$B:$Z,25,FALSE()),0)</f>
        <v>-355759457</v>
      </c>
      <c r="K24" s="193"/>
      <c r="L24" s="194"/>
      <c r="M24" s="192" t="n">
        <f aca="false">J24+K24-L24</f>
        <v>-355759457</v>
      </c>
      <c r="N24" s="193" t="n">
        <f aca="false">SUMIF('statutory adj_2026 조정분개'!$S:$S,$D24,'statutory adj_2026 조정분개'!$K:$K)</f>
        <v>0</v>
      </c>
      <c r="O24" s="194" t="n">
        <f aca="false">SUMIF('statutory adj_2026 조정분개'!$S:$S,$D24,'statutory adj_2026 조정분개'!$L:$L)</f>
        <v>0</v>
      </c>
      <c r="P24" s="192" t="n">
        <f aca="false">M24+N24-O24</f>
        <v>-355759457</v>
      </c>
      <c r="Q24" s="195" t="n">
        <f aca="false">IFERROR(VLOOKUP(VALUE($D24),BSPL2026!$B:$Q,16,FALSE()),0)</f>
        <v>-355759457</v>
      </c>
      <c r="R24" s="196" t="s">
        <v>449</v>
      </c>
      <c r="S24" s="172" t="str">
        <f aca="false">IFERROR(VLOOKUP(VALUE($D24),BSPL2026!$B:$M,12,FALSE()),"")</f>
        <v>감가상각누계액-소프트웨어</v>
      </c>
      <c r="T24" s="172" t="str">
        <f aca="false">IF(OR(S24="",S24=0,LEFT(S24,5)="(원본오류"),"",IF(S24=H24,"","매핑차이"))</f>
        <v/>
      </c>
    </row>
    <row r="25" customFormat="false" ht="17.25" hidden="false" customHeight="true" outlineLevel="0" collapsed="false">
      <c r="D25" s="186" t="s">
        <v>506</v>
      </c>
      <c r="E25" s="187" t="s">
        <v>507</v>
      </c>
      <c r="F25" s="188" t="s">
        <v>446</v>
      </c>
      <c r="G25" s="189" t="s">
        <v>447</v>
      </c>
      <c r="H25" s="190" t="s">
        <v>145</v>
      </c>
      <c r="I25" s="191" t="s">
        <v>508</v>
      </c>
      <c r="J25" s="192" t="n">
        <f aca="false">IFERROR(VLOOKUP(VALUE($D25),BSPL2026!$B:$Z,25,FALSE()),0)</f>
        <v>-2706860500</v>
      </c>
      <c r="K25" s="193"/>
      <c r="L25" s="194"/>
      <c r="M25" s="192" t="n">
        <f aca="false">J25+K25-L25</f>
        <v>-2706860500</v>
      </c>
      <c r="N25" s="193" t="n">
        <f aca="false">SUMIF('statutory adj_2026 조정분개'!$S:$S,$D25,'statutory adj_2026 조정분개'!$K:$K)</f>
        <v>0</v>
      </c>
      <c r="O25" s="194" t="n">
        <f aca="false">SUMIF('statutory adj_2026 조정분개'!$S:$S,$D25,'statutory adj_2026 조정분개'!$L:$L)</f>
        <v>0</v>
      </c>
      <c r="P25" s="192" t="n">
        <f aca="false">M25+N25-O25</f>
        <v>-2706860500</v>
      </c>
      <c r="Q25" s="195" t="n">
        <f aca="false">IFERROR(VLOOKUP(VALUE($D25),BSPL2026!$B:$Q,16,FALSE()),0)</f>
        <v>-3236598404</v>
      </c>
      <c r="R25" s="196" t="s">
        <v>449</v>
      </c>
      <c r="S25" s="172" t="str">
        <f aca="false">IFERROR(VLOOKUP(VALUE($D25),BSPL2026!$B:$M,12,FALSE()),"")</f>
        <v>상표권상각누계액</v>
      </c>
      <c r="T25" s="172" t="str">
        <f aca="false">IF(OR(S25="",S25=0,LEFT(S25,5)="(원본오류"),"",IF(S25=H25,"","매핑차이"))</f>
        <v/>
      </c>
    </row>
    <row r="26" customFormat="false" ht="17.25" hidden="false" customHeight="true" outlineLevel="0" collapsed="false">
      <c r="D26" s="186" t="s">
        <v>509</v>
      </c>
      <c r="E26" s="187" t="s">
        <v>510</v>
      </c>
      <c r="F26" s="188" t="s">
        <v>446</v>
      </c>
      <c r="G26" s="189" t="s">
        <v>447</v>
      </c>
      <c r="H26" s="190" t="s">
        <v>147</v>
      </c>
      <c r="I26" s="191" t="s">
        <v>511</v>
      </c>
      <c r="J26" s="192" t="n">
        <f aca="false">IFERROR(VLOOKUP(VALUE($D26),BSPL2026!$B:$Z,25,FALSE()),0)</f>
        <v>0</v>
      </c>
      <c r="K26" s="193"/>
      <c r="L26" s="194"/>
      <c r="M26" s="192" t="n">
        <f aca="false">J26+K26-L26</f>
        <v>0</v>
      </c>
      <c r="N26" s="193" t="n">
        <f aca="false">SUMIF('statutory adj_2026 조정분개'!$S:$S,$D26,'statutory adj_2026 조정분개'!$K:$K)</f>
        <v>0</v>
      </c>
      <c r="O26" s="194" t="n">
        <f aca="false">SUMIF('statutory adj_2026 조정분개'!$S:$S,$D26,'statutory adj_2026 조정분개'!$L:$L)</f>
        <v>0</v>
      </c>
      <c r="P26" s="192" t="n">
        <f aca="false">M26+N26-O26</f>
        <v>0</v>
      </c>
      <c r="Q26" s="195" t="n">
        <f aca="false">IFERROR(VLOOKUP(VALUE($D26),BSPL2026!$B:$Q,16,FALSE()),0)</f>
        <v>-595665322</v>
      </c>
      <c r="R26" s="196" t="s">
        <v>449</v>
      </c>
      <c r="S26" s="172" t="str">
        <f aca="false">IFERROR(VLOOKUP(VALUE($D26),BSPL2026!$B:$M,12,FALSE()),"")</f>
        <v>무형자산감액손실충당금</v>
      </c>
      <c r="T26" s="172" t="str">
        <f aca="false">IF(OR(S26="",S26=0,LEFT(S26,5)="(원본오류"),"",IF(S26=H26,"","매핑차이"))</f>
        <v/>
      </c>
    </row>
    <row r="27" customFormat="false" ht="17.25" hidden="false" customHeight="true" outlineLevel="0" collapsed="false">
      <c r="D27" s="186" t="s">
        <v>512</v>
      </c>
      <c r="E27" s="187" t="s">
        <v>513</v>
      </c>
      <c r="F27" s="188" t="s">
        <v>446</v>
      </c>
      <c r="G27" s="189" t="s">
        <v>447</v>
      </c>
      <c r="H27" s="190" t="s">
        <v>145</v>
      </c>
      <c r="I27" s="191" t="s">
        <v>514</v>
      </c>
      <c r="J27" s="192" t="n">
        <f aca="false">IFERROR(VLOOKUP(VALUE($D27),BSPL2026!$B:$Z,25,FALSE()),0)</f>
        <v>0</v>
      </c>
      <c r="K27" s="193"/>
      <c r="L27" s="194"/>
      <c r="M27" s="192" t="n">
        <f aca="false">J27+K27-L27</f>
        <v>0</v>
      </c>
      <c r="N27" s="193" t="n">
        <f aca="false">SUMIF('statutory adj_2026 조정분개'!$S:$S,$D27,'statutory adj_2026 조정분개'!$K:$K)</f>
        <v>0</v>
      </c>
      <c r="O27" s="194" t="n">
        <f aca="false">SUMIF('statutory adj_2026 조정분개'!$S:$S,$D27,'statutory adj_2026 조정분개'!$L:$L)</f>
        <v>0</v>
      </c>
      <c r="P27" s="192" t="n">
        <f aca="false">M27+N27-O27</f>
        <v>0</v>
      </c>
      <c r="Q27" s="195" t="n">
        <f aca="false">IFERROR(VLOOKUP(VALUE($D27),BSPL2026!$B:$Q,16,FALSE()),0)</f>
        <v>125403226</v>
      </c>
      <c r="R27" s="196" t="s">
        <v>449</v>
      </c>
      <c r="S27" s="172" t="str">
        <f aca="false">IFERROR(VLOOKUP(VALUE($D27),BSPL2026!$B:$M,12,FALSE()),"")</f>
        <v>상표권상각누계액</v>
      </c>
      <c r="T27" s="172" t="str">
        <f aca="false">IF(OR(S27="",S27=0,LEFT(S27,5)="(원본오류"),"",IF(S27=H27,"","매핑차이"))</f>
        <v/>
      </c>
    </row>
    <row r="28" customFormat="false" ht="17.25" hidden="false" customHeight="true" outlineLevel="0" collapsed="false">
      <c r="D28" s="186" t="s">
        <v>515</v>
      </c>
      <c r="E28" s="187" t="s">
        <v>516</v>
      </c>
      <c r="F28" s="188" t="s">
        <v>446</v>
      </c>
      <c r="G28" s="189" t="s">
        <v>447</v>
      </c>
      <c r="H28" s="190" t="s">
        <v>155</v>
      </c>
      <c r="I28" s="191" t="s">
        <v>516</v>
      </c>
      <c r="J28" s="192" t="n">
        <f aca="false">IFERROR(VLOOKUP(VALUE($D28),BSPL2026!$B:$Z,25,FALSE()),0)</f>
        <v>1931634850</v>
      </c>
      <c r="K28" s="193"/>
      <c r="L28" s="194"/>
      <c r="M28" s="192" t="n">
        <f aca="false">J28+K28-L28</f>
        <v>1931634850</v>
      </c>
      <c r="N28" s="193" t="n">
        <f aca="false">SUMIF('statutory adj_2026 조정분개'!$S:$S,$D28,'statutory adj_2026 조정분개'!$K:$K)</f>
        <v>0</v>
      </c>
      <c r="O28" s="194" t="n">
        <f aca="false">SUMIF('statutory adj_2026 조정분개'!$S:$S,$D28,'statutory adj_2026 조정분개'!$L:$L)</f>
        <v>30000000</v>
      </c>
      <c r="P28" s="192" t="n">
        <f aca="false">M28+N28-O28</f>
        <v>1901634850</v>
      </c>
      <c r="Q28" s="195" t="n">
        <f aca="false">IFERROR(VLOOKUP(VALUE($D28),BSPL2026!$B:$Q,16,FALSE()),0)</f>
        <v>1211134090</v>
      </c>
      <c r="R28" s="196" t="s">
        <v>449</v>
      </c>
      <c r="S28" s="172" t="str">
        <f aca="false">IFERROR(VLOOKUP(VALUE($D28),BSPL2026!$B:$M,12,FALSE()),"")</f>
        <v>보증금</v>
      </c>
      <c r="T28" s="172" t="str">
        <f aca="false">IF(OR(S28="",S28=0,LEFT(S28,5)="(원본오류"),"",IF(S28=H28,"","매핑차이"))</f>
        <v/>
      </c>
    </row>
    <row r="29" customFormat="false" ht="17.25" hidden="false" customHeight="true" outlineLevel="0" collapsed="false">
      <c r="D29" s="186" t="s">
        <v>517</v>
      </c>
      <c r="E29" s="187" t="s">
        <v>518</v>
      </c>
      <c r="F29" s="188" t="s">
        <v>446</v>
      </c>
      <c r="G29" s="189" t="s">
        <v>173</v>
      </c>
      <c r="H29" s="190" t="s">
        <v>215</v>
      </c>
      <c r="I29" s="191" t="s">
        <v>518</v>
      </c>
      <c r="J29" s="192" t="n">
        <f aca="false">IFERROR(VLOOKUP(VALUE($D29),BSPL2026!$B:$Z,25,FALSE()),0)</f>
        <v>0</v>
      </c>
      <c r="K29" s="193"/>
      <c r="L29" s="194"/>
      <c r="M29" s="192" t="n">
        <f aca="false">J29+K29-L29</f>
        <v>0</v>
      </c>
      <c r="N29" s="193" t="n">
        <f aca="false">SUMIF('statutory adj_2026 조정분개'!$S:$S,$D29,'statutory adj_2026 조정분개'!$K:$K)</f>
        <v>0</v>
      </c>
      <c r="O29" s="194" t="n">
        <f aca="false">SUMIF('statutory adj_2026 조정분개'!$S:$S,$D29,'statutory adj_2026 조정분개'!$L:$L)</f>
        <v>0</v>
      </c>
      <c r="P29" s="192" t="n">
        <f aca="false">M29+N29-O29</f>
        <v>0</v>
      </c>
      <c r="Q29" s="195" t="n">
        <f aca="false">IFERROR(VLOOKUP(VALUE($D29),BSPL2026!$B:$Q,16,FALSE()),0)</f>
        <v>26463700</v>
      </c>
      <c r="R29" s="196" t="s">
        <v>449</v>
      </c>
      <c r="S29" s="172" t="str">
        <f aca="false">IFERROR(VLOOKUP(VALUE($D29),BSPL2026!$B:$M,12,FALSE()),"")</f>
        <v>국민연금전환금</v>
      </c>
      <c r="T29" s="172" t="str">
        <f aca="false">IF(OR(S29="",S29=0,LEFT(S29,5)="(원본오류"),"",IF(S29=H29,"","매핑차이"))</f>
        <v/>
      </c>
    </row>
    <row r="30" customFormat="false" ht="17.25" hidden="false" customHeight="true" outlineLevel="0" collapsed="false">
      <c r="D30" s="186" t="s">
        <v>519</v>
      </c>
      <c r="E30" s="187" t="s">
        <v>520</v>
      </c>
      <c r="F30" s="188" t="s">
        <v>446</v>
      </c>
      <c r="G30" s="189" t="s">
        <v>447</v>
      </c>
      <c r="H30" s="190" t="s">
        <v>155</v>
      </c>
      <c r="I30" s="191" t="s">
        <v>520</v>
      </c>
      <c r="J30" s="192" t="n">
        <f aca="false">IFERROR(VLOOKUP(VALUE($D30),BSPL2026!$B:$Z,25,FALSE()),0)</f>
        <v>0</v>
      </c>
      <c r="K30" s="193"/>
      <c r="L30" s="194"/>
      <c r="M30" s="192" t="n">
        <f aca="false">J30+K30-L30</f>
        <v>0</v>
      </c>
      <c r="N30" s="193" t="n">
        <f aca="false">SUMIF('statutory adj_2026 조정분개'!$S:$S,$D30,'statutory adj_2026 조정분개'!$K:$K)</f>
        <v>0</v>
      </c>
      <c r="O30" s="194" t="n">
        <f aca="false">SUMIF('statutory adj_2026 조정분개'!$S:$S,$D30,'statutory adj_2026 조정분개'!$L:$L)</f>
        <v>0</v>
      </c>
      <c r="P30" s="192" t="n">
        <f aca="false">M30+N30-O30</f>
        <v>0</v>
      </c>
      <c r="Q30" s="195" t="n">
        <f aca="false">IFERROR(VLOOKUP(VALUE($D30),BSPL2026!$B:$Q,16,FALSE()),0)</f>
        <v>0</v>
      </c>
      <c r="R30" s="196" t="s">
        <v>449</v>
      </c>
      <c r="S30" s="172" t="str">
        <f aca="false">IFERROR(VLOOKUP(VALUE($D30),BSPL2026!$B:$M,12,FALSE()),"")</f>
        <v>보증금</v>
      </c>
      <c r="T30" s="172" t="str">
        <f aca="false">IF(OR(S30="",S30=0,LEFT(S30,5)="(원본오류"),"",IF(S30=H30,"","매핑차이"))</f>
        <v/>
      </c>
    </row>
    <row r="31" customFormat="false" ht="17.25" hidden="false" customHeight="true" outlineLevel="0" collapsed="false">
      <c r="D31" s="186" t="s">
        <v>521</v>
      </c>
      <c r="E31" s="187" t="s">
        <v>522</v>
      </c>
      <c r="F31" s="188" t="s">
        <v>446</v>
      </c>
      <c r="G31" s="189" t="s">
        <v>447</v>
      </c>
      <c r="H31" s="190" t="s">
        <v>75</v>
      </c>
      <c r="I31" s="191" t="s">
        <v>523</v>
      </c>
      <c r="J31" s="192" t="n">
        <f aca="false">IFERROR(VLOOKUP(VALUE($D31),BSPL2026!$B:$Z,25,FALSE()),0)</f>
        <v>180937469538</v>
      </c>
      <c r="K31" s="193"/>
      <c r="L31" s="194"/>
      <c r="M31" s="192" t="n">
        <f aca="false">J31+K31-L31</f>
        <v>180937469538</v>
      </c>
      <c r="N31" s="193" t="n">
        <f aca="false">SUMIF('statutory adj_2026 조정분개'!$S:$S,$D31,'statutory adj_2026 조정분개'!$K:$K)</f>
        <v>0</v>
      </c>
      <c r="O31" s="194" t="n">
        <f aca="false">SUMIF('statutory adj_2026 조정분개'!$S:$S,$D31,'statutory adj_2026 조정분개'!$L:$L)</f>
        <v>0</v>
      </c>
      <c r="P31" s="192" t="n">
        <f aca="false">M31+N31-O31</f>
        <v>180937469538</v>
      </c>
      <c r="Q31" s="195" t="n">
        <f aca="false">IFERROR(VLOOKUP(VALUE($D31),BSPL2026!$B:$Q,16,FALSE()),0)</f>
        <v>162184914584</v>
      </c>
      <c r="R31" s="196" t="s">
        <v>449</v>
      </c>
      <c r="S31" s="172" t="str">
        <f aca="false">IFERROR(VLOOKUP(VALUE($D31),BSPL2026!$B:$M,12,FALSE()),"")</f>
        <v>상품</v>
      </c>
      <c r="T31" s="172" t="str">
        <f aca="false">IF(OR(S31="",S31=0,LEFT(S31,5)="(원본오류"),"",IF(S31=H31,"","매핑차이"))</f>
        <v/>
      </c>
    </row>
    <row r="32" customFormat="false" ht="17.25" hidden="false" customHeight="true" outlineLevel="0" collapsed="false">
      <c r="D32" s="186" t="s">
        <v>524</v>
      </c>
      <c r="E32" s="187" t="s">
        <v>525</v>
      </c>
      <c r="F32" s="188" t="s">
        <v>446</v>
      </c>
      <c r="G32" s="189" t="s">
        <v>447</v>
      </c>
      <c r="H32" s="190" t="s">
        <v>75</v>
      </c>
      <c r="I32" s="191" t="s">
        <v>526</v>
      </c>
      <c r="J32" s="192" t="n">
        <f aca="false">IFERROR(VLOOKUP(VALUE($D32),BSPL2026!$B:$Z,25,FALSE()),0)</f>
        <v>52625609</v>
      </c>
      <c r="K32" s="193"/>
      <c r="L32" s="194"/>
      <c r="M32" s="192" t="n">
        <f aca="false">J32+K32-L32</f>
        <v>52625609</v>
      </c>
      <c r="N32" s="193" t="n">
        <f aca="false">SUMIF('statutory adj_2026 조정분개'!$S:$S,$D32,'statutory adj_2026 조정분개'!$K:$K)</f>
        <v>0</v>
      </c>
      <c r="O32" s="194" t="n">
        <f aca="false">SUMIF('statutory adj_2026 조정분개'!$S:$S,$D32,'statutory adj_2026 조정분개'!$L:$L)</f>
        <v>0</v>
      </c>
      <c r="P32" s="192" t="n">
        <f aca="false">M32+N32-O32</f>
        <v>52625609</v>
      </c>
      <c r="Q32" s="195" t="n">
        <f aca="false">IFERROR(VLOOKUP(VALUE($D32),BSPL2026!$B:$Q,16,FALSE()),0)</f>
        <v>55265092</v>
      </c>
      <c r="R32" s="196" t="s">
        <v>449</v>
      </c>
      <c r="S32" s="172" t="str">
        <f aca="false">IFERROR(VLOOKUP(VALUE($D32),BSPL2026!$B:$M,12,FALSE()),"")</f>
        <v>상품</v>
      </c>
      <c r="T32" s="172" t="str">
        <f aca="false">IF(OR(S32="",S32=0,LEFT(S32,5)="(원본오류"),"",IF(S32=H32,"","매핑차이"))</f>
        <v/>
      </c>
    </row>
    <row r="33" customFormat="false" ht="17.25" hidden="false" customHeight="true" outlineLevel="0" collapsed="false">
      <c r="D33" s="186" t="s">
        <v>527</v>
      </c>
      <c r="E33" s="187" t="s">
        <v>528</v>
      </c>
      <c r="F33" s="188" t="s">
        <v>446</v>
      </c>
      <c r="G33" s="189" t="s">
        <v>447</v>
      </c>
      <c r="H33" s="190" t="s">
        <v>75</v>
      </c>
      <c r="I33" s="191" t="s">
        <v>528</v>
      </c>
      <c r="J33" s="192" t="n">
        <f aca="false">IFERROR(VLOOKUP(VALUE($D33),BSPL2026!$B:$Z,25,FALSE()),0)</f>
        <v>-926499683</v>
      </c>
      <c r="K33" s="193"/>
      <c r="L33" s="194"/>
      <c r="M33" s="192" t="n">
        <f aca="false">J33+K33-L33</f>
        <v>-926499683</v>
      </c>
      <c r="N33" s="193" t="n">
        <f aca="false">SUMIF('statutory adj_2026 조정분개'!$S:$S,$D33,'statutory adj_2026 조정분개'!$K:$K)</f>
        <v>0</v>
      </c>
      <c r="O33" s="194" t="n">
        <f aca="false">SUMIF('statutory adj_2026 조정분개'!$S:$S,$D33,'statutory adj_2026 조정분개'!$L:$L)</f>
        <v>0</v>
      </c>
      <c r="P33" s="192" t="n">
        <f aca="false">M33+N33-O33</f>
        <v>-926499683</v>
      </c>
      <c r="Q33" s="195" t="n">
        <f aca="false">IFERROR(VLOOKUP(VALUE($D33),BSPL2026!$B:$Q,16,FALSE()),0)</f>
        <v>-1672140386</v>
      </c>
      <c r="R33" s="196" t="s">
        <v>449</v>
      </c>
      <c r="S33" s="172" t="str">
        <f aca="false">IFERROR(VLOOKUP(VALUE($D33),BSPL2026!$B:$M,12,FALSE()),"")</f>
        <v>상품</v>
      </c>
      <c r="T33" s="172" t="str">
        <f aca="false">IF(OR(S33="",S33=0,LEFT(S33,5)="(원본오류"),"",IF(S33=H33,"","매핑차이"))</f>
        <v/>
      </c>
    </row>
    <row r="34" customFormat="false" ht="17.25" hidden="false" customHeight="true" outlineLevel="0" collapsed="false">
      <c r="D34" s="186" t="s">
        <v>529</v>
      </c>
      <c r="E34" s="187" t="s">
        <v>530</v>
      </c>
      <c r="F34" s="188" t="s">
        <v>446</v>
      </c>
      <c r="G34" s="189" t="s">
        <v>447</v>
      </c>
      <c r="H34" s="190" t="s">
        <v>75</v>
      </c>
      <c r="I34" s="191" t="s">
        <v>531</v>
      </c>
      <c r="J34" s="192" t="n">
        <f aca="false">IFERROR(VLOOKUP(VALUE($D34),BSPL2026!$B:$Z,25,FALSE()),0)</f>
        <v>0</v>
      </c>
      <c r="K34" s="193"/>
      <c r="L34" s="194"/>
      <c r="M34" s="192" t="n">
        <f aca="false">J34+K34-L34</f>
        <v>0</v>
      </c>
      <c r="N34" s="193" t="n">
        <f aca="false">SUMIF('statutory adj_2026 조정분개'!$S:$S,$D34,'statutory adj_2026 조정분개'!$K:$K)</f>
        <v>0</v>
      </c>
      <c r="O34" s="194" t="n">
        <f aca="false">SUMIF('statutory adj_2026 조정분개'!$S:$S,$D34,'statutory adj_2026 조정분개'!$L:$L)</f>
        <v>0</v>
      </c>
      <c r="P34" s="192" t="n">
        <f aca="false">M34+N34-O34</f>
        <v>0</v>
      </c>
      <c r="Q34" s="195" t="n">
        <f aca="false">IFERROR(VLOOKUP(VALUE($D34),BSPL2026!$B:$Q,16,FALSE()),0)</f>
        <v>0</v>
      </c>
      <c r="R34" s="196" t="s">
        <v>449</v>
      </c>
      <c r="S34" s="172" t="str">
        <f aca="false">IFERROR(VLOOKUP(VALUE($D34),BSPL2026!$B:$M,12,FALSE()),"")</f>
        <v>상품</v>
      </c>
      <c r="T34" s="172" t="str">
        <f aca="false">IF(OR(S34="",S34=0,LEFT(S34,5)="(원본오류"),"",IF(S34=H34,"","매핑차이"))</f>
        <v/>
      </c>
    </row>
    <row r="35" customFormat="false" ht="17.25" hidden="false" customHeight="true" outlineLevel="0" collapsed="false">
      <c r="D35" s="186" t="s">
        <v>532</v>
      </c>
      <c r="E35" s="187" t="s">
        <v>533</v>
      </c>
      <c r="F35" s="188" t="s">
        <v>446</v>
      </c>
      <c r="G35" s="189" t="s">
        <v>447</v>
      </c>
      <c r="H35" s="190" t="s">
        <v>78</v>
      </c>
      <c r="I35" s="191" t="s">
        <v>534</v>
      </c>
      <c r="J35" s="192" t="n">
        <f aca="false">IFERROR(VLOOKUP(VALUE($D35),BSPL2026!$B:$Z,25,FALSE()),0)</f>
        <v>-2370515021</v>
      </c>
      <c r="K35" s="193"/>
      <c r="L35" s="194"/>
      <c r="M35" s="192" t="n">
        <f aca="false">J35+K35-L35</f>
        <v>-2370515021</v>
      </c>
      <c r="N35" s="193" t="n">
        <f aca="false">SUMIF('statutory adj_2026 조정분개'!$S:$S,$D35,'statutory adj_2026 조정분개'!$K:$K)</f>
        <v>0</v>
      </c>
      <c r="O35" s="194" t="n">
        <f aca="false">SUMIF('statutory adj_2026 조정분개'!$S:$S,$D35,'statutory adj_2026 조정분개'!$L:$L)</f>
        <v>0</v>
      </c>
      <c r="P35" s="192" t="n">
        <f aca="false">M35+N35-O35</f>
        <v>-2370515021</v>
      </c>
      <c r="Q35" s="195" t="n">
        <f aca="false">IFERROR(VLOOKUP(VALUE($D35),BSPL2026!$B:$Q,16,FALSE()),0)</f>
        <v>-4770617217</v>
      </c>
      <c r="R35" s="196" t="s">
        <v>449</v>
      </c>
      <c r="S35" s="172" t="str">
        <f aca="false">IFERROR(VLOOKUP(VALUE($D35),BSPL2026!$B:$M,12,FALSE()),"")</f>
        <v>평가충당금-상품</v>
      </c>
      <c r="T35" s="172" t="str">
        <f aca="false">IF(OR(S35="",S35=0,LEFT(S35,5)="(원본오류"),"",IF(S35=H35,"","매핑차이"))</f>
        <v/>
      </c>
    </row>
    <row r="36" customFormat="false" ht="17.25" hidden="false" customHeight="true" outlineLevel="0" collapsed="false">
      <c r="D36" s="186" t="s">
        <v>535</v>
      </c>
      <c r="E36" s="187" t="s">
        <v>536</v>
      </c>
      <c r="F36" s="188" t="s">
        <v>446</v>
      </c>
      <c r="G36" s="189" t="s">
        <v>447</v>
      </c>
      <c r="H36" s="190" t="s">
        <v>94</v>
      </c>
      <c r="I36" s="191" t="s">
        <v>536</v>
      </c>
      <c r="J36" s="192" t="n">
        <f aca="false">IFERROR(VLOOKUP(VALUE($D36),BSPL2026!$B:$Z,25,FALSE()),0)</f>
        <v>18060397713</v>
      </c>
      <c r="K36" s="193"/>
      <c r="L36" s="194"/>
      <c r="M36" s="192" t="n">
        <f aca="false">J36+K36-L36</f>
        <v>18060397713</v>
      </c>
      <c r="N36" s="193" t="n">
        <f aca="false">SUMIF('statutory adj_2026 조정분개'!$S:$S,$D36,'statutory adj_2026 조정분개'!$K:$K)</f>
        <v>0</v>
      </c>
      <c r="O36" s="194" t="n">
        <f aca="false">SUMIF('statutory adj_2026 조정분개'!$S:$S,$D36,'statutory adj_2026 조정분개'!$L:$L)</f>
        <v>0</v>
      </c>
      <c r="P36" s="192" t="n">
        <f aca="false">M36+N36-O36</f>
        <v>18060397713</v>
      </c>
      <c r="Q36" s="195" t="n">
        <f aca="false">IFERROR(VLOOKUP(VALUE($D36),BSPL2026!$B:$Q,16,FALSE()),0)</f>
        <v>20959209037</v>
      </c>
      <c r="R36" s="196" t="s">
        <v>449</v>
      </c>
      <c r="S36" s="172" t="str">
        <f aca="false">IFERROR(VLOOKUP(VALUE($D36),BSPL2026!$B:$M,12,FALSE()),"")</f>
        <v>미착품</v>
      </c>
      <c r="T36" s="172" t="str">
        <f aca="false">IF(OR(S36="",S36=0,LEFT(S36,5)="(원본오류"),"",IF(S36=H36,"","매핑차이"))</f>
        <v/>
      </c>
    </row>
    <row r="37" customFormat="false" ht="17.25" hidden="false" customHeight="true" outlineLevel="0" collapsed="false">
      <c r="D37" s="186" t="s">
        <v>537</v>
      </c>
      <c r="E37" s="187" t="s">
        <v>538</v>
      </c>
      <c r="F37" s="188" t="s">
        <v>446</v>
      </c>
      <c r="G37" s="189" t="s">
        <v>447</v>
      </c>
      <c r="H37" s="190" t="s">
        <v>94</v>
      </c>
      <c r="I37" s="191" t="s">
        <v>538</v>
      </c>
      <c r="J37" s="192" t="n">
        <f aca="false">IFERROR(VLOOKUP(VALUE($D37),BSPL2026!$B:$Z,25,FALSE()),0)</f>
        <v>-208060150</v>
      </c>
      <c r="K37" s="193"/>
      <c r="L37" s="194"/>
      <c r="M37" s="192" t="n">
        <f aca="false">J37+K37-L37</f>
        <v>-208060150</v>
      </c>
      <c r="N37" s="193" t="n">
        <f aca="false">SUMIF('statutory adj_2026 조정분개'!$S:$S,$D37,'statutory adj_2026 조정분개'!$K:$K)</f>
        <v>0</v>
      </c>
      <c r="O37" s="194" t="n">
        <f aca="false">SUMIF('statutory adj_2026 조정분개'!$S:$S,$D37,'statutory adj_2026 조정분개'!$L:$L)</f>
        <v>0</v>
      </c>
      <c r="P37" s="192" t="n">
        <f aca="false">M37+N37-O37</f>
        <v>-208060150</v>
      </c>
      <c r="Q37" s="195" t="n">
        <f aca="false">IFERROR(VLOOKUP(VALUE($D37),BSPL2026!$B:$Q,16,FALSE()),0)</f>
        <v>-267557873</v>
      </c>
      <c r="R37" s="196" t="s">
        <v>449</v>
      </c>
      <c r="S37" s="172" t="str">
        <f aca="false">IFERROR(VLOOKUP(VALUE($D37),BSPL2026!$B:$M,12,FALSE()),"")</f>
        <v>미착품</v>
      </c>
      <c r="T37" s="172" t="str">
        <f aca="false">IF(OR(S37="",S37=0,LEFT(S37,5)="(원본오류"),"",IF(S37=H37,"","매핑차이"))</f>
        <v/>
      </c>
    </row>
    <row r="38" customFormat="false" ht="17.25" hidden="false" customHeight="true" outlineLevel="0" collapsed="false">
      <c r="D38" s="186" t="s">
        <v>539</v>
      </c>
      <c r="E38" s="187" t="s">
        <v>540</v>
      </c>
      <c r="F38" s="188" t="s">
        <v>446</v>
      </c>
      <c r="G38" s="189" t="s">
        <v>447</v>
      </c>
      <c r="H38" s="190" t="s">
        <v>31</v>
      </c>
      <c r="I38" s="191" t="s">
        <v>540</v>
      </c>
      <c r="J38" s="192" t="n">
        <f aca="false">IFERROR(VLOOKUP(VALUE($D38),BSPL2026!$B:$Z,25,FALSE()),0)</f>
        <v>227483307980</v>
      </c>
      <c r="K38" s="193"/>
      <c r="L38" s="194"/>
      <c r="M38" s="192" t="n">
        <f aca="false">J38+K38-L38</f>
        <v>227483307980</v>
      </c>
      <c r="N38" s="193" t="n">
        <f aca="false">SUMIF('statutory adj_2026 조정분개'!$S:$S,$D38,'statutory adj_2026 조정분개'!$K:$K)</f>
        <v>0</v>
      </c>
      <c r="O38" s="194" t="n">
        <f aca="false">SUMIF('statutory adj_2026 조정분개'!$S:$S,$D38,'statutory adj_2026 조정분개'!$L:$L)</f>
        <v>12415810124</v>
      </c>
      <c r="P38" s="192" t="n">
        <f aca="false">M38+N38-O38</f>
        <v>215067497856</v>
      </c>
      <c r="Q38" s="195" t="n">
        <f aca="false">IFERROR(VLOOKUP(VALUE($D38),BSPL2026!$B:$Q,16,FALSE()),0)</f>
        <v>173829604574</v>
      </c>
      <c r="R38" s="196" t="s">
        <v>449</v>
      </c>
      <c r="S38" s="172" t="str">
        <f aca="false">IFERROR(VLOOKUP(VALUE($D38),BSPL2026!$B:$M,12,FALSE()),"")</f>
        <v>매출채권</v>
      </c>
      <c r="T38" s="172" t="str">
        <f aca="false">IF(OR(S38="",S38=0,LEFT(S38,5)="(원본오류"),"",IF(S38=H38,"","매핑차이"))</f>
        <v/>
      </c>
    </row>
    <row r="39" customFormat="false" ht="17.25" hidden="false" customHeight="true" outlineLevel="0" collapsed="false">
      <c r="D39" s="186" t="s">
        <v>541</v>
      </c>
      <c r="E39" s="187" t="s">
        <v>542</v>
      </c>
      <c r="F39" s="188" t="s">
        <v>446</v>
      </c>
      <c r="G39" s="189" t="s">
        <v>447</v>
      </c>
      <c r="H39" s="190" t="s">
        <v>31</v>
      </c>
      <c r="I39" s="191" t="s">
        <v>542</v>
      </c>
      <c r="J39" s="192" t="n">
        <f aca="false">IFERROR(VLOOKUP(VALUE($D39),BSPL2026!$B:$Z,25,FALSE()),0)</f>
        <v>-2244</v>
      </c>
      <c r="K39" s="193"/>
      <c r="L39" s="194"/>
      <c r="M39" s="192" t="n">
        <f aca="false">J39+K39-L39</f>
        <v>-2244</v>
      </c>
      <c r="N39" s="193" t="n">
        <f aca="false">SUMIF('statutory adj_2026 조정분개'!$S:$S,$D39,'statutory adj_2026 조정분개'!$K:$K)</f>
        <v>0</v>
      </c>
      <c r="O39" s="194" t="n">
        <f aca="false">SUMIF('statutory adj_2026 조정분개'!$S:$S,$D39,'statutory adj_2026 조정분개'!$L:$L)</f>
        <v>0</v>
      </c>
      <c r="P39" s="192" t="n">
        <f aca="false">M39+N39-O39</f>
        <v>-2244</v>
      </c>
      <c r="Q39" s="195" t="n">
        <f aca="false">IFERROR(VLOOKUP(VALUE($D39),BSPL2026!$B:$Q,16,FALSE()),0)</f>
        <v>0</v>
      </c>
      <c r="R39" s="196" t="s">
        <v>449</v>
      </c>
      <c r="S39" s="172" t="str">
        <f aca="false">IFERROR(VLOOKUP(VALUE($D39),BSPL2026!$B:$M,12,FALSE()),"")</f>
        <v>매출채권</v>
      </c>
      <c r="T39" s="172" t="str">
        <f aca="false">IF(OR(S39="",S39=0,LEFT(S39,5)="(원본오류"),"",IF(S39=H39,"","매핑차이"))</f>
        <v/>
      </c>
    </row>
    <row r="40" customFormat="false" ht="17.25" hidden="false" customHeight="true" outlineLevel="0" collapsed="false">
      <c r="D40" s="186" t="s">
        <v>543</v>
      </c>
      <c r="E40" s="187" t="s">
        <v>544</v>
      </c>
      <c r="F40" s="188" t="s">
        <v>446</v>
      </c>
      <c r="G40" s="189" t="s">
        <v>447</v>
      </c>
      <c r="H40" s="190" t="s">
        <v>31</v>
      </c>
      <c r="I40" s="191" t="s">
        <v>544</v>
      </c>
      <c r="J40" s="192" t="n">
        <f aca="false">IFERROR(VLOOKUP(VALUE($D40),BSPL2026!$B:$Z,25,FALSE()),0)</f>
        <v>0</v>
      </c>
      <c r="K40" s="193"/>
      <c r="L40" s="194"/>
      <c r="M40" s="192" t="n">
        <f aca="false">J40+K40-L40</f>
        <v>0</v>
      </c>
      <c r="N40" s="193" t="n">
        <f aca="false">SUMIF('statutory adj_2026 조정분개'!$S:$S,$D40,'statutory adj_2026 조정분개'!$K:$K)</f>
        <v>0</v>
      </c>
      <c r="O40" s="194" t="n">
        <f aca="false">SUMIF('statutory adj_2026 조정분개'!$S:$S,$D40,'statutory adj_2026 조정분개'!$L:$L)</f>
        <v>0</v>
      </c>
      <c r="P40" s="192" t="n">
        <f aca="false">M40+N40-O40</f>
        <v>0</v>
      </c>
      <c r="Q40" s="195" t="n">
        <f aca="false">IFERROR(VLOOKUP(VALUE($D40),BSPL2026!$B:$Q,16,FALSE()),0)</f>
        <v>0</v>
      </c>
      <c r="R40" s="196" t="s">
        <v>449</v>
      </c>
      <c r="S40" s="172" t="str">
        <f aca="false">IFERROR(VLOOKUP(VALUE($D40),BSPL2026!$B:$M,12,FALSE()),"")</f>
        <v>매출채권</v>
      </c>
      <c r="T40" s="172" t="str">
        <f aca="false">IF(OR(S40="",S40=0,LEFT(S40,5)="(원본오류"),"",IF(S40=H40,"","매핑차이"))</f>
        <v/>
      </c>
    </row>
    <row r="41" customFormat="false" ht="17.25" hidden="false" customHeight="true" outlineLevel="0" collapsed="false">
      <c r="D41" s="186" t="s">
        <v>545</v>
      </c>
      <c r="E41" s="187" t="s">
        <v>546</v>
      </c>
      <c r="F41" s="188" t="s">
        <v>446</v>
      </c>
      <c r="G41" s="189" t="s">
        <v>447</v>
      </c>
      <c r="H41" s="190" t="s">
        <v>35</v>
      </c>
      <c r="I41" s="191" t="s">
        <v>546</v>
      </c>
      <c r="J41" s="192" t="n">
        <f aca="false">IFERROR(VLOOKUP(VALUE($D41),BSPL2026!$B:$Z,25,FALSE()),0)</f>
        <v>-118149382</v>
      </c>
      <c r="K41" s="193"/>
      <c r="L41" s="194"/>
      <c r="M41" s="192" t="n">
        <f aca="false">J41+K41-L41</f>
        <v>-118149382</v>
      </c>
      <c r="N41" s="193" t="n">
        <f aca="false">SUMIF('statutory adj_2026 조정분개'!$S:$S,$D41,'statutory adj_2026 조정분개'!$K:$K)</f>
        <v>0</v>
      </c>
      <c r="O41" s="194" t="n">
        <f aca="false">SUMIF('statutory adj_2026 조정분개'!$S:$S,$D41,'statutory adj_2026 조정분개'!$L:$L)</f>
        <v>0</v>
      </c>
      <c r="P41" s="192" t="n">
        <f aca="false">M41+N41-O41</f>
        <v>-118149382</v>
      </c>
      <c r="Q41" s="195" t="n">
        <f aca="false">IFERROR(VLOOKUP(VALUE($D41),BSPL2026!$B:$Q,16,FALSE()),0)</f>
        <v>-122273991</v>
      </c>
      <c r="R41" s="196" t="s">
        <v>449</v>
      </c>
      <c r="S41" s="172" t="str">
        <f aca="false">IFERROR(VLOOKUP(VALUE($D41),BSPL2026!$B:$M,12,FALSE()),"")</f>
        <v>대손충당금</v>
      </c>
      <c r="T41" s="172" t="str">
        <f aca="false">IF(OR(S41="",S41=0,LEFT(S41,5)="(원본오류"),"",IF(S41=H41,"","매핑차이"))</f>
        <v/>
      </c>
    </row>
    <row r="42" customFormat="false" ht="17.25" hidden="false" customHeight="true" outlineLevel="0" collapsed="false">
      <c r="D42" s="186" t="s">
        <v>547</v>
      </c>
      <c r="E42" s="187" t="s">
        <v>548</v>
      </c>
      <c r="F42" s="188" t="s">
        <v>446</v>
      </c>
      <c r="G42" s="189" t="s">
        <v>447</v>
      </c>
      <c r="H42" s="190" t="s">
        <v>31</v>
      </c>
      <c r="I42" s="191" t="s">
        <v>548</v>
      </c>
      <c r="J42" s="192" t="n">
        <f aca="false">IFERROR(VLOOKUP(VALUE($D42),BSPL2026!$B:$Z,25,FALSE()),0)</f>
        <v>111427453</v>
      </c>
      <c r="K42" s="193"/>
      <c r="L42" s="194"/>
      <c r="M42" s="192" t="n">
        <f aca="false">J42+K42-L42</f>
        <v>111427453</v>
      </c>
      <c r="N42" s="193" t="n">
        <f aca="false">SUMIF('statutory adj_2026 조정분개'!$S:$S,$D42,'statutory adj_2026 조정분개'!$K:$K)</f>
        <v>0</v>
      </c>
      <c r="O42" s="194" t="n">
        <f aca="false">SUMIF('statutory adj_2026 조정분개'!$S:$S,$D42,'statutory adj_2026 조정분개'!$L:$L)</f>
        <v>0</v>
      </c>
      <c r="P42" s="192" t="n">
        <f aca="false">M42+N42-O42</f>
        <v>111427453</v>
      </c>
      <c r="Q42" s="195" t="n">
        <f aca="false">IFERROR(VLOOKUP(VALUE($D42),BSPL2026!$B:$Q,16,FALSE()),0)</f>
        <v>109350608</v>
      </c>
      <c r="R42" s="196" t="s">
        <v>449</v>
      </c>
      <c r="S42" s="172" t="str">
        <f aca="false">IFERROR(VLOOKUP(VALUE($D42),BSPL2026!$B:$M,12,FALSE()),"")</f>
        <v>매출채권</v>
      </c>
      <c r="T42" s="172" t="str">
        <f aca="false">IF(OR(S42="",S42=0,LEFT(S42,5)="(원본오류"),"",IF(S42=H42,"","매핑차이"))</f>
        <v/>
      </c>
    </row>
    <row r="43" customFormat="false" ht="17.25" hidden="false" customHeight="true" outlineLevel="0" collapsed="false">
      <c r="D43" s="186" t="s">
        <v>549</v>
      </c>
      <c r="E43" s="187" t="s">
        <v>550</v>
      </c>
      <c r="F43" s="188" t="s">
        <v>446</v>
      </c>
      <c r="G43" s="189" t="s">
        <v>447</v>
      </c>
      <c r="H43" s="190" t="s">
        <v>31</v>
      </c>
      <c r="I43" s="191" t="s">
        <v>550</v>
      </c>
      <c r="J43" s="192" t="n">
        <f aca="false">IFERROR(VLOOKUP(VALUE($D43),BSPL2026!$B:$Z,25,FALSE()),0)</f>
        <v>17617</v>
      </c>
      <c r="K43" s="193"/>
      <c r="L43" s="194"/>
      <c r="M43" s="192" t="n">
        <f aca="false">J43+K43-L43</f>
        <v>17617</v>
      </c>
      <c r="N43" s="193" t="n">
        <f aca="false">SUMIF('statutory adj_2026 조정분개'!$S:$S,$D43,'statutory adj_2026 조정분개'!$K:$K)</f>
        <v>0</v>
      </c>
      <c r="O43" s="194" t="n">
        <f aca="false">SUMIF('statutory adj_2026 조정분개'!$S:$S,$D43,'statutory adj_2026 조정분개'!$L:$L)</f>
        <v>0</v>
      </c>
      <c r="P43" s="192" t="n">
        <f aca="false">M43+N43-O43</f>
        <v>17617</v>
      </c>
      <c r="Q43" s="195" t="n">
        <f aca="false">IFERROR(VLOOKUP(VALUE($D43),BSPL2026!$B:$Q,16,FALSE()),0)</f>
        <v>0</v>
      </c>
      <c r="R43" s="196" t="s">
        <v>449</v>
      </c>
      <c r="S43" s="172" t="str">
        <f aca="false">IFERROR(VLOOKUP(VALUE($D43),BSPL2026!$B:$M,12,FALSE()),"")</f>
        <v>매출채권</v>
      </c>
      <c r="T43" s="172" t="str">
        <f aca="false">IF(OR(S43="",S43=0,LEFT(S43,5)="(원본오류"),"",IF(S43=H43,"","매핑차이"))</f>
        <v/>
      </c>
    </row>
    <row r="44" customFormat="false" ht="17.25" hidden="false" customHeight="true" outlineLevel="0" collapsed="false">
      <c r="D44" s="186" t="s">
        <v>551</v>
      </c>
      <c r="E44" s="187" t="s">
        <v>552</v>
      </c>
      <c r="F44" s="188" t="s">
        <v>446</v>
      </c>
      <c r="G44" s="189" t="s">
        <v>447</v>
      </c>
      <c r="H44" s="190" t="s">
        <v>31</v>
      </c>
      <c r="I44" s="191" t="s">
        <v>553</v>
      </c>
      <c r="J44" s="192" t="n">
        <f aca="false">IFERROR(VLOOKUP(VALUE($D44),BSPL2026!$B:$Z,25,FALSE()),0)</f>
        <v>10103</v>
      </c>
      <c r="K44" s="193"/>
      <c r="L44" s="194"/>
      <c r="M44" s="192" t="n">
        <f aca="false">J44+K44-L44</f>
        <v>10103</v>
      </c>
      <c r="N44" s="193" t="n">
        <f aca="false">SUMIF('statutory adj_2026 조정분개'!$S:$S,$D44,'statutory adj_2026 조정분개'!$K:$K)</f>
        <v>0</v>
      </c>
      <c r="O44" s="194" t="n">
        <f aca="false">SUMIF('statutory adj_2026 조정분개'!$S:$S,$D44,'statutory adj_2026 조정분개'!$L:$L)</f>
        <v>0</v>
      </c>
      <c r="P44" s="192" t="n">
        <f aca="false">M44+N44-O44</f>
        <v>10103</v>
      </c>
      <c r="Q44" s="195" t="n">
        <f aca="false">IFERROR(VLOOKUP(VALUE($D44),BSPL2026!$B:$Q,16,FALSE()),0)</f>
        <v>8262841</v>
      </c>
      <c r="R44" s="196" t="s">
        <v>449</v>
      </c>
      <c r="S44" s="172" t="str">
        <f aca="false">IFERROR(VLOOKUP(VALUE($D44),BSPL2026!$B:$M,12,FALSE()),"")</f>
        <v>매출채권</v>
      </c>
      <c r="T44" s="172" t="str">
        <f aca="false">IF(OR(S44="",S44=0,LEFT(S44,5)="(원본오류"),"",IF(S44=H44,"","매핑차이"))</f>
        <v/>
      </c>
    </row>
    <row r="45" customFormat="false" ht="17.25" hidden="false" customHeight="true" outlineLevel="0" collapsed="false">
      <c r="D45" s="186" t="s">
        <v>554</v>
      </c>
      <c r="E45" s="187" t="s">
        <v>555</v>
      </c>
      <c r="F45" s="188" t="s">
        <v>446</v>
      </c>
      <c r="G45" s="189" t="s">
        <v>447</v>
      </c>
      <c r="H45" s="190" t="s">
        <v>31</v>
      </c>
      <c r="I45" s="191" t="s">
        <v>555</v>
      </c>
      <c r="J45" s="192" t="n">
        <f aca="false">IFERROR(VLOOKUP(VALUE($D45),BSPL2026!$B:$Z,25,FALSE()),0)</f>
        <v>0</v>
      </c>
      <c r="K45" s="193"/>
      <c r="L45" s="194"/>
      <c r="M45" s="192" t="n">
        <f aca="false">J45+K45-L45</f>
        <v>0</v>
      </c>
      <c r="N45" s="193" t="n">
        <f aca="false">SUMIF('statutory adj_2026 조정분개'!$S:$S,$D45,'statutory adj_2026 조정분개'!$K:$K)</f>
        <v>0</v>
      </c>
      <c r="O45" s="194" t="n">
        <f aca="false">SUMIF('statutory adj_2026 조정분개'!$S:$S,$D45,'statutory adj_2026 조정분개'!$L:$L)</f>
        <v>0</v>
      </c>
      <c r="P45" s="192" t="n">
        <f aca="false">M45+N45-O45</f>
        <v>0</v>
      </c>
      <c r="Q45" s="195" t="n">
        <f aca="false">IFERROR(VLOOKUP(VALUE($D45),BSPL2026!$B:$Q,16,FALSE()),0)</f>
        <v>0</v>
      </c>
      <c r="R45" s="196" t="s">
        <v>449</v>
      </c>
      <c r="S45" s="172" t="str">
        <f aca="false">IFERROR(VLOOKUP(VALUE($D45),BSPL2026!$B:$M,12,FALSE()),"")</f>
        <v>매출채권</v>
      </c>
      <c r="T45" s="172" t="str">
        <f aca="false">IF(OR(S45="",S45=0,LEFT(S45,5)="(원본오류"),"",IF(S45=H45,"","매핑차이"))</f>
        <v/>
      </c>
    </row>
    <row r="46" customFormat="false" ht="17.25" hidden="false" customHeight="true" outlineLevel="0" collapsed="false">
      <c r="D46" s="186" t="s">
        <v>556</v>
      </c>
      <c r="E46" s="187" t="s">
        <v>557</v>
      </c>
      <c r="F46" s="188" t="s">
        <v>446</v>
      </c>
      <c r="G46" s="189" t="s">
        <v>447</v>
      </c>
      <c r="H46" s="190" t="s">
        <v>35</v>
      </c>
      <c r="I46" s="191" t="s">
        <v>557</v>
      </c>
      <c r="J46" s="192" t="n">
        <f aca="false">IFERROR(VLOOKUP(VALUE($D46),BSPL2026!$B:$Z,25,FALSE()),0)</f>
        <v>0</v>
      </c>
      <c r="K46" s="193"/>
      <c r="L46" s="194"/>
      <c r="M46" s="192" t="n">
        <f aca="false">J46+K46-L46</f>
        <v>0</v>
      </c>
      <c r="N46" s="193" t="n">
        <f aca="false">SUMIF('statutory adj_2026 조정분개'!$S:$S,$D46,'statutory adj_2026 조정분개'!$K:$K)</f>
        <v>0</v>
      </c>
      <c r="O46" s="194" t="n">
        <f aca="false">SUMIF('statutory adj_2026 조정분개'!$S:$S,$D46,'statutory adj_2026 조정분개'!$L:$L)</f>
        <v>0</v>
      </c>
      <c r="P46" s="192" t="n">
        <f aca="false">M46+N46-O46</f>
        <v>0</v>
      </c>
      <c r="Q46" s="195" t="n">
        <f aca="false">IFERROR(VLOOKUP(VALUE($D46),BSPL2026!$B:$Q,16,FALSE()),0)</f>
        <v>0</v>
      </c>
      <c r="R46" s="196" t="s">
        <v>449</v>
      </c>
      <c r="S46" s="172" t="str">
        <f aca="false">IFERROR(VLOOKUP(VALUE($D46),BSPL2026!$B:$M,12,FALSE()),"")</f>
        <v>대손충당금</v>
      </c>
      <c r="T46" s="172" t="str">
        <f aca="false">IF(OR(S46="",S46=0,LEFT(S46,5)="(원본오류"),"",IF(S46=H46,"","매핑차이"))</f>
        <v/>
      </c>
    </row>
    <row r="47" customFormat="false" ht="17.25" hidden="false" customHeight="true" outlineLevel="0" collapsed="false">
      <c r="D47" s="186" t="s">
        <v>558</v>
      </c>
      <c r="E47" s="187" t="s">
        <v>559</v>
      </c>
      <c r="F47" s="188" t="s">
        <v>446</v>
      </c>
      <c r="G47" s="189" t="s">
        <v>447</v>
      </c>
      <c r="H47" s="190" t="s">
        <v>39</v>
      </c>
      <c r="I47" s="191" t="s">
        <v>559</v>
      </c>
      <c r="J47" s="192" t="n">
        <f aca="false">IFERROR(VLOOKUP(VALUE($D47),BSPL2026!$B:$Z,25,FALSE()),0)</f>
        <v>1002240</v>
      </c>
      <c r="K47" s="193"/>
      <c r="L47" s="194"/>
      <c r="M47" s="192" t="n">
        <f aca="false">J47+K47-L47</f>
        <v>1002240</v>
      </c>
      <c r="N47" s="193" t="n">
        <f aca="false">SUMIF('statutory adj_2026 조정분개'!$S:$S,$D47,'statutory adj_2026 조정분개'!$K:$K)</f>
        <v>0</v>
      </c>
      <c r="O47" s="194" t="n">
        <f aca="false">SUMIF('statutory adj_2026 조정분개'!$S:$S,$D47,'statutory adj_2026 조정분개'!$L:$L)</f>
        <v>0</v>
      </c>
      <c r="P47" s="192" t="n">
        <f aca="false">M47+N47-O47</f>
        <v>1002240</v>
      </c>
      <c r="Q47" s="195" t="n">
        <f aca="false">IFERROR(VLOOKUP(VALUE($D47),BSPL2026!$B:$Q,16,FALSE()),0)</f>
        <v>-8851971</v>
      </c>
      <c r="R47" s="196" t="s">
        <v>449</v>
      </c>
      <c r="S47" s="172" t="str">
        <f aca="false">IFERROR(VLOOKUP(VALUE($D47),BSPL2026!$B:$M,12,FALSE()),"")</f>
        <v>미수금</v>
      </c>
      <c r="T47" s="172" t="str">
        <f aca="false">IF(OR(S47="",S47=0,LEFT(S47,5)="(원본오류"),"",IF(S47=H47,"","매핑차이"))</f>
        <v/>
      </c>
    </row>
    <row r="48" customFormat="false" ht="16.5" hidden="false" customHeight="false" outlineLevel="0" collapsed="false">
      <c r="D48" s="186" t="s">
        <v>560</v>
      </c>
      <c r="E48" s="187" t="s">
        <v>561</v>
      </c>
      <c r="F48" s="188" t="s">
        <v>446</v>
      </c>
      <c r="G48" s="189" t="s">
        <v>447</v>
      </c>
      <c r="H48" s="190" t="s">
        <v>46</v>
      </c>
      <c r="I48" s="191" t="s">
        <v>561</v>
      </c>
      <c r="J48" s="192" t="n">
        <f aca="false">IFERROR(VLOOKUP(VALUE($D48),BSPL2026!$B:$Z,25,FALSE()),0)</f>
        <v>981690770</v>
      </c>
      <c r="K48" s="193"/>
      <c r="L48" s="194"/>
      <c r="M48" s="192" t="n">
        <f aca="false">J48+K48-L48</f>
        <v>981690770</v>
      </c>
      <c r="N48" s="193" t="n">
        <f aca="false">SUMIF('statutory adj_2026 조정분개'!$S:$S,$D48,'statutory adj_2026 조정분개'!$K:$K)</f>
        <v>0</v>
      </c>
      <c r="O48" s="194" t="n">
        <f aca="false">SUMIF('statutory adj_2026 조정분개'!$S:$S,$D48,'statutory adj_2026 조정분개'!$L:$L)</f>
        <v>0</v>
      </c>
      <c r="P48" s="192" t="n">
        <f aca="false">M48+N48-O48</f>
        <v>981690770</v>
      </c>
      <c r="Q48" s="195" t="n">
        <f aca="false">IFERROR(VLOOKUP(VALUE($D48),BSPL2026!$B:$Q,16,FALSE()),0)</f>
        <v>979522379</v>
      </c>
      <c r="R48" s="196" t="s">
        <v>449</v>
      </c>
      <c r="S48" s="172" t="str">
        <f aca="false">IFERROR(VLOOKUP(VALUE($D48),BSPL2026!$B:$M,12,FALSE()),"")</f>
        <v>미수수익</v>
      </c>
      <c r="T48" s="172" t="str">
        <f aca="false">IF(OR(S48="",S48=0,LEFT(S48,5)="(원본오류"),"",IF(S48=H48,"","매핑차이"))</f>
        <v/>
      </c>
    </row>
    <row r="49" customFormat="false" ht="16.5" hidden="false" customHeight="false" outlineLevel="0" collapsed="false">
      <c r="D49" s="186" t="s">
        <v>562</v>
      </c>
      <c r="E49" s="187" t="s">
        <v>563</v>
      </c>
      <c r="F49" s="188" t="s">
        <v>446</v>
      </c>
      <c r="G49" s="189" t="s">
        <v>447</v>
      </c>
      <c r="H49" s="190" t="s">
        <v>39</v>
      </c>
      <c r="I49" s="191" t="s">
        <v>563</v>
      </c>
      <c r="J49" s="192" t="n">
        <f aca="false">IFERROR(VLOOKUP(VALUE($D49),BSPL2026!$B:$Z,25,FALSE()),0)</f>
        <v>0</v>
      </c>
      <c r="K49" s="193"/>
      <c r="L49" s="194"/>
      <c r="M49" s="192" t="n">
        <f aca="false">J49+K49-L49</f>
        <v>0</v>
      </c>
      <c r="N49" s="193" t="n">
        <f aca="false">SUMIF('statutory adj_2026 조정분개'!$S:$S,$D49,'statutory adj_2026 조정분개'!$K:$K)</f>
        <v>0</v>
      </c>
      <c r="O49" s="194" t="n">
        <f aca="false">SUMIF('statutory adj_2026 조정분개'!$S:$S,$D49,'statutory adj_2026 조정분개'!$L:$L)</f>
        <v>0</v>
      </c>
      <c r="P49" s="192" t="n">
        <f aca="false">M49+N49-O49</f>
        <v>0</v>
      </c>
      <c r="Q49" s="195" t="n">
        <f aca="false">IFERROR(VLOOKUP(VALUE($D49),BSPL2026!$B:$Q,16,FALSE()),0)</f>
        <v>0</v>
      </c>
      <c r="R49" s="196" t="s">
        <v>449</v>
      </c>
      <c r="S49" s="172" t="str">
        <f aca="false">IFERROR(VLOOKUP(VALUE($D49),BSPL2026!$B:$M,12,FALSE()),"")</f>
        <v>미수금</v>
      </c>
      <c r="T49" s="172" t="str">
        <f aca="false">IF(OR(S49="",S49=0,LEFT(S49,5)="(원본오류"),"",IF(S49=H49,"","매핑차이"))</f>
        <v/>
      </c>
    </row>
    <row r="50" customFormat="false" ht="16.5" hidden="false" customHeight="false" outlineLevel="0" collapsed="false">
      <c r="D50" s="186" t="s">
        <v>564</v>
      </c>
      <c r="E50" s="187" t="s">
        <v>565</v>
      </c>
      <c r="F50" s="188" t="s">
        <v>446</v>
      </c>
      <c r="G50" s="189" t="s">
        <v>447</v>
      </c>
      <c r="H50" s="190" t="s">
        <v>60</v>
      </c>
      <c r="I50" s="191" t="s">
        <v>565</v>
      </c>
      <c r="J50" s="192" t="n">
        <f aca="false">IFERROR(VLOOKUP(VALUE($D50),BSPL2026!$B:$Z,25,FALSE()),0)</f>
        <v>656604886</v>
      </c>
      <c r="K50" s="193"/>
      <c r="L50" s="194"/>
      <c r="M50" s="192" t="n">
        <f aca="false">J50+K50-L50</f>
        <v>656604886</v>
      </c>
      <c r="N50" s="193" t="n">
        <f aca="false">SUMIF('statutory adj_2026 조정분개'!$S:$S,$D50,'statutory adj_2026 조정분개'!$K:$K)</f>
        <v>0</v>
      </c>
      <c r="O50" s="194" t="n">
        <f aca="false">SUMIF('statutory adj_2026 조정분개'!$S:$S,$D50,'statutory adj_2026 조정분개'!$L:$L)</f>
        <v>0</v>
      </c>
      <c r="P50" s="192" t="n">
        <f aca="false">M50+N50-O50</f>
        <v>656604886</v>
      </c>
      <c r="Q50" s="195" t="n">
        <f aca="false">IFERROR(VLOOKUP(VALUE($D50),BSPL2026!$B:$Q,16,FALSE()),0)</f>
        <v>0</v>
      </c>
      <c r="R50" s="196" t="s">
        <v>449</v>
      </c>
      <c r="S50" s="172" t="str">
        <f aca="false">IFERROR(VLOOKUP(VALUE($D50),BSPL2026!$B:$M,12,FALSE()),"")</f>
        <v>선급비용</v>
      </c>
      <c r="T50" s="172" t="str">
        <f aca="false">IF(OR(S50="",S50=0,LEFT(S50,5)="(원본오류"),"",IF(S50=H50,"","매핑차이"))</f>
        <v/>
      </c>
    </row>
    <row r="51" customFormat="false" ht="16.5" hidden="false" customHeight="false" outlineLevel="0" collapsed="false">
      <c r="D51" s="186" t="s">
        <v>566</v>
      </c>
      <c r="E51" s="187" t="s">
        <v>567</v>
      </c>
      <c r="F51" s="188" t="s">
        <v>446</v>
      </c>
      <c r="G51" s="189" t="s">
        <v>447</v>
      </c>
      <c r="H51" s="190" t="s">
        <v>50</v>
      </c>
      <c r="I51" s="191" t="s">
        <v>567</v>
      </c>
      <c r="J51" s="192" t="n">
        <f aca="false">IFERROR(VLOOKUP(VALUE($D51),BSPL2026!$B:$Z,25,FALSE()),0)</f>
        <v>809597490</v>
      </c>
      <c r="K51" s="193"/>
      <c r="L51" s="194"/>
      <c r="M51" s="192" t="n">
        <f aca="false">J51+K51-L51</f>
        <v>809597490</v>
      </c>
      <c r="N51" s="193" t="n">
        <f aca="false">SUMIF('statutory adj_2026 조정분개'!$S:$S,$D51,'statutory adj_2026 조정분개'!$K:$K)</f>
        <v>0</v>
      </c>
      <c r="O51" s="194" t="n">
        <f aca="false">SUMIF('statutory adj_2026 조정분개'!$S:$S,$D51,'statutory adj_2026 조정분개'!$L:$L)</f>
        <v>0</v>
      </c>
      <c r="P51" s="192" t="n">
        <f aca="false">M51+N51-O51</f>
        <v>809597490</v>
      </c>
      <c r="Q51" s="195" t="n">
        <f aca="false">IFERROR(VLOOKUP(VALUE($D51),BSPL2026!$B:$Q,16,FALSE()),0)</f>
        <v>6858752</v>
      </c>
      <c r="R51" s="196" t="s">
        <v>449</v>
      </c>
      <c r="S51" s="172" t="str">
        <f aca="false">IFERROR(VLOOKUP(VALUE($D51),BSPL2026!$B:$M,12,FALSE()),"")</f>
        <v>선급금</v>
      </c>
      <c r="T51" s="172" t="str">
        <f aca="false">IF(OR(S51="",S51=0,LEFT(S51,5)="(원본오류"),"",IF(S51=H51,"","매핑차이"))</f>
        <v/>
      </c>
    </row>
    <row r="52" customFormat="false" ht="16.5" hidden="false" customHeight="false" outlineLevel="0" collapsed="false">
      <c r="D52" s="186" t="s">
        <v>568</v>
      </c>
      <c r="E52" s="187" t="s">
        <v>569</v>
      </c>
      <c r="F52" s="188" t="s">
        <v>446</v>
      </c>
      <c r="G52" s="189" t="s">
        <v>447</v>
      </c>
      <c r="H52" s="190" t="s">
        <v>35</v>
      </c>
      <c r="I52" s="191" t="s">
        <v>569</v>
      </c>
      <c r="J52" s="192" t="n">
        <f aca="false">IFERROR(VLOOKUP(VALUE($D52),BSPL2026!$B:$Z,25,FALSE()),0)</f>
        <v>0</v>
      </c>
      <c r="K52" s="193"/>
      <c r="L52" s="194"/>
      <c r="M52" s="192" t="n">
        <f aca="false">J52+K52-L52</f>
        <v>0</v>
      </c>
      <c r="N52" s="193" t="n">
        <f aca="false">SUMIF('statutory adj_2026 조정분개'!$S:$S,$D52,'statutory adj_2026 조정분개'!$K:$K)</f>
        <v>0</v>
      </c>
      <c r="O52" s="194" t="n">
        <f aca="false">SUMIF('statutory adj_2026 조정분개'!$S:$S,$D52,'statutory adj_2026 조정분개'!$L:$L)</f>
        <v>0</v>
      </c>
      <c r="P52" s="192" t="n">
        <f aca="false">M52+N52-O52</f>
        <v>0</v>
      </c>
      <c r="Q52" s="195" t="n">
        <f aca="false">IFERROR(VLOOKUP(VALUE($D52),BSPL2026!$B:$Q,16,FALSE()),0)</f>
        <v>0</v>
      </c>
      <c r="R52" s="196" t="s">
        <v>449</v>
      </c>
      <c r="S52" s="172" t="str">
        <f aca="false">IFERROR(VLOOKUP(VALUE($D52),BSPL2026!$B:$M,12,FALSE()),"")</f>
        <v>대손충당금</v>
      </c>
      <c r="T52" s="172" t="str">
        <f aca="false">IF(OR(S52="",S52=0,LEFT(S52,5)="(원본오류"),"",IF(S52=H52,"","매핑차이"))</f>
        <v/>
      </c>
    </row>
    <row r="53" customFormat="false" ht="16.5" hidden="false" customHeight="false" outlineLevel="0" collapsed="false">
      <c r="D53" s="186" t="s">
        <v>570</v>
      </c>
      <c r="E53" s="187" t="s">
        <v>571</v>
      </c>
      <c r="F53" s="188" t="s">
        <v>446</v>
      </c>
      <c r="G53" s="189" t="s">
        <v>447</v>
      </c>
      <c r="H53" s="190" t="s">
        <v>39</v>
      </c>
      <c r="I53" s="191" t="s">
        <v>571</v>
      </c>
      <c r="J53" s="192" t="n">
        <f aca="false">IFERROR(VLOOKUP(VALUE($D53),BSPL2026!$B:$Z,25,FALSE()),0)</f>
        <v>11576676956</v>
      </c>
      <c r="K53" s="193"/>
      <c r="L53" s="194"/>
      <c r="M53" s="192" t="n">
        <f aca="false">J53+K53-L53</f>
        <v>11576676956</v>
      </c>
      <c r="N53" s="193" t="n">
        <f aca="false">SUMIF('statutory adj_2026 조정분개'!$S:$S,$D53,'statutory adj_2026 조정분개'!$K:$K)</f>
        <v>0</v>
      </c>
      <c r="O53" s="194" t="n">
        <f aca="false">SUMIF('statutory adj_2026 조정분개'!$S:$S,$D53,'statutory adj_2026 조정분개'!$L:$L)</f>
        <v>0</v>
      </c>
      <c r="P53" s="192" t="n">
        <f aca="false">M53+N53-O53</f>
        <v>11576676956</v>
      </c>
      <c r="Q53" s="195" t="n">
        <f aca="false">IFERROR(VLOOKUP(VALUE($D53),BSPL2026!$B:$Q,16,FALSE()),0)</f>
        <v>16694851073</v>
      </c>
      <c r="R53" s="196" t="s">
        <v>449</v>
      </c>
      <c r="S53" s="172" t="str">
        <f aca="false">IFERROR(VLOOKUP(VALUE($D53),BSPL2026!$B:$M,12,FALSE()),"")</f>
        <v>미수금</v>
      </c>
      <c r="T53" s="172" t="str">
        <f aca="false">IF(OR(S53="",S53=0,LEFT(S53,5)="(원본오류"),"",IF(S53=H53,"","매핑차이"))</f>
        <v/>
      </c>
    </row>
    <row r="54" customFormat="false" ht="16.5" hidden="false" customHeight="false" outlineLevel="0" collapsed="false">
      <c r="D54" s="186" t="s">
        <v>572</v>
      </c>
      <c r="E54" s="187" t="s">
        <v>573</v>
      </c>
      <c r="F54" s="188" t="s">
        <v>446</v>
      </c>
      <c r="G54" s="189" t="s">
        <v>447</v>
      </c>
      <c r="H54" s="190" t="s">
        <v>60</v>
      </c>
      <c r="I54" s="191" t="s">
        <v>573</v>
      </c>
      <c r="J54" s="192" t="n">
        <f aca="false">IFERROR(VLOOKUP(VALUE($D54),BSPL2026!$B:$Z,25,FALSE()),0)</f>
        <v>0</v>
      </c>
      <c r="K54" s="193"/>
      <c r="L54" s="194"/>
      <c r="M54" s="192" t="n">
        <f aca="false">J54+K54-L54</f>
        <v>0</v>
      </c>
      <c r="N54" s="193" t="n">
        <f aca="false">SUMIF('statutory adj_2026 조정분개'!$S:$S,$D54,'statutory adj_2026 조정분개'!$K:$K)</f>
        <v>0</v>
      </c>
      <c r="O54" s="194" t="n">
        <f aca="false">SUMIF('statutory adj_2026 조정분개'!$S:$S,$D54,'statutory adj_2026 조정분개'!$L:$L)</f>
        <v>0</v>
      </c>
      <c r="P54" s="192" t="n">
        <f aca="false">M54+N54-O54</f>
        <v>0</v>
      </c>
      <c r="Q54" s="195" t="n">
        <f aca="false">IFERROR(VLOOKUP(VALUE($D54),BSPL2026!$B:$Q,16,FALSE()),0)</f>
        <v>0</v>
      </c>
      <c r="R54" s="196" t="s">
        <v>449</v>
      </c>
      <c r="S54" s="172" t="str">
        <f aca="false">IFERROR(VLOOKUP(VALUE($D54),BSPL2026!$B:$M,12,FALSE()),"")</f>
        <v>(원본오류 N/A)</v>
      </c>
      <c r="T54" s="172" t="str">
        <f aca="false">IF(OR(S54="",S54=0,LEFT(S54,5)="(원본오류"),"",IF(S54=H54,"","매핑차이"))</f>
        <v/>
      </c>
    </row>
    <row r="55" customFormat="false" ht="16.5" hidden="false" customHeight="false" outlineLevel="0" collapsed="false">
      <c r="D55" s="186" t="s">
        <v>574</v>
      </c>
      <c r="E55" s="187" t="s">
        <v>575</v>
      </c>
      <c r="F55" s="188" t="s">
        <v>446</v>
      </c>
      <c r="G55" s="189" t="s">
        <v>173</v>
      </c>
      <c r="H55" s="190" t="s">
        <v>191</v>
      </c>
      <c r="I55" s="191" t="s">
        <v>575</v>
      </c>
      <c r="J55" s="192" t="n">
        <f aca="false">IFERROR(VLOOKUP(VALUE($D55),BSPL2026!$B:$Z,25,FALSE()),0)</f>
        <v>0</v>
      </c>
      <c r="K55" s="193"/>
      <c r="L55" s="194"/>
      <c r="M55" s="192" t="n">
        <f aca="false">J55+K55-L55</f>
        <v>0</v>
      </c>
      <c r="N55" s="193" t="n">
        <f aca="false">SUMIF('statutory adj_2026 조정분개'!$S:$S,$D55,'statutory adj_2026 조정분개'!$K:$K)</f>
        <v>0</v>
      </c>
      <c r="O55" s="194" t="n">
        <f aca="false">SUMIF('statutory adj_2026 조정분개'!$S:$S,$D55,'statutory adj_2026 조정분개'!$L:$L)</f>
        <v>0</v>
      </c>
      <c r="P55" s="192" t="n">
        <f aca="false">M55+N55-O55</f>
        <v>0</v>
      </c>
      <c r="Q55" s="195" t="n">
        <f aca="false">IFERROR(VLOOKUP(VALUE($D55),BSPL2026!$B:$Q,16,FALSE()),0)</f>
        <v>0</v>
      </c>
      <c r="R55" s="196" t="s">
        <v>449</v>
      </c>
      <c r="S55" s="172" t="str">
        <f aca="false">IFERROR(VLOOKUP(VALUE($D55),BSPL2026!$B:$M,12,FALSE()),"")</f>
        <v>미지급비용</v>
      </c>
      <c r="T55" s="172" t="str">
        <f aca="false">IF(OR(S55="",S55=0,LEFT(S55,5)="(원본오류"),"",IF(S55=H55,"","매핑차이"))</f>
        <v/>
      </c>
    </row>
    <row r="56" customFormat="false" ht="16.5" hidden="false" customHeight="false" outlineLevel="0" collapsed="false">
      <c r="D56" s="186" t="s">
        <v>576</v>
      </c>
      <c r="E56" s="187" t="s">
        <v>577</v>
      </c>
      <c r="F56" s="188" t="s">
        <v>446</v>
      </c>
      <c r="G56" s="189" t="s">
        <v>173</v>
      </c>
      <c r="H56" s="190" t="s">
        <v>194</v>
      </c>
      <c r="I56" s="191" t="s">
        <v>577</v>
      </c>
      <c r="J56" s="192" t="n">
        <f aca="false">IFERROR(VLOOKUP(VALUE($D56),BSPL2026!$B:$Z,25,FALSE()),0)</f>
        <v>18421587033</v>
      </c>
      <c r="K56" s="193"/>
      <c r="L56" s="194"/>
      <c r="M56" s="192" t="n">
        <f aca="false">J56+K56-L56</f>
        <v>18421587033</v>
      </c>
      <c r="N56" s="193" t="n">
        <f aca="false">SUMIF('statutory adj_2026 조정분개'!$S:$S,$D56,'statutory adj_2026 조정분개'!$K:$K)</f>
        <v>0</v>
      </c>
      <c r="O56" s="194" t="n">
        <f aca="false">SUMIF('statutory adj_2026 조정분개'!$S:$S,$D56,'statutory adj_2026 조정분개'!$L:$L)</f>
        <v>0</v>
      </c>
      <c r="P56" s="192" t="n">
        <f aca="false">M56+N56-O56</f>
        <v>18421587033</v>
      </c>
      <c r="Q56" s="195" t="n">
        <f aca="false">IFERROR(VLOOKUP(VALUE($D56),BSPL2026!$B:$Q,16,FALSE()),0)</f>
        <v>13474110429</v>
      </c>
      <c r="R56" s="196" t="s">
        <v>449</v>
      </c>
      <c r="S56" s="172" t="str">
        <f aca="false">IFERROR(VLOOKUP(VALUE($D56),BSPL2026!$B:$M,12,FALSE()),"")</f>
        <v>부가가치세예수금</v>
      </c>
      <c r="T56" s="172" t="str">
        <f aca="false">IF(OR(S56="",S56=0,LEFT(S56,5)="(원본오류"),"",IF(S56=H56,"","매핑차이"))</f>
        <v/>
      </c>
    </row>
    <row r="57" customFormat="false" ht="16.5" hidden="false" customHeight="false" outlineLevel="0" collapsed="false">
      <c r="D57" s="186" t="s">
        <v>578</v>
      </c>
      <c r="E57" s="187" t="s">
        <v>579</v>
      </c>
      <c r="F57" s="188" t="s">
        <v>446</v>
      </c>
      <c r="G57" s="189" t="s">
        <v>447</v>
      </c>
      <c r="H57" s="190" t="s">
        <v>60</v>
      </c>
      <c r="I57" s="191" t="s">
        <v>579</v>
      </c>
      <c r="J57" s="192" t="n">
        <f aca="false">IFERROR(VLOOKUP(VALUE($D57),BSPL2026!$B:$Z,25,FALSE()),0)</f>
        <v>96387997</v>
      </c>
      <c r="K57" s="193"/>
      <c r="L57" s="194"/>
      <c r="M57" s="192" t="n">
        <f aca="false">J57+K57-L57</f>
        <v>96387997</v>
      </c>
      <c r="N57" s="193" t="n">
        <f aca="false">SUMIF('statutory adj_2026 조정분개'!$S:$S,$D57,'statutory adj_2026 조정분개'!$K:$K)</f>
        <v>0</v>
      </c>
      <c r="O57" s="194" t="n">
        <f aca="false">SUMIF('statutory adj_2026 조정분개'!$S:$S,$D57,'statutory adj_2026 조정분개'!$L:$L)</f>
        <v>0</v>
      </c>
      <c r="P57" s="192" t="n">
        <f aca="false">M57+N57-O57</f>
        <v>96387997</v>
      </c>
      <c r="Q57" s="195" t="n">
        <f aca="false">IFERROR(VLOOKUP(VALUE($D57),BSPL2026!$B:$Q,16,FALSE()),0)</f>
        <v>0</v>
      </c>
      <c r="R57" s="196" t="s">
        <v>449</v>
      </c>
      <c r="S57" s="172" t="str">
        <f aca="false">IFERROR(VLOOKUP(VALUE($D57),BSPL2026!$B:$M,12,FALSE()),"")</f>
        <v>선급비용</v>
      </c>
      <c r="T57" s="172" t="str">
        <f aca="false">IF(OR(S57="",S57=0,LEFT(S57,5)="(원본오류"),"",IF(S57=H57,"","매핑차이"))</f>
        <v/>
      </c>
    </row>
    <row r="58" customFormat="false" ht="16.5" hidden="false" customHeight="false" outlineLevel="0" collapsed="false">
      <c r="D58" s="186" t="s">
        <v>580</v>
      </c>
      <c r="E58" s="187" t="s">
        <v>581</v>
      </c>
      <c r="F58" s="188" t="s">
        <v>446</v>
      </c>
      <c r="G58" s="189" t="s">
        <v>447</v>
      </c>
      <c r="H58" s="190" t="s">
        <v>60</v>
      </c>
      <c r="I58" s="191" t="s">
        <v>581</v>
      </c>
      <c r="J58" s="192" t="n">
        <f aca="false">IFERROR(VLOOKUP(VALUE($D58),BSPL2026!$B:$Z,25,FALSE()),0)</f>
        <v>296735751</v>
      </c>
      <c r="K58" s="193"/>
      <c r="L58" s="194"/>
      <c r="M58" s="192" t="n">
        <f aca="false">J58+K58-L58</f>
        <v>296735751</v>
      </c>
      <c r="N58" s="193" t="n">
        <f aca="false">SUMIF('statutory adj_2026 조정분개'!$S:$S,$D58,'statutory adj_2026 조정분개'!$K:$K)</f>
        <v>0</v>
      </c>
      <c r="O58" s="194" t="n">
        <f aca="false">SUMIF('statutory adj_2026 조정분개'!$S:$S,$D58,'statutory adj_2026 조정분개'!$L:$L)</f>
        <v>0</v>
      </c>
      <c r="P58" s="192" t="n">
        <f aca="false">M58+N58-O58</f>
        <v>296735751</v>
      </c>
      <c r="Q58" s="195" t="n">
        <f aca="false">IFERROR(VLOOKUP(VALUE($D58),BSPL2026!$B:$Q,16,FALSE()),0)</f>
        <v>307501499</v>
      </c>
      <c r="R58" s="196" t="s">
        <v>449</v>
      </c>
      <c r="S58" s="172" t="str">
        <f aca="false">IFERROR(VLOOKUP(VALUE($D58),BSPL2026!$B:$M,12,FALSE()),"")</f>
        <v>선급비용</v>
      </c>
      <c r="T58" s="172" t="str">
        <f aca="false">IF(OR(S58="",S58=0,LEFT(S58,5)="(원본오류"),"",IF(S58=H58,"","매핑차이"))</f>
        <v/>
      </c>
    </row>
    <row r="59" customFormat="false" ht="16.5" hidden="false" customHeight="false" outlineLevel="0" collapsed="false">
      <c r="D59" s="186" t="s">
        <v>582</v>
      </c>
      <c r="E59" s="187" t="s">
        <v>583</v>
      </c>
      <c r="F59" s="188" t="s">
        <v>446</v>
      </c>
      <c r="G59" s="189" t="s">
        <v>447</v>
      </c>
      <c r="H59" s="190" t="s">
        <v>60</v>
      </c>
      <c r="I59" s="191" t="s">
        <v>583</v>
      </c>
      <c r="J59" s="192" t="n">
        <f aca="false">IFERROR(VLOOKUP(VALUE($D59),BSPL2026!$B:$Z,25,FALSE()),0)</f>
        <v>0</v>
      </c>
      <c r="K59" s="193"/>
      <c r="L59" s="194"/>
      <c r="M59" s="192" t="n">
        <f aca="false">J59+K59-L59</f>
        <v>0</v>
      </c>
      <c r="N59" s="193" t="n">
        <f aca="false">SUMIF('statutory adj_2026 조정분개'!$S:$S,$D59,'statutory adj_2026 조정분개'!$K:$K)</f>
        <v>0</v>
      </c>
      <c r="O59" s="194" t="n">
        <f aca="false">SUMIF('statutory adj_2026 조정분개'!$S:$S,$D59,'statutory adj_2026 조정분개'!$L:$L)</f>
        <v>0</v>
      </c>
      <c r="P59" s="192" t="n">
        <f aca="false">M59+N59-O59</f>
        <v>0</v>
      </c>
      <c r="Q59" s="195" t="n">
        <f aca="false">IFERROR(VLOOKUP(VALUE($D59),BSPL2026!$B:$Q,16,FALSE()),0)</f>
        <v>0</v>
      </c>
      <c r="R59" s="196" t="s">
        <v>449</v>
      </c>
      <c r="S59" s="172" t="str">
        <f aca="false">IFERROR(VLOOKUP(VALUE($D59),BSPL2026!$B:$M,12,FALSE()),"")</f>
        <v>(원본오류 N/A)</v>
      </c>
      <c r="T59" s="172" t="str">
        <f aca="false">IF(OR(S59="",S59=0,LEFT(S59,5)="(원본오류"),"",IF(S59=H59,"","매핑차이"))</f>
        <v/>
      </c>
    </row>
    <row r="60" customFormat="false" ht="16.5" hidden="false" customHeight="false" outlineLevel="0" collapsed="false">
      <c r="D60" s="186" t="s">
        <v>584</v>
      </c>
      <c r="E60" s="187" t="s">
        <v>585</v>
      </c>
      <c r="F60" s="188" t="s">
        <v>446</v>
      </c>
      <c r="G60" s="189" t="s">
        <v>447</v>
      </c>
      <c r="H60" s="190" t="s">
        <v>60</v>
      </c>
      <c r="I60" s="191" t="s">
        <v>585</v>
      </c>
      <c r="J60" s="192" t="n">
        <f aca="false">IFERROR(VLOOKUP(VALUE($D60),BSPL2026!$B:$Z,25,FALSE()),0)</f>
        <v>0</v>
      </c>
      <c r="K60" s="193"/>
      <c r="L60" s="194"/>
      <c r="M60" s="192" t="n">
        <f aca="false">J60+K60-L60</f>
        <v>0</v>
      </c>
      <c r="N60" s="193" t="n">
        <f aca="false">SUMIF('statutory adj_2026 조정분개'!$S:$S,$D60,'statutory adj_2026 조정분개'!$K:$K)</f>
        <v>0</v>
      </c>
      <c r="O60" s="194" t="n">
        <f aca="false">SUMIF('statutory adj_2026 조정분개'!$S:$S,$D60,'statutory adj_2026 조정분개'!$L:$L)</f>
        <v>0</v>
      </c>
      <c r="P60" s="192" t="n">
        <f aca="false">M60+N60-O60</f>
        <v>0</v>
      </c>
      <c r="Q60" s="195" t="n">
        <f aca="false">IFERROR(VLOOKUP(VALUE($D60),BSPL2026!$B:$Q,16,FALSE()),0)</f>
        <v>0</v>
      </c>
      <c r="R60" s="196" t="s">
        <v>449</v>
      </c>
      <c r="S60" s="172" t="str">
        <f aca="false">IFERROR(VLOOKUP(VALUE($D60),BSPL2026!$B:$M,12,FALSE()),"")</f>
        <v>선급비용</v>
      </c>
      <c r="T60" s="172" t="str">
        <f aca="false">IF(OR(S60="",S60=0,LEFT(S60,5)="(원본오류"),"",IF(S60=H60,"","매핑차이"))</f>
        <v/>
      </c>
    </row>
    <row r="61" customFormat="false" ht="16.5" hidden="false" customHeight="false" outlineLevel="0" collapsed="false">
      <c r="D61" s="186" t="s">
        <v>586</v>
      </c>
      <c r="E61" s="187" t="s">
        <v>587</v>
      </c>
      <c r="F61" s="188" t="s">
        <v>446</v>
      </c>
      <c r="G61" s="189" t="s">
        <v>447</v>
      </c>
      <c r="H61" s="190" t="s">
        <v>39</v>
      </c>
      <c r="I61" s="191" t="s">
        <v>587</v>
      </c>
      <c r="J61" s="192" t="n">
        <f aca="false">IFERROR(VLOOKUP(VALUE($D61),BSPL2026!$B:$Z,25,FALSE()),0)</f>
        <v>424982906</v>
      </c>
      <c r="K61" s="193"/>
      <c r="L61" s="194"/>
      <c r="M61" s="192" t="n">
        <f aca="false">J61+K61-L61</f>
        <v>424982906</v>
      </c>
      <c r="N61" s="193" t="n">
        <f aca="false">SUMIF('statutory adj_2026 조정분개'!$S:$S,$D61,'statutory adj_2026 조정분개'!$K:$K)</f>
        <v>0</v>
      </c>
      <c r="O61" s="194" t="n">
        <f aca="false">SUMIF('statutory adj_2026 조정분개'!$S:$S,$D61,'statutory adj_2026 조정분개'!$L:$L)</f>
        <v>0</v>
      </c>
      <c r="P61" s="192" t="n">
        <f aca="false">M61+N61-O61</f>
        <v>424982906</v>
      </c>
      <c r="Q61" s="195" t="n">
        <f aca="false">IFERROR(VLOOKUP(VALUE($D61),BSPL2026!$B:$Q,16,FALSE()),0)</f>
        <v>311870229</v>
      </c>
      <c r="R61" s="196" t="s">
        <v>449</v>
      </c>
      <c r="S61" s="172" t="str">
        <f aca="false">IFERROR(VLOOKUP(VALUE($D61),BSPL2026!$B:$M,12,FALSE()),"")</f>
        <v>미수금</v>
      </c>
      <c r="T61" s="172" t="str">
        <f aca="false">IF(OR(S61="",S61=0,LEFT(S61,5)="(원본오류"),"",IF(S61=H61,"","매핑차이"))</f>
        <v/>
      </c>
    </row>
    <row r="62" customFormat="false" ht="16.5" hidden="false" customHeight="false" outlineLevel="0" collapsed="false">
      <c r="D62" s="186" t="s">
        <v>588</v>
      </c>
      <c r="E62" s="187" t="s">
        <v>589</v>
      </c>
      <c r="F62" s="188" t="s">
        <v>446</v>
      </c>
      <c r="G62" s="189" t="s">
        <v>447</v>
      </c>
      <c r="H62" s="190" t="s">
        <v>50</v>
      </c>
      <c r="I62" s="191" t="s">
        <v>589</v>
      </c>
      <c r="J62" s="192" t="n">
        <f aca="false">IFERROR(VLOOKUP(VALUE($D62),BSPL2026!$B:$Z,25,FALSE()),0)</f>
        <v>415218875</v>
      </c>
      <c r="K62" s="193"/>
      <c r="L62" s="194"/>
      <c r="M62" s="192" t="n">
        <f aca="false">J62+K62-L62</f>
        <v>415218875</v>
      </c>
      <c r="N62" s="193" t="n">
        <f aca="false">SUMIF('statutory adj_2026 조정분개'!$S:$S,$D62,'statutory adj_2026 조정분개'!$K:$K)</f>
        <v>0</v>
      </c>
      <c r="O62" s="194" t="n">
        <f aca="false">SUMIF('statutory adj_2026 조정분개'!$S:$S,$D62,'statutory adj_2026 조정분개'!$L:$L)</f>
        <v>0</v>
      </c>
      <c r="P62" s="192" t="n">
        <f aca="false">M62+N62-O62</f>
        <v>415218875</v>
      </c>
      <c r="Q62" s="195" t="n">
        <f aca="false">IFERROR(VLOOKUP(VALUE($D62),BSPL2026!$B:$Q,16,FALSE()),0)</f>
        <v>14382500</v>
      </c>
      <c r="R62" s="196" t="s">
        <v>449</v>
      </c>
      <c r="S62" s="172" t="str">
        <f aca="false">IFERROR(VLOOKUP(VALUE($D62),BSPL2026!$B:$M,12,FALSE()),"")</f>
        <v>선급금</v>
      </c>
      <c r="T62" s="172" t="str">
        <f aca="false">IF(OR(S62="",S62=0,LEFT(S62,5)="(원본오류"),"",IF(S62=H62,"","매핑차이"))</f>
        <v/>
      </c>
    </row>
    <row r="63" customFormat="false" ht="16.5" hidden="false" customHeight="false" outlineLevel="0" collapsed="false">
      <c r="D63" s="186" t="s">
        <v>590</v>
      </c>
      <c r="E63" s="187" t="s">
        <v>591</v>
      </c>
      <c r="F63" s="188" t="s">
        <v>446</v>
      </c>
      <c r="G63" s="189" t="s">
        <v>447</v>
      </c>
      <c r="H63" s="190" t="s">
        <v>50</v>
      </c>
      <c r="I63" s="191" t="s">
        <v>591</v>
      </c>
      <c r="J63" s="192" t="n">
        <f aca="false">IFERROR(VLOOKUP(VALUE($D63),BSPL2026!$B:$Z,25,FALSE()),0)</f>
        <v>0</v>
      </c>
      <c r="K63" s="193"/>
      <c r="L63" s="194"/>
      <c r="M63" s="192" t="n">
        <f aca="false">J63+K63-L63</f>
        <v>0</v>
      </c>
      <c r="N63" s="193" t="n">
        <f aca="false">SUMIF('statutory adj_2026 조정분개'!$S:$S,$D63,'statutory adj_2026 조정분개'!$K:$K)</f>
        <v>0</v>
      </c>
      <c r="O63" s="194" t="n">
        <f aca="false">SUMIF('statutory adj_2026 조정분개'!$S:$S,$D63,'statutory adj_2026 조정분개'!$L:$L)</f>
        <v>0</v>
      </c>
      <c r="P63" s="192" t="n">
        <f aca="false">M63+N63-O63</f>
        <v>0</v>
      </c>
      <c r="Q63" s="195" t="n">
        <f aca="false">IFERROR(VLOOKUP(VALUE($D63),BSPL2026!$B:$Q,16,FALSE()),0)</f>
        <v>0</v>
      </c>
      <c r="R63" s="196" t="s">
        <v>449</v>
      </c>
      <c r="S63" s="172" t="str">
        <f aca="false">IFERROR(VLOOKUP(VALUE($D63),BSPL2026!$B:$M,12,FALSE()),"")</f>
        <v>(원본오류 N/A)</v>
      </c>
      <c r="T63" s="172" t="str">
        <f aca="false">IF(OR(S63="",S63=0,LEFT(S63,5)="(원본오류"),"",IF(S63=H63,"","매핑차이"))</f>
        <v/>
      </c>
    </row>
    <row r="64" customFormat="false" ht="16.5" hidden="false" customHeight="false" outlineLevel="0" collapsed="false">
      <c r="D64" s="186" t="s">
        <v>592</v>
      </c>
      <c r="E64" s="187" t="s">
        <v>593</v>
      </c>
      <c r="F64" s="188" t="s">
        <v>446</v>
      </c>
      <c r="G64" s="189" t="s">
        <v>447</v>
      </c>
      <c r="H64" s="190" t="s">
        <v>50</v>
      </c>
      <c r="I64" s="191" t="s">
        <v>593</v>
      </c>
      <c r="J64" s="192" t="n">
        <f aca="false">IFERROR(VLOOKUP(VALUE($D64),BSPL2026!$B:$Z,25,FALSE()),0)</f>
        <v>0</v>
      </c>
      <c r="K64" s="193"/>
      <c r="L64" s="194"/>
      <c r="M64" s="192" t="n">
        <f aca="false">J64+K64-L64</f>
        <v>0</v>
      </c>
      <c r="N64" s="193" t="n">
        <f aca="false">SUMIF('statutory adj_2026 조정분개'!$S:$S,$D64,'statutory adj_2026 조정분개'!$K:$K)</f>
        <v>0</v>
      </c>
      <c r="O64" s="194" t="n">
        <f aca="false">SUMIF('statutory adj_2026 조정분개'!$S:$S,$D64,'statutory adj_2026 조정분개'!$L:$L)</f>
        <v>0</v>
      </c>
      <c r="P64" s="192" t="n">
        <f aca="false">M64+N64-O64</f>
        <v>0</v>
      </c>
      <c r="Q64" s="195" t="n">
        <f aca="false">IFERROR(VLOOKUP(VALUE($D64),BSPL2026!$B:$Q,16,FALSE()),0)</f>
        <v>0</v>
      </c>
      <c r="R64" s="196" t="s">
        <v>449</v>
      </c>
      <c r="S64" s="172" t="str">
        <f aca="false">IFERROR(VLOOKUP(VALUE($D64),BSPL2026!$B:$M,12,FALSE()),"")</f>
        <v>선급금</v>
      </c>
      <c r="T64" s="172" t="str">
        <f aca="false">IF(OR(S64="",S64=0,LEFT(S64,5)="(원본오류"),"",IF(S64=H64,"","매핑차이"))</f>
        <v/>
      </c>
    </row>
    <row r="65" customFormat="false" ht="16.5" hidden="false" customHeight="false" outlineLevel="0" collapsed="false">
      <c r="D65" s="186" t="s">
        <v>594</v>
      </c>
      <c r="E65" s="187" t="s">
        <v>595</v>
      </c>
      <c r="F65" s="188" t="s">
        <v>446</v>
      </c>
      <c r="G65" s="189" t="s">
        <v>447</v>
      </c>
      <c r="H65" s="190" t="s">
        <v>43</v>
      </c>
      <c r="I65" s="191" t="s">
        <v>595</v>
      </c>
      <c r="J65" s="192" t="n">
        <f aca="false">IFERROR(VLOOKUP(VALUE($D65),BSPL2026!$B:$Z,25,FALSE()),0)</f>
        <v>0</v>
      </c>
      <c r="K65" s="193"/>
      <c r="L65" s="194"/>
      <c r="M65" s="192" t="n">
        <f aca="false">J65+K65-L65</f>
        <v>0</v>
      </c>
      <c r="N65" s="193" t="n">
        <f aca="false">SUMIF('statutory adj_2026 조정분개'!$S:$S,$D65,'statutory adj_2026 조정분개'!$K:$K)</f>
        <v>0</v>
      </c>
      <c r="O65" s="194" t="n">
        <f aca="false">SUMIF('statutory adj_2026 조정분개'!$S:$S,$D65,'statutory adj_2026 조정분개'!$L:$L)</f>
        <v>0</v>
      </c>
      <c r="P65" s="192" t="n">
        <f aca="false">M65+N65-O65</f>
        <v>0</v>
      </c>
      <c r="Q65" s="195" t="n">
        <f aca="false">IFERROR(VLOOKUP(VALUE($D65),BSPL2026!$B:$Q,16,FALSE()),0)</f>
        <v>9</v>
      </c>
      <c r="R65" s="196" t="s">
        <v>449</v>
      </c>
      <c r="S65" s="172" t="str">
        <f aca="false">IFERROR(VLOOKUP(VALUE($D65),BSPL2026!$B:$M,12,FALSE()),"")</f>
        <v>부가가치세미수금</v>
      </c>
      <c r="T65" s="172" t="str">
        <f aca="false">IF(OR(S65="",S65=0,LEFT(S65,5)="(원본오류"),"",IF(S65=H65,"","매핑차이"))</f>
        <v/>
      </c>
    </row>
    <row r="66" customFormat="false" ht="16.5" hidden="false" customHeight="false" outlineLevel="0" collapsed="false">
      <c r="D66" s="186" t="s">
        <v>596</v>
      </c>
      <c r="E66" s="187" t="s">
        <v>597</v>
      </c>
      <c r="F66" s="188" t="s">
        <v>446</v>
      </c>
      <c r="G66" s="189" t="s">
        <v>447</v>
      </c>
      <c r="H66" s="190" t="s">
        <v>27</v>
      </c>
      <c r="I66" s="191" t="s">
        <v>597</v>
      </c>
      <c r="J66" s="192" t="n">
        <f aca="false">IFERROR(VLOOKUP(VALUE($D66),BSPL2026!$B:$Z,25,FALSE()),0)</f>
        <v>0</v>
      </c>
      <c r="K66" s="193"/>
      <c r="L66" s="194"/>
      <c r="M66" s="192" t="n">
        <f aca="false">J66+K66-L66</f>
        <v>0</v>
      </c>
      <c r="N66" s="193" t="n">
        <f aca="false">SUMIF('statutory adj_2026 조정분개'!$S:$S,$D66,'statutory adj_2026 조정분개'!$K:$K)</f>
        <v>0</v>
      </c>
      <c r="O66" s="194" t="n">
        <f aca="false">SUMIF('statutory adj_2026 조정분개'!$S:$S,$D66,'statutory adj_2026 조정분개'!$L:$L)</f>
        <v>0</v>
      </c>
      <c r="P66" s="192" t="n">
        <f aca="false">M66+N66-O66</f>
        <v>0</v>
      </c>
      <c r="Q66" s="195" t="n">
        <f aca="false">IFERROR(VLOOKUP(VALUE($D66),BSPL2026!$B:$Q,16,FALSE()),0)</f>
        <v>0</v>
      </c>
      <c r="R66" s="196" t="s">
        <v>449</v>
      </c>
      <c r="S66" s="172" t="str">
        <f aca="false">IFERROR(VLOOKUP(VALUE($D66),BSPL2026!$B:$M,12,FALSE()),"")</f>
        <v>현금및현금등가물</v>
      </c>
      <c r="T66" s="172" t="str">
        <f aca="false">IF(OR(S66="",S66=0,LEFT(S66,5)="(원본오류"),"",IF(S66=H66,"","매핑차이"))</f>
        <v/>
      </c>
    </row>
    <row r="67" customFormat="false" ht="16.5" hidden="false" customHeight="false" outlineLevel="0" collapsed="false">
      <c r="D67" s="186" t="s">
        <v>598</v>
      </c>
      <c r="E67" s="187" t="s">
        <v>599</v>
      </c>
      <c r="F67" s="188" t="s">
        <v>446</v>
      </c>
      <c r="G67" s="189" t="s">
        <v>447</v>
      </c>
      <c r="H67" s="190" t="s">
        <v>27</v>
      </c>
      <c r="I67" s="191" t="s">
        <v>599</v>
      </c>
      <c r="J67" s="192" t="n">
        <f aca="false">IFERROR(VLOOKUP(VALUE($D67),BSPL2026!$B:$Z,25,FALSE()),0)</f>
        <v>0</v>
      </c>
      <c r="K67" s="193"/>
      <c r="L67" s="194"/>
      <c r="M67" s="192" t="n">
        <f aca="false">J67+K67-L67</f>
        <v>0</v>
      </c>
      <c r="N67" s="193" t="n">
        <f aca="false">SUMIF('statutory adj_2026 조정분개'!$S:$S,$D67,'statutory adj_2026 조정분개'!$K:$K)</f>
        <v>0</v>
      </c>
      <c r="O67" s="194" t="n">
        <f aca="false">SUMIF('statutory adj_2026 조정분개'!$S:$S,$D67,'statutory adj_2026 조정분개'!$L:$L)</f>
        <v>0</v>
      </c>
      <c r="P67" s="192" t="n">
        <f aca="false">M67+N67-O67</f>
        <v>0</v>
      </c>
      <c r="Q67" s="195" t="n">
        <f aca="false">IFERROR(VLOOKUP(VALUE($D67),BSPL2026!$B:$Q,16,FALSE()),0)</f>
        <v>0</v>
      </c>
      <c r="R67" s="196" t="s">
        <v>449</v>
      </c>
      <c r="S67" s="172" t="str">
        <f aca="false">IFERROR(VLOOKUP(VALUE($D67),BSPL2026!$B:$M,12,FALSE()),"")</f>
        <v>현금및현금등가물</v>
      </c>
      <c r="T67" s="172" t="str">
        <f aca="false">IF(OR(S67="",S67=0,LEFT(S67,5)="(원본오류"),"",IF(S67=H67,"","매핑차이"))</f>
        <v/>
      </c>
    </row>
    <row r="68" customFormat="false" ht="16.5" hidden="false" customHeight="false" outlineLevel="0" collapsed="false">
      <c r="D68" s="186" t="s">
        <v>600</v>
      </c>
      <c r="E68" s="187" t="s">
        <v>601</v>
      </c>
      <c r="F68" s="188" t="s">
        <v>446</v>
      </c>
      <c r="G68" s="189" t="s">
        <v>447</v>
      </c>
      <c r="H68" s="190" t="s">
        <v>27</v>
      </c>
      <c r="I68" s="191" t="s">
        <v>601</v>
      </c>
      <c r="J68" s="192" t="n">
        <f aca="false">IFERROR(VLOOKUP(VALUE($D68),BSPL2026!$B:$Z,25,FALSE()),0)</f>
        <v>0</v>
      </c>
      <c r="K68" s="193"/>
      <c r="L68" s="194"/>
      <c r="M68" s="192" t="n">
        <f aca="false">J68+K68-L68</f>
        <v>0</v>
      </c>
      <c r="N68" s="193" t="n">
        <f aca="false">SUMIF('statutory adj_2026 조정분개'!$S:$S,$D68,'statutory adj_2026 조정분개'!$K:$K)</f>
        <v>0</v>
      </c>
      <c r="O68" s="194" t="n">
        <f aca="false">SUMIF('statutory adj_2026 조정분개'!$S:$S,$D68,'statutory adj_2026 조정분개'!$L:$L)</f>
        <v>0</v>
      </c>
      <c r="P68" s="192" t="n">
        <f aca="false">M68+N68-O68</f>
        <v>0</v>
      </c>
      <c r="Q68" s="195" t="n">
        <f aca="false">IFERROR(VLOOKUP(VALUE($D68),BSPL2026!$B:$Q,16,FALSE()),0)</f>
        <v>0</v>
      </c>
      <c r="R68" s="196" t="s">
        <v>449</v>
      </c>
      <c r="S68" s="172" t="str">
        <f aca="false">IFERROR(VLOOKUP(VALUE($D68),BSPL2026!$B:$M,12,FALSE()),"")</f>
        <v>현금및현금등가물</v>
      </c>
      <c r="T68" s="172" t="str">
        <f aca="false">IF(OR(S68="",S68=0,LEFT(S68,5)="(원본오류"),"",IF(S68=H68,"","매핑차이"))</f>
        <v/>
      </c>
    </row>
    <row r="69" customFormat="false" ht="16.5" hidden="false" customHeight="false" outlineLevel="0" collapsed="false">
      <c r="D69" s="186" t="s">
        <v>602</v>
      </c>
      <c r="E69" s="187" t="s">
        <v>603</v>
      </c>
      <c r="F69" s="188" t="s">
        <v>446</v>
      </c>
      <c r="G69" s="189" t="s">
        <v>447</v>
      </c>
      <c r="H69" s="190" t="s">
        <v>27</v>
      </c>
      <c r="I69" s="191" t="s">
        <v>603</v>
      </c>
      <c r="J69" s="192" t="n">
        <f aca="false">IFERROR(VLOOKUP(VALUE($D69),BSPL2026!$B:$Z,25,FALSE()),0)</f>
        <v>0</v>
      </c>
      <c r="K69" s="193"/>
      <c r="L69" s="194"/>
      <c r="M69" s="192" t="n">
        <f aca="false">J69+K69-L69</f>
        <v>0</v>
      </c>
      <c r="N69" s="193" t="n">
        <f aca="false">SUMIF('statutory adj_2026 조정분개'!$S:$S,$D69,'statutory adj_2026 조정분개'!$K:$K)</f>
        <v>0</v>
      </c>
      <c r="O69" s="194" t="n">
        <f aca="false">SUMIF('statutory adj_2026 조정분개'!$S:$S,$D69,'statutory adj_2026 조정분개'!$L:$L)</f>
        <v>0</v>
      </c>
      <c r="P69" s="192" t="n">
        <f aca="false">M69+N69-O69</f>
        <v>0</v>
      </c>
      <c r="Q69" s="195" t="n">
        <f aca="false">IFERROR(VLOOKUP(VALUE($D69),BSPL2026!$B:$Q,16,FALSE()),0)</f>
        <v>135</v>
      </c>
      <c r="R69" s="196" t="s">
        <v>449</v>
      </c>
      <c r="S69" s="172" t="str">
        <f aca="false">IFERROR(VLOOKUP(VALUE($D69),BSPL2026!$B:$M,12,FALSE()),"")</f>
        <v>현금및현금등가물</v>
      </c>
      <c r="T69" s="172" t="str">
        <f aca="false">IF(OR(S69="",S69=0,LEFT(S69,5)="(원본오류"),"",IF(S69=H69,"","매핑차이"))</f>
        <v/>
      </c>
    </row>
    <row r="70" customFormat="false" ht="16.5" hidden="false" customHeight="false" outlineLevel="0" collapsed="false">
      <c r="D70" s="186" t="s">
        <v>604</v>
      </c>
      <c r="E70" s="187" t="s">
        <v>605</v>
      </c>
      <c r="F70" s="188" t="s">
        <v>446</v>
      </c>
      <c r="G70" s="189" t="s">
        <v>447</v>
      </c>
      <c r="H70" s="190" t="s">
        <v>27</v>
      </c>
      <c r="I70" s="191" t="s">
        <v>605</v>
      </c>
      <c r="J70" s="192" t="n">
        <f aca="false">IFERROR(VLOOKUP(VALUE($D70),BSPL2026!$B:$Z,25,FALSE()),0)</f>
        <v>0</v>
      </c>
      <c r="K70" s="193"/>
      <c r="L70" s="194"/>
      <c r="M70" s="192" t="n">
        <f aca="false">J70+K70-L70</f>
        <v>0</v>
      </c>
      <c r="N70" s="193" t="n">
        <f aca="false">SUMIF('statutory adj_2026 조정분개'!$S:$S,$D70,'statutory adj_2026 조정분개'!$K:$K)</f>
        <v>0</v>
      </c>
      <c r="O70" s="194" t="n">
        <f aca="false">SUMIF('statutory adj_2026 조정분개'!$S:$S,$D70,'statutory adj_2026 조정분개'!$L:$L)</f>
        <v>0</v>
      </c>
      <c r="P70" s="192" t="n">
        <f aca="false">M70+N70-O70</f>
        <v>0</v>
      </c>
      <c r="Q70" s="195" t="n">
        <f aca="false">IFERROR(VLOOKUP(VALUE($D70),BSPL2026!$B:$Q,16,FALSE()),0)</f>
        <v>0</v>
      </c>
      <c r="R70" s="196" t="s">
        <v>449</v>
      </c>
      <c r="S70" s="172" t="str">
        <f aca="false">IFERROR(VLOOKUP(VALUE($D70),BSPL2026!$B:$M,12,FALSE()),"")</f>
        <v>현금및현금등가물</v>
      </c>
      <c r="T70" s="172" t="str">
        <f aca="false">IF(OR(S70="",S70=0,LEFT(S70,5)="(원본오류"),"",IF(S70=H70,"","매핑차이"))</f>
        <v/>
      </c>
    </row>
    <row r="71" customFormat="false" ht="16.5" hidden="false" customHeight="false" outlineLevel="0" collapsed="false">
      <c r="D71" s="186" t="s">
        <v>606</v>
      </c>
      <c r="E71" s="187" t="s">
        <v>607</v>
      </c>
      <c r="F71" s="188" t="s">
        <v>446</v>
      </c>
      <c r="G71" s="189" t="s">
        <v>447</v>
      </c>
      <c r="H71" s="190" t="s">
        <v>27</v>
      </c>
      <c r="I71" s="191" t="s">
        <v>607</v>
      </c>
      <c r="J71" s="192" t="n">
        <f aca="false">IFERROR(VLOOKUP(VALUE($D71),BSPL2026!$B:$Z,25,FALSE()),0)</f>
        <v>0</v>
      </c>
      <c r="K71" s="193"/>
      <c r="L71" s="194"/>
      <c r="M71" s="192" t="n">
        <f aca="false">J71+K71-L71</f>
        <v>0</v>
      </c>
      <c r="N71" s="193" t="n">
        <f aca="false">SUMIF('statutory adj_2026 조정분개'!$S:$S,$D71,'statutory adj_2026 조정분개'!$K:$K)</f>
        <v>0</v>
      </c>
      <c r="O71" s="194" t="n">
        <f aca="false">SUMIF('statutory adj_2026 조정분개'!$S:$S,$D71,'statutory adj_2026 조정분개'!$L:$L)</f>
        <v>0</v>
      </c>
      <c r="P71" s="192" t="n">
        <f aca="false">M71+N71-O71</f>
        <v>0</v>
      </c>
      <c r="Q71" s="195" t="n">
        <f aca="false">IFERROR(VLOOKUP(VALUE($D71),BSPL2026!$B:$Q,16,FALSE()),0)</f>
        <v>0</v>
      </c>
      <c r="R71" s="196" t="s">
        <v>449</v>
      </c>
      <c r="S71" s="172" t="str">
        <f aca="false">IFERROR(VLOOKUP(VALUE($D71),BSPL2026!$B:$M,12,FALSE()),"")</f>
        <v>현금및현금등가물</v>
      </c>
      <c r="T71" s="172" t="str">
        <f aca="false">IF(OR(S71="",S71=0,LEFT(S71,5)="(원본오류"),"",IF(S71=H71,"","매핑차이"))</f>
        <v/>
      </c>
    </row>
    <row r="72" customFormat="false" ht="16.5" hidden="false" customHeight="false" outlineLevel="0" collapsed="false">
      <c r="D72" s="186" t="s">
        <v>608</v>
      </c>
      <c r="E72" s="187" t="s">
        <v>609</v>
      </c>
      <c r="F72" s="188" t="s">
        <v>446</v>
      </c>
      <c r="G72" s="189" t="s">
        <v>447</v>
      </c>
      <c r="H72" s="190" t="s">
        <v>27</v>
      </c>
      <c r="I72" s="191" t="s">
        <v>609</v>
      </c>
      <c r="J72" s="192" t="n">
        <f aca="false">IFERROR(VLOOKUP(VALUE($D72),BSPL2026!$B:$Z,25,FALSE()),0)</f>
        <v>0</v>
      </c>
      <c r="K72" s="193"/>
      <c r="L72" s="194"/>
      <c r="M72" s="192" t="n">
        <f aca="false">J72+K72-L72</f>
        <v>0</v>
      </c>
      <c r="N72" s="193" t="n">
        <f aca="false">SUMIF('statutory adj_2026 조정분개'!$S:$S,$D72,'statutory adj_2026 조정분개'!$K:$K)</f>
        <v>0</v>
      </c>
      <c r="O72" s="194" t="n">
        <f aca="false">SUMIF('statutory adj_2026 조정분개'!$S:$S,$D72,'statutory adj_2026 조정분개'!$L:$L)</f>
        <v>0</v>
      </c>
      <c r="P72" s="192" t="n">
        <f aca="false">M72+N72-O72</f>
        <v>0</v>
      </c>
      <c r="Q72" s="195" t="n">
        <f aca="false">IFERROR(VLOOKUP(VALUE($D72),BSPL2026!$B:$Q,16,FALSE()),0)</f>
        <v>14</v>
      </c>
      <c r="R72" s="196" t="s">
        <v>449</v>
      </c>
      <c r="S72" s="172" t="str">
        <f aca="false">IFERROR(VLOOKUP(VALUE($D72),BSPL2026!$B:$M,12,FALSE()),"")</f>
        <v>현금및현금등가물</v>
      </c>
      <c r="T72" s="172" t="str">
        <f aca="false">IF(OR(S72="",S72=0,LEFT(S72,5)="(원본오류"),"",IF(S72=H72,"","매핑차이"))</f>
        <v/>
      </c>
    </row>
    <row r="73" customFormat="false" ht="16.5" hidden="false" customHeight="false" outlineLevel="0" collapsed="false">
      <c r="D73" s="186" t="s">
        <v>610</v>
      </c>
      <c r="E73" s="187" t="s">
        <v>611</v>
      </c>
      <c r="F73" s="188" t="s">
        <v>446</v>
      </c>
      <c r="G73" s="189" t="s">
        <v>447</v>
      </c>
      <c r="H73" s="190" t="s">
        <v>27</v>
      </c>
      <c r="I73" s="191" t="s">
        <v>611</v>
      </c>
      <c r="J73" s="192" t="n">
        <f aca="false">IFERROR(VLOOKUP(VALUE($D73),BSPL2026!$B:$Z,25,FALSE()),0)</f>
        <v>0</v>
      </c>
      <c r="K73" s="193"/>
      <c r="L73" s="194"/>
      <c r="M73" s="192" t="n">
        <f aca="false">J73+K73-L73</f>
        <v>0</v>
      </c>
      <c r="N73" s="193" t="n">
        <f aca="false">SUMIF('statutory adj_2026 조정분개'!$S:$S,$D73,'statutory adj_2026 조정분개'!$K:$K)</f>
        <v>0</v>
      </c>
      <c r="O73" s="194" t="n">
        <f aca="false">SUMIF('statutory adj_2026 조정분개'!$S:$S,$D73,'statutory adj_2026 조정분개'!$L:$L)</f>
        <v>0</v>
      </c>
      <c r="P73" s="192" t="n">
        <f aca="false">M73+N73-O73</f>
        <v>0</v>
      </c>
      <c r="Q73" s="195" t="n">
        <f aca="false">IFERROR(VLOOKUP(VALUE($D73),BSPL2026!$B:$Q,16,FALSE()),0)</f>
        <v>0</v>
      </c>
      <c r="R73" s="196" t="s">
        <v>449</v>
      </c>
      <c r="S73" s="172" t="str">
        <f aca="false">IFERROR(VLOOKUP(VALUE($D73),BSPL2026!$B:$M,12,FALSE()),"")</f>
        <v>현금및현금등가물</v>
      </c>
      <c r="T73" s="172" t="str">
        <f aca="false">IF(OR(S73="",S73=0,LEFT(S73,5)="(원본오류"),"",IF(S73=H73,"","매핑차이"))</f>
        <v/>
      </c>
    </row>
    <row r="74" customFormat="false" ht="16.5" hidden="false" customHeight="false" outlineLevel="0" collapsed="false">
      <c r="D74" s="186" t="s">
        <v>612</v>
      </c>
      <c r="E74" s="187" t="s">
        <v>613</v>
      </c>
      <c r="F74" s="188" t="s">
        <v>446</v>
      </c>
      <c r="G74" s="189" t="s">
        <v>447</v>
      </c>
      <c r="H74" s="190" t="s">
        <v>27</v>
      </c>
      <c r="I74" s="191" t="s">
        <v>613</v>
      </c>
      <c r="J74" s="192" t="n">
        <f aca="false">IFERROR(VLOOKUP(VALUE($D74),BSPL2026!$B:$Z,25,FALSE()),0)</f>
        <v>8328079411</v>
      </c>
      <c r="K74" s="193"/>
      <c r="L74" s="194"/>
      <c r="M74" s="192" t="n">
        <f aca="false">J74+K74-L74</f>
        <v>8328079411</v>
      </c>
      <c r="N74" s="193" t="n">
        <f aca="false">SUMIF('statutory adj_2026 조정분개'!$S:$S,$D74,'statutory adj_2026 조정분개'!$K:$K)</f>
        <v>0</v>
      </c>
      <c r="O74" s="194" t="n">
        <f aca="false">SUMIF('statutory adj_2026 조정분개'!$S:$S,$D74,'statutory adj_2026 조정분개'!$L:$L)</f>
        <v>0</v>
      </c>
      <c r="P74" s="192" t="n">
        <f aca="false">M74+N74-O74</f>
        <v>8328079411</v>
      </c>
      <c r="Q74" s="195" t="n">
        <f aca="false">IFERROR(VLOOKUP(VALUE($D74),BSPL2026!$B:$Q,16,FALSE()),0)</f>
        <v>11105202195</v>
      </c>
      <c r="R74" s="196" t="s">
        <v>449</v>
      </c>
      <c r="S74" s="172" t="str">
        <f aca="false">IFERROR(VLOOKUP(VALUE($D74),BSPL2026!$B:$M,12,FALSE()),"")</f>
        <v>현금및현금등가물</v>
      </c>
      <c r="T74" s="172" t="str">
        <f aca="false">IF(OR(S74="",S74=0,LEFT(S74,5)="(원본오류"),"",IF(S74=H74,"","매핑차이"))</f>
        <v/>
      </c>
    </row>
    <row r="75" customFormat="false" ht="16.5" hidden="false" customHeight="false" outlineLevel="0" collapsed="false">
      <c r="D75" s="186" t="s">
        <v>614</v>
      </c>
      <c r="E75" s="187" t="s">
        <v>615</v>
      </c>
      <c r="F75" s="188" t="s">
        <v>446</v>
      </c>
      <c r="G75" s="189" t="s">
        <v>447</v>
      </c>
      <c r="H75" s="190" t="s">
        <v>64</v>
      </c>
      <c r="I75" s="191" t="s">
        <v>615</v>
      </c>
      <c r="J75" s="192" t="n">
        <f aca="false">IFERROR(VLOOKUP(VALUE($D75),BSPL2026!$B:$Z,25,FALSE()),0)</f>
        <v>19784758242</v>
      </c>
      <c r="K75" s="193"/>
      <c r="L75" s="194"/>
      <c r="M75" s="192" t="n">
        <f aca="false">J75+K75-L75</f>
        <v>19784758242</v>
      </c>
      <c r="N75" s="193" t="n">
        <f aca="false">SUMIF('statutory adj_2026 조정분개'!$S:$S,$D75,'statutory adj_2026 조정분개'!$K:$K)</f>
        <v>0</v>
      </c>
      <c r="O75" s="194" t="n">
        <f aca="false">SUMIF('statutory adj_2026 조정분개'!$S:$S,$D75,'statutory adj_2026 조정분개'!$L:$L)</f>
        <v>0</v>
      </c>
      <c r="P75" s="192" t="n">
        <f aca="false">M75+N75-O75</f>
        <v>19784758242</v>
      </c>
      <c r="Q75" s="195" t="n">
        <f aca="false">IFERROR(VLOOKUP(VALUE($D75),BSPL2026!$B:$Q,16,FALSE()),0)</f>
        <v>24413452320</v>
      </c>
      <c r="R75" s="196" t="s">
        <v>449</v>
      </c>
      <c r="S75" s="172" t="str">
        <f aca="false">IFERROR(VLOOKUP(VALUE($D75),BSPL2026!$B:$M,12,FALSE()),"")</f>
        <v>유동성이연법인세자산</v>
      </c>
      <c r="T75" s="172" t="str">
        <f aca="false">IF(OR(S75="",S75=0,LEFT(S75,5)="(원본오류"),"",IF(S75=H75,"","매핑차이"))</f>
        <v/>
      </c>
    </row>
    <row r="76" customFormat="false" ht="16.5" hidden="false" customHeight="false" outlineLevel="0" collapsed="false">
      <c r="D76" s="186" t="s">
        <v>616</v>
      </c>
      <c r="E76" s="187" t="s">
        <v>617</v>
      </c>
      <c r="F76" s="188" t="s">
        <v>446</v>
      </c>
      <c r="G76" s="189" t="s">
        <v>447</v>
      </c>
      <c r="H76" s="190" t="s">
        <v>64</v>
      </c>
      <c r="I76" s="191" t="s">
        <v>617</v>
      </c>
      <c r="J76" s="192" t="n">
        <f aca="false">IFERROR(VLOOKUP(VALUE($D76),BSPL2026!$B:$Z,25,FALSE()),0)</f>
        <v>0</v>
      </c>
      <c r="K76" s="193"/>
      <c r="L76" s="194"/>
      <c r="M76" s="192" t="n">
        <f aca="false">J76+K76-L76</f>
        <v>0</v>
      </c>
      <c r="N76" s="193" t="n">
        <f aca="false">SUMIF('statutory adj_2026 조정분개'!$S:$S,$D76,'statutory adj_2026 조정분개'!$K:$K)</f>
        <v>0</v>
      </c>
      <c r="O76" s="194" t="n">
        <f aca="false">SUMIF('statutory adj_2026 조정분개'!$S:$S,$D76,'statutory adj_2026 조정분개'!$L:$L)</f>
        <v>0</v>
      </c>
      <c r="P76" s="192" t="n">
        <f aca="false">M76+N76-O76</f>
        <v>0</v>
      </c>
      <c r="Q76" s="195" t="n">
        <f aca="false">IFERROR(VLOOKUP(VALUE($D76),BSPL2026!$B:$Q,16,FALSE()),0)</f>
        <v>0</v>
      </c>
      <c r="R76" s="196" t="s">
        <v>449</v>
      </c>
      <c r="S76" s="172" t="str">
        <f aca="false">IFERROR(VLOOKUP(VALUE($D76),BSPL2026!$B:$M,12,FALSE()),"")</f>
        <v>유동성이연법인세자산</v>
      </c>
      <c r="T76" s="172" t="str">
        <f aca="false">IF(OR(S76="",S76=0,LEFT(S76,5)="(원본오류"),"",IF(S76=H76,"","매핑차이"))</f>
        <v/>
      </c>
    </row>
    <row r="77" customFormat="false" ht="16.5" hidden="false" customHeight="false" outlineLevel="0" collapsed="false">
      <c r="D77" s="186" t="s">
        <v>618</v>
      </c>
      <c r="E77" s="187" t="s">
        <v>619</v>
      </c>
      <c r="F77" s="188" t="s">
        <v>446</v>
      </c>
      <c r="G77" s="189" t="s">
        <v>227</v>
      </c>
      <c r="H77" s="190" t="s">
        <v>231</v>
      </c>
      <c r="I77" s="191" t="s">
        <v>619</v>
      </c>
      <c r="J77" s="192" t="n">
        <f aca="false">IFERROR(VLOOKUP(VALUE($D77),BSPL2026!$B:$Z,25,FALSE()),0)</f>
        <v>-4287180000</v>
      </c>
      <c r="K77" s="193"/>
      <c r="L77" s="194"/>
      <c r="M77" s="192" t="n">
        <f aca="false">J77+K77-L77</f>
        <v>-4287180000</v>
      </c>
      <c r="N77" s="193" t="n">
        <f aca="false">SUMIF('statutory adj_2026 조정분개'!$S:$S,$D77,'statutory adj_2026 조정분개'!$K:$K)</f>
        <v>0</v>
      </c>
      <c r="O77" s="194" t="n">
        <f aca="false">SUMIF('statutory adj_2026 조정분개'!$S:$S,$D77,'statutory adj_2026 조정분개'!$L:$L)</f>
        <v>0</v>
      </c>
      <c r="P77" s="192" t="n">
        <f aca="false">M77+N77-O77</f>
        <v>-4287180000</v>
      </c>
      <c r="Q77" s="195" t="n">
        <f aca="false">IFERROR(VLOOKUP(VALUE($D77),BSPL2026!$B:$Q,16,FALSE()),0)</f>
        <v>-4287180000</v>
      </c>
      <c r="R77" s="196" t="s">
        <v>449</v>
      </c>
      <c r="S77" s="172" t="str">
        <f aca="false">IFERROR(VLOOKUP(VALUE($D77),BSPL2026!$B:$M,12,FALSE()),"")</f>
        <v>보통주자본금</v>
      </c>
      <c r="T77" s="172" t="str">
        <f aca="false">IF(OR(S77="",S77=0,LEFT(S77,5)="(원본오류"),"",IF(S77=H77,"","매핑차이"))</f>
        <v/>
      </c>
    </row>
    <row r="78" customFormat="false" ht="16.5" hidden="false" customHeight="false" outlineLevel="0" collapsed="false">
      <c r="D78" s="186" t="s">
        <v>620</v>
      </c>
      <c r="E78" s="187" t="s">
        <v>621</v>
      </c>
      <c r="F78" s="188" t="s">
        <v>446</v>
      </c>
      <c r="G78" s="189" t="s">
        <v>227</v>
      </c>
      <c r="H78" s="190" t="s">
        <v>235</v>
      </c>
      <c r="I78" s="191" t="s">
        <v>621</v>
      </c>
      <c r="J78" s="192" t="n">
        <f aca="false">IFERROR(VLOOKUP(VALUE($D78),BSPL2026!$B:$Z,25,FALSE()),0)</f>
        <v>-122441812567</v>
      </c>
      <c r="K78" s="193"/>
      <c r="L78" s="194"/>
      <c r="M78" s="192" t="n">
        <f aca="false">J78+K78-L78</f>
        <v>-122441812567</v>
      </c>
      <c r="N78" s="193" t="n">
        <f aca="false">SUMIF('statutory adj_2026 조정분개'!$S:$S,$D78,'statutory adj_2026 조정분개'!$K:$K)</f>
        <v>0</v>
      </c>
      <c r="O78" s="194" t="n">
        <f aca="false">SUMIF('statutory adj_2026 조정분개'!$S:$S,$D78,'statutory adj_2026 조정분개'!$L:$L)</f>
        <v>0</v>
      </c>
      <c r="P78" s="192" t="n">
        <f aca="false">M78+N78-O78</f>
        <v>-122441812567</v>
      </c>
      <c r="Q78" s="195" t="n">
        <f aca="false">IFERROR(VLOOKUP(VALUE($D78),BSPL2026!$B:$Q,16,FALSE()),0)</f>
        <v>-122441812567</v>
      </c>
      <c r="R78" s="196" t="s">
        <v>449</v>
      </c>
      <c r="S78" s="172" t="str">
        <f aca="false">IFERROR(VLOOKUP(VALUE($D78),BSPL2026!$B:$M,12,FALSE()),"")</f>
        <v>주식발행초과금</v>
      </c>
      <c r="T78" s="172" t="str">
        <f aca="false">IF(OR(S78="",S78=0,LEFT(S78,5)="(원본오류"),"",IF(S78=H78,"","매핑차이"))</f>
        <v/>
      </c>
    </row>
    <row r="79" customFormat="false" ht="16.5" hidden="false" customHeight="false" outlineLevel="0" collapsed="false">
      <c r="D79" s="186" t="s">
        <v>622</v>
      </c>
      <c r="E79" s="187" t="s">
        <v>623</v>
      </c>
      <c r="F79" s="188" t="s">
        <v>446</v>
      </c>
      <c r="G79" s="189" t="s">
        <v>227</v>
      </c>
      <c r="H79" s="190" t="s">
        <v>237</v>
      </c>
      <c r="I79" s="191" t="s">
        <v>624</v>
      </c>
      <c r="J79" s="192" t="n">
        <f aca="false">IFERROR(VLOOKUP(VALUE($D79),BSPL2026!$B:$Z,25,FALSE()),0)</f>
        <v>21035577720</v>
      </c>
      <c r="K79" s="193"/>
      <c r="L79" s="194"/>
      <c r="M79" s="192" t="n">
        <f aca="false">J79+K79-L79</f>
        <v>21035577720</v>
      </c>
      <c r="N79" s="193" t="n">
        <f aca="false">SUMIF('statutory adj_2026 조정분개'!$S:$S,$D79,'statutory adj_2026 조정분개'!$K:$K)</f>
        <v>0</v>
      </c>
      <c r="O79" s="194" t="n">
        <f aca="false">SUMIF('statutory adj_2026 조정분개'!$S:$S,$D79,'statutory adj_2026 조정분개'!$L:$L)</f>
        <v>0</v>
      </c>
      <c r="P79" s="192" t="n">
        <f aca="false">M79+N79-O79</f>
        <v>21035577720</v>
      </c>
      <c r="Q79" s="195" t="n">
        <f aca="false">IFERROR(VLOOKUP(VALUE($D79),BSPL2026!$B:$Q,16,FALSE()),0)</f>
        <v>21035577720</v>
      </c>
      <c r="R79" s="196" t="s">
        <v>449</v>
      </c>
      <c r="S79" s="172" t="str">
        <f aca="false">IFERROR(VLOOKUP(VALUE($D79),BSPL2026!$B:$M,12,FALSE()),"")</f>
        <v>기타자본잉여금</v>
      </c>
      <c r="T79" s="172" t="str">
        <f aca="false">IF(OR(S79="",S79=0,LEFT(S79,5)="(원본오류"),"",IF(S79=H79,"","매핑차이"))</f>
        <v/>
      </c>
    </row>
    <row r="80" customFormat="false" ht="16.5" hidden="false" customHeight="false" outlineLevel="0" collapsed="false">
      <c r="D80" s="186" t="s">
        <v>625</v>
      </c>
      <c r="E80" s="187" t="s">
        <v>626</v>
      </c>
      <c r="F80" s="188" t="s">
        <v>446</v>
      </c>
      <c r="G80" s="189" t="s">
        <v>227</v>
      </c>
      <c r="H80" s="190" t="s">
        <v>243</v>
      </c>
      <c r="I80" s="191" t="s">
        <v>626</v>
      </c>
      <c r="J80" s="192" t="n">
        <f aca="false">IFERROR(VLOOKUP(VALUE($D80),BSPL2026!$B:$Z,25,FALSE()),0)</f>
        <v>-2168590000</v>
      </c>
      <c r="K80" s="193"/>
      <c r="L80" s="194"/>
      <c r="M80" s="192" t="n">
        <f aca="false">J80+K80-L80</f>
        <v>-2168590000</v>
      </c>
      <c r="N80" s="193" t="n">
        <f aca="false">SUMIF('statutory adj_2026 조정분개'!$S:$S,$D80,'statutory adj_2026 조정분개'!$K:$K)</f>
        <v>0</v>
      </c>
      <c r="O80" s="194" t="n">
        <f aca="false">SUMIF('statutory adj_2026 조정분개'!$S:$S,$D80,'statutory adj_2026 조정분개'!$L:$L)</f>
        <v>0</v>
      </c>
      <c r="P80" s="192" t="n">
        <f aca="false">M80+N80-O80</f>
        <v>-2168590000</v>
      </c>
      <c r="Q80" s="195" t="n">
        <f aca="false">IFERROR(VLOOKUP(VALUE($D80),BSPL2026!$B:$Q,16,FALSE()),0)</f>
        <v>-1886200000</v>
      </c>
      <c r="R80" s="196" t="s">
        <v>449</v>
      </c>
      <c r="S80" s="172" t="str">
        <f aca="false">IFERROR(VLOOKUP(VALUE($D80),BSPL2026!$B:$M,12,FALSE()),"")</f>
        <v>이익준비금</v>
      </c>
      <c r="T80" s="172" t="str">
        <f aca="false">IF(OR(S80="",S80=0,LEFT(S80,5)="(원본오류"),"",IF(S80=H80,"","매핑차이"))</f>
        <v/>
      </c>
    </row>
    <row r="81" customFormat="false" ht="16.5" hidden="false" customHeight="false" outlineLevel="0" collapsed="false">
      <c r="D81" s="186" t="s">
        <v>627</v>
      </c>
      <c r="E81" s="187" t="s">
        <v>628</v>
      </c>
      <c r="F81" s="188" t="s">
        <v>446</v>
      </c>
      <c r="G81" s="189" t="s">
        <v>227</v>
      </c>
      <c r="H81" s="190" t="s">
        <v>248</v>
      </c>
      <c r="I81" s="191" t="s">
        <v>628</v>
      </c>
      <c r="J81" s="192" t="n">
        <f aca="false">IFERROR(VLOOKUP(VALUE($D81),BSPL2026!$B:$Z,25,FALSE()),0)</f>
        <v>-153164298682</v>
      </c>
      <c r="K81" s="193"/>
      <c r="L81" s="194"/>
      <c r="M81" s="192" t="n">
        <f aca="false">J81+K81-L81</f>
        <v>-153164298682</v>
      </c>
      <c r="N81" s="193" t="n">
        <f aca="false">SUMIF('statutory adj_2026 조정분개'!$S:$S,$D81,'statutory adj_2026 조정분개'!$K:$K)</f>
        <v>0</v>
      </c>
      <c r="O81" s="194" t="n">
        <f aca="false">SUMIF('statutory adj_2026 조정분개'!$S:$S,$D81,'statutory adj_2026 조정분개'!$L:$L)</f>
        <v>1132939917</v>
      </c>
      <c r="P81" s="192" t="n">
        <f aca="false">M81+N81-O81</f>
        <v>-154297238599</v>
      </c>
      <c r="Q81" s="195" t="n">
        <f aca="false">IFERROR(VLOOKUP(VALUE($D81),BSPL2026!$B:$Q,16,FALSE()),0)</f>
        <v>-113587447204</v>
      </c>
      <c r="R81" s="196" t="s">
        <v>449</v>
      </c>
      <c r="S81" s="172" t="str">
        <f aca="false">IFERROR(VLOOKUP(VALUE($D81),BSPL2026!$B:$M,12,FALSE()),"")</f>
        <v>이익잉여금</v>
      </c>
      <c r="T81" s="172" t="str">
        <f aca="false">IF(OR(S81="",S81=0,LEFT(S81,5)="(원본오류"),"",IF(S81=H81,"","매핑차이"))</f>
        <v/>
      </c>
    </row>
    <row r="82" customFormat="false" ht="16.5" hidden="false" customHeight="false" outlineLevel="0" collapsed="false">
      <c r="D82" s="186" t="s">
        <v>629</v>
      </c>
      <c r="E82" s="187" t="s">
        <v>630</v>
      </c>
      <c r="F82" s="188" t="s">
        <v>446</v>
      </c>
      <c r="G82" s="189" t="s">
        <v>227</v>
      </c>
      <c r="H82" s="190" t="s">
        <v>248</v>
      </c>
      <c r="I82" s="191" t="s">
        <v>630</v>
      </c>
      <c r="J82" s="192" t="n">
        <f aca="false">IFERROR(VLOOKUP(VALUE($D82),BSPL2026!$B:$Z,25,FALSE()),0)</f>
        <v>58453000000</v>
      </c>
      <c r="K82" s="193"/>
      <c r="L82" s="194"/>
      <c r="M82" s="192" t="n">
        <f aca="false">J82+K82-L82</f>
        <v>58453000000</v>
      </c>
      <c r="N82" s="193" t="n">
        <f aca="false">SUMIF('statutory adj_2026 조정분개'!$S:$S,$D82,'statutory adj_2026 조정분개'!$K:$K)</f>
        <v>0</v>
      </c>
      <c r="O82" s="194" t="n">
        <f aca="false">SUMIF('statutory adj_2026 조정분개'!$S:$S,$D82,'statutory adj_2026 조정분개'!$L:$L)</f>
        <v>0</v>
      </c>
      <c r="P82" s="192" t="n">
        <f aca="false">M82+N82-O82</f>
        <v>58453000000</v>
      </c>
      <c r="Q82" s="195" t="n">
        <f aca="false">IFERROR(VLOOKUP(VALUE($D82),BSPL2026!$B:$Q,16,FALSE()),0)</f>
        <v>6453000000</v>
      </c>
      <c r="R82" s="196" t="s">
        <v>449</v>
      </c>
      <c r="S82" s="172" t="str">
        <f aca="false">IFERROR(VLOOKUP(VALUE($D82),BSPL2026!$B:$M,12,FALSE()),"")</f>
        <v>이익잉여금</v>
      </c>
      <c r="T82" s="172" t="str">
        <f aca="false">IF(OR(S82="",S82=0,LEFT(S82,5)="(원본오류"),"",IF(S82=H82,"","매핑차이"))</f>
        <v/>
      </c>
    </row>
    <row r="83" customFormat="false" ht="16.5" hidden="false" customHeight="false" outlineLevel="0" collapsed="false">
      <c r="D83" s="186" t="s">
        <v>631</v>
      </c>
      <c r="E83" s="187" t="s">
        <v>632</v>
      </c>
      <c r="F83" s="188" t="s">
        <v>446</v>
      </c>
      <c r="G83" s="189" t="s">
        <v>227</v>
      </c>
      <c r="H83" s="190" t="s">
        <v>248</v>
      </c>
      <c r="I83" s="191" t="s">
        <v>632</v>
      </c>
      <c r="J83" s="192" t="n">
        <f aca="false">IFERROR(VLOOKUP(VALUE($D83),BSPL2026!$B:$Z,25,FALSE()),0)</f>
        <v>-2041430576</v>
      </c>
      <c r="K83" s="193"/>
      <c r="L83" s="194"/>
      <c r="M83" s="192" t="n">
        <f aca="false">J83+K83-L83</f>
        <v>-2041430576</v>
      </c>
      <c r="N83" s="193" t="n">
        <f aca="false">SUMIF('statutory adj_2026 조정분개'!$S:$S,$D83,'statutory adj_2026 조정분개'!$K:$K)</f>
        <v>0</v>
      </c>
      <c r="O83" s="194" t="n">
        <f aca="false">SUMIF('statutory adj_2026 조정분개'!$S:$S,$D83,'statutory adj_2026 조정분개'!$L:$L)</f>
        <v>0</v>
      </c>
      <c r="P83" s="192" t="n">
        <f aca="false">M83+N83-O83</f>
        <v>-2041430576</v>
      </c>
      <c r="Q83" s="195" t="n">
        <f aca="false">IFERROR(VLOOKUP(VALUE($D83),BSPL2026!$B:$Q,16,FALSE()),0)</f>
        <v>-2041430576</v>
      </c>
      <c r="R83" s="196" t="s">
        <v>449</v>
      </c>
      <c r="S83" s="172" t="str">
        <f aca="false">IFERROR(VLOOKUP(VALUE($D83),BSPL2026!$B:$M,12,FALSE()),"")</f>
        <v>이익잉여금</v>
      </c>
      <c r="T83" s="172" t="str">
        <f aca="false">IF(OR(S83="",S83=0,LEFT(S83,5)="(원본오류"),"",IF(S83=H83,"","매핑차이"))</f>
        <v/>
      </c>
    </row>
    <row r="84" customFormat="false" ht="16.5" hidden="false" customHeight="false" outlineLevel="0" collapsed="false">
      <c r="D84" s="186" t="s">
        <v>633</v>
      </c>
      <c r="E84" s="187" t="s">
        <v>634</v>
      </c>
      <c r="F84" s="188" t="s">
        <v>446</v>
      </c>
      <c r="G84" s="189" t="s">
        <v>227</v>
      </c>
      <c r="H84" s="190" t="s">
        <v>248</v>
      </c>
      <c r="I84" s="191" t="s">
        <v>634</v>
      </c>
      <c r="J84" s="192" t="n">
        <f aca="false">IFERROR(VLOOKUP(VALUE($D84),BSPL2026!$B:$Z,25,FALSE()),0)</f>
        <v>-2187462000</v>
      </c>
      <c r="K84" s="193"/>
      <c r="L84" s="194"/>
      <c r="M84" s="192" t="n">
        <f aca="false">J84+K84-L84</f>
        <v>-2187462000</v>
      </c>
      <c r="N84" s="193" t="n">
        <f aca="false">SUMIF('statutory adj_2026 조정분개'!$S:$S,$D84,'statutory adj_2026 조정분개'!$K:$K)</f>
        <v>0</v>
      </c>
      <c r="O84" s="194" t="n">
        <f aca="false">SUMIF('statutory adj_2026 조정분개'!$S:$S,$D84,'statutory adj_2026 조정분개'!$L:$L)</f>
        <v>0</v>
      </c>
      <c r="P84" s="192" t="n">
        <f aca="false">M84+N84-O84</f>
        <v>-2187462000</v>
      </c>
      <c r="Q84" s="195" t="n">
        <f aca="false">IFERROR(VLOOKUP(VALUE($D84),BSPL2026!$B:$Q,16,FALSE()),0)</f>
        <v>-2187462000</v>
      </c>
      <c r="R84" s="196" t="s">
        <v>449</v>
      </c>
      <c r="S84" s="172" t="str">
        <f aca="false">IFERROR(VLOOKUP(VALUE($D84),BSPL2026!$B:$M,12,FALSE()),"")</f>
        <v>이익잉여금</v>
      </c>
      <c r="T84" s="172" t="str">
        <f aca="false">IF(OR(S84="",S84=0,LEFT(S84,5)="(원본오류"),"",IF(S84=H84,"","매핑차이"))</f>
        <v/>
      </c>
    </row>
    <row r="85" customFormat="false" ht="16.5" hidden="false" customHeight="false" outlineLevel="0" collapsed="false">
      <c r="D85" s="186" t="s">
        <v>635</v>
      </c>
      <c r="E85" s="187" t="s">
        <v>636</v>
      </c>
      <c r="F85" s="188" t="s">
        <v>446</v>
      </c>
      <c r="G85" s="189" t="s">
        <v>227</v>
      </c>
      <c r="H85" s="190" t="s">
        <v>248</v>
      </c>
      <c r="I85" s="191" t="s">
        <v>636</v>
      </c>
      <c r="J85" s="192" t="n">
        <f aca="false">IFERROR(VLOOKUP(VALUE($D85),BSPL2026!$B:$Z,25,FALSE()),0)</f>
        <v>1258532858</v>
      </c>
      <c r="K85" s="193"/>
      <c r="L85" s="194"/>
      <c r="M85" s="192" t="n">
        <f aca="false">J85+K85-L85</f>
        <v>1258532858</v>
      </c>
      <c r="N85" s="193" t="n">
        <f aca="false">SUMIF('statutory adj_2026 조정분개'!$S:$S,$D85,'statutory adj_2026 조정분개'!$K:$K)</f>
        <v>0</v>
      </c>
      <c r="O85" s="194" t="n">
        <f aca="false">SUMIF('statutory adj_2026 조정분개'!$S:$S,$D85,'statutory adj_2026 조정분개'!$L:$L)</f>
        <v>0</v>
      </c>
      <c r="P85" s="192" t="n">
        <f aca="false">M85+N85-O85</f>
        <v>1258532858</v>
      </c>
      <c r="Q85" s="195" t="n">
        <f aca="false">IFERROR(VLOOKUP(VALUE($D85),BSPL2026!$B:$Q,16,FALSE()),0)</f>
        <v>1258532858</v>
      </c>
      <c r="R85" s="196" t="s">
        <v>449</v>
      </c>
      <c r="S85" s="172" t="str">
        <f aca="false">IFERROR(VLOOKUP(VALUE($D85),BSPL2026!$B:$M,12,FALSE()),"")</f>
        <v>이익잉여금</v>
      </c>
      <c r="T85" s="172" t="str">
        <f aca="false">IF(OR(S85="",S85=0,LEFT(S85,5)="(원본오류"),"",IF(S85=H85,"","매핑차이"))</f>
        <v/>
      </c>
    </row>
    <row r="86" customFormat="false" ht="16.5" hidden="false" customHeight="false" outlineLevel="0" collapsed="false">
      <c r="D86" s="186" t="s">
        <v>637</v>
      </c>
      <c r="E86" s="187" t="s">
        <v>638</v>
      </c>
      <c r="F86" s="188" t="s">
        <v>446</v>
      </c>
      <c r="G86" s="189" t="s">
        <v>173</v>
      </c>
      <c r="H86" s="190" t="s">
        <v>206</v>
      </c>
      <c r="I86" s="191" t="s">
        <v>639</v>
      </c>
      <c r="J86" s="192" t="n">
        <f aca="false">IFERROR(VLOOKUP(VALUE($D86),BSPL2026!$B:$Z,25,FALSE()),0)</f>
        <v>-6930294786</v>
      </c>
      <c r="K86" s="193"/>
      <c r="L86" s="194"/>
      <c r="M86" s="192" t="n">
        <f aca="false">J86+K86-L86</f>
        <v>-6930294786</v>
      </c>
      <c r="N86" s="193" t="n">
        <f aca="false">SUMIF('statutory adj_2026 조정분개'!$S:$S,$D86,'statutory adj_2026 조정분개'!$K:$K)</f>
        <v>646256500</v>
      </c>
      <c r="O86" s="194" t="n">
        <f aca="false">SUMIF('statutory adj_2026 조정분개'!$S:$S,$D86,'statutory adj_2026 조정분개'!$L:$L)</f>
        <v>0</v>
      </c>
      <c r="P86" s="192" t="n">
        <f aca="false">M86+N86-O86</f>
        <v>-6284038286</v>
      </c>
      <c r="Q86" s="195" t="n">
        <f aca="false">IFERROR(VLOOKUP(VALUE($D86),BSPL2026!$B:$Q,16,FALSE()),0)</f>
        <v>-7662339101</v>
      </c>
      <c r="R86" s="196" t="s">
        <v>449</v>
      </c>
      <c r="S86" s="172" t="str">
        <f aca="false">IFERROR(VLOOKUP(VALUE($D86),BSPL2026!$B:$M,12,FALSE()),"")</f>
        <v>반품충당금유동</v>
      </c>
      <c r="T86" s="172" t="str">
        <f aca="false">IF(OR(S86="",S86=0,LEFT(S86,5)="(원본오류"),"",IF(S86=H86,"","매핑차이"))</f>
        <v/>
      </c>
    </row>
    <row r="87" customFormat="false" ht="16.5" hidden="false" customHeight="false" outlineLevel="0" collapsed="false">
      <c r="D87" s="186" t="s">
        <v>640</v>
      </c>
      <c r="E87" s="187" t="s">
        <v>641</v>
      </c>
      <c r="F87" s="188" t="s">
        <v>446</v>
      </c>
      <c r="G87" s="189" t="s">
        <v>173</v>
      </c>
      <c r="H87" s="190" t="s">
        <v>191</v>
      </c>
      <c r="I87" s="191" t="s">
        <v>641</v>
      </c>
      <c r="J87" s="192" t="n">
        <f aca="false">IFERROR(VLOOKUP(VALUE($D87),BSPL2026!$B:$Z,25,FALSE()),0)</f>
        <v>0</v>
      </c>
      <c r="K87" s="193"/>
      <c r="L87" s="194"/>
      <c r="M87" s="192" t="n">
        <f aca="false">J87+K87-L87</f>
        <v>0</v>
      </c>
      <c r="N87" s="193" t="n">
        <f aca="false">SUMIF('statutory adj_2026 조정분개'!$S:$S,$D87,'statutory adj_2026 조정분개'!$K:$K)</f>
        <v>0</v>
      </c>
      <c r="O87" s="194" t="n">
        <f aca="false">SUMIF('statutory adj_2026 조정분개'!$S:$S,$D87,'statutory adj_2026 조정분개'!$L:$L)</f>
        <v>0</v>
      </c>
      <c r="P87" s="192" t="n">
        <f aca="false">M87+N87-O87</f>
        <v>0</v>
      </c>
      <c r="Q87" s="195" t="n">
        <f aca="false">IFERROR(VLOOKUP(VALUE($D87),BSPL2026!$B:$Q,16,FALSE()),0)</f>
        <v>0</v>
      </c>
      <c r="R87" s="196" t="s">
        <v>449</v>
      </c>
      <c r="S87" s="172" t="str">
        <f aca="false">IFERROR(VLOOKUP(VALUE($D87),BSPL2026!$B:$M,12,FALSE()),"")</f>
        <v>미지급비용</v>
      </c>
      <c r="T87" s="172" t="str">
        <f aca="false">IF(OR(S87="",S87=0,LEFT(S87,5)="(원본오류"),"",IF(S87=H87,"","매핑차이"))</f>
        <v/>
      </c>
    </row>
    <row r="88" customFormat="false" ht="16.5" hidden="false" customHeight="false" outlineLevel="0" collapsed="false">
      <c r="D88" s="186" t="s">
        <v>642</v>
      </c>
      <c r="E88" s="187" t="s">
        <v>643</v>
      </c>
      <c r="F88" s="188" t="s">
        <v>446</v>
      </c>
      <c r="G88" s="189" t="s">
        <v>173</v>
      </c>
      <c r="H88" s="190" t="s">
        <v>191</v>
      </c>
      <c r="I88" s="191" t="s">
        <v>643</v>
      </c>
      <c r="J88" s="192" t="n">
        <f aca="false">IFERROR(VLOOKUP(VALUE($D88),BSPL2026!$B:$Z,25,FALSE()),0)</f>
        <v>-4473184387</v>
      </c>
      <c r="K88" s="193"/>
      <c r="L88" s="194"/>
      <c r="M88" s="192" t="n">
        <f aca="false">J88+K88-L88</f>
        <v>-4473184387</v>
      </c>
      <c r="N88" s="193" t="n">
        <f aca="false">SUMIF('statutory adj_2026 조정분개'!$S:$S,$D88,'statutory adj_2026 조정분개'!$K:$K)</f>
        <v>0</v>
      </c>
      <c r="O88" s="194" t="n">
        <f aca="false">SUMIF('statutory adj_2026 조정분개'!$S:$S,$D88,'statutory adj_2026 조정분개'!$L:$L)</f>
        <v>0</v>
      </c>
      <c r="P88" s="192" t="n">
        <f aca="false">M88+N88-O88</f>
        <v>-4473184387</v>
      </c>
      <c r="Q88" s="195" t="n">
        <f aca="false">IFERROR(VLOOKUP(VALUE($D88),BSPL2026!$B:$Q,16,FALSE()),0)</f>
        <v>-16873571611</v>
      </c>
      <c r="R88" s="196" t="s">
        <v>449</v>
      </c>
      <c r="S88" s="172" t="str">
        <f aca="false">IFERROR(VLOOKUP(VALUE($D88),BSPL2026!$B:$M,12,FALSE()),"")</f>
        <v>미지급비용</v>
      </c>
      <c r="T88" s="172" t="str">
        <f aca="false">IF(OR(S88="",S88=0,LEFT(S88,5)="(원본오류"),"",IF(S88=H88,"","매핑차이"))</f>
        <v/>
      </c>
    </row>
    <row r="89" customFormat="false" ht="16.5" hidden="false" customHeight="false" outlineLevel="0" collapsed="false">
      <c r="D89" s="186" t="s">
        <v>644</v>
      </c>
      <c r="E89" s="187" t="s">
        <v>645</v>
      </c>
      <c r="F89" s="188" t="s">
        <v>446</v>
      </c>
      <c r="G89" s="189" t="s">
        <v>173</v>
      </c>
      <c r="H89" s="190" t="s">
        <v>191</v>
      </c>
      <c r="I89" s="191" t="s">
        <v>645</v>
      </c>
      <c r="J89" s="192" t="n">
        <f aca="false">IFERROR(VLOOKUP(VALUE($D89),BSPL2026!$B:$Z,25,FALSE()),0)</f>
        <v>-1127914767</v>
      </c>
      <c r="K89" s="193"/>
      <c r="L89" s="194"/>
      <c r="M89" s="192" t="n">
        <f aca="false">J89+K89-L89</f>
        <v>-1127914767</v>
      </c>
      <c r="N89" s="193" t="n">
        <f aca="false">SUMIF('statutory adj_2026 조정분개'!$S:$S,$D89,'statutory adj_2026 조정분개'!$K:$K)</f>
        <v>0</v>
      </c>
      <c r="O89" s="194" t="n">
        <f aca="false">SUMIF('statutory adj_2026 조정분개'!$S:$S,$D89,'statutory adj_2026 조정분개'!$L:$L)</f>
        <v>0</v>
      </c>
      <c r="P89" s="192" t="n">
        <f aca="false">M89+N89-O89</f>
        <v>-1127914767</v>
      </c>
      <c r="Q89" s="195" t="n">
        <f aca="false">IFERROR(VLOOKUP(VALUE($D89),BSPL2026!$B:$Q,16,FALSE()),0)</f>
        <v>-1200612826</v>
      </c>
      <c r="R89" s="196" t="s">
        <v>449</v>
      </c>
      <c r="S89" s="172" t="str">
        <f aca="false">IFERROR(VLOOKUP(VALUE($D89),BSPL2026!$B:$M,12,FALSE()),"")</f>
        <v>미지급비용</v>
      </c>
      <c r="T89" s="172" t="str">
        <f aca="false">IF(OR(S89="",S89=0,LEFT(S89,5)="(원본오류"),"",IF(S89=H89,"","매핑차이"))</f>
        <v/>
      </c>
    </row>
    <row r="90" customFormat="false" ht="16.5" hidden="false" customHeight="false" outlineLevel="0" collapsed="false">
      <c r="D90" s="186" t="s">
        <v>646</v>
      </c>
      <c r="E90" s="187" t="s">
        <v>647</v>
      </c>
      <c r="F90" s="188" t="s">
        <v>446</v>
      </c>
      <c r="G90" s="189" t="s">
        <v>173</v>
      </c>
      <c r="H90" s="190" t="s">
        <v>204</v>
      </c>
      <c r="I90" s="191" t="s">
        <v>647</v>
      </c>
      <c r="J90" s="192" t="n">
        <f aca="false">IFERROR(VLOOKUP(VALUE($D90),BSPL2026!$B:$Z,25,FALSE()),0)</f>
        <v>0</v>
      </c>
      <c r="K90" s="193"/>
      <c r="L90" s="194"/>
      <c r="M90" s="192" t="n">
        <f aca="false">J90+K90-L90</f>
        <v>0</v>
      </c>
      <c r="N90" s="193" t="n">
        <f aca="false">SUMIF('statutory adj_2026 조정분개'!$S:$S,$D90,'statutory adj_2026 조정분개'!$K:$K)</f>
        <v>0</v>
      </c>
      <c r="O90" s="194" t="n">
        <f aca="false">SUMIF('statutory adj_2026 조정분개'!$S:$S,$D90,'statutory adj_2026 조정분개'!$L:$L)</f>
        <v>0</v>
      </c>
      <c r="P90" s="192" t="n">
        <f aca="false">M90+N90-O90</f>
        <v>0</v>
      </c>
      <c r="Q90" s="195" t="n">
        <f aca="false">IFERROR(VLOOKUP(VALUE($D90),BSPL2026!$B:$Q,16,FALSE()),0)</f>
        <v>0</v>
      </c>
      <c r="R90" s="196" t="s">
        <v>449</v>
      </c>
      <c r="S90" s="172" t="str">
        <f aca="false">IFERROR(VLOOKUP(VALUE($D90),BSPL2026!$B:$M,12,FALSE()),"")</f>
        <v>임대보증금</v>
      </c>
      <c r="T90" s="172" t="str">
        <f aca="false">IF(OR(S90="",S90=0,LEFT(S90,5)="(원본오류"),"",IF(S90=H90,"","매핑차이"))</f>
        <v/>
      </c>
    </row>
    <row r="91" customFormat="false" ht="16.5" hidden="false" customHeight="false" outlineLevel="0" collapsed="false">
      <c r="D91" s="186" t="s">
        <v>648</v>
      </c>
      <c r="E91" s="187" t="s">
        <v>649</v>
      </c>
      <c r="F91" s="188" t="s">
        <v>446</v>
      </c>
      <c r="G91" s="189" t="s">
        <v>173</v>
      </c>
      <c r="H91" s="190" t="s">
        <v>191</v>
      </c>
      <c r="I91" s="191" t="s">
        <v>649</v>
      </c>
      <c r="J91" s="192" t="n">
        <f aca="false">IFERROR(VLOOKUP(VALUE($D91),BSPL2026!$B:$Z,25,FALSE()),0)</f>
        <v>0</v>
      </c>
      <c r="K91" s="193"/>
      <c r="L91" s="194"/>
      <c r="M91" s="192" t="n">
        <f aca="false">J91+K91-L91</f>
        <v>0</v>
      </c>
      <c r="N91" s="193" t="n">
        <f aca="false">SUMIF('statutory adj_2026 조정분개'!$S:$S,$D91,'statutory adj_2026 조정분개'!$K:$K)</f>
        <v>0</v>
      </c>
      <c r="O91" s="194" t="n">
        <f aca="false">SUMIF('statutory adj_2026 조정분개'!$S:$S,$D91,'statutory adj_2026 조정분개'!$L:$L)</f>
        <v>0</v>
      </c>
      <c r="P91" s="192" t="n">
        <f aca="false">M91+N91-O91</f>
        <v>0</v>
      </c>
      <c r="Q91" s="195" t="n">
        <f aca="false">IFERROR(VLOOKUP(VALUE($D91),BSPL2026!$B:$Q,16,FALSE()),0)</f>
        <v>4</v>
      </c>
      <c r="R91" s="196" t="s">
        <v>449</v>
      </c>
      <c r="S91" s="172" t="str">
        <f aca="false">IFERROR(VLOOKUP(VALUE($D91),BSPL2026!$B:$M,12,FALSE()),"")</f>
        <v>미지급비용</v>
      </c>
      <c r="T91" s="172" t="str">
        <f aca="false">IF(OR(S91="",S91=0,LEFT(S91,5)="(원본오류"),"",IF(S91=H91,"","매핑차이"))</f>
        <v/>
      </c>
    </row>
    <row r="92" customFormat="false" ht="16.5" hidden="false" customHeight="false" outlineLevel="0" collapsed="false">
      <c r="D92" s="186" t="s">
        <v>650</v>
      </c>
      <c r="E92" s="187" t="s">
        <v>651</v>
      </c>
      <c r="F92" s="188" t="s">
        <v>446</v>
      </c>
      <c r="G92" s="189" t="s">
        <v>173</v>
      </c>
      <c r="H92" s="190" t="s">
        <v>178</v>
      </c>
      <c r="I92" s="191" t="s">
        <v>651</v>
      </c>
      <c r="J92" s="192" t="n">
        <f aca="false">IFERROR(VLOOKUP(VALUE($D92),BSPL2026!$B:$Z,25,FALSE()),0)</f>
        <v>-2711048610</v>
      </c>
      <c r="K92" s="193"/>
      <c r="L92" s="194"/>
      <c r="M92" s="192" t="n">
        <f aca="false">J92+K92-L92</f>
        <v>-2711048610</v>
      </c>
      <c r="N92" s="193" t="n">
        <f aca="false">SUMIF('statutory adj_2026 조정분개'!$S:$S,$D92,'statutory adj_2026 조정분개'!$K:$K)</f>
        <v>0</v>
      </c>
      <c r="O92" s="194" t="n">
        <f aca="false">SUMIF('statutory adj_2026 조정분개'!$S:$S,$D92,'statutory adj_2026 조정분개'!$L:$L)</f>
        <v>0</v>
      </c>
      <c r="P92" s="192" t="n">
        <f aca="false">M92+N92-O92</f>
        <v>-2711048610</v>
      </c>
      <c r="Q92" s="195" t="n">
        <f aca="false">IFERROR(VLOOKUP(VALUE($D92),BSPL2026!$B:$Q,16,FALSE()),0)</f>
        <v>-13530627993</v>
      </c>
      <c r="R92" s="196" t="s">
        <v>449</v>
      </c>
      <c r="S92" s="172" t="str">
        <f aca="false">IFERROR(VLOOKUP(VALUE($D92),BSPL2026!$B:$M,12,FALSE()),"")</f>
        <v>매입채무</v>
      </c>
      <c r="T92" s="172" t="str">
        <f aca="false">IF(OR(S92="",S92=0,LEFT(S92,5)="(원본오류"),"",IF(S92=H92,"","매핑차이"))</f>
        <v/>
      </c>
    </row>
    <row r="93" customFormat="false" ht="16.5" hidden="false" customHeight="false" outlineLevel="0" collapsed="false">
      <c r="D93" s="186" t="s">
        <v>652</v>
      </c>
      <c r="E93" s="187" t="s">
        <v>653</v>
      </c>
      <c r="F93" s="188" t="s">
        <v>446</v>
      </c>
      <c r="G93" s="189" t="s">
        <v>173</v>
      </c>
      <c r="H93" s="190" t="s">
        <v>178</v>
      </c>
      <c r="I93" s="191" t="s">
        <v>654</v>
      </c>
      <c r="J93" s="192" t="n">
        <f aca="false">IFERROR(VLOOKUP(VALUE($D93),BSPL2026!$B:$Z,25,FALSE()),0)</f>
        <v>0</v>
      </c>
      <c r="K93" s="193"/>
      <c r="L93" s="194"/>
      <c r="M93" s="192" t="n">
        <f aca="false">J93+K93-L93</f>
        <v>0</v>
      </c>
      <c r="N93" s="193" t="n">
        <f aca="false">SUMIF('statutory adj_2026 조정분개'!$S:$S,$D93,'statutory adj_2026 조정분개'!$K:$K)</f>
        <v>0</v>
      </c>
      <c r="O93" s="194" t="n">
        <f aca="false">SUMIF('statutory adj_2026 조정분개'!$S:$S,$D93,'statutory adj_2026 조정분개'!$L:$L)</f>
        <v>0</v>
      </c>
      <c r="P93" s="192" t="n">
        <f aca="false">M93+N93-O93</f>
        <v>0</v>
      </c>
      <c r="Q93" s="195" t="n">
        <f aca="false">IFERROR(VLOOKUP(VALUE($D93),BSPL2026!$B:$Q,16,FALSE()),0)</f>
        <v>2032298</v>
      </c>
      <c r="R93" s="196" t="s">
        <v>449</v>
      </c>
      <c r="S93" s="172" t="str">
        <f aca="false">IFERROR(VLOOKUP(VALUE($D93),BSPL2026!$B:$M,12,FALSE()),"")</f>
        <v>매입채무</v>
      </c>
      <c r="T93" s="172" t="str">
        <f aca="false">IF(OR(S93="",S93=0,LEFT(S93,5)="(원본오류"),"",IF(S93=H93,"","매핑차이"))</f>
        <v/>
      </c>
    </row>
    <row r="94" customFormat="false" ht="16.5" hidden="false" customHeight="false" outlineLevel="0" collapsed="false">
      <c r="D94" s="186" t="s">
        <v>655</v>
      </c>
      <c r="E94" s="187" t="s">
        <v>656</v>
      </c>
      <c r="F94" s="188" t="s">
        <v>446</v>
      </c>
      <c r="G94" s="189" t="s">
        <v>173</v>
      </c>
      <c r="H94" s="190" t="s">
        <v>183</v>
      </c>
      <c r="I94" s="191" t="s">
        <v>656</v>
      </c>
      <c r="J94" s="192" t="n">
        <f aca="false">IFERROR(VLOOKUP(VALUE($D94),BSPL2026!$B:$Z,25,FALSE()),0)</f>
        <v>5693788</v>
      </c>
      <c r="K94" s="193"/>
      <c r="L94" s="194"/>
      <c r="M94" s="192" t="n">
        <f aca="false">J94+K94-L94</f>
        <v>5693788</v>
      </c>
      <c r="N94" s="193" t="n">
        <f aca="false">SUMIF('statutory adj_2026 조정분개'!$S:$S,$D94,'statutory adj_2026 조정분개'!$K:$K)</f>
        <v>0</v>
      </c>
      <c r="O94" s="194" t="n">
        <f aca="false">SUMIF('statutory adj_2026 조정분개'!$S:$S,$D94,'statutory adj_2026 조정분개'!$L:$L)</f>
        <v>0</v>
      </c>
      <c r="P94" s="192" t="n">
        <f aca="false">M94+N94-O94</f>
        <v>5693788</v>
      </c>
      <c r="Q94" s="195" t="n">
        <f aca="false">IFERROR(VLOOKUP(VALUE($D94),BSPL2026!$B:$Q,16,FALSE()),0)</f>
        <v>1051034</v>
      </c>
      <c r="R94" s="196" t="s">
        <v>449</v>
      </c>
      <c r="S94" s="172" t="str">
        <f aca="false">IFERROR(VLOOKUP(VALUE($D94),BSPL2026!$B:$M,12,FALSE()),"")</f>
        <v>미지급금</v>
      </c>
      <c r="T94" s="172" t="str">
        <f aca="false">IF(OR(S94="",S94=0,LEFT(S94,5)="(원본오류"),"",IF(S94=H94,"","매핑차이"))</f>
        <v/>
      </c>
    </row>
    <row r="95" customFormat="false" ht="16.5" hidden="false" customHeight="false" outlineLevel="0" collapsed="false">
      <c r="D95" s="186" t="s">
        <v>657</v>
      </c>
      <c r="E95" s="187" t="s">
        <v>658</v>
      </c>
      <c r="F95" s="188" t="s">
        <v>446</v>
      </c>
      <c r="G95" s="189" t="s">
        <v>173</v>
      </c>
      <c r="H95" s="190" t="s">
        <v>183</v>
      </c>
      <c r="I95" s="191" t="s">
        <v>658</v>
      </c>
      <c r="J95" s="192" t="n">
        <f aca="false">IFERROR(VLOOKUP(VALUE($D95),BSPL2026!$B:$Z,25,FALSE()),0)</f>
        <v>8838853</v>
      </c>
      <c r="K95" s="193"/>
      <c r="L95" s="194"/>
      <c r="M95" s="192" t="n">
        <f aca="false">J95+K95-L95</f>
        <v>8838853</v>
      </c>
      <c r="N95" s="193" t="n">
        <f aca="false">SUMIF('statutory adj_2026 조정분개'!$S:$S,$D95,'statutory adj_2026 조정분개'!$K:$K)</f>
        <v>0</v>
      </c>
      <c r="O95" s="194" t="n">
        <f aca="false">SUMIF('statutory adj_2026 조정분개'!$S:$S,$D95,'statutory adj_2026 조정분개'!$L:$L)</f>
        <v>0</v>
      </c>
      <c r="P95" s="192" t="n">
        <f aca="false">M95+N95-O95</f>
        <v>8838853</v>
      </c>
      <c r="Q95" s="195" t="n">
        <f aca="false">IFERROR(VLOOKUP(VALUE($D95),BSPL2026!$B:$Q,16,FALSE()),0)</f>
        <v>0</v>
      </c>
      <c r="R95" s="196" t="s">
        <v>449</v>
      </c>
      <c r="S95" s="172" t="str">
        <f aca="false">IFERROR(VLOOKUP(VALUE($D95),BSPL2026!$B:$M,12,FALSE()),"")</f>
        <v>미지급금</v>
      </c>
      <c r="T95" s="172" t="str">
        <f aca="false">IF(OR(S95="",S95=0,LEFT(S95,5)="(원본오류"),"",IF(S95=H95,"","매핑차이"))</f>
        <v/>
      </c>
    </row>
    <row r="96" customFormat="false" ht="16.5" hidden="false" customHeight="false" outlineLevel="0" collapsed="false">
      <c r="D96" s="186" t="s">
        <v>659</v>
      </c>
      <c r="E96" s="187" t="s">
        <v>660</v>
      </c>
      <c r="F96" s="188" t="s">
        <v>446</v>
      </c>
      <c r="G96" s="189" t="s">
        <v>173</v>
      </c>
      <c r="H96" s="190" t="s">
        <v>183</v>
      </c>
      <c r="I96" s="191" t="s">
        <v>660</v>
      </c>
      <c r="J96" s="192" t="n">
        <f aca="false">IFERROR(VLOOKUP(VALUE($D96),BSPL2026!$B:$Z,25,FALSE()),0)</f>
        <v>0</v>
      </c>
      <c r="K96" s="193"/>
      <c r="L96" s="194"/>
      <c r="M96" s="192" t="n">
        <f aca="false">J96+K96-L96</f>
        <v>0</v>
      </c>
      <c r="N96" s="193" t="n">
        <f aca="false">SUMIF('statutory adj_2026 조정분개'!$S:$S,$D96,'statutory adj_2026 조정분개'!$K:$K)</f>
        <v>0</v>
      </c>
      <c r="O96" s="194" t="n">
        <f aca="false">SUMIF('statutory adj_2026 조정분개'!$S:$S,$D96,'statutory adj_2026 조정분개'!$L:$L)</f>
        <v>0</v>
      </c>
      <c r="P96" s="192" t="n">
        <f aca="false">M96+N96-O96</f>
        <v>0</v>
      </c>
      <c r="Q96" s="195" t="n">
        <f aca="false">IFERROR(VLOOKUP(VALUE($D96),BSPL2026!$B:$Q,16,FALSE()),0)</f>
        <v>-21174</v>
      </c>
      <c r="R96" s="196" t="s">
        <v>449</v>
      </c>
      <c r="S96" s="172" t="str">
        <f aca="false">IFERROR(VLOOKUP(VALUE($D96),BSPL2026!$B:$M,12,FALSE()),"")</f>
        <v>미지급금</v>
      </c>
      <c r="T96" s="172" t="str">
        <f aca="false">IF(OR(S96="",S96=0,LEFT(S96,5)="(원본오류"),"",IF(S96=H96,"","매핑차이"))</f>
        <v/>
      </c>
    </row>
    <row r="97" customFormat="false" ht="16.5" hidden="false" customHeight="false" outlineLevel="0" collapsed="false">
      <c r="D97" s="186" t="s">
        <v>661</v>
      </c>
      <c r="E97" s="187" t="s">
        <v>662</v>
      </c>
      <c r="F97" s="188" t="s">
        <v>446</v>
      </c>
      <c r="G97" s="189" t="s">
        <v>173</v>
      </c>
      <c r="H97" s="190" t="s">
        <v>183</v>
      </c>
      <c r="I97" s="191" t="s">
        <v>662</v>
      </c>
      <c r="J97" s="192" t="n">
        <f aca="false">IFERROR(VLOOKUP(VALUE($D97),BSPL2026!$B:$Z,25,FALSE()),0)</f>
        <v>-7686947311</v>
      </c>
      <c r="K97" s="193"/>
      <c r="L97" s="194"/>
      <c r="M97" s="192" t="n">
        <f aca="false">J97+K97-L97</f>
        <v>-7686947311</v>
      </c>
      <c r="N97" s="193" t="n">
        <f aca="false">SUMIF('statutory adj_2026 조정분개'!$S:$S,$D97,'statutory adj_2026 조정분개'!$K:$K)</f>
        <v>612260090</v>
      </c>
      <c r="O97" s="194" t="n">
        <f aca="false">SUMIF('statutory adj_2026 조정분개'!$S:$S,$D97,'statutory adj_2026 조정분개'!$L:$L)</f>
        <v>0</v>
      </c>
      <c r="P97" s="192" t="n">
        <f aca="false">M97+N97-O97</f>
        <v>-7074687221</v>
      </c>
      <c r="Q97" s="195" t="n">
        <f aca="false">IFERROR(VLOOKUP(VALUE($D97),BSPL2026!$B:$Q,16,FALSE()),0)</f>
        <v>-12776261877</v>
      </c>
      <c r="R97" s="196" t="s">
        <v>449</v>
      </c>
      <c r="S97" s="172" t="str">
        <f aca="false">IFERROR(VLOOKUP(VALUE($D97),BSPL2026!$B:$M,12,FALSE()),"")</f>
        <v>미지급금</v>
      </c>
      <c r="T97" s="172" t="str">
        <f aca="false">IF(OR(S97="",S97=0,LEFT(S97,5)="(원본오류"),"",IF(S97=H97,"","매핑차이"))</f>
        <v/>
      </c>
    </row>
    <row r="98" customFormat="false" ht="16.5" hidden="false" customHeight="false" outlineLevel="0" collapsed="false">
      <c r="D98" s="186" t="s">
        <v>663</v>
      </c>
      <c r="E98" s="187" t="s">
        <v>664</v>
      </c>
      <c r="F98" s="188" t="s">
        <v>446</v>
      </c>
      <c r="G98" s="189" t="s">
        <v>173</v>
      </c>
      <c r="H98" s="190" t="s">
        <v>191</v>
      </c>
      <c r="I98" s="191" t="s">
        <v>665</v>
      </c>
      <c r="J98" s="192" t="n">
        <f aca="false">IFERROR(VLOOKUP(VALUE($D98),BSPL2026!$B:$Z,25,FALSE()),0)</f>
        <v>-13141943761</v>
      </c>
      <c r="K98" s="193"/>
      <c r="L98" s="194"/>
      <c r="M98" s="192" t="n">
        <f aca="false">J98+K98-L98</f>
        <v>-13141943761</v>
      </c>
      <c r="N98" s="193" t="n">
        <f aca="false">SUMIF('statutory adj_2026 조정분개'!$S:$S,$D98,'statutory adj_2026 조정분개'!$K:$K)</f>
        <v>0</v>
      </c>
      <c r="O98" s="194" t="n">
        <f aca="false">SUMIF('statutory adj_2026 조정분개'!$S:$S,$D98,'statutory adj_2026 조정분개'!$L:$L)</f>
        <v>0</v>
      </c>
      <c r="P98" s="192" t="n">
        <f aca="false">M98+N98-O98</f>
        <v>-13141943761</v>
      </c>
      <c r="Q98" s="195" t="n">
        <f aca="false">IFERROR(VLOOKUP(VALUE($D98),BSPL2026!$B:$Q,16,FALSE()),0)</f>
        <v>0</v>
      </c>
      <c r="R98" s="196" t="s">
        <v>449</v>
      </c>
      <c r="S98" s="172" t="str">
        <f aca="false">IFERROR(VLOOKUP(VALUE($D98),BSPL2026!$B:$M,12,FALSE()),"")</f>
        <v>미지급비용</v>
      </c>
      <c r="T98" s="172" t="str">
        <f aca="false">IF(OR(S98="",S98=0,LEFT(S98,5)="(원본오류"),"",IF(S98=H98,"","매핑차이"))</f>
        <v/>
      </c>
    </row>
    <row r="99" customFormat="false" ht="16.5" hidden="false" customHeight="false" outlineLevel="0" collapsed="false">
      <c r="D99" s="186" t="s">
        <v>666</v>
      </c>
      <c r="E99" s="187" t="s">
        <v>667</v>
      </c>
      <c r="F99" s="188" t="s">
        <v>446</v>
      </c>
      <c r="G99" s="189" t="s">
        <v>173</v>
      </c>
      <c r="H99" s="190" t="s">
        <v>191</v>
      </c>
      <c r="I99" s="191" t="s">
        <v>667</v>
      </c>
      <c r="J99" s="192" t="n">
        <f aca="false">IFERROR(VLOOKUP(VALUE($D99),BSPL2026!$B:$Z,25,FALSE()),0)</f>
        <v>-1794368419</v>
      </c>
      <c r="K99" s="193"/>
      <c r="L99" s="194"/>
      <c r="M99" s="192" t="n">
        <f aca="false">J99+K99-L99</f>
        <v>-1794368419</v>
      </c>
      <c r="N99" s="193" t="n">
        <f aca="false">SUMIF('statutory adj_2026 조정분개'!$S:$S,$D99,'statutory adj_2026 조정분개'!$K:$K)</f>
        <v>0</v>
      </c>
      <c r="O99" s="194" t="n">
        <f aca="false">SUMIF('statutory adj_2026 조정분개'!$S:$S,$D99,'statutory adj_2026 조정분개'!$L:$L)</f>
        <v>0</v>
      </c>
      <c r="P99" s="192" t="n">
        <f aca="false">M99+N99-O99</f>
        <v>-1794368419</v>
      </c>
      <c r="Q99" s="195" t="n">
        <f aca="false">IFERROR(VLOOKUP(VALUE($D99),BSPL2026!$B:$Q,16,FALSE()),0)</f>
        <v>-210450356</v>
      </c>
      <c r="R99" s="196" t="s">
        <v>449</v>
      </c>
      <c r="S99" s="172" t="str">
        <f aca="false">IFERROR(VLOOKUP(VALUE($D99),BSPL2026!$B:$M,12,FALSE()),"")</f>
        <v>미지급비용</v>
      </c>
      <c r="T99" s="172" t="str">
        <f aca="false">IF(OR(S99="",S99=0,LEFT(S99,5)="(원본오류"),"",IF(S99=H99,"","매핑차이"))</f>
        <v/>
      </c>
    </row>
    <row r="100" customFormat="false" ht="16.5" hidden="false" customHeight="false" outlineLevel="0" collapsed="false">
      <c r="D100" s="186" t="s">
        <v>668</v>
      </c>
      <c r="E100" s="187" t="s">
        <v>669</v>
      </c>
      <c r="F100" s="188" t="s">
        <v>446</v>
      </c>
      <c r="G100" s="189" t="s">
        <v>173</v>
      </c>
      <c r="H100" s="190" t="s">
        <v>178</v>
      </c>
      <c r="I100" s="191" t="s">
        <v>669</v>
      </c>
      <c r="J100" s="192" t="n">
        <f aca="false">IFERROR(VLOOKUP(VALUE($D100),BSPL2026!$B:$Z,25,FALSE()),0)</f>
        <v>-8609260</v>
      </c>
      <c r="K100" s="193"/>
      <c r="L100" s="194"/>
      <c r="M100" s="192" t="n">
        <f aca="false">J100+K100-L100</f>
        <v>-8609260</v>
      </c>
      <c r="N100" s="193" t="n">
        <f aca="false">SUMIF('statutory adj_2026 조정분개'!$S:$S,$D100,'statutory adj_2026 조정분개'!$K:$K)</f>
        <v>0</v>
      </c>
      <c r="O100" s="194" t="n">
        <f aca="false">SUMIF('statutory adj_2026 조정분개'!$S:$S,$D100,'statutory adj_2026 조정분개'!$L:$L)</f>
        <v>0</v>
      </c>
      <c r="P100" s="192" t="n">
        <f aca="false">M100+N100-O100</f>
        <v>-8609260</v>
      </c>
      <c r="Q100" s="195" t="n">
        <f aca="false">IFERROR(VLOOKUP(VALUE($D100),BSPL2026!$B:$Q,16,FALSE()),0)</f>
        <v>0</v>
      </c>
      <c r="R100" s="196" t="s">
        <v>449</v>
      </c>
      <c r="S100" s="172" t="str">
        <f aca="false">IFERROR(VLOOKUP(VALUE($D100),BSPL2026!$B:$M,12,FALSE()),"")</f>
        <v>매입채무</v>
      </c>
      <c r="T100" s="172" t="str">
        <f aca="false">IF(OR(S100="",S100=0,LEFT(S100,5)="(원본오류"),"",IF(S100=H100,"","매핑차이"))</f>
        <v/>
      </c>
    </row>
    <row r="101" customFormat="false" ht="16.5" hidden="false" customHeight="false" outlineLevel="0" collapsed="false">
      <c r="D101" s="186" t="s">
        <v>670</v>
      </c>
      <c r="E101" s="187" t="s">
        <v>671</v>
      </c>
      <c r="F101" s="188" t="s">
        <v>446</v>
      </c>
      <c r="G101" s="189" t="s">
        <v>173</v>
      </c>
      <c r="H101" s="190" t="s">
        <v>178</v>
      </c>
      <c r="I101" s="191" t="s">
        <v>671</v>
      </c>
      <c r="J101" s="192" t="n">
        <f aca="false">IFERROR(VLOOKUP(VALUE($D101),BSPL2026!$B:$Z,25,FALSE()),0)</f>
        <v>-87544156013</v>
      </c>
      <c r="K101" s="193"/>
      <c r="L101" s="194"/>
      <c r="M101" s="192" t="n">
        <f aca="false">J101+K101-L101</f>
        <v>-87544156013</v>
      </c>
      <c r="N101" s="193" t="n">
        <f aca="false">SUMIF('statutory adj_2026 조정분개'!$S:$S,$D101,'statutory adj_2026 조정분개'!$K:$K)</f>
        <v>0</v>
      </c>
      <c r="O101" s="194" t="n">
        <f aca="false">SUMIF('statutory adj_2026 조정분개'!$S:$S,$D101,'statutory adj_2026 조정분개'!$L:$L)</f>
        <v>0</v>
      </c>
      <c r="P101" s="192" t="n">
        <f aca="false">M101+N101-O101</f>
        <v>-87544156013</v>
      </c>
      <c r="Q101" s="195" t="n">
        <f aca="false">IFERROR(VLOOKUP(VALUE($D101),BSPL2026!$B:$Q,16,FALSE()),0)</f>
        <v>0</v>
      </c>
      <c r="R101" s="196" t="s">
        <v>449</v>
      </c>
      <c r="S101" s="172" t="str">
        <f aca="false">IFERROR(VLOOKUP(VALUE($D101),BSPL2026!$B:$M,12,FALSE()),"")</f>
        <v>매입채무</v>
      </c>
      <c r="T101" s="172" t="str">
        <f aca="false">IF(OR(S101="",S101=0,LEFT(S101,5)="(원본오류"),"",IF(S101=H101,"","매핑차이"))</f>
        <v/>
      </c>
    </row>
    <row r="102" customFormat="false" ht="16.5" hidden="false" customHeight="false" outlineLevel="0" collapsed="false">
      <c r="D102" s="186" t="s">
        <v>672</v>
      </c>
      <c r="E102" s="187" t="s">
        <v>673</v>
      </c>
      <c r="F102" s="188" t="s">
        <v>446</v>
      </c>
      <c r="G102" s="189" t="s">
        <v>173</v>
      </c>
      <c r="H102" s="190" t="s">
        <v>178</v>
      </c>
      <c r="I102" s="191" t="s">
        <v>673</v>
      </c>
      <c r="J102" s="192" t="n">
        <f aca="false">IFERROR(VLOOKUP(VALUE($D102),BSPL2026!$B:$Z,25,FALSE()),0)</f>
        <v>0</v>
      </c>
      <c r="K102" s="193"/>
      <c r="L102" s="194"/>
      <c r="M102" s="192" t="n">
        <f aca="false">J102+K102-L102</f>
        <v>0</v>
      </c>
      <c r="N102" s="193" t="n">
        <f aca="false">SUMIF('statutory adj_2026 조정분개'!$S:$S,$D102,'statutory adj_2026 조정분개'!$K:$K)</f>
        <v>0</v>
      </c>
      <c r="O102" s="194" t="n">
        <f aca="false">SUMIF('statutory adj_2026 조정분개'!$S:$S,$D102,'statutory adj_2026 조정분개'!$L:$L)</f>
        <v>0</v>
      </c>
      <c r="P102" s="192" t="n">
        <f aca="false">M102+N102-O102</f>
        <v>0</v>
      </c>
      <c r="Q102" s="195" t="n">
        <f aca="false">IFERROR(VLOOKUP(VALUE($D102),BSPL2026!$B:$Q,16,FALSE()),0)</f>
        <v>0</v>
      </c>
      <c r="R102" s="196" t="s">
        <v>449</v>
      </c>
      <c r="S102" s="172" t="str">
        <f aca="false">IFERROR(VLOOKUP(VALUE($D102),BSPL2026!$B:$M,12,FALSE()),"")</f>
        <v>매입채무</v>
      </c>
      <c r="T102" s="172" t="str">
        <f aca="false">IF(OR(S102="",S102=0,LEFT(S102,5)="(원본오류"),"",IF(S102=H102,"","매핑차이"))</f>
        <v/>
      </c>
    </row>
    <row r="103" customFormat="false" ht="16.5" hidden="false" customHeight="false" outlineLevel="0" collapsed="false">
      <c r="D103" s="186" t="s">
        <v>674</v>
      </c>
      <c r="E103" s="187" t="s">
        <v>675</v>
      </c>
      <c r="F103" s="188" t="s">
        <v>446</v>
      </c>
      <c r="G103" s="189" t="s">
        <v>676</v>
      </c>
      <c r="H103" s="190" t="s">
        <v>676</v>
      </c>
      <c r="I103" s="191" t="s">
        <v>675</v>
      </c>
      <c r="J103" s="192" t="n">
        <f aca="false">IFERROR(VLOOKUP(VALUE($D103),BSPL2026!$B:$Z,25,FALSE()),0)</f>
        <v>17852337563</v>
      </c>
      <c r="K103" s="193"/>
      <c r="L103" s="194"/>
      <c r="M103" s="192" t="n">
        <f aca="false">J103+K103-L103</f>
        <v>17852337563</v>
      </c>
      <c r="N103" s="193" t="n">
        <f aca="false">SUMIF('statutory adj_2026 조정분개'!$S:$S,$D103,'statutory adj_2026 조정분개'!$K:$K)</f>
        <v>0</v>
      </c>
      <c r="O103" s="194" t="n">
        <f aca="false">SUMIF('statutory adj_2026 조정분개'!$S:$S,$D103,'statutory adj_2026 조정분개'!$L:$L)</f>
        <v>0</v>
      </c>
      <c r="P103" s="192" t="n">
        <f aca="false">M103+N103-O103</f>
        <v>17852337563</v>
      </c>
      <c r="Q103" s="195" t="n">
        <f aca="false">IFERROR(VLOOKUP(VALUE($D103),BSPL2026!$B:$Q,16,FALSE()),0)</f>
        <v>20691651164</v>
      </c>
      <c r="R103" s="196" t="s">
        <v>449</v>
      </c>
      <c r="S103" s="172" t="str">
        <f aca="false">IFERROR(VLOOKUP(VALUE($D103),BSPL2026!$B:$M,12,FALSE()),"")</f>
        <v>가계정</v>
      </c>
      <c r="T103" s="172" t="str">
        <f aca="false">IF(OR(S103="",S103=0,LEFT(S103,5)="(원본오류"),"",IF(S103=H103,"","매핑차이"))</f>
        <v/>
      </c>
    </row>
    <row r="104" customFormat="false" ht="16.5" hidden="false" customHeight="false" outlineLevel="0" collapsed="false">
      <c r="D104" s="186" t="s">
        <v>677</v>
      </c>
      <c r="E104" s="187" t="s">
        <v>678</v>
      </c>
      <c r="F104" s="188" t="s">
        <v>446</v>
      </c>
      <c r="G104" s="189" t="s">
        <v>447</v>
      </c>
      <c r="H104" s="190" t="s">
        <v>94</v>
      </c>
      <c r="I104" s="191" t="s">
        <v>678</v>
      </c>
      <c r="J104" s="192" t="n">
        <f aca="false">IFERROR(VLOOKUP(VALUE($D104),BSPL2026!$B:$Z,25,FALSE()),0)</f>
        <v>17852337563</v>
      </c>
      <c r="K104" s="193"/>
      <c r="L104" s="194"/>
      <c r="M104" s="192" t="n">
        <f aca="false">J104+K104-L104</f>
        <v>17852337563</v>
      </c>
      <c r="N104" s="193" t="n">
        <f aca="false">SUMIF('statutory adj_2026 조정분개'!$S:$S,$D104,'statutory adj_2026 조정분개'!$K:$K)</f>
        <v>0</v>
      </c>
      <c r="O104" s="194" t="n">
        <f aca="false">SUMIF('statutory adj_2026 조정분개'!$S:$S,$D104,'statutory adj_2026 조정분개'!$L:$L)</f>
        <v>0</v>
      </c>
      <c r="P104" s="192" t="n">
        <f aca="false">M104+N104-O104</f>
        <v>17852337563</v>
      </c>
      <c r="Q104" s="195" t="n">
        <f aca="false">IFERROR(VLOOKUP(VALUE($D104),BSPL2026!$B:$Q,16,FALSE()),0)</f>
        <v>20691651164</v>
      </c>
      <c r="R104" s="196" t="s">
        <v>449</v>
      </c>
      <c r="S104" s="172" t="str">
        <f aca="false">IFERROR(VLOOKUP(VALUE($D104),BSPL2026!$B:$M,12,FALSE()),"")</f>
        <v>미착품</v>
      </c>
      <c r="T104" s="172" t="str">
        <f aca="false">IF(OR(S104="",S104=0,LEFT(S104,5)="(원본오류"),"",IF(S104=H104,"","매핑차이"))</f>
        <v/>
      </c>
    </row>
    <row r="105" customFormat="false" ht="16.5" hidden="false" customHeight="false" outlineLevel="0" collapsed="false">
      <c r="D105" s="186" t="s">
        <v>679</v>
      </c>
      <c r="E105" s="187" t="s">
        <v>680</v>
      </c>
      <c r="F105" s="188" t="s">
        <v>446</v>
      </c>
      <c r="G105" s="189" t="s">
        <v>173</v>
      </c>
      <c r="H105" s="190" t="s">
        <v>178</v>
      </c>
      <c r="I105" s="191" t="s">
        <v>680</v>
      </c>
      <c r="J105" s="192" t="n">
        <f aca="false">IFERROR(VLOOKUP(VALUE($D105),BSPL2026!$B:$Z,25,FALSE()),0)</f>
        <v>-360236150</v>
      </c>
      <c r="K105" s="193"/>
      <c r="L105" s="194"/>
      <c r="M105" s="192" t="n">
        <f aca="false">J105+K105-L105</f>
        <v>-360236150</v>
      </c>
      <c r="N105" s="193" t="n">
        <f aca="false">SUMIF('statutory adj_2026 조정분개'!$S:$S,$D105,'statutory adj_2026 조정분개'!$K:$K)</f>
        <v>0</v>
      </c>
      <c r="O105" s="194" t="n">
        <f aca="false">SUMIF('statutory adj_2026 조정분개'!$S:$S,$D105,'statutory adj_2026 조정분개'!$L:$L)</f>
        <v>0</v>
      </c>
      <c r="P105" s="192" t="n">
        <f aca="false">M105+N105-O105</f>
        <v>-360236150</v>
      </c>
      <c r="Q105" s="195" t="n">
        <f aca="false">IFERROR(VLOOKUP(VALUE($D105),BSPL2026!$B:$Q,16,FALSE()),0)</f>
        <v>-1386404</v>
      </c>
      <c r="R105" s="196" t="s">
        <v>449</v>
      </c>
      <c r="S105" s="172" t="str">
        <f aca="false">IFERROR(VLOOKUP(VALUE($D105),BSPL2026!$B:$M,12,FALSE()),"")</f>
        <v>매입채무</v>
      </c>
      <c r="T105" s="172" t="str">
        <f aca="false">IF(OR(S105="",S105=0,LEFT(S105,5)="(원본오류"),"",IF(S105=H105,"","매핑차이"))</f>
        <v/>
      </c>
    </row>
    <row r="106" customFormat="false" ht="16.5" hidden="false" customHeight="false" outlineLevel="0" collapsed="false">
      <c r="D106" s="186" t="s">
        <v>681</v>
      </c>
      <c r="E106" s="187" t="s">
        <v>682</v>
      </c>
      <c r="F106" s="188" t="s">
        <v>446</v>
      </c>
      <c r="G106" s="189" t="s">
        <v>676</v>
      </c>
      <c r="H106" s="190" t="s">
        <v>676</v>
      </c>
      <c r="I106" s="191" t="s">
        <v>682</v>
      </c>
      <c r="J106" s="192" t="n">
        <f aca="false">IFERROR(VLOOKUP(VALUE($D106),BSPL2026!$B:$Z,25,FALSE()),0)</f>
        <v>-17492101413</v>
      </c>
      <c r="K106" s="193"/>
      <c r="L106" s="194"/>
      <c r="M106" s="192" t="n">
        <f aca="false">J106+K106-L106</f>
        <v>-17492101413</v>
      </c>
      <c r="N106" s="193" t="n">
        <f aca="false">SUMIF('statutory adj_2026 조정분개'!$S:$S,$D106,'statutory adj_2026 조정분개'!$K:$K)</f>
        <v>0</v>
      </c>
      <c r="O106" s="194" t="n">
        <f aca="false">SUMIF('statutory adj_2026 조정분개'!$S:$S,$D106,'statutory adj_2026 조정분개'!$L:$L)</f>
        <v>0</v>
      </c>
      <c r="P106" s="192" t="n">
        <f aca="false">M106+N106-O106</f>
        <v>-17492101413</v>
      </c>
      <c r="Q106" s="195" t="n">
        <f aca="false">IFERROR(VLOOKUP(VALUE($D106),BSPL2026!$B:$Q,16,FALSE()),0)</f>
        <v>-20690264760</v>
      </c>
      <c r="R106" s="196" t="s">
        <v>449</v>
      </c>
      <c r="S106" s="172" t="str">
        <f aca="false">IFERROR(VLOOKUP(VALUE($D106),BSPL2026!$B:$M,12,FALSE()),"")</f>
        <v>가계정</v>
      </c>
      <c r="T106" s="172" t="str">
        <f aca="false">IF(OR(S106="",S106=0,LEFT(S106,5)="(원본오류"),"",IF(S106=H106,"","매핑차이"))</f>
        <v/>
      </c>
    </row>
    <row r="107" customFormat="false" ht="16.5" hidden="false" customHeight="false" outlineLevel="0" collapsed="false">
      <c r="D107" s="186" t="s">
        <v>683</v>
      </c>
      <c r="E107" s="187" t="s">
        <v>684</v>
      </c>
      <c r="F107" s="188" t="s">
        <v>446</v>
      </c>
      <c r="G107" s="189" t="s">
        <v>676</v>
      </c>
      <c r="H107" s="190" t="s">
        <v>676</v>
      </c>
      <c r="I107" s="191" t="s">
        <v>684</v>
      </c>
      <c r="J107" s="192" t="n">
        <f aca="false">IFERROR(VLOOKUP(VALUE($D107),BSPL2026!$B:$Z,25,FALSE()),0)</f>
        <v>-360236150</v>
      </c>
      <c r="K107" s="193"/>
      <c r="L107" s="194"/>
      <c r="M107" s="192" t="n">
        <f aca="false">J107+K107-L107</f>
        <v>-360236150</v>
      </c>
      <c r="N107" s="193" t="n">
        <f aca="false">SUMIF('statutory adj_2026 조정분개'!$S:$S,$D107,'statutory adj_2026 조정분개'!$K:$K)</f>
        <v>0</v>
      </c>
      <c r="O107" s="194" t="n">
        <f aca="false">SUMIF('statutory adj_2026 조정분개'!$S:$S,$D107,'statutory adj_2026 조정분개'!$L:$L)</f>
        <v>0</v>
      </c>
      <c r="P107" s="192" t="n">
        <f aca="false">M107+N107-O107</f>
        <v>-360236150</v>
      </c>
      <c r="Q107" s="195" t="n">
        <f aca="false">IFERROR(VLOOKUP(VALUE($D107),BSPL2026!$B:$Q,16,FALSE()),0)</f>
        <v>-1149824</v>
      </c>
      <c r="R107" s="196" t="s">
        <v>449</v>
      </c>
      <c r="S107" s="172" t="str">
        <f aca="false">IFERROR(VLOOKUP(VALUE($D107),BSPL2026!$B:$M,12,FALSE()),"")</f>
        <v>가계정</v>
      </c>
      <c r="T107" s="172" t="str">
        <f aca="false">IF(OR(S107="",S107=0,LEFT(S107,5)="(원본오류"),"",IF(S107=H107,"","매핑차이"))</f>
        <v/>
      </c>
    </row>
    <row r="108" customFormat="false" ht="16.5" hidden="false" customHeight="false" outlineLevel="0" collapsed="false">
      <c r="D108" s="186" t="s">
        <v>685</v>
      </c>
      <c r="E108" s="187" t="s">
        <v>686</v>
      </c>
      <c r="F108" s="188" t="s">
        <v>446</v>
      </c>
      <c r="G108" s="189" t="s">
        <v>676</v>
      </c>
      <c r="H108" s="190" t="s">
        <v>676</v>
      </c>
      <c r="I108" s="191" t="s">
        <v>686</v>
      </c>
      <c r="J108" s="192" t="n">
        <f aca="false">IFERROR(VLOOKUP(VALUE($D108),BSPL2026!$B:$Z,25,FALSE()),0)</f>
        <v>-1864310651</v>
      </c>
      <c r="K108" s="193"/>
      <c r="L108" s="194"/>
      <c r="M108" s="192" t="n">
        <f aca="false">J108+K108-L108</f>
        <v>-1864310651</v>
      </c>
      <c r="N108" s="193" t="n">
        <f aca="false">SUMIF('statutory adj_2026 조정분개'!$S:$S,$D108,'statutory adj_2026 조정분개'!$K:$K)</f>
        <v>0</v>
      </c>
      <c r="O108" s="194" t="n">
        <f aca="false">SUMIF('statutory adj_2026 조정분개'!$S:$S,$D108,'statutory adj_2026 조정분개'!$L:$L)</f>
        <v>0</v>
      </c>
      <c r="P108" s="192" t="n">
        <f aca="false">M108+N108-O108</f>
        <v>-1864310651</v>
      </c>
      <c r="Q108" s="195" t="n">
        <f aca="false">IFERROR(VLOOKUP(VALUE($D108),BSPL2026!$B:$Q,16,FALSE()),0)</f>
        <v>-1871052780</v>
      </c>
      <c r="R108" s="196" t="s">
        <v>449</v>
      </c>
      <c r="S108" s="172" t="str">
        <f aca="false">IFERROR(VLOOKUP(VALUE($D108),BSPL2026!$B:$M,12,FALSE()),"")</f>
        <v>가계정</v>
      </c>
      <c r="T108" s="172" t="str">
        <f aca="false">IF(OR(S108="",S108=0,LEFT(S108,5)="(원본오류"),"",IF(S108=H108,"","매핑차이"))</f>
        <v/>
      </c>
    </row>
    <row r="109" customFormat="false" ht="16.5" hidden="false" customHeight="false" outlineLevel="0" collapsed="false">
      <c r="D109" s="186" t="s">
        <v>687</v>
      </c>
      <c r="E109" s="187" t="s">
        <v>688</v>
      </c>
      <c r="F109" s="188" t="s">
        <v>446</v>
      </c>
      <c r="G109" s="189" t="s">
        <v>447</v>
      </c>
      <c r="H109" s="190" t="s">
        <v>50</v>
      </c>
      <c r="I109" s="191" t="s">
        <v>688</v>
      </c>
      <c r="J109" s="192" t="n">
        <f aca="false">IFERROR(VLOOKUP(VALUE($D109),BSPL2026!$B:$Z,25,FALSE()),0)</f>
        <v>-65382929</v>
      </c>
      <c r="K109" s="193"/>
      <c r="L109" s="194"/>
      <c r="M109" s="192" t="n">
        <f aca="false">J109+K109-L109</f>
        <v>-65382929</v>
      </c>
      <c r="N109" s="193" t="n">
        <f aca="false">SUMIF('statutory adj_2026 조정분개'!$S:$S,$D109,'statutory adj_2026 조정분개'!$K:$K)</f>
        <v>0</v>
      </c>
      <c r="O109" s="194" t="n">
        <f aca="false">SUMIF('statutory adj_2026 조정분개'!$S:$S,$D109,'statutory adj_2026 조정분개'!$L:$L)</f>
        <v>0</v>
      </c>
      <c r="P109" s="192" t="n">
        <f aca="false">M109+N109-O109</f>
        <v>-65382929</v>
      </c>
      <c r="Q109" s="195" t="n">
        <f aca="false">IFERROR(VLOOKUP(VALUE($D109),BSPL2026!$B:$Q,16,FALSE()),0)</f>
        <v>46265404</v>
      </c>
      <c r="R109" s="196" t="s">
        <v>449</v>
      </c>
      <c r="S109" s="172" t="str">
        <f aca="false">IFERROR(VLOOKUP(VALUE($D109),BSPL2026!$B:$M,12,FALSE()),"")</f>
        <v>선급금</v>
      </c>
      <c r="T109" s="172" t="str">
        <f aca="false">IF(OR(S109="",S109=0,LEFT(S109,5)="(원본오류"),"",IF(S109=H109,"","매핑차이"))</f>
        <v/>
      </c>
    </row>
    <row r="110" customFormat="false" ht="16.5" hidden="false" customHeight="false" outlineLevel="0" collapsed="false">
      <c r="D110" s="186" t="s">
        <v>689</v>
      </c>
      <c r="E110" s="187" t="s">
        <v>690</v>
      </c>
      <c r="F110" s="188" t="s">
        <v>446</v>
      </c>
      <c r="G110" s="189" t="s">
        <v>173</v>
      </c>
      <c r="H110" s="190" t="s">
        <v>183</v>
      </c>
      <c r="I110" s="191" t="s">
        <v>690</v>
      </c>
      <c r="J110" s="192" t="n">
        <f aca="false">IFERROR(VLOOKUP(VALUE($D110),BSPL2026!$B:$Z,25,FALSE()),0)</f>
        <v>-1798927722</v>
      </c>
      <c r="K110" s="193"/>
      <c r="L110" s="194"/>
      <c r="M110" s="192" t="n">
        <f aca="false">J110+K110-L110</f>
        <v>-1798927722</v>
      </c>
      <c r="N110" s="193" t="n">
        <f aca="false">SUMIF('statutory adj_2026 조정분개'!$S:$S,$D110,'statutory adj_2026 조정분개'!$K:$K)</f>
        <v>0</v>
      </c>
      <c r="O110" s="194" t="n">
        <f aca="false">SUMIF('statutory adj_2026 조정분개'!$S:$S,$D110,'statutory adj_2026 조정분개'!$L:$L)</f>
        <v>0</v>
      </c>
      <c r="P110" s="192" t="n">
        <f aca="false">M110+N110-O110</f>
        <v>-1798927722</v>
      </c>
      <c r="Q110" s="195" t="n">
        <f aca="false">IFERROR(VLOOKUP(VALUE($D110),BSPL2026!$B:$Q,16,FALSE()),0)</f>
        <v>-1917318184</v>
      </c>
      <c r="R110" s="196" t="s">
        <v>449</v>
      </c>
      <c r="S110" s="172" t="str">
        <f aca="false">IFERROR(VLOOKUP(VALUE($D110),BSPL2026!$B:$M,12,FALSE()),"")</f>
        <v>미지급금</v>
      </c>
      <c r="T110" s="172" t="str">
        <f aca="false">IF(OR(S110="",S110=0,LEFT(S110,5)="(원본오류"),"",IF(S110=H110,"","매핑차이"))</f>
        <v/>
      </c>
    </row>
    <row r="111" customFormat="false" ht="16.5" hidden="false" customHeight="false" outlineLevel="0" collapsed="false">
      <c r="D111" s="186" t="s">
        <v>691</v>
      </c>
      <c r="E111" s="187" t="s">
        <v>692</v>
      </c>
      <c r="F111" s="188" t="s">
        <v>446</v>
      </c>
      <c r="G111" s="189" t="s">
        <v>676</v>
      </c>
      <c r="H111" s="190" t="s">
        <v>676</v>
      </c>
      <c r="I111" s="191" t="s">
        <v>692</v>
      </c>
      <c r="J111" s="192" t="n">
        <f aca="false">IFERROR(VLOOKUP(VALUE($D111),BSPL2026!$B:$Z,25,FALSE()),0)</f>
        <v>1864310651</v>
      </c>
      <c r="K111" s="193"/>
      <c r="L111" s="194"/>
      <c r="M111" s="192" t="n">
        <f aca="false">J111+K111-L111</f>
        <v>1864310651</v>
      </c>
      <c r="N111" s="193" t="n">
        <f aca="false">SUMIF('statutory adj_2026 조정분개'!$S:$S,$D111,'statutory adj_2026 조정분개'!$K:$K)</f>
        <v>0</v>
      </c>
      <c r="O111" s="194" t="n">
        <f aca="false">SUMIF('statutory adj_2026 조정분개'!$S:$S,$D111,'statutory adj_2026 조정분개'!$L:$L)</f>
        <v>0</v>
      </c>
      <c r="P111" s="192" t="n">
        <f aca="false">M111+N111-O111</f>
        <v>1864310651</v>
      </c>
      <c r="Q111" s="195" t="n">
        <f aca="false">IFERROR(VLOOKUP(VALUE($D111),BSPL2026!$B:$Q,16,FALSE()),0)</f>
        <v>1871052780</v>
      </c>
      <c r="R111" s="196" t="s">
        <v>449</v>
      </c>
      <c r="S111" s="172" t="str">
        <f aca="false">IFERROR(VLOOKUP(VALUE($D111),BSPL2026!$B:$M,12,FALSE()),"")</f>
        <v>가계정</v>
      </c>
      <c r="T111" s="172" t="str">
        <f aca="false">IF(OR(S111="",S111=0,LEFT(S111,5)="(원본오류"),"",IF(S111=H111,"","매핑차이"))</f>
        <v/>
      </c>
    </row>
    <row r="112" customFormat="false" ht="16.5" hidden="false" customHeight="false" outlineLevel="0" collapsed="false">
      <c r="D112" s="186" t="s">
        <v>693</v>
      </c>
      <c r="E112" s="187" t="s">
        <v>694</v>
      </c>
      <c r="F112" s="188" t="s">
        <v>446</v>
      </c>
      <c r="G112" s="189" t="s">
        <v>676</v>
      </c>
      <c r="H112" s="190" t="s">
        <v>676</v>
      </c>
      <c r="I112" s="191" t="s">
        <v>694</v>
      </c>
      <c r="J112" s="192" t="n">
        <f aca="false">IFERROR(VLOOKUP(VALUE($D112),BSPL2026!$B:$Z,25,FALSE()),0)</f>
        <v>0</v>
      </c>
      <c r="K112" s="193"/>
      <c r="L112" s="194"/>
      <c r="M112" s="192" t="n">
        <f aca="false">J112+K112-L112</f>
        <v>0</v>
      </c>
      <c r="N112" s="193" t="n">
        <f aca="false">SUMIF('statutory adj_2026 조정분개'!$S:$S,$D112,'statutory adj_2026 조정분개'!$K:$K)</f>
        <v>0</v>
      </c>
      <c r="O112" s="194" t="n">
        <f aca="false">SUMIF('statutory adj_2026 조정분개'!$S:$S,$D112,'statutory adj_2026 조정분개'!$L:$L)</f>
        <v>0</v>
      </c>
      <c r="P112" s="192" t="n">
        <f aca="false">M112+N112-O112</f>
        <v>0</v>
      </c>
      <c r="Q112" s="195" t="n">
        <f aca="false">IFERROR(VLOOKUP(VALUE($D112),BSPL2026!$B:$Q,16,FALSE()),0)</f>
        <v>-236580</v>
      </c>
      <c r="R112" s="196" t="s">
        <v>449</v>
      </c>
      <c r="S112" s="172" t="str">
        <f aca="false">IFERROR(VLOOKUP(VALUE($D112),BSPL2026!$B:$M,12,FALSE()),"")</f>
        <v>가계정</v>
      </c>
      <c r="T112" s="172" t="str">
        <f aca="false">IF(OR(S112="",S112=0,LEFT(S112,5)="(원본오류"),"",IF(S112=H112,"","매핑차이"))</f>
        <v/>
      </c>
    </row>
    <row r="113" customFormat="false" ht="16.5" hidden="false" customHeight="false" outlineLevel="0" collapsed="false">
      <c r="D113" s="186" t="s">
        <v>695</v>
      </c>
      <c r="E113" s="187" t="s">
        <v>696</v>
      </c>
      <c r="F113" s="188" t="s">
        <v>446</v>
      </c>
      <c r="G113" s="189" t="s">
        <v>447</v>
      </c>
      <c r="H113" s="190" t="s">
        <v>94</v>
      </c>
      <c r="I113" s="191" t="s">
        <v>697</v>
      </c>
      <c r="J113" s="192" t="n">
        <f aca="false">IFERROR(VLOOKUP(VALUE($D113),BSPL2026!$B:$Z,25,FALSE()),0)</f>
        <v>-17908151541</v>
      </c>
      <c r="K113" s="193"/>
      <c r="L113" s="194"/>
      <c r="M113" s="192" t="n">
        <f aca="false">J113+K113-L113</f>
        <v>-17908151541</v>
      </c>
      <c r="N113" s="193" t="n">
        <f aca="false">SUMIF('statutory adj_2026 조정분개'!$S:$S,$D113,'statutory adj_2026 조정분개'!$K:$K)</f>
        <v>0</v>
      </c>
      <c r="O113" s="194" t="n">
        <f aca="false">SUMIF('statutory adj_2026 조정분개'!$S:$S,$D113,'statutory adj_2026 조정분개'!$L:$L)</f>
        <v>0</v>
      </c>
      <c r="P113" s="192" t="n">
        <f aca="false">M113+N113-O113</f>
        <v>-17908151541</v>
      </c>
      <c r="Q113" s="195" t="n">
        <f aca="false">IFERROR(VLOOKUP(VALUE($D113),BSPL2026!$B:$Q,16,FALSE()),0)</f>
        <v>-20691651164</v>
      </c>
      <c r="R113" s="196" t="s">
        <v>449</v>
      </c>
      <c r="S113" s="172" t="str">
        <f aca="false">IFERROR(VLOOKUP(VALUE($D113),BSPL2026!$B:$M,12,FALSE()),"")</f>
        <v>미착품</v>
      </c>
      <c r="T113" s="172" t="str">
        <f aca="false">IF(OR(S113="",S113=0,LEFT(S113,5)="(원본오류"),"",IF(S113=H113,"","매핑차이"))</f>
        <v/>
      </c>
    </row>
    <row r="114" customFormat="false" ht="16.5" hidden="false" customHeight="false" outlineLevel="0" collapsed="false">
      <c r="D114" s="186" t="s">
        <v>698</v>
      </c>
      <c r="E114" s="187" t="s">
        <v>699</v>
      </c>
      <c r="F114" s="188" t="s">
        <v>446</v>
      </c>
      <c r="G114" s="189" t="s">
        <v>447</v>
      </c>
      <c r="H114" s="190" t="s">
        <v>94</v>
      </c>
      <c r="I114" s="191" t="s">
        <v>699</v>
      </c>
      <c r="J114" s="192" t="n">
        <f aca="false">IFERROR(VLOOKUP(VALUE($D114),BSPL2026!$B:$Z,25,FALSE()),0)</f>
        <v>0</v>
      </c>
      <c r="K114" s="193"/>
      <c r="L114" s="194"/>
      <c r="M114" s="192" t="n">
        <f aca="false">J114+K114-L114</f>
        <v>0</v>
      </c>
      <c r="N114" s="193" t="n">
        <f aca="false">SUMIF('statutory adj_2026 조정분개'!$S:$S,$D114,'statutory adj_2026 조정분개'!$K:$K)</f>
        <v>0</v>
      </c>
      <c r="O114" s="194" t="n">
        <f aca="false">SUMIF('statutory adj_2026 조정분개'!$S:$S,$D114,'statutory adj_2026 조정분개'!$L:$L)</f>
        <v>0</v>
      </c>
      <c r="P114" s="192" t="n">
        <f aca="false">M114+N114-O114</f>
        <v>0</v>
      </c>
      <c r="Q114" s="195" t="n">
        <f aca="false">IFERROR(VLOOKUP(VALUE($D114),BSPL2026!$B:$Q,16,FALSE()),0)</f>
        <v>0</v>
      </c>
      <c r="R114" s="196" t="s">
        <v>449</v>
      </c>
      <c r="S114" s="172" t="str">
        <f aca="false">IFERROR(VLOOKUP(VALUE($D114),BSPL2026!$B:$M,12,FALSE()),"")</f>
        <v>미착품</v>
      </c>
      <c r="T114" s="172" t="str">
        <f aca="false">IF(OR(S114="",S114=0,LEFT(S114,5)="(원본오류"),"",IF(S114=H114,"","매핑차이"))</f>
        <v/>
      </c>
    </row>
    <row r="115" customFormat="false" ht="16.5" hidden="false" customHeight="false" outlineLevel="0" collapsed="false">
      <c r="D115" s="186" t="s">
        <v>700</v>
      </c>
      <c r="E115" s="187" t="s">
        <v>701</v>
      </c>
      <c r="F115" s="188" t="s">
        <v>446</v>
      </c>
      <c r="G115" s="189" t="s">
        <v>173</v>
      </c>
      <c r="H115" s="190" t="s">
        <v>178</v>
      </c>
      <c r="I115" s="191" t="s">
        <v>701</v>
      </c>
      <c r="J115" s="192" t="n">
        <f aca="false">IFERROR(VLOOKUP(VALUE($D115),BSPL2026!$B:$Z,25,FALSE()),0)</f>
        <v>0</v>
      </c>
      <c r="K115" s="193"/>
      <c r="L115" s="194"/>
      <c r="M115" s="192" t="n">
        <f aca="false">J115+K115-L115</f>
        <v>0</v>
      </c>
      <c r="N115" s="193" t="n">
        <f aca="false">SUMIF('statutory adj_2026 조정분개'!$S:$S,$D115,'statutory adj_2026 조정분개'!$K:$K)</f>
        <v>0</v>
      </c>
      <c r="O115" s="194" t="n">
        <f aca="false">SUMIF('statutory adj_2026 조정분개'!$S:$S,$D115,'statutory adj_2026 조정분개'!$L:$L)</f>
        <v>0</v>
      </c>
      <c r="P115" s="192" t="n">
        <f aca="false">M115+N115-O115</f>
        <v>0</v>
      </c>
      <c r="Q115" s="195" t="n">
        <f aca="false">IFERROR(VLOOKUP(VALUE($D115),BSPL2026!$B:$Q,16,FALSE()),0)</f>
        <v>0</v>
      </c>
      <c r="R115" s="196" t="s">
        <v>449</v>
      </c>
      <c r="S115" s="172" t="str">
        <f aca="false">IFERROR(VLOOKUP(VALUE($D115),BSPL2026!$B:$M,12,FALSE()),"")</f>
        <v>매입채무</v>
      </c>
      <c r="T115" s="172" t="str">
        <f aca="false">IF(OR(S115="",S115=0,LEFT(S115,5)="(원본오류"),"",IF(S115=H115,"","매핑차이"))</f>
        <v/>
      </c>
    </row>
    <row r="116" customFormat="false" ht="16.5" hidden="false" customHeight="false" outlineLevel="0" collapsed="false">
      <c r="D116" s="186" t="s">
        <v>702</v>
      </c>
      <c r="E116" s="187" t="s">
        <v>703</v>
      </c>
      <c r="F116" s="188" t="s">
        <v>446</v>
      </c>
      <c r="G116" s="189" t="s">
        <v>173</v>
      </c>
      <c r="H116" s="190" t="s">
        <v>191</v>
      </c>
      <c r="I116" s="191" t="s">
        <v>703</v>
      </c>
      <c r="J116" s="192" t="n">
        <f aca="false">IFERROR(VLOOKUP(VALUE($D116),BSPL2026!$B:$Z,25,FALSE()),0)</f>
        <v>0</v>
      </c>
      <c r="K116" s="193"/>
      <c r="L116" s="194"/>
      <c r="M116" s="192" t="n">
        <f aca="false">J116+K116-L116</f>
        <v>0</v>
      </c>
      <c r="N116" s="193" t="n">
        <f aca="false">SUMIF('statutory adj_2026 조정분개'!$S:$S,$D116,'statutory adj_2026 조정분개'!$K:$K)</f>
        <v>0</v>
      </c>
      <c r="O116" s="194" t="n">
        <f aca="false">SUMIF('statutory adj_2026 조정분개'!$S:$S,$D116,'statutory adj_2026 조정분개'!$L:$L)</f>
        <v>0</v>
      </c>
      <c r="P116" s="192" t="n">
        <f aca="false">M116+N116-O116</f>
        <v>0</v>
      </c>
      <c r="Q116" s="195" t="n">
        <f aca="false">IFERROR(VLOOKUP(VALUE($D116),BSPL2026!$B:$Q,16,FALSE()),0)</f>
        <v>-213282707</v>
      </c>
      <c r="R116" s="196" t="s">
        <v>449</v>
      </c>
      <c r="S116" s="172" t="str">
        <f aca="false">IFERROR(VLOOKUP(VALUE($D116),BSPL2026!$B:$M,12,FALSE()),"")</f>
        <v>미지급비용</v>
      </c>
      <c r="T116" s="172" t="str">
        <f aca="false">IF(OR(S116="",S116=0,LEFT(S116,5)="(원본오류"),"",IF(S116=H116,"","매핑차이"))</f>
        <v/>
      </c>
    </row>
    <row r="117" customFormat="false" ht="16.5" hidden="false" customHeight="false" outlineLevel="0" collapsed="false">
      <c r="D117" s="186" t="s">
        <v>704</v>
      </c>
      <c r="E117" s="187" t="s">
        <v>705</v>
      </c>
      <c r="F117" s="188" t="s">
        <v>446</v>
      </c>
      <c r="G117" s="189" t="s">
        <v>173</v>
      </c>
      <c r="H117" s="190" t="s">
        <v>183</v>
      </c>
      <c r="I117" s="191" t="s">
        <v>705</v>
      </c>
      <c r="J117" s="192" t="n">
        <f aca="false">IFERROR(VLOOKUP(VALUE($D117),BSPL2026!$B:$Z,25,FALSE()),0)</f>
        <v>0</v>
      </c>
      <c r="K117" s="193"/>
      <c r="L117" s="194"/>
      <c r="M117" s="192" t="n">
        <f aca="false">J117+K117-L117</f>
        <v>0</v>
      </c>
      <c r="N117" s="193" t="n">
        <f aca="false">SUMIF('statutory adj_2026 조정분개'!$S:$S,$D117,'statutory adj_2026 조정분개'!$K:$K)</f>
        <v>0</v>
      </c>
      <c r="O117" s="194" t="n">
        <f aca="false">SUMIF('statutory adj_2026 조정분개'!$S:$S,$D117,'statutory adj_2026 조정분개'!$L:$L)</f>
        <v>0</v>
      </c>
      <c r="P117" s="192" t="n">
        <f aca="false">M117+N117-O117</f>
        <v>0</v>
      </c>
      <c r="Q117" s="195" t="n">
        <f aca="false">IFERROR(VLOOKUP(VALUE($D117),BSPL2026!$B:$Q,16,FALSE()),0)</f>
        <v>0</v>
      </c>
      <c r="R117" s="196" t="s">
        <v>449</v>
      </c>
      <c r="S117" s="172" t="str">
        <f aca="false">IFERROR(VLOOKUP(VALUE($D117),BSPL2026!$B:$M,12,FALSE()),"")</f>
        <v>(원본오류 N/A)</v>
      </c>
      <c r="T117" s="172" t="str">
        <f aca="false">IF(OR(S117="",S117=0,LEFT(S117,5)="(원본오류"),"",IF(S117=H117,"","매핑차이"))</f>
        <v/>
      </c>
    </row>
    <row r="118" customFormat="false" ht="16.5" hidden="false" customHeight="false" outlineLevel="0" collapsed="false">
      <c r="D118" s="186" t="s">
        <v>706</v>
      </c>
      <c r="E118" s="187" t="s">
        <v>707</v>
      </c>
      <c r="F118" s="188" t="s">
        <v>446</v>
      </c>
      <c r="G118" s="189" t="s">
        <v>173</v>
      </c>
      <c r="H118" s="190" t="s">
        <v>183</v>
      </c>
      <c r="I118" s="191" t="s">
        <v>707</v>
      </c>
      <c r="J118" s="192" t="n">
        <f aca="false">IFERROR(VLOOKUP(VALUE($D118),BSPL2026!$B:$Z,25,FALSE()),0)</f>
        <v>-17491972</v>
      </c>
      <c r="K118" s="193"/>
      <c r="L118" s="194"/>
      <c r="M118" s="192" t="n">
        <f aca="false">J118+K118-L118</f>
        <v>-17491972</v>
      </c>
      <c r="N118" s="193" t="n">
        <f aca="false">SUMIF('statutory adj_2026 조정분개'!$S:$S,$D118,'statutory adj_2026 조정분개'!$K:$K)</f>
        <v>0</v>
      </c>
      <c r="O118" s="194" t="n">
        <f aca="false">SUMIF('statutory adj_2026 조정분개'!$S:$S,$D118,'statutory adj_2026 조정분개'!$L:$L)</f>
        <v>0</v>
      </c>
      <c r="P118" s="192" t="n">
        <f aca="false">M118+N118-O118</f>
        <v>-17491972</v>
      </c>
      <c r="Q118" s="195" t="n">
        <f aca="false">IFERROR(VLOOKUP(VALUE($D118),BSPL2026!$B:$Q,16,FALSE()),0)</f>
        <v>-26726065</v>
      </c>
      <c r="R118" s="196" t="s">
        <v>449</v>
      </c>
      <c r="S118" s="172" t="str">
        <f aca="false">IFERROR(VLOOKUP(VALUE($D118),BSPL2026!$B:$M,12,FALSE()),"")</f>
        <v>미지급금</v>
      </c>
      <c r="T118" s="172" t="str">
        <f aca="false">IF(OR(S118="",S118=0,LEFT(S118,5)="(원본오류"),"",IF(S118=H118,"","매핑차이"))</f>
        <v/>
      </c>
    </row>
    <row r="119" customFormat="false" ht="16.5" hidden="false" customHeight="false" outlineLevel="0" collapsed="false">
      <c r="D119" s="186" t="s">
        <v>708</v>
      </c>
      <c r="E119" s="187" t="s">
        <v>709</v>
      </c>
      <c r="F119" s="188" t="s">
        <v>446</v>
      </c>
      <c r="G119" s="189" t="s">
        <v>173</v>
      </c>
      <c r="H119" s="190" t="s">
        <v>183</v>
      </c>
      <c r="I119" s="191" t="s">
        <v>709</v>
      </c>
      <c r="J119" s="192" t="n">
        <f aca="false">IFERROR(VLOOKUP(VALUE($D119),BSPL2026!$B:$Z,25,FALSE()),0)</f>
        <v>0</v>
      </c>
      <c r="K119" s="193"/>
      <c r="L119" s="194"/>
      <c r="M119" s="192" t="n">
        <f aca="false">J119+K119-L119</f>
        <v>0</v>
      </c>
      <c r="N119" s="193" t="n">
        <f aca="false">SUMIF('statutory adj_2026 조정분개'!$S:$S,$D119,'statutory adj_2026 조정분개'!$K:$K)</f>
        <v>0</v>
      </c>
      <c r="O119" s="194" t="n">
        <f aca="false">SUMIF('statutory adj_2026 조정분개'!$S:$S,$D119,'statutory adj_2026 조정분개'!$L:$L)</f>
        <v>0</v>
      </c>
      <c r="P119" s="192" t="n">
        <f aca="false">M119+N119-O119</f>
        <v>0</v>
      </c>
      <c r="Q119" s="195" t="n">
        <f aca="false">IFERROR(VLOOKUP(VALUE($D119),BSPL2026!$B:$Q,16,FALSE()),0)</f>
        <v>0</v>
      </c>
      <c r="R119" s="196" t="s">
        <v>449</v>
      </c>
      <c r="S119" s="172" t="str">
        <f aca="false">IFERROR(VLOOKUP(VALUE($D119),BSPL2026!$B:$M,12,FALSE()),"")</f>
        <v>(원본오류 N/A)</v>
      </c>
      <c r="T119" s="172" t="str">
        <f aca="false">IF(OR(S119="",S119=0,LEFT(S119,5)="(원본오류"),"",IF(S119=H119,"","매핑차이"))</f>
        <v/>
      </c>
    </row>
    <row r="120" customFormat="false" ht="16.5" hidden="false" customHeight="false" outlineLevel="0" collapsed="false">
      <c r="D120" s="186" t="s">
        <v>710</v>
      </c>
      <c r="E120" s="187" t="s">
        <v>711</v>
      </c>
      <c r="F120" s="188" t="s">
        <v>446</v>
      </c>
      <c r="G120" s="189" t="s">
        <v>173</v>
      </c>
      <c r="H120" s="190" t="s">
        <v>183</v>
      </c>
      <c r="I120" s="191" t="s">
        <v>711</v>
      </c>
      <c r="J120" s="192" t="n">
        <f aca="false">IFERROR(VLOOKUP(VALUE($D120),BSPL2026!$B:$Z,25,FALSE()),0)</f>
        <v>-2484939960</v>
      </c>
      <c r="K120" s="193"/>
      <c r="L120" s="194"/>
      <c r="M120" s="192" t="n">
        <f aca="false">J120+K120-L120</f>
        <v>-2484939960</v>
      </c>
      <c r="N120" s="193" t="n">
        <f aca="false">SUMIF('statutory adj_2026 조정분개'!$S:$S,$D120,'statutory adj_2026 조정분개'!$K:$K)</f>
        <v>0</v>
      </c>
      <c r="O120" s="194" t="n">
        <f aca="false">SUMIF('statutory adj_2026 조정분개'!$S:$S,$D120,'statutory adj_2026 조정분개'!$L:$L)</f>
        <v>0</v>
      </c>
      <c r="P120" s="192" t="n">
        <f aca="false">M120+N120-O120</f>
        <v>-2484939960</v>
      </c>
      <c r="Q120" s="195" t="n">
        <f aca="false">IFERROR(VLOOKUP(VALUE($D120),BSPL2026!$B:$Q,16,FALSE()),0)</f>
        <v>-410271</v>
      </c>
      <c r="R120" s="196" t="s">
        <v>449</v>
      </c>
      <c r="S120" s="172" t="str">
        <f aca="false">IFERROR(VLOOKUP(VALUE($D120),BSPL2026!$B:$M,12,FALSE()),"")</f>
        <v>미지급금</v>
      </c>
      <c r="T120" s="172" t="str">
        <f aca="false">IF(OR(S120="",S120=0,LEFT(S120,5)="(원본오류"),"",IF(S120=H120,"","매핑차이"))</f>
        <v/>
      </c>
    </row>
    <row r="121" customFormat="false" ht="16.5" hidden="false" customHeight="false" outlineLevel="0" collapsed="false">
      <c r="D121" s="186" t="s">
        <v>712</v>
      </c>
      <c r="E121" s="187" t="s">
        <v>713</v>
      </c>
      <c r="F121" s="188" t="s">
        <v>446</v>
      </c>
      <c r="G121" s="189" t="s">
        <v>173</v>
      </c>
      <c r="H121" s="190" t="s">
        <v>191</v>
      </c>
      <c r="I121" s="191" t="s">
        <v>713</v>
      </c>
      <c r="J121" s="192" t="n">
        <f aca="false">IFERROR(VLOOKUP(VALUE($D121),BSPL2026!$B:$Z,25,FALSE()),0)</f>
        <v>0</v>
      </c>
      <c r="K121" s="193"/>
      <c r="L121" s="194"/>
      <c r="M121" s="192" t="n">
        <f aca="false">J121+K121-L121</f>
        <v>0</v>
      </c>
      <c r="N121" s="193" t="n">
        <f aca="false">SUMIF('statutory adj_2026 조정분개'!$S:$S,$D121,'statutory adj_2026 조정분개'!$K:$K)</f>
        <v>0</v>
      </c>
      <c r="O121" s="194" t="n">
        <f aca="false">SUMIF('statutory adj_2026 조정분개'!$S:$S,$D121,'statutory adj_2026 조정분개'!$L:$L)</f>
        <v>0</v>
      </c>
      <c r="P121" s="192" t="n">
        <f aca="false">M121+N121-O121</f>
        <v>0</v>
      </c>
      <c r="Q121" s="195" t="n">
        <f aca="false">IFERROR(VLOOKUP(VALUE($D121),BSPL2026!$B:$Q,16,FALSE()),0)</f>
        <v>0</v>
      </c>
      <c r="R121" s="196" t="s">
        <v>449</v>
      </c>
      <c r="S121" s="172" t="str">
        <f aca="false">IFERROR(VLOOKUP(VALUE($D121),BSPL2026!$B:$M,12,FALSE()),"")</f>
        <v>미지급비용</v>
      </c>
      <c r="T121" s="172" t="str">
        <f aca="false">IF(OR(S121="",S121=0,LEFT(S121,5)="(원본오류"),"",IF(S121=H121,"","매핑차이"))</f>
        <v/>
      </c>
    </row>
    <row r="122" customFormat="false" ht="16.5" hidden="false" customHeight="false" outlineLevel="0" collapsed="false">
      <c r="D122" s="186" t="s">
        <v>714</v>
      </c>
      <c r="E122" s="187" t="s">
        <v>715</v>
      </c>
      <c r="F122" s="188" t="s">
        <v>446</v>
      </c>
      <c r="G122" s="189" t="s">
        <v>173</v>
      </c>
      <c r="H122" s="190" t="s">
        <v>191</v>
      </c>
      <c r="I122" s="191" t="s">
        <v>715</v>
      </c>
      <c r="J122" s="192" t="n">
        <f aca="false">IFERROR(VLOOKUP(VALUE($D122),BSPL2026!$B:$Z,25,FALSE()),0)</f>
        <v>0</v>
      </c>
      <c r="K122" s="193"/>
      <c r="L122" s="194"/>
      <c r="M122" s="192" t="n">
        <f aca="false">J122+K122-L122</f>
        <v>0</v>
      </c>
      <c r="N122" s="193" t="n">
        <f aca="false">SUMIF('statutory adj_2026 조정분개'!$S:$S,$D122,'statutory adj_2026 조정분개'!$K:$K)</f>
        <v>0</v>
      </c>
      <c r="O122" s="194" t="n">
        <f aca="false">SUMIF('statutory adj_2026 조정분개'!$S:$S,$D122,'statutory adj_2026 조정분개'!$L:$L)</f>
        <v>0</v>
      </c>
      <c r="P122" s="192" t="n">
        <f aca="false">M122+N122-O122</f>
        <v>0</v>
      </c>
      <c r="Q122" s="195" t="n">
        <f aca="false">IFERROR(VLOOKUP(VALUE($D122),BSPL2026!$B:$Q,16,FALSE()),0)</f>
        <v>0</v>
      </c>
      <c r="R122" s="196" t="s">
        <v>449</v>
      </c>
      <c r="S122" s="172" t="str">
        <f aca="false">IFERROR(VLOOKUP(VALUE($D122),BSPL2026!$B:$M,12,FALSE()),"")</f>
        <v>미지급비용</v>
      </c>
      <c r="T122" s="172" t="str">
        <f aca="false">IF(OR(S122="",S122=0,LEFT(S122,5)="(원본오류"),"",IF(S122=H122,"","매핑차이"))</f>
        <v/>
      </c>
    </row>
    <row r="123" customFormat="false" ht="16.5" hidden="false" customHeight="false" outlineLevel="0" collapsed="false">
      <c r="D123" s="186" t="s">
        <v>716</v>
      </c>
      <c r="E123" s="187" t="s">
        <v>717</v>
      </c>
      <c r="F123" s="188" t="s">
        <v>446</v>
      </c>
      <c r="G123" s="189" t="s">
        <v>173</v>
      </c>
      <c r="H123" s="190" t="s">
        <v>191</v>
      </c>
      <c r="I123" s="191" t="s">
        <v>717</v>
      </c>
      <c r="J123" s="192" t="n">
        <f aca="false">IFERROR(VLOOKUP(VALUE($D123),BSPL2026!$B:$Z,25,FALSE()),0)</f>
        <v>-4573948770</v>
      </c>
      <c r="K123" s="193"/>
      <c r="L123" s="194"/>
      <c r="M123" s="192" t="n">
        <f aca="false">J123+K123-L123</f>
        <v>-4573948770</v>
      </c>
      <c r="N123" s="193" t="n">
        <f aca="false">SUMIF('statutory adj_2026 조정분개'!$S:$S,$D123,'statutory adj_2026 조정분개'!$K:$K)</f>
        <v>0</v>
      </c>
      <c r="O123" s="194" t="n">
        <f aca="false">SUMIF('statutory adj_2026 조정분개'!$S:$S,$D123,'statutory adj_2026 조정분개'!$L:$L)</f>
        <v>0</v>
      </c>
      <c r="P123" s="192" t="n">
        <f aca="false">M123+N123-O123</f>
        <v>-4573948770</v>
      </c>
      <c r="Q123" s="195" t="n">
        <f aca="false">IFERROR(VLOOKUP(VALUE($D123),BSPL2026!$B:$Q,16,FALSE()),0)</f>
        <v>-5865973511</v>
      </c>
      <c r="R123" s="196" t="s">
        <v>449</v>
      </c>
      <c r="S123" s="172" t="str">
        <f aca="false">IFERROR(VLOOKUP(VALUE($D123),BSPL2026!$B:$M,12,FALSE()),"")</f>
        <v>미지급비용</v>
      </c>
      <c r="T123" s="172" t="str">
        <f aca="false">IF(OR(S123="",S123=0,LEFT(S123,5)="(원본오류"),"",IF(S123=H123,"","매핑차이"))</f>
        <v/>
      </c>
    </row>
    <row r="124" customFormat="false" ht="16.5" hidden="false" customHeight="false" outlineLevel="0" collapsed="false">
      <c r="D124" s="186" t="s">
        <v>718</v>
      </c>
      <c r="E124" s="187" t="s">
        <v>719</v>
      </c>
      <c r="F124" s="188" t="s">
        <v>446</v>
      </c>
      <c r="G124" s="189" t="s">
        <v>173</v>
      </c>
      <c r="H124" s="190" t="s">
        <v>219</v>
      </c>
      <c r="I124" s="191" t="s">
        <v>720</v>
      </c>
      <c r="J124" s="192" t="n">
        <f aca="false">IFERROR(VLOOKUP(VALUE($D124),BSPL2026!$B:$Z,25,FALSE()),0)</f>
        <v>0</v>
      </c>
      <c r="K124" s="193"/>
      <c r="L124" s="194"/>
      <c r="M124" s="192" t="n">
        <f aca="false">J124+K124-L124</f>
        <v>0</v>
      </c>
      <c r="N124" s="193" t="n">
        <f aca="false">SUMIF('statutory adj_2026 조정분개'!$S:$S,$D124,'statutory adj_2026 조정분개'!$K:$K)</f>
        <v>0</v>
      </c>
      <c r="O124" s="194" t="n">
        <f aca="false">SUMIF('statutory adj_2026 조정분개'!$S:$S,$D124,'statutory adj_2026 조정분개'!$L:$L)</f>
        <v>0</v>
      </c>
      <c r="P124" s="192" t="n">
        <f aca="false">M124+N124-O124</f>
        <v>0</v>
      </c>
      <c r="Q124" s="195" t="n">
        <f aca="false">IFERROR(VLOOKUP(VALUE($D124),BSPL2026!$B:$Q,16,FALSE()),0)</f>
        <v>0</v>
      </c>
      <c r="R124" s="196" t="s">
        <v>449</v>
      </c>
      <c r="S124" s="172" t="str">
        <f aca="false">IFERROR(VLOOKUP(VALUE($D124),BSPL2026!$B:$M,12,FALSE()),"")</f>
        <v>복구충당부채</v>
      </c>
      <c r="T124" s="172" t="str">
        <f aca="false">IF(OR(S124="",S124=0,LEFT(S124,5)="(원본오류"),"",IF(S124=H124,"","매핑차이"))</f>
        <v/>
      </c>
    </row>
    <row r="125" customFormat="false" ht="16.5" hidden="false" customHeight="false" outlineLevel="0" collapsed="false">
      <c r="D125" s="186" t="s">
        <v>721</v>
      </c>
      <c r="E125" s="187" t="s">
        <v>722</v>
      </c>
      <c r="F125" s="188" t="s">
        <v>446</v>
      </c>
      <c r="G125" s="189" t="s">
        <v>173</v>
      </c>
      <c r="H125" s="190" t="s">
        <v>188</v>
      </c>
      <c r="I125" s="191" t="s">
        <v>722</v>
      </c>
      <c r="J125" s="192" t="n">
        <f aca="false">IFERROR(VLOOKUP(VALUE($D125),BSPL2026!$B:$Z,25,FALSE()),0)</f>
        <v>-608855770</v>
      </c>
      <c r="K125" s="193"/>
      <c r="L125" s="194"/>
      <c r="M125" s="192" t="n">
        <f aca="false">J125+K125-L125</f>
        <v>-608855770</v>
      </c>
      <c r="N125" s="193" t="n">
        <f aca="false">SUMIF('statutory adj_2026 조정분개'!$S:$S,$D125,'statutory adj_2026 조정분개'!$K:$K)</f>
        <v>0</v>
      </c>
      <c r="O125" s="194" t="n">
        <f aca="false">SUMIF('statutory adj_2026 조정분개'!$S:$S,$D125,'statutory adj_2026 조정분개'!$L:$L)</f>
        <v>0</v>
      </c>
      <c r="P125" s="192" t="n">
        <f aca="false">M125+N125-O125</f>
        <v>-608855770</v>
      </c>
      <c r="Q125" s="195" t="n">
        <f aca="false">IFERROR(VLOOKUP(VALUE($D125),BSPL2026!$B:$Q,16,FALSE()),0)</f>
        <v>-615989310</v>
      </c>
      <c r="R125" s="196" t="s">
        <v>449</v>
      </c>
      <c r="S125" s="172" t="str">
        <f aca="false">IFERROR(VLOOKUP(VALUE($D125),BSPL2026!$B:$M,12,FALSE()),"")</f>
        <v>예수금</v>
      </c>
      <c r="T125" s="172" t="str">
        <f aca="false">IF(OR(S125="",S125=0,LEFT(S125,5)="(원본오류"),"",IF(S125=H125,"","매핑차이"))</f>
        <v/>
      </c>
    </row>
    <row r="126" customFormat="false" ht="16.5" hidden="false" customHeight="false" outlineLevel="0" collapsed="false">
      <c r="D126" s="186" t="s">
        <v>723</v>
      </c>
      <c r="E126" s="187" t="s">
        <v>724</v>
      </c>
      <c r="F126" s="188" t="s">
        <v>446</v>
      </c>
      <c r="G126" s="189" t="s">
        <v>173</v>
      </c>
      <c r="H126" s="190" t="s">
        <v>188</v>
      </c>
      <c r="I126" s="191" t="s">
        <v>724</v>
      </c>
      <c r="J126" s="192" t="n">
        <f aca="false">IFERROR(VLOOKUP(VALUE($D126),BSPL2026!$B:$Z,25,FALSE()),0)</f>
        <v>0</v>
      </c>
      <c r="K126" s="193"/>
      <c r="L126" s="194"/>
      <c r="M126" s="192" t="n">
        <f aca="false">J126+K126-L126</f>
        <v>0</v>
      </c>
      <c r="N126" s="193" t="n">
        <f aca="false">SUMIF('statutory adj_2026 조정분개'!$S:$S,$D126,'statutory adj_2026 조정분개'!$K:$K)</f>
        <v>0</v>
      </c>
      <c r="O126" s="194" t="n">
        <f aca="false">SUMIF('statutory adj_2026 조정분개'!$S:$S,$D126,'statutory adj_2026 조정분개'!$L:$L)</f>
        <v>0</v>
      </c>
      <c r="P126" s="192" t="n">
        <f aca="false">M126+N126-O126</f>
        <v>0</v>
      </c>
      <c r="Q126" s="195" t="n">
        <f aca="false">IFERROR(VLOOKUP(VALUE($D126),BSPL2026!$B:$Q,16,FALSE()),0)</f>
        <v>0</v>
      </c>
      <c r="R126" s="196" t="s">
        <v>449</v>
      </c>
      <c r="S126" s="172" t="str">
        <f aca="false">IFERROR(VLOOKUP(VALUE($D126),BSPL2026!$B:$M,12,FALSE()),"")</f>
        <v>(원본오류 N/A)</v>
      </c>
      <c r="T126" s="172" t="str">
        <f aca="false">IF(OR(S126="",S126=0,LEFT(S126,5)="(원본오류"),"",IF(S126=H126,"","매핑차이"))</f>
        <v/>
      </c>
    </row>
    <row r="127" customFormat="false" ht="16.5" hidden="false" customHeight="false" outlineLevel="0" collapsed="false">
      <c r="D127" s="186" t="s">
        <v>725</v>
      </c>
      <c r="E127" s="187" t="s">
        <v>726</v>
      </c>
      <c r="F127" s="188" t="s">
        <v>446</v>
      </c>
      <c r="G127" s="189" t="s">
        <v>173</v>
      </c>
      <c r="H127" s="190" t="s">
        <v>188</v>
      </c>
      <c r="I127" s="191" t="s">
        <v>726</v>
      </c>
      <c r="J127" s="192" t="n">
        <f aca="false">IFERROR(VLOOKUP(VALUE($D127),BSPL2026!$B:$Z,25,FALSE()),0)</f>
        <v>0</v>
      </c>
      <c r="K127" s="193"/>
      <c r="L127" s="194"/>
      <c r="M127" s="192" t="n">
        <f aca="false">J127+K127-L127</f>
        <v>0</v>
      </c>
      <c r="N127" s="193" t="n">
        <f aca="false">SUMIF('statutory adj_2026 조정분개'!$S:$S,$D127,'statutory adj_2026 조정분개'!$K:$K)</f>
        <v>0</v>
      </c>
      <c r="O127" s="194" t="n">
        <f aca="false">SUMIF('statutory adj_2026 조정분개'!$S:$S,$D127,'statutory adj_2026 조정분개'!$L:$L)</f>
        <v>0</v>
      </c>
      <c r="P127" s="192" t="n">
        <f aca="false">M127+N127-O127</f>
        <v>0</v>
      </c>
      <c r="Q127" s="195" t="n">
        <f aca="false">IFERROR(VLOOKUP(VALUE($D127),BSPL2026!$B:$Q,16,FALSE()),0)</f>
        <v>0</v>
      </c>
      <c r="R127" s="196" t="s">
        <v>449</v>
      </c>
      <c r="S127" s="172" t="str">
        <f aca="false">IFERROR(VLOOKUP(VALUE($D127),BSPL2026!$B:$M,12,FALSE()),"")</f>
        <v>(원본오류 N/A)</v>
      </c>
      <c r="T127" s="172" t="str">
        <f aca="false">IF(OR(S127="",S127=0,LEFT(S127,5)="(원본오류"),"",IF(S127=H127,"","매핑차이"))</f>
        <v/>
      </c>
    </row>
    <row r="128" customFormat="false" ht="16.5" hidden="false" customHeight="false" outlineLevel="0" collapsed="false">
      <c r="D128" s="186" t="s">
        <v>727</v>
      </c>
      <c r="E128" s="187" t="s">
        <v>728</v>
      </c>
      <c r="F128" s="188" t="s">
        <v>446</v>
      </c>
      <c r="G128" s="189" t="s">
        <v>173</v>
      </c>
      <c r="H128" s="190" t="s">
        <v>191</v>
      </c>
      <c r="I128" s="191" t="s">
        <v>728</v>
      </c>
      <c r="J128" s="192" t="n">
        <f aca="false">IFERROR(VLOOKUP(VALUE($D128),BSPL2026!$B:$Z,25,FALSE()),0)</f>
        <v>0</v>
      </c>
      <c r="K128" s="193"/>
      <c r="L128" s="194"/>
      <c r="M128" s="192" t="n">
        <f aca="false">J128+K128-L128</f>
        <v>0</v>
      </c>
      <c r="N128" s="193" t="n">
        <f aca="false">SUMIF('statutory adj_2026 조정분개'!$S:$S,$D128,'statutory adj_2026 조정분개'!$K:$K)</f>
        <v>0</v>
      </c>
      <c r="O128" s="194" t="n">
        <f aca="false">SUMIF('statutory adj_2026 조정분개'!$S:$S,$D128,'statutory adj_2026 조정분개'!$L:$L)</f>
        <v>0</v>
      </c>
      <c r="P128" s="192" t="n">
        <f aca="false">M128+N128-O128</f>
        <v>0</v>
      </c>
      <c r="Q128" s="195" t="n">
        <f aca="false">IFERROR(VLOOKUP(VALUE($D128),BSPL2026!$B:$Q,16,FALSE()),0)</f>
        <v>0</v>
      </c>
      <c r="R128" s="196" t="s">
        <v>449</v>
      </c>
      <c r="S128" s="172" t="str">
        <f aca="false">IFERROR(VLOOKUP(VALUE($D128),BSPL2026!$B:$M,12,FALSE()),"")</f>
        <v>(원본오류 N/A)</v>
      </c>
      <c r="T128" s="172" t="str">
        <f aca="false">IF(OR(S128="",S128=0,LEFT(S128,5)="(원본오류"),"",IF(S128=H128,"","매핑차이"))</f>
        <v/>
      </c>
    </row>
    <row r="129" customFormat="false" ht="16.5" hidden="false" customHeight="false" outlineLevel="0" collapsed="false">
      <c r="D129" s="186" t="s">
        <v>729</v>
      </c>
      <c r="E129" s="187" t="s">
        <v>730</v>
      </c>
      <c r="F129" s="188" t="s">
        <v>446</v>
      </c>
      <c r="G129" s="189" t="s">
        <v>173</v>
      </c>
      <c r="H129" s="190" t="s">
        <v>191</v>
      </c>
      <c r="I129" s="191" t="s">
        <v>730</v>
      </c>
      <c r="J129" s="192" t="n">
        <f aca="false">IFERROR(VLOOKUP(VALUE($D129),BSPL2026!$B:$Z,25,FALSE()),0)</f>
        <v>0</v>
      </c>
      <c r="K129" s="193"/>
      <c r="L129" s="194"/>
      <c r="M129" s="192" t="n">
        <f aca="false">J129+K129-L129</f>
        <v>0</v>
      </c>
      <c r="N129" s="193" t="n">
        <f aca="false">SUMIF('statutory adj_2026 조정분개'!$S:$S,$D129,'statutory adj_2026 조정분개'!$K:$K)</f>
        <v>0</v>
      </c>
      <c r="O129" s="194" t="n">
        <f aca="false">SUMIF('statutory adj_2026 조정분개'!$S:$S,$D129,'statutory adj_2026 조정분개'!$L:$L)</f>
        <v>0</v>
      </c>
      <c r="P129" s="192" t="n">
        <f aca="false">M129+N129-O129</f>
        <v>0</v>
      </c>
      <c r="Q129" s="195" t="n">
        <f aca="false">IFERROR(VLOOKUP(VALUE($D129),BSPL2026!$B:$Q,16,FALSE()),0)</f>
        <v>0</v>
      </c>
      <c r="R129" s="196" t="s">
        <v>449</v>
      </c>
      <c r="S129" s="172" t="str">
        <f aca="false">IFERROR(VLOOKUP(VALUE($D129),BSPL2026!$B:$M,12,FALSE()),"")</f>
        <v>(원본오류 N/A)</v>
      </c>
      <c r="T129" s="172" t="str">
        <f aca="false">IF(OR(S129="",S129=0,LEFT(S129,5)="(원본오류"),"",IF(S129=H129,"","매핑차이"))</f>
        <v/>
      </c>
    </row>
    <row r="130" customFormat="false" ht="16.5" hidden="false" customHeight="false" outlineLevel="0" collapsed="false">
      <c r="D130" s="186" t="s">
        <v>731</v>
      </c>
      <c r="E130" s="187" t="s">
        <v>732</v>
      </c>
      <c r="F130" s="188" t="s">
        <v>446</v>
      </c>
      <c r="G130" s="189" t="s">
        <v>173</v>
      </c>
      <c r="H130" s="190" t="s">
        <v>191</v>
      </c>
      <c r="I130" s="191" t="s">
        <v>732</v>
      </c>
      <c r="J130" s="192" t="n">
        <f aca="false">IFERROR(VLOOKUP(VALUE($D130),BSPL2026!$B:$Z,25,FALSE()),0)</f>
        <v>0</v>
      </c>
      <c r="K130" s="193"/>
      <c r="L130" s="194"/>
      <c r="M130" s="192" t="n">
        <f aca="false">J130+K130-L130</f>
        <v>0</v>
      </c>
      <c r="N130" s="193" t="n">
        <f aca="false">SUMIF('statutory adj_2026 조정분개'!$S:$S,$D130,'statutory adj_2026 조정분개'!$K:$K)</f>
        <v>0</v>
      </c>
      <c r="O130" s="194" t="n">
        <f aca="false">SUMIF('statutory adj_2026 조정분개'!$S:$S,$D130,'statutory adj_2026 조정분개'!$L:$L)</f>
        <v>0</v>
      </c>
      <c r="P130" s="192" t="n">
        <f aca="false">M130+N130-O130</f>
        <v>0</v>
      </c>
      <c r="Q130" s="195" t="n">
        <f aca="false">IFERROR(VLOOKUP(VALUE($D130),BSPL2026!$B:$Q,16,FALSE()),0)</f>
        <v>0</v>
      </c>
      <c r="R130" s="196" t="s">
        <v>449</v>
      </c>
      <c r="S130" s="172" t="str">
        <f aca="false">IFERROR(VLOOKUP(VALUE($D130),BSPL2026!$B:$M,12,FALSE()),"")</f>
        <v>(원본오류 N/A)</v>
      </c>
      <c r="T130" s="172" t="str">
        <f aca="false">IF(OR(S130="",S130=0,LEFT(S130,5)="(원본오류"),"",IF(S130=H130,"","매핑차이"))</f>
        <v/>
      </c>
    </row>
    <row r="131" customFormat="false" ht="16.5" hidden="false" customHeight="false" outlineLevel="0" collapsed="false">
      <c r="D131" s="186" t="s">
        <v>733</v>
      </c>
      <c r="E131" s="187" t="s">
        <v>734</v>
      </c>
      <c r="F131" s="188" t="s">
        <v>446</v>
      </c>
      <c r="G131" s="189" t="s">
        <v>173</v>
      </c>
      <c r="H131" s="190" t="s">
        <v>188</v>
      </c>
      <c r="I131" s="191" t="s">
        <v>734</v>
      </c>
      <c r="J131" s="192" t="n">
        <f aca="false">IFERROR(VLOOKUP(VALUE($D131),BSPL2026!$B:$Z,25,FALSE()),0)</f>
        <v>-1404290230</v>
      </c>
      <c r="K131" s="193"/>
      <c r="L131" s="194"/>
      <c r="M131" s="192" t="n">
        <f aca="false">J131+K131-L131</f>
        <v>-1404290230</v>
      </c>
      <c r="N131" s="193" t="n">
        <f aca="false">SUMIF('statutory adj_2026 조정분개'!$S:$S,$D131,'statutory adj_2026 조정분개'!$K:$K)</f>
        <v>0</v>
      </c>
      <c r="O131" s="194" t="n">
        <f aca="false">SUMIF('statutory adj_2026 조정분개'!$S:$S,$D131,'statutory adj_2026 조정분개'!$L:$L)</f>
        <v>0</v>
      </c>
      <c r="P131" s="192" t="n">
        <f aca="false">M131+N131-O131</f>
        <v>-1404290230</v>
      </c>
      <c r="Q131" s="195" t="n">
        <f aca="false">IFERROR(VLOOKUP(VALUE($D131),BSPL2026!$B:$Q,16,FALSE()),0)</f>
        <v>-560663980</v>
      </c>
      <c r="R131" s="196" t="s">
        <v>449</v>
      </c>
      <c r="S131" s="172" t="str">
        <f aca="false">IFERROR(VLOOKUP(VALUE($D131),BSPL2026!$B:$M,12,FALSE()),"")</f>
        <v>예수금</v>
      </c>
      <c r="T131" s="172" t="str">
        <f aca="false">IF(OR(S131="",S131=0,LEFT(S131,5)="(원본오류"),"",IF(S131=H131,"","매핑차이"))</f>
        <v/>
      </c>
    </row>
    <row r="132" customFormat="false" ht="16.5" hidden="false" customHeight="false" outlineLevel="0" collapsed="false">
      <c r="D132" s="186" t="s">
        <v>735</v>
      </c>
      <c r="E132" s="187" t="s">
        <v>736</v>
      </c>
      <c r="F132" s="188" t="s">
        <v>446</v>
      </c>
      <c r="G132" s="189" t="s">
        <v>173</v>
      </c>
      <c r="H132" s="190" t="s">
        <v>191</v>
      </c>
      <c r="I132" s="191" t="s">
        <v>736</v>
      </c>
      <c r="J132" s="192" t="n">
        <f aca="false">IFERROR(VLOOKUP(VALUE($D132),BSPL2026!$B:$Z,25,FALSE()),0)</f>
        <v>0</v>
      </c>
      <c r="K132" s="193"/>
      <c r="L132" s="194"/>
      <c r="M132" s="192" t="n">
        <f aca="false">J132+K132-L132</f>
        <v>0</v>
      </c>
      <c r="N132" s="193" t="n">
        <f aca="false">SUMIF('statutory adj_2026 조정분개'!$S:$S,$D132,'statutory adj_2026 조정분개'!$K:$K)</f>
        <v>0</v>
      </c>
      <c r="O132" s="194" t="n">
        <f aca="false">SUMIF('statutory adj_2026 조정분개'!$S:$S,$D132,'statutory adj_2026 조정분개'!$L:$L)</f>
        <v>0</v>
      </c>
      <c r="P132" s="192" t="n">
        <f aca="false">M132+N132-O132</f>
        <v>0</v>
      </c>
      <c r="Q132" s="195" t="n">
        <f aca="false">IFERROR(VLOOKUP(VALUE($D132),BSPL2026!$B:$Q,16,FALSE()),0)</f>
        <v>0</v>
      </c>
      <c r="R132" s="196" t="s">
        <v>449</v>
      </c>
      <c r="S132" s="172" t="str">
        <f aca="false">IFERROR(VLOOKUP(VALUE($D132),BSPL2026!$B:$M,12,FALSE()),"")</f>
        <v>(원본오류 N/A)</v>
      </c>
      <c r="T132" s="172" t="str">
        <f aca="false">IF(OR(S132="",S132=0,LEFT(S132,5)="(원본오류"),"",IF(S132=H132,"","매핑차이"))</f>
        <v/>
      </c>
    </row>
    <row r="133" customFormat="false" ht="16.5" hidden="false" customHeight="false" outlineLevel="0" collapsed="false">
      <c r="D133" s="186" t="s">
        <v>737</v>
      </c>
      <c r="E133" s="187" t="s">
        <v>738</v>
      </c>
      <c r="F133" s="188" t="s">
        <v>446</v>
      </c>
      <c r="G133" s="189" t="s">
        <v>173</v>
      </c>
      <c r="H133" s="190" t="s">
        <v>191</v>
      </c>
      <c r="I133" s="191" t="s">
        <v>738</v>
      </c>
      <c r="J133" s="192" t="n">
        <f aca="false">IFERROR(VLOOKUP(VALUE($D133),BSPL2026!$B:$Z,25,FALSE()),0)</f>
        <v>0</v>
      </c>
      <c r="K133" s="193"/>
      <c r="L133" s="194"/>
      <c r="M133" s="192" t="n">
        <f aca="false">J133+K133-L133</f>
        <v>0</v>
      </c>
      <c r="N133" s="193" t="n">
        <f aca="false">SUMIF('statutory adj_2026 조정분개'!$S:$S,$D133,'statutory adj_2026 조정분개'!$K:$K)</f>
        <v>0</v>
      </c>
      <c r="O133" s="194" t="n">
        <f aca="false">SUMIF('statutory adj_2026 조정분개'!$S:$S,$D133,'statutory adj_2026 조정분개'!$L:$L)</f>
        <v>0</v>
      </c>
      <c r="P133" s="192" t="n">
        <f aca="false">M133+N133-O133</f>
        <v>0</v>
      </c>
      <c r="Q133" s="195" t="n">
        <f aca="false">IFERROR(VLOOKUP(VALUE($D133),BSPL2026!$B:$Q,16,FALSE()),0)</f>
        <v>0</v>
      </c>
      <c r="R133" s="196" t="s">
        <v>449</v>
      </c>
      <c r="S133" s="172" t="str">
        <f aca="false">IFERROR(VLOOKUP(VALUE($D133),BSPL2026!$B:$M,12,FALSE()),"")</f>
        <v>(원본오류 N/A)</v>
      </c>
      <c r="T133" s="172" t="str">
        <f aca="false">IF(OR(S133="",S133=0,LEFT(S133,5)="(원본오류"),"",IF(S133=H133,"","매핑차이"))</f>
        <v/>
      </c>
    </row>
    <row r="134" customFormat="false" ht="16.5" hidden="false" customHeight="false" outlineLevel="0" collapsed="false">
      <c r="D134" s="186" t="s">
        <v>739</v>
      </c>
      <c r="E134" s="187" t="s">
        <v>662</v>
      </c>
      <c r="F134" s="188" t="s">
        <v>446</v>
      </c>
      <c r="G134" s="189" t="s">
        <v>173</v>
      </c>
      <c r="H134" s="190" t="s">
        <v>191</v>
      </c>
      <c r="I134" s="191" t="s">
        <v>662</v>
      </c>
      <c r="J134" s="192" t="n">
        <f aca="false">IFERROR(VLOOKUP(VALUE($D134),BSPL2026!$B:$Z,25,FALSE()),0)</f>
        <v>-1472152548</v>
      </c>
      <c r="K134" s="193"/>
      <c r="L134" s="194"/>
      <c r="M134" s="192" t="n">
        <f aca="false">J134+K134-L134</f>
        <v>-1472152548</v>
      </c>
      <c r="N134" s="193" t="n">
        <f aca="false">SUMIF('statutory adj_2026 조정분개'!$S:$S,$D134,'statutory adj_2026 조정분개'!$K:$K)</f>
        <v>0</v>
      </c>
      <c r="O134" s="194" t="n">
        <f aca="false">SUMIF('statutory adj_2026 조정분개'!$S:$S,$D134,'statutory adj_2026 조정분개'!$L:$L)</f>
        <v>612260090</v>
      </c>
      <c r="P134" s="192" t="n">
        <f aca="false">M134+N134-O134</f>
        <v>-2084412638</v>
      </c>
      <c r="Q134" s="195" t="n">
        <f aca="false">IFERROR(VLOOKUP(VALUE($D134),BSPL2026!$B:$Q,16,FALSE()),0)</f>
        <v>-11574162239</v>
      </c>
      <c r="R134" s="196" t="s">
        <v>449</v>
      </c>
      <c r="S134" s="172" t="str">
        <f aca="false">IFERROR(VLOOKUP(VALUE($D134),BSPL2026!$B:$M,12,FALSE()),"")</f>
        <v>미지급비용</v>
      </c>
      <c r="T134" s="172" t="str">
        <f aca="false">IF(OR(S134="",S134=0,LEFT(S134,5)="(원본오류"),"",IF(S134=H134,"","매핑차이"))</f>
        <v/>
      </c>
    </row>
    <row r="135" customFormat="false" ht="16.5" hidden="false" customHeight="false" outlineLevel="0" collapsed="false">
      <c r="D135" s="186" t="s">
        <v>740</v>
      </c>
      <c r="E135" s="187" t="s">
        <v>741</v>
      </c>
      <c r="F135" s="188" t="s">
        <v>446</v>
      </c>
      <c r="G135" s="189" t="s">
        <v>173</v>
      </c>
      <c r="H135" s="190" t="s">
        <v>191</v>
      </c>
      <c r="I135" s="191" t="s">
        <v>741</v>
      </c>
      <c r="J135" s="192" t="n">
        <f aca="false">IFERROR(VLOOKUP(VALUE($D135),BSPL2026!$B:$Z,25,FALSE()),0)</f>
        <v>0</v>
      </c>
      <c r="K135" s="193"/>
      <c r="L135" s="194"/>
      <c r="M135" s="192" t="n">
        <f aca="false">J135+K135-L135</f>
        <v>0</v>
      </c>
      <c r="N135" s="193" t="n">
        <f aca="false">SUMIF('statutory adj_2026 조정분개'!$S:$S,$D135,'statutory adj_2026 조정분개'!$K:$K)</f>
        <v>0</v>
      </c>
      <c r="O135" s="194" t="n">
        <f aca="false">SUMIF('statutory adj_2026 조정분개'!$S:$S,$D135,'statutory adj_2026 조정분개'!$L:$L)</f>
        <v>0</v>
      </c>
      <c r="P135" s="192" t="n">
        <f aca="false">M135+N135-O135</f>
        <v>0</v>
      </c>
      <c r="Q135" s="195" t="n">
        <f aca="false">IFERROR(VLOOKUP(VALUE($D135),BSPL2026!$B:$Q,16,FALSE()),0)</f>
        <v>0</v>
      </c>
      <c r="R135" s="196" t="s">
        <v>449</v>
      </c>
      <c r="S135" s="172" t="str">
        <f aca="false">IFERROR(VLOOKUP(VALUE($D135),BSPL2026!$B:$M,12,FALSE()),"")</f>
        <v>미지급비용</v>
      </c>
      <c r="T135" s="172" t="str">
        <f aca="false">IF(OR(S135="",S135=0,LEFT(S135,5)="(원본오류"),"",IF(S135=H135,"","매핑차이"))</f>
        <v/>
      </c>
    </row>
    <row r="136" customFormat="false" ht="16.5" hidden="false" customHeight="false" outlineLevel="0" collapsed="false">
      <c r="D136" s="186" t="s">
        <v>742</v>
      </c>
      <c r="E136" s="187" t="s">
        <v>703</v>
      </c>
      <c r="F136" s="188" t="s">
        <v>446</v>
      </c>
      <c r="G136" s="189" t="s">
        <v>173</v>
      </c>
      <c r="H136" s="190" t="s">
        <v>191</v>
      </c>
      <c r="I136" s="191" t="s">
        <v>703</v>
      </c>
      <c r="J136" s="192" t="n">
        <f aca="false">IFERROR(VLOOKUP(VALUE($D136),BSPL2026!$B:$Z,25,FALSE()),0)</f>
        <v>-207900</v>
      </c>
      <c r="K136" s="193"/>
      <c r="L136" s="194"/>
      <c r="M136" s="192" t="n">
        <f aca="false">J136+K136-L136</f>
        <v>-207900</v>
      </c>
      <c r="N136" s="193" t="n">
        <f aca="false">SUMIF('statutory adj_2026 조정분개'!$S:$S,$D136,'statutory adj_2026 조정분개'!$K:$K)</f>
        <v>0</v>
      </c>
      <c r="O136" s="194" t="n">
        <f aca="false">SUMIF('statutory adj_2026 조정분개'!$S:$S,$D136,'statutory adj_2026 조정분개'!$L:$L)</f>
        <v>0</v>
      </c>
      <c r="P136" s="192" t="n">
        <f aca="false">M136+N136-O136</f>
        <v>-207900</v>
      </c>
      <c r="Q136" s="195" t="n">
        <f aca="false">IFERROR(VLOOKUP(VALUE($D136),BSPL2026!$B:$Q,16,FALSE()),0)</f>
        <v>-25740</v>
      </c>
      <c r="R136" s="196" t="s">
        <v>449</v>
      </c>
      <c r="S136" s="172" t="str">
        <f aca="false">IFERROR(VLOOKUP(VALUE($D136),BSPL2026!$B:$M,12,FALSE()),"")</f>
        <v>미지급비용</v>
      </c>
      <c r="T136" s="172" t="str">
        <f aca="false">IF(OR(S136="",S136=0,LEFT(S136,5)="(원본오류"),"",IF(S136=H136,"","매핑차이"))</f>
        <v/>
      </c>
    </row>
    <row r="137" customFormat="false" ht="16.5" hidden="false" customHeight="false" outlineLevel="0" collapsed="false">
      <c r="D137" s="186" t="s">
        <v>743</v>
      </c>
      <c r="E137" s="187" t="s">
        <v>744</v>
      </c>
      <c r="F137" s="188" t="s">
        <v>446</v>
      </c>
      <c r="G137" s="189" t="s">
        <v>173</v>
      </c>
      <c r="H137" s="190" t="s">
        <v>191</v>
      </c>
      <c r="I137" s="191" t="s">
        <v>744</v>
      </c>
      <c r="J137" s="192" t="n">
        <f aca="false">IFERROR(VLOOKUP(VALUE($D137),BSPL2026!$B:$Z,25,FALSE()),0)</f>
        <v>-50044282649</v>
      </c>
      <c r="K137" s="193"/>
      <c r="L137" s="194"/>
      <c r="M137" s="192" t="n">
        <f aca="false">J137+K137-L137</f>
        <v>-50044282649</v>
      </c>
      <c r="N137" s="193" t="n">
        <f aca="false">SUMIF('statutory adj_2026 조정분개'!$S:$S,$D137,'statutory adj_2026 조정분개'!$K:$K)</f>
        <v>0</v>
      </c>
      <c r="O137" s="194" t="n">
        <f aca="false">SUMIF('statutory adj_2026 조정분개'!$S:$S,$D137,'statutory adj_2026 조정분개'!$L:$L)</f>
        <v>0</v>
      </c>
      <c r="P137" s="192" t="n">
        <f aca="false">M137+N137-O137</f>
        <v>-50044282649</v>
      </c>
      <c r="Q137" s="195" t="n">
        <f aca="false">IFERROR(VLOOKUP(VALUE($D137),BSPL2026!$B:$Q,16,FALSE()),0)</f>
        <v>-52227560299</v>
      </c>
      <c r="R137" s="196" t="s">
        <v>449</v>
      </c>
      <c r="S137" s="172" t="str">
        <f aca="false">IFERROR(VLOOKUP(VALUE($D137),BSPL2026!$B:$M,12,FALSE()),"")</f>
        <v>미지급비용</v>
      </c>
      <c r="T137" s="172" t="str">
        <f aca="false">IF(OR(S137="",S137=0,LEFT(S137,5)="(원본오류"),"",IF(S137=H137,"","매핑차이"))</f>
        <v/>
      </c>
    </row>
    <row r="138" customFormat="false" ht="16.5" hidden="false" customHeight="false" outlineLevel="0" collapsed="false">
      <c r="D138" s="186" t="s">
        <v>745</v>
      </c>
      <c r="E138" s="187" t="s">
        <v>746</v>
      </c>
      <c r="F138" s="188" t="s">
        <v>446</v>
      </c>
      <c r="G138" s="189" t="s">
        <v>173</v>
      </c>
      <c r="H138" s="190" t="s">
        <v>191</v>
      </c>
      <c r="I138" s="191" t="s">
        <v>746</v>
      </c>
      <c r="J138" s="192" t="n">
        <f aca="false">IFERROR(VLOOKUP(VALUE($D138),BSPL2026!$B:$Z,25,FALSE()),0)</f>
        <v>-42000000</v>
      </c>
      <c r="K138" s="193"/>
      <c r="L138" s="194"/>
      <c r="M138" s="192" t="n">
        <f aca="false">J138+K138-L138</f>
        <v>-42000000</v>
      </c>
      <c r="N138" s="193" t="n">
        <f aca="false">SUMIF('statutory adj_2026 조정분개'!$S:$S,$D138,'statutory adj_2026 조정분개'!$K:$K)</f>
        <v>0</v>
      </c>
      <c r="O138" s="194" t="n">
        <f aca="false">SUMIF('statutory adj_2026 조정분개'!$S:$S,$D138,'statutory adj_2026 조정분개'!$L:$L)</f>
        <v>0</v>
      </c>
      <c r="P138" s="192" t="n">
        <f aca="false">M138+N138-O138</f>
        <v>-42000000</v>
      </c>
      <c r="Q138" s="195" t="n">
        <f aca="false">IFERROR(VLOOKUP(VALUE($D138),BSPL2026!$B:$Q,16,FALSE()),0)</f>
        <v>-122500000</v>
      </c>
      <c r="R138" s="196" t="s">
        <v>449</v>
      </c>
      <c r="S138" s="172" t="str">
        <f aca="false">IFERROR(VLOOKUP(VALUE($D138),BSPL2026!$B:$M,12,FALSE()),"")</f>
        <v>미지급비용</v>
      </c>
      <c r="T138" s="172" t="str">
        <f aca="false">IF(OR(S138="",S138=0,LEFT(S138,5)="(원본오류"),"",IF(S138=H138,"","매핑차이"))</f>
        <v/>
      </c>
    </row>
    <row r="139" customFormat="false" ht="16.5" hidden="false" customHeight="false" outlineLevel="0" collapsed="false">
      <c r="D139" s="186" t="s">
        <v>747</v>
      </c>
      <c r="E139" s="187" t="s">
        <v>748</v>
      </c>
      <c r="F139" s="188" t="s">
        <v>446</v>
      </c>
      <c r="G139" s="189" t="s">
        <v>173</v>
      </c>
      <c r="H139" s="190" t="s">
        <v>191</v>
      </c>
      <c r="I139" s="191" t="s">
        <v>748</v>
      </c>
      <c r="J139" s="192" t="n">
        <f aca="false">IFERROR(VLOOKUP(VALUE($D139),BSPL2026!$B:$Z,25,FALSE()),0)</f>
        <v>-758423387</v>
      </c>
      <c r="K139" s="193"/>
      <c r="L139" s="194"/>
      <c r="M139" s="192" t="n">
        <f aca="false">J139+K139-L139</f>
        <v>-758423387</v>
      </c>
      <c r="N139" s="193" t="n">
        <f aca="false">SUMIF('statutory adj_2026 조정분개'!$S:$S,$D139,'statutory adj_2026 조정분개'!$K:$K)</f>
        <v>758423387</v>
      </c>
      <c r="O139" s="194" t="n">
        <f aca="false">SUMIF('statutory adj_2026 조정분개'!$S:$S,$D139,'statutory adj_2026 조정분개'!$L:$L)</f>
        <v>0</v>
      </c>
      <c r="P139" s="192" t="n">
        <f aca="false">M139+N139-O139</f>
        <v>0</v>
      </c>
      <c r="Q139" s="195" t="n">
        <f aca="false">IFERROR(VLOOKUP(VALUE($D139),BSPL2026!$B:$Q,16,FALSE()),0)</f>
        <v>-1003866748</v>
      </c>
      <c r="R139" s="196" t="s">
        <v>449</v>
      </c>
      <c r="S139" s="172" t="str">
        <f aca="false">IFERROR(VLOOKUP(VALUE($D139),BSPL2026!$B:$M,12,FALSE()),"")</f>
        <v>미지급비용</v>
      </c>
      <c r="T139" s="172" t="str">
        <f aca="false">IF(OR(S139="",S139=0,LEFT(S139,5)="(원본오류"),"",IF(S139=H139,"","매핑차이"))</f>
        <v/>
      </c>
    </row>
    <row r="140" customFormat="false" ht="16.5" hidden="false" customHeight="false" outlineLevel="0" collapsed="false">
      <c r="D140" s="186" t="s">
        <v>749</v>
      </c>
      <c r="E140" s="187" t="s">
        <v>750</v>
      </c>
      <c r="F140" s="188" t="s">
        <v>446</v>
      </c>
      <c r="G140" s="189" t="s">
        <v>173</v>
      </c>
      <c r="H140" s="190" t="s">
        <v>191</v>
      </c>
      <c r="I140" s="191" t="s">
        <v>750</v>
      </c>
      <c r="J140" s="192" t="n">
        <f aca="false">IFERROR(VLOOKUP(VALUE($D140),BSPL2026!$B:$Z,25,FALSE()),0)</f>
        <v>-5015243935</v>
      </c>
      <c r="K140" s="193"/>
      <c r="L140" s="194"/>
      <c r="M140" s="192" t="n">
        <f aca="false">J140+K140-L140</f>
        <v>-5015243935</v>
      </c>
      <c r="N140" s="193" t="n">
        <f aca="false">SUMIF('statutory adj_2026 조정분개'!$S:$S,$D140,'statutory adj_2026 조정분개'!$K:$K)</f>
        <v>0</v>
      </c>
      <c r="O140" s="194" t="n">
        <f aca="false">SUMIF('statutory adj_2026 조정분개'!$S:$S,$D140,'statutory adj_2026 조정분개'!$L:$L)</f>
        <v>0</v>
      </c>
      <c r="P140" s="192" t="n">
        <f aca="false">M140+N140-O140</f>
        <v>-5015243935</v>
      </c>
      <c r="Q140" s="195" t="n">
        <f aca="false">IFERROR(VLOOKUP(VALUE($D140),BSPL2026!$B:$Q,16,FALSE()),0)</f>
        <v>0</v>
      </c>
      <c r="R140" s="196" t="s">
        <v>449</v>
      </c>
      <c r="S140" s="172" t="str">
        <f aca="false">IFERROR(VLOOKUP(VALUE($D140),BSPL2026!$B:$M,12,FALSE()),"")</f>
        <v>미지급비용</v>
      </c>
      <c r="T140" s="172" t="str">
        <f aca="false">IF(OR(S140="",S140=0,LEFT(S140,5)="(원본오류"),"",IF(S140=H140,"","매핑차이"))</f>
        <v/>
      </c>
    </row>
    <row r="141" customFormat="false" ht="16.5" hidden="false" customHeight="false" outlineLevel="0" collapsed="false">
      <c r="D141" s="186" t="s">
        <v>751</v>
      </c>
      <c r="E141" s="187" t="s">
        <v>752</v>
      </c>
      <c r="F141" s="188" t="s">
        <v>446</v>
      </c>
      <c r="G141" s="189" t="s">
        <v>173</v>
      </c>
      <c r="H141" s="190" t="s">
        <v>191</v>
      </c>
      <c r="I141" s="191" t="s">
        <v>752</v>
      </c>
      <c r="J141" s="192" t="n">
        <f aca="false">IFERROR(VLOOKUP(VALUE($D141),BSPL2026!$B:$Z,25,FALSE()),0)</f>
        <v>-10532431629</v>
      </c>
      <c r="K141" s="193"/>
      <c r="L141" s="194"/>
      <c r="M141" s="192" t="n">
        <f aca="false">J141+K141-L141</f>
        <v>-10532431629</v>
      </c>
      <c r="N141" s="193" t="n">
        <f aca="false">SUMIF('statutory adj_2026 조정분개'!$S:$S,$D141,'statutory adj_2026 조정분개'!$K:$K)</f>
        <v>10532431629</v>
      </c>
      <c r="O141" s="194" t="n">
        <f aca="false">SUMIF('statutory adj_2026 조정분개'!$S:$S,$D141,'statutory adj_2026 조정분개'!$L:$L)</f>
        <v>0</v>
      </c>
      <c r="P141" s="192" t="n">
        <f aca="false">M141+N141-O141</f>
        <v>0</v>
      </c>
      <c r="Q141" s="195" t="n">
        <f aca="false">IFERROR(VLOOKUP(VALUE($D141),BSPL2026!$B:$Q,16,FALSE()),0)</f>
        <v>-5108547535</v>
      </c>
      <c r="R141" s="196" t="s">
        <v>449</v>
      </c>
      <c r="S141" s="172" t="str">
        <f aca="false">IFERROR(VLOOKUP(VALUE($D141),BSPL2026!$B:$M,12,FALSE()),"")</f>
        <v>미지급비용</v>
      </c>
      <c r="T141" s="172" t="str">
        <f aca="false">IF(OR(S141="",S141=0,LEFT(S141,5)="(원본오류"),"",IF(S141=H141,"","매핑차이"))</f>
        <v/>
      </c>
    </row>
    <row r="142" customFormat="false" ht="16.5" hidden="false" customHeight="false" outlineLevel="0" collapsed="false">
      <c r="D142" s="186" t="s">
        <v>753</v>
      </c>
      <c r="E142" s="187" t="s">
        <v>754</v>
      </c>
      <c r="F142" s="188" t="s">
        <v>446</v>
      </c>
      <c r="G142" s="189" t="s">
        <v>173</v>
      </c>
      <c r="H142" s="190" t="s">
        <v>191</v>
      </c>
      <c r="I142" s="191" t="s">
        <v>754</v>
      </c>
      <c r="J142" s="192" t="n">
        <f aca="false">IFERROR(VLOOKUP(VALUE($D142),BSPL2026!$B:$Z,25,FALSE()),0)</f>
        <v>-1124955108</v>
      </c>
      <c r="K142" s="193"/>
      <c r="L142" s="194"/>
      <c r="M142" s="192" t="n">
        <f aca="false">J142+K142-L142</f>
        <v>-1124955108</v>
      </c>
      <c r="N142" s="193" t="n">
        <f aca="false">SUMIF('statutory adj_2026 조정분개'!$S:$S,$D142,'statutory adj_2026 조정분개'!$K:$K)</f>
        <v>1124955108</v>
      </c>
      <c r="O142" s="194" t="n">
        <f aca="false">SUMIF('statutory adj_2026 조정분개'!$S:$S,$D142,'statutory adj_2026 조정분개'!$L:$L)</f>
        <v>0</v>
      </c>
      <c r="P142" s="192" t="n">
        <f aca="false">M142+N142-O142</f>
        <v>0</v>
      </c>
      <c r="Q142" s="195" t="n">
        <f aca="false">IFERROR(VLOOKUP(VALUE($D142),BSPL2026!$B:$Q,16,FALSE()),0)</f>
        <v>-1080026241</v>
      </c>
      <c r="R142" s="196" t="s">
        <v>449</v>
      </c>
      <c r="S142" s="172" t="str">
        <f aca="false">IFERROR(VLOOKUP(VALUE($D142),BSPL2026!$B:$M,12,FALSE()),"")</f>
        <v>미지급비용</v>
      </c>
      <c r="T142" s="172" t="str">
        <f aca="false">IF(OR(S142="",S142=0,LEFT(S142,5)="(원본오류"),"",IF(S142=H142,"","매핑차이"))</f>
        <v/>
      </c>
    </row>
    <row r="143" customFormat="false" ht="16.5" hidden="false" customHeight="false" outlineLevel="0" collapsed="false">
      <c r="D143" s="186" t="s">
        <v>755</v>
      </c>
      <c r="E143" s="187" t="s">
        <v>756</v>
      </c>
      <c r="F143" s="188" t="s">
        <v>446</v>
      </c>
      <c r="G143" s="189" t="s">
        <v>173</v>
      </c>
      <c r="H143" s="190" t="s">
        <v>191</v>
      </c>
      <c r="I143" s="191" t="s">
        <v>756</v>
      </c>
      <c r="J143" s="192" t="n">
        <f aca="false">IFERROR(VLOOKUP(VALUE($D143),BSPL2026!$B:$Z,25,FALSE()),0)</f>
        <v>0</v>
      </c>
      <c r="K143" s="193"/>
      <c r="L143" s="194"/>
      <c r="M143" s="192" t="n">
        <f aca="false">J143+K143-L143</f>
        <v>0</v>
      </c>
      <c r="N143" s="193" t="n">
        <f aca="false">SUMIF('statutory adj_2026 조정분개'!$S:$S,$D143,'statutory adj_2026 조정분개'!$K:$K)</f>
        <v>0</v>
      </c>
      <c r="O143" s="194" t="n">
        <f aca="false">SUMIF('statutory adj_2026 조정분개'!$S:$S,$D143,'statutory adj_2026 조정분개'!$L:$L)</f>
        <v>0</v>
      </c>
      <c r="P143" s="192" t="n">
        <f aca="false">M143+N143-O143</f>
        <v>0</v>
      </c>
      <c r="Q143" s="195" t="n">
        <f aca="false">IFERROR(VLOOKUP(VALUE($D143),BSPL2026!$B:$Q,16,FALSE()),0)</f>
        <v>-5006635526</v>
      </c>
      <c r="R143" s="196" t="s">
        <v>449</v>
      </c>
      <c r="S143" s="172" t="str">
        <f aca="false">IFERROR(VLOOKUP(VALUE($D143),BSPL2026!$B:$M,12,FALSE()),"")</f>
        <v>미지급비용</v>
      </c>
      <c r="T143" s="172" t="str">
        <f aca="false">IF(OR(S143="",S143=0,LEFT(S143,5)="(원본오류"),"",IF(S143=H143,"","매핑차이"))</f>
        <v/>
      </c>
    </row>
    <row r="144" customFormat="false" ht="16.5" hidden="false" customHeight="false" outlineLevel="0" collapsed="false">
      <c r="D144" s="186" t="s">
        <v>757</v>
      </c>
      <c r="E144" s="187" t="s">
        <v>758</v>
      </c>
      <c r="F144" s="188" t="s">
        <v>446</v>
      </c>
      <c r="G144" s="189" t="s">
        <v>173</v>
      </c>
      <c r="H144" s="190" t="s">
        <v>186</v>
      </c>
      <c r="I144" s="191" t="s">
        <v>758</v>
      </c>
      <c r="J144" s="192" t="n">
        <f aca="false">IFERROR(VLOOKUP(VALUE($D144),BSPL2026!$B:$Z,25,FALSE()),0)</f>
        <v>0</v>
      </c>
      <c r="K144" s="193"/>
      <c r="L144" s="194"/>
      <c r="M144" s="192" t="n">
        <f aca="false">J144+K144-L144</f>
        <v>0</v>
      </c>
      <c r="N144" s="193" t="n">
        <f aca="false">SUMIF('statutory adj_2026 조정분개'!$S:$S,$D144,'statutory adj_2026 조정분개'!$K:$K)</f>
        <v>0</v>
      </c>
      <c r="O144" s="194" t="n">
        <f aca="false">SUMIF('statutory adj_2026 조정분개'!$S:$S,$D144,'statutory adj_2026 조정분개'!$L:$L)</f>
        <v>0</v>
      </c>
      <c r="P144" s="192" t="n">
        <f aca="false">M144+N144-O144</f>
        <v>0</v>
      </c>
      <c r="Q144" s="195" t="n">
        <f aca="false">IFERROR(VLOOKUP(VALUE($D144),BSPL2026!$B:$Q,16,FALSE()),0)</f>
        <v>149468</v>
      </c>
      <c r="R144" s="196" t="s">
        <v>449</v>
      </c>
      <c r="S144" s="172" t="str">
        <f aca="false">IFERROR(VLOOKUP(VALUE($D144),BSPL2026!$B:$M,12,FALSE()),"")</f>
        <v>선수금</v>
      </c>
      <c r="T144" s="172" t="str">
        <f aca="false">IF(OR(S144="",S144=0,LEFT(S144,5)="(원본오류"),"",IF(S144=H144,"","매핑차이"))</f>
        <v/>
      </c>
    </row>
    <row r="145" customFormat="false" ht="16.5" hidden="false" customHeight="false" outlineLevel="0" collapsed="false">
      <c r="D145" s="186" t="s">
        <v>759</v>
      </c>
      <c r="E145" s="187" t="s">
        <v>760</v>
      </c>
      <c r="F145" s="188" t="s">
        <v>446</v>
      </c>
      <c r="G145" s="189" t="s">
        <v>173</v>
      </c>
      <c r="H145" s="190" t="s">
        <v>186</v>
      </c>
      <c r="I145" s="191" t="s">
        <v>760</v>
      </c>
      <c r="J145" s="192" t="n">
        <f aca="false">IFERROR(VLOOKUP(VALUE($D145),BSPL2026!$B:$Z,25,FALSE()),0)</f>
        <v>0</v>
      </c>
      <c r="K145" s="193"/>
      <c r="L145" s="194"/>
      <c r="M145" s="192" t="n">
        <f aca="false">J145+K145-L145</f>
        <v>0</v>
      </c>
      <c r="N145" s="193" t="n">
        <f aca="false">SUMIF('statutory adj_2026 조정분개'!$S:$S,$D145,'statutory adj_2026 조정분개'!$K:$K)</f>
        <v>0</v>
      </c>
      <c r="O145" s="194" t="n">
        <f aca="false">SUMIF('statutory adj_2026 조정분개'!$S:$S,$D145,'statutory adj_2026 조정분개'!$L:$L)</f>
        <v>0</v>
      </c>
      <c r="P145" s="192" t="n">
        <f aca="false">M145+N145-O145</f>
        <v>0</v>
      </c>
      <c r="Q145" s="195" t="n">
        <f aca="false">IFERROR(VLOOKUP(VALUE($D145),BSPL2026!$B:$Q,16,FALSE()),0)</f>
        <v>-2887000</v>
      </c>
      <c r="R145" s="196" t="s">
        <v>449</v>
      </c>
      <c r="S145" s="172" t="str">
        <f aca="false">IFERROR(VLOOKUP(VALUE($D145),BSPL2026!$B:$M,12,FALSE()),"")</f>
        <v>선수금</v>
      </c>
      <c r="T145" s="172" t="str">
        <f aca="false">IF(OR(S145="",S145=0,LEFT(S145,5)="(원본오류"),"",IF(S145=H145,"","매핑차이"))</f>
        <v/>
      </c>
    </row>
    <row r="146" customFormat="false" ht="16.5" hidden="false" customHeight="false" outlineLevel="0" collapsed="false">
      <c r="D146" s="186" t="s">
        <v>761</v>
      </c>
      <c r="E146" s="187" t="s">
        <v>762</v>
      </c>
      <c r="F146" s="188" t="s">
        <v>446</v>
      </c>
      <c r="G146" s="189" t="s">
        <v>173</v>
      </c>
      <c r="H146" s="190" t="s">
        <v>191</v>
      </c>
      <c r="I146" s="191" t="s">
        <v>762</v>
      </c>
      <c r="J146" s="192" t="n">
        <f aca="false">IFERROR(VLOOKUP(VALUE($D146),BSPL2026!$B:$Z,25,FALSE()),0)</f>
        <v>-231643268</v>
      </c>
      <c r="K146" s="193"/>
      <c r="L146" s="194"/>
      <c r="M146" s="192" t="n">
        <f aca="false">J146+K146-L146</f>
        <v>-231643268</v>
      </c>
      <c r="N146" s="193" t="n">
        <f aca="false">SUMIF('statutory adj_2026 조정분개'!$S:$S,$D146,'statutory adj_2026 조정분개'!$K:$K)</f>
        <v>0</v>
      </c>
      <c r="O146" s="194" t="n">
        <f aca="false">SUMIF('statutory adj_2026 조정분개'!$S:$S,$D146,'statutory adj_2026 조정분개'!$L:$L)</f>
        <v>0</v>
      </c>
      <c r="P146" s="192" t="n">
        <f aca="false">M146+N146-O146</f>
        <v>-231643268</v>
      </c>
      <c r="Q146" s="195" t="n">
        <f aca="false">IFERROR(VLOOKUP(VALUE($D146),BSPL2026!$B:$Q,16,FALSE()),0)</f>
        <v>-1034568702</v>
      </c>
      <c r="R146" s="196" t="s">
        <v>449</v>
      </c>
      <c r="S146" s="172" t="str">
        <f aca="false">IFERROR(VLOOKUP(VALUE($D146),BSPL2026!$B:$M,12,FALSE()),"")</f>
        <v>미지급비용</v>
      </c>
      <c r="T146" s="172" t="str">
        <f aca="false">IF(OR(S146="",S146=0,LEFT(S146,5)="(원본오류"),"",IF(S146=H146,"","매핑차이"))</f>
        <v/>
      </c>
    </row>
    <row r="147" customFormat="false" ht="16.5" hidden="false" customHeight="false" outlineLevel="0" collapsed="false">
      <c r="D147" s="186" t="s">
        <v>763</v>
      </c>
      <c r="E147" s="187" t="s">
        <v>764</v>
      </c>
      <c r="F147" s="188" t="s">
        <v>446</v>
      </c>
      <c r="G147" s="189" t="s">
        <v>173</v>
      </c>
      <c r="H147" s="190" t="s">
        <v>191</v>
      </c>
      <c r="I147" s="191" t="s">
        <v>764</v>
      </c>
      <c r="J147" s="192" t="n">
        <f aca="false">IFERROR(VLOOKUP(VALUE($D147),BSPL2026!$B:$Z,25,FALSE()),0)</f>
        <v>-331343</v>
      </c>
      <c r="K147" s="193"/>
      <c r="L147" s="194"/>
      <c r="M147" s="192" t="n">
        <f aca="false">J147+K147-L147</f>
        <v>-331343</v>
      </c>
      <c r="N147" s="193" t="n">
        <f aca="false">SUMIF('statutory adj_2026 조정분개'!$S:$S,$D147,'statutory adj_2026 조정분개'!$K:$K)</f>
        <v>0</v>
      </c>
      <c r="O147" s="194" t="n">
        <f aca="false">SUMIF('statutory adj_2026 조정분개'!$S:$S,$D147,'statutory adj_2026 조정분개'!$L:$L)</f>
        <v>0</v>
      </c>
      <c r="P147" s="192" t="n">
        <f aca="false">M147+N147-O147</f>
        <v>-331343</v>
      </c>
      <c r="Q147" s="195" t="n">
        <f aca="false">IFERROR(VLOOKUP(VALUE($D147),BSPL2026!$B:$Q,16,FALSE()),0)</f>
        <v>-1479860</v>
      </c>
      <c r="R147" s="196" t="s">
        <v>449</v>
      </c>
      <c r="S147" s="172" t="str">
        <f aca="false">IFERROR(VLOOKUP(VALUE($D147),BSPL2026!$B:$M,12,FALSE()),"")</f>
        <v>미지급비용</v>
      </c>
      <c r="T147" s="172" t="str">
        <f aca="false">IF(OR(S147="",S147=0,LEFT(S147,5)="(원본오류"),"",IF(S147=H147,"","매핑차이"))</f>
        <v/>
      </c>
    </row>
    <row r="148" customFormat="false" ht="16.5" hidden="false" customHeight="false" outlineLevel="0" collapsed="false">
      <c r="D148" s="186" t="s">
        <v>765</v>
      </c>
      <c r="E148" s="187" t="s">
        <v>766</v>
      </c>
      <c r="F148" s="188" t="s">
        <v>446</v>
      </c>
      <c r="G148" s="189" t="s">
        <v>173</v>
      </c>
      <c r="H148" s="190" t="s">
        <v>194</v>
      </c>
      <c r="I148" s="191" t="s">
        <v>766</v>
      </c>
      <c r="J148" s="192" t="n">
        <f aca="false">IFERROR(VLOOKUP(VALUE($D148),BSPL2026!$B:$Z,25,FALSE()),0)</f>
        <v>-22255016822</v>
      </c>
      <c r="K148" s="193"/>
      <c r="L148" s="194"/>
      <c r="M148" s="192" t="n">
        <f aca="false">J148+K148-L148</f>
        <v>-22255016822</v>
      </c>
      <c r="N148" s="193" t="n">
        <f aca="false">SUMIF('statutory adj_2026 조정분개'!$S:$S,$D148,'statutory adj_2026 조정분개'!$K:$K)</f>
        <v>0</v>
      </c>
      <c r="O148" s="194" t="n">
        <f aca="false">SUMIF('statutory adj_2026 조정분개'!$S:$S,$D148,'statutory adj_2026 조정분개'!$L:$L)</f>
        <v>0</v>
      </c>
      <c r="P148" s="192" t="n">
        <f aca="false">M148+N148-O148</f>
        <v>-22255016822</v>
      </c>
      <c r="Q148" s="195" t="n">
        <f aca="false">IFERROR(VLOOKUP(VALUE($D148),BSPL2026!$B:$Q,16,FALSE()),0)</f>
        <v>-17831350526</v>
      </c>
      <c r="R148" s="196" t="s">
        <v>449</v>
      </c>
      <c r="S148" s="172" t="str">
        <f aca="false">IFERROR(VLOOKUP(VALUE($D148),BSPL2026!$B:$M,12,FALSE()),"")</f>
        <v>부가가치세예수금</v>
      </c>
      <c r="T148" s="172" t="str">
        <f aca="false">IF(OR(S148="",S148=0,LEFT(S148,5)="(원본오류"),"",IF(S148=H148,"","매핑차이"))</f>
        <v/>
      </c>
    </row>
    <row r="149" customFormat="false" ht="16.5" hidden="false" customHeight="false" outlineLevel="0" collapsed="false">
      <c r="D149" s="186" t="s">
        <v>767</v>
      </c>
      <c r="E149" s="187" t="s">
        <v>768</v>
      </c>
      <c r="F149" s="188" t="s">
        <v>446</v>
      </c>
      <c r="G149" s="189" t="s">
        <v>173</v>
      </c>
      <c r="H149" s="190" t="s">
        <v>197</v>
      </c>
      <c r="I149" s="191" t="s">
        <v>768</v>
      </c>
      <c r="J149" s="192" t="n">
        <f aca="false">IFERROR(VLOOKUP(VALUE($D149),BSPL2026!$B:$Z,25,FALSE()),0)</f>
        <v>-3452659288</v>
      </c>
      <c r="K149" s="193"/>
      <c r="L149" s="194"/>
      <c r="M149" s="192" t="n">
        <f aca="false">J149+K149-L149</f>
        <v>-3452659288</v>
      </c>
      <c r="N149" s="193" t="n">
        <f aca="false">SUMIF('statutory adj_2026 조정분개'!$S:$S,$D149,'statutory adj_2026 조정분개'!$K:$K)</f>
        <v>0</v>
      </c>
      <c r="O149" s="194" t="n">
        <f aca="false">SUMIF('statutory adj_2026 조정분개'!$S:$S,$D149,'statutory adj_2026 조정분개'!$L:$L)</f>
        <v>0</v>
      </c>
      <c r="P149" s="192" t="n">
        <f aca="false">M149+N149-O149</f>
        <v>-3452659288</v>
      </c>
      <c r="Q149" s="195" t="n">
        <f aca="false">IFERROR(VLOOKUP(VALUE($D149),BSPL2026!$B:$Q,16,FALSE()),0)</f>
        <v>-11006749505</v>
      </c>
      <c r="R149" s="196" t="s">
        <v>449</v>
      </c>
      <c r="S149" s="172" t="str">
        <f aca="false">IFERROR(VLOOKUP(VALUE($D149),BSPL2026!$B:$M,12,FALSE()),"")</f>
        <v>미지급법인세</v>
      </c>
      <c r="T149" s="172" t="str">
        <f aca="false">IF(OR(S149="",S149=0,LEFT(S149,5)="(원본오류"),"",IF(S149=H149,"","매핑차이"))</f>
        <v/>
      </c>
    </row>
    <row r="150" customFormat="false" ht="16.5" hidden="false" customHeight="false" outlineLevel="0" collapsed="false">
      <c r="D150" s="186" t="s">
        <v>769</v>
      </c>
      <c r="E150" s="187" t="s">
        <v>770</v>
      </c>
      <c r="F150" s="188" t="s">
        <v>446</v>
      </c>
      <c r="G150" s="189" t="s">
        <v>447</v>
      </c>
      <c r="H150" s="190" t="s">
        <v>162</v>
      </c>
      <c r="I150" s="191" t="s">
        <v>770</v>
      </c>
      <c r="J150" s="192" t="n">
        <f aca="false">IFERROR(VLOOKUP(VALUE($D150),BSPL2026!$B:$Z,25,FALSE()),0)</f>
        <v>0</v>
      </c>
      <c r="K150" s="193"/>
      <c r="L150" s="194"/>
      <c r="M150" s="192" t="n">
        <f aca="false">J150+K150-L150</f>
        <v>0</v>
      </c>
      <c r="N150" s="193" t="n">
        <f aca="false">SUMIF('statutory adj_2026 조정분개'!$S:$S,$D150,'statutory adj_2026 조정분개'!$K:$K)</f>
        <v>0</v>
      </c>
      <c r="O150" s="194" t="n">
        <f aca="false">SUMIF('statutory adj_2026 조정분개'!$S:$S,$D150,'statutory adj_2026 조정분개'!$L:$L)</f>
        <v>0</v>
      </c>
      <c r="P150" s="192" t="n">
        <f aca="false">M150+N150-O150</f>
        <v>0</v>
      </c>
      <c r="Q150" s="195" t="n">
        <f aca="false">IFERROR(VLOOKUP(VALUE($D150),BSPL2026!$B:$Q,16,FALSE()),0)</f>
        <v>4436894520</v>
      </c>
      <c r="R150" s="196" t="s">
        <v>449</v>
      </c>
      <c r="S150" s="172" t="str">
        <f aca="false">IFERROR(VLOOKUP(VALUE($D150),BSPL2026!$B:$M,12,FALSE()),"")</f>
        <v>선급법인세</v>
      </c>
      <c r="T150" s="172" t="str">
        <f aca="false">IF(OR(S150="",S150=0,LEFT(S150,5)="(원본오류"),"",IF(S150=H150,"","매핑차이"))</f>
        <v/>
      </c>
    </row>
    <row r="151" customFormat="false" ht="16.5" hidden="false" customHeight="false" outlineLevel="0" collapsed="false">
      <c r="D151" s="186" t="s">
        <v>771</v>
      </c>
      <c r="E151" s="187" t="s">
        <v>772</v>
      </c>
      <c r="F151" s="188" t="s">
        <v>446</v>
      </c>
      <c r="G151" s="189" t="s">
        <v>447</v>
      </c>
      <c r="H151" s="190" t="s">
        <v>162</v>
      </c>
      <c r="I151" s="191" t="s">
        <v>772</v>
      </c>
      <c r="J151" s="192" t="n">
        <f aca="false">IFERROR(VLOOKUP(VALUE($D151),BSPL2026!$B:$Z,25,FALSE()),0)</f>
        <v>0</v>
      </c>
      <c r="K151" s="193"/>
      <c r="L151" s="194"/>
      <c r="M151" s="192" t="n">
        <f aca="false">J151+K151-L151</f>
        <v>0</v>
      </c>
      <c r="N151" s="193" t="n">
        <f aca="false">SUMIF('statutory adj_2026 조정분개'!$S:$S,$D151,'statutory adj_2026 조정분개'!$K:$K)</f>
        <v>0</v>
      </c>
      <c r="O151" s="194" t="n">
        <f aca="false">SUMIF('statutory adj_2026 조정분개'!$S:$S,$D151,'statutory adj_2026 조정분개'!$L:$L)</f>
        <v>0</v>
      </c>
      <c r="P151" s="192" t="n">
        <f aca="false">M151+N151-O151</f>
        <v>0</v>
      </c>
      <c r="Q151" s="195" t="n">
        <f aca="false">IFERROR(VLOOKUP(VALUE($D151),BSPL2026!$B:$Q,16,FALSE()),0)</f>
        <v>33826420</v>
      </c>
      <c r="R151" s="196" t="s">
        <v>449</v>
      </c>
      <c r="S151" s="172" t="str">
        <f aca="false">IFERROR(VLOOKUP(VALUE($D151),BSPL2026!$B:$M,12,FALSE()),"")</f>
        <v>선급법인세</v>
      </c>
      <c r="T151" s="172" t="str">
        <f aca="false">IF(OR(S151="",S151=0,LEFT(S151,5)="(원본오류"),"",IF(S151=H151,"","매핑차이"))</f>
        <v/>
      </c>
    </row>
    <row r="152" customFormat="false" ht="16.5" hidden="false" customHeight="false" outlineLevel="0" collapsed="false">
      <c r="D152" s="186" t="s">
        <v>773</v>
      </c>
      <c r="E152" s="187" t="s">
        <v>774</v>
      </c>
      <c r="F152" s="188" t="s">
        <v>446</v>
      </c>
      <c r="G152" s="189" t="s">
        <v>173</v>
      </c>
      <c r="H152" s="190" t="s">
        <v>188</v>
      </c>
      <c r="I152" s="191" t="s">
        <v>774</v>
      </c>
      <c r="J152" s="192" t="n">
        <f aca="false">IFERROR(VLOOKUP(VALUE($D152),BSPL2026!$B:$Z,25,FALSE()),0)</f>
        <v>-213945232</v>
      </c>
      <c r="K152" s="193"/>
      <c r="L152" s="194"/>
      <c r="M152" s="192" t="n">
        <f aca="false">J152+K152-L152</f>
        <v>-213945232</v>
      </c>
      <c r="N152" s="193" t="n">
        <f aca="false">SUMIF('statutory adj_2026 조정분개'!$S:$S,$D152,'statutory adj_2026 조정분개'!$K:$K)</f>
        <v>0</v>
      </c>
      <c r="O152" s="194" t="n">
        <f aca="false">SUMIF('statutory adj_2026 조정분개'!$S:$S,$D152,'statutory adj_2026 조정분개'!$L:$L)</f>
        <v>0</v>
      </c>
      <c r="P152" s="192" t="n">
        <f aca="false">M152+N152-O152</f>
        <v>-213945232</v>
      </c>
      <c r="Q152" s="195" t="n">
        <f aca="false">IFERROR(VLOOKUP(VALUE($D152),BSPL2026!$B:$Q,16,FALSE()),0)</f>
        <v>-42105600</v>
      </c>
      <c r="R152" s="196" t="s">
        <v>449</v>
      </c>
      <c r="S152" s="172" t="str">
        <f aca="false">IFERROR(VLOOKUP(VALUE($D152),BSPL2026!$B:$M,12,FALSE()),"")</f>
        <v>예수금</v>
      </c>
      <c r="T152" s="172" t="str">
        <f aca="false">IF(OR(S152="",S152=0,LEFT(S152,5)="(원본오류"),"",IF(S152=H152,"","매핑차이"))</f>
        <v/>
      </c>
    </row>
    <row r="153" customFormat="false" ht="16.5" hidden="false" customHeight="false" outlineLevel="0" collapsed="false">
      <c r="D153" s="186" t="s">
        <v>775</v>
      </c>
      <c r="E153" s="187" t="s">
        <v>776</v>
      </c>
      <c r="F153" s="188" t="s">
        <v>446</v>
      </c>
      <c r="G153" s="189" t="s">
        <v>173</v>
      </c>
      <c r="H153" s="190" t="s">
        <v>188</v>
      </c>
      <c r="I153" s="191" t="s">
        <v>776</v>
      </c>
      <c r="J153" s="192" t="n">
        <f aca="false">IFERROR(VLOOKUP(VALUE($D153),BSPL2026!$B:$Z,25,FALSE()),0)</f>
        <v>0</v>
      </c>
      <c r="K153" s="193"/>
      <c r="L153" s="194"/>
      <c r="M153" s="192" t="n">
        <f aca="false">J153+K153-L153</f>
        <v>0</v>
      </c>
      <c r="N153" s="193" t="n">
        <f aca="false">SUMIF('statutory adj_2026 조정분개'!$S:$S,$D153,'statutory adj_2026 조정분개'!$K:$K)</f>
        <v>0</v>
      </c>
      <c r="O153" s="194" t="n">
        <f aca="false">SUMIF('statutory adj_2026 조정분개'!$S:$S,$D153,'statutory adj_2026 조정분개'!$L:$L)</f>
        <v>0</v>
      </c>
      <c r="P153" s="192" t="n">
        <f aca="false">M153+N153-O153</f>
        <v>0</v>
      </c>
      <c r="Q153" s="195" t="n">
        <f aca="false">IFERROR(VLOOKUP(VALUE($D153),BSPL2026!$B:$Q,16,FALSE()),0)</f>
        <v>0</v>
      </c>
      <c r="R153" s="196" t="s">
        <v>449</v>
      </c>
      <c r="S153" s="172" t="str">
        <f aca="false">IFERROR(VLOOKUP(VALUE($D153),BSPL2026!$B:$M,12,FALSE()),"")</f>
        <v>예수금</v>
      </c>
      <c r="T153" s="172" t="str">
        <f aca="false">IF(OR(S153="",S153=0,LEFT(S153,5)="(원본오류"),"",IF(S153=H153,"","매핑차이"))</f>
        <v/>
      </c>
    </row>
    <row r="154" customFormat="false" ht="16.5" hidden="false" customHeight="false" outlineLevel="0" collapsed="false">
      <c r="D154" s="186" t="s">
        <v>777</v>
      </c>
      <c r="E154" s="187" t="s">
        <v>778</v>
      </c>
      <c r="F154" s="188" t="s">
        <v>446</v>
      </c>
      <c r="G154" s="189" t="s">
        <v>173</v>
      </c>
      <c r="H154" s="190" t="s">
        <v>188</v>
      </c>
      <c r="I154" s="191" t="s">
        <v>778</v>
      </c>
      <c r="J154" s="192" t="n">
        <f aca="false">IFERROR(VLOOKUP(VALUE($D154),BSPL2026!$B:$Z,25,FALSE()),0)</f>
        <v>0</v>
      </c>
      <c r="K154" s="193"/>
      <c r="L154" s="194"/>
      <c r="M154" s="192" t="n">
        <f aca="false">J154+K154-L154</f>
        <v>0</v>
      </c>
      <c r="N154" s="193" t="n">
        <f aca="false">SUMIF('statutory adj_2026 조정분개'!$S:$S,$D154,'statutory adj_2026 조정분개'!$K:$K)</f>
        <v>0</v>
      </c>
      <c r="O154" s="194" t="n">
        <f aca="false">SUMIF('statutory adj_2026 조정분개'!$S:$S,$D154,'statutory adj_2026 조정분개'!$L:$L)</f>
        <v>0</v>
      </c>
      <c r="P154" s="192" t="n">
        <f aca="false">M154+N154-O154</f>
        <v>0</v>
      </c>
      <c r="Q154" s="195" t="n">
        <f aca="false">IFERROR(VLOOKUP(VALUE($D154),BSPL2026!$B:$Q,16,FALSE()),0)</f>
        <v>0</v>
      </c>
      <c r="R154" s="196" t="s">
        <v>449</v>
      </c>
      <c r="S154" s="172" t="str">
        <f aca="false">IFERROR(VLOOKUP(VALUE($D154),BSPL2026!$B:$M,12,FALSE()),"")</f>
        <v>(원본오류 N/A)</v>
      </c>
      <c r="T154" s="172" t="str">
        <f aca="false">IF(OR(S154="",S154=0,LEFT(S154,5)="(원본오류"),"",IF(S154=H154,"","매핑차이"))</f>
        <v/>
      </c>
    </row>
    <row r="155" customFormat="false" ht="16.5" hidden="false" customHeight="false" outlineLevel="0" collapsed="false">
      <c r="D155" s="186" t="s">
        <v>779</v>
      </c>
      <c r="E155" s="187" t="s">
        <v>780</v>
      </c>
      <c r="F155" s="188" t="s">
        <v>446</v>
      </c>
      <c r="G155" s="189" t="s">
        <v>173</v>
      </c>
      <c r="H155" s="190" t="s">
        <v>188</v>
      </c>
      <c r="I155" s="191" t="s">
        <v>780</v>
      </c>
      <c r="J155" s="192" t="n">
        <f aca="false">IFERROR(VLOOKUP(VALUE($D155),BSPL2026!$B:$Z,25,FALSE()),0)</f>
        <v>5715518</v>
      </c>
      <c r="K155" s="193"/>
      <c r="L155" s="194"/>
      <c r="M155" s="192" t="n">
        <f aca="false">J155+K155-L155</f>
        <v>5715518</v>
      </c>
      <c r="N155" s="193" t="n">
        <f aca="false">SUMIF('statutory adj_2026 조정분개'!$S:$S,$D155,'statutory adj_2026 조정분개'!$K:$K)</f>
        <v>0</v>
      </c>
      <c r="O155" s="194" t="n">
        <f aca="false">SUMIF('statutory adj_2026 조정분개'!$S:$S,$D155,'statutory adj_2026 조정분개'!$L:$L)</f>
        <v>0</v>
      </c>
      <c r="P155" s="192" t="n">
        <f aca="false">M155+N155-O155</f>
        <v>5715518</v>
      </c>
      <c r="Q155" s="195" t="n">
        <f aca="false">IFERROR(VLOOKUP(VALUE($D155),BSPL2026!$B:$Q,16,FALSE()),0)</f>
        <v>1028428</v>
      </c>
      <c r="R155" s="196" t="s">
        <v>449</v>
      </c>
      <c r="S155" s="172" t="str">
        <f aca="false">IFERROR(VLOOKUP(VALUE($D155),BSPL2026!$B:$M,12,FALSE()),"")</f>
        <v>예수금</v>
      </c>
      <c r="T155" s="172" t="str">
        <f aca="false">IF(OR(S155="",S155=0,LEFT(S155,5)="(원본오류"),"",IF(S155=H155,"","매핑차이"))</f>
        <v/>
      </c>
    </row>
    <row r="156" customFormat="false" ht="16.5" hidden="false" customHeight="false" outlineLevel="0" collapsed="false">
      <c r="D156" s="186" t="s">
        <v>781</v>
      </c>
      <c r="E156" s="187" t="s">
        <v>782</v>
      </c>
      <c r="F156" s="188" t="s">
        <v>446</v>
      </c>
      <c r="G156" s="189" t="s">
        <v>173</v>
      </c>
      <c r="H156" s="190" t="s">
        <v>188</v>
      </c>
      <c r="I156" s="191" t="s">
        <v>782</v>
      </c>
      <c r="J156" s="192" t="n">
        <f aca="false">IFERROR(VLOOKUP(VALUE($D156),BSPL2026!$B:$Z,25,FALSE()),0)</f>
        <v>0</v>
      </c>
      <c r="K156" s="193"/>
      <c r="L156" s="194"/>
      <c r="M156" s="192" t="n">
        <f aca="false">J156+K156-L156</f>
        <v>0</v>
      </c>
      <c r="N156" s="193" t="n">
        <f aca="false">SUMIF('statutory adj_2026 조정분개'!$S:$S,$D156,'statutory adj_2026 조정분개'!$K:$K)</f>
        <v>0</v>
      </c>
      <c r="O156" s="194" t="n">
        <f aca="false">SUMIF('statutory adj_2026 조정분개'!$S:$S,$D156,'statutory adj_2026 조정분개'!$L:$L)</f>
        <v>0</v>
      </c>
      <c r="P156" s="192" t="n">
        <f aca="false">M156+N156-O156</f>
        <v>0</v>
      </c>
      <c r="Q156" s="195" t="n">
        <f aca="false">IFERROR(VLOOKUP(VALUE($D156),BSPL2026!$B:$Q,16,FALSE()),0)</f>
        <v>0</v>
      </c>
      <c r="R156" s="196" t="s">
        <v>449</v>
      </c>
      <c r="S156" s="172" t="str">
        <f aca="false">IFERROR(VLOOKUP(VALUE($D156),BSPL2026!$B:$M,12,FALSE()),"")</f>
        <v>예수금</v>
      </c>
      <c r="T156" s="172" t="str">
        <f aca="false">IF(OR(S156="",S156=0,LEFT(S156,5)="(원본오류"),"",IF(S156=H156,"","매핑차이"))</f>
        <v/>
      </c>
    </row>
    <row r="157" customFormat="false" ht="16.5" hidden="false" customHeight="false" outlineLevel="0" collapsed="false">
      <c r="D157" s="186" t="s">
        <v>783</v>
      </c>
      <c r="E157" s="187" t="s">
        <v>784</v>
      </c>
      <c r="F157" s="188" t="s">
        <v>446</v>
      </c>
      <c r="G157" s="189" t="s">
        <v>173</v>
      </c>
      <c r="H157" s="190" t="s">
        <v>188</v>
      </c>
      <c r="I157" s="191" t="s">
        <v>784</v>
      </c>
      <c r="J157" s="192" t="n">
        <f aca="false">IFERROR(VLOOKUP(VALUE($D157),BSPL2026!$B:$Z,25,FALSE()),0)</f>
        <v>-35571</v>
      </c>
      <c r="K157" s="193"/>
      <c r="L157" s="194"/>
      <c r="M157" s="192" t="n">
        <f aca="false">J157+K157-L157</f>
        <v>-35571</v>
      </c>
      <c r="N157" s="193" t="n">
        <f aca="false">SUMIF('statutory adj_2026 조정분개'!$S:$S,$D157,'statutory adj_2026 조정분개'!$K:$K)</f>
        <v>0</v>
      </c>
      <c r="O157" s="194" t="n">
        <f aca="false">SUMIF('statutory adj_2026 조정분개'!$S:$S,$D157,'statutory adj_2026 조정분개'!$L:$L)</f>
        <v>0</v>
      </c>
      <c r="P157" s="192" t="n">
        <f aca="false">M157+N157-O157</f>
        <v>-35571</v>
      </c>
      <c r="Q157" s="195" t="n">
        <f aca="false">IFERROR(VLOOKUP(VALUE($D157),BSPL2026!$B:$Q,16,FALSE()),0)</f>
        <v>102829</v>
      </c>
      <c r="R157" s="196" t="s">
        <v>449</v>
      </c>
      <c r="S157" s="172" t="str">
        <f aca="false">IFERROR(VLOOKUP(VALUE($D157),BSPL2026!$B:$M,12,FALSE()),"")</f>
        <v>예수금</v>
      </c>
      <c r="T157" s="172" t="str">
        <f aca="false">IF(OR(S157="",S157=0,LEFT(S157,5)="(원본오류"),"",IF(S157=H157,"","매핑차이"))</f>
        <v/>
      </c>
    </row>
    <row r="158" customFormat="false" ht="16.5" hidden="false" customHeight="false" outlineLevel="0" collapsed="false">
      <c r="D158" s="186" t="s">
        <v>785</v>
      </c>
      <c r="E158" s="187" t="s">
        <v>786</v>
      </c>
      <c r="F158" s="188" t="s">
        <v>446</v>
      </c>
      <c r="G158" s="189" t="s">
        <v>173</v>
      </c>
      <c r="H158" s="190" t="s">
        <v>188</v>
      </c>
      <c r="I158" s="191" t="s">
        <v>786</v>
      </c>
      <c r="J158" s="192" t="n">
        <f aca="false">IFERROR(VLOOKUP(VALUE($D158),BSPL2026!$B:$Z,25,FALSE()),0)</f>
        <v>0</v>
      </c>
      <c r="K158" s="193"/>
      <c r="L158" s="194"/>
      <c r="M158" s="192" t="n">
        <f aca="false">J158+K158-L158</f>
        <v>0</v>
      </c>
      <c r="N158" s="193" t="n">
        <f aca="false">SUMIF('statutory adj_2026 조정분개'!$S:$S,$D158,'statutory adj_2026 조정분개'!$K:$K)</f>
        <v>0</v>
      </c>
      <c r="O158" s="194" t="n">
        <f aca="false">SUMIF('statutory adj_2026 조정분개'!$S:$S,$D158,'statutory adj_2026 조정분개'!$L:$L)</f>
        <v>0</v>
      </c>
      <c r="P158" s="192" t="n">
        <f aca="false">M158+N158-O158</f>
        <v>0</v>
      </c>
      <c r="Q158" s="195" t="n">
        <f aca="false">IFERROR(VLOOKUP(VALUE($D158),BSPL2026!$B:$Q,16,FALSE()),0)</f>
        <v>0</v>
      </c>
      <c r="R158" s="196" t="s">
        <v>449</v>
      </c>
      <c r="S158" s="172" t="str">
        <f aca="false">IFERROR(VLOOKUP(VALUE($D158),BSPL2026!$B:$M,12,FALSE()),"")</f>
        <v>예수금</v>
      </c>
      <c r="T158" s="172" t="str">
        <f aca="false">IF(OR(S158="",S158=0,LEFT(S158,5)="(원본오류"),"",IF(S158=H158,"","매핑차이"))</f>
        <v/>
      </c>
    </row>
    <row r="159" customFormat="false" ht="16.5" hidden="false" customHeight="false" outlineLevel="0" collapsed="false">
      <c r="D159" s="186" t="s">
        <v>787</v>
      </c>
      <c r="E159" s="187" t="s">
        <v>788</v>
      </c>
      <c r="F159" s="188" t="s">
        <v>446</v>
      </c>
      <c r="G159" s="189" t="s">
        <v>173</v>
      </c>
      <c r="H159" s="190" t="s">
        <v>219</v>
      </c>
      <c r="I159" s="191" t="s">
        <v>788</v>
      </c>
      <c r="J159" s="192" t="n">
        <f aca="false">IFERROR(VLOOKUP(VALUE($D159),BSPL2026!$B:$Z,25,FALSE()),0)</f>
        <v>-912409574</v>
      </c>
      <c r="K159" s="193"/>
      <c r="L159" s="194"/>
      <c r="M159" s="192" t="n">
        <f aca="false">J159+K159-L159</f>
        <v>-912409574</v>
      </c>
      <c r="N159" s="193" t="n">
        <f aca="false">SUMIF('statutory adj_2026 조정분개'!$S:$S,$D159,'statutory adj_2026 조정분개'!$K:$K)</f>
        <v>0</v>
      </c>
      <c r="O159" s="194" t="n">
        <f aca="false">SUMIF('statutory adj_2026 조정분개'!$S:$S,$D159,'statutory adj_2026 조정분개'!$L:$L)</f>
        <v>0</v>
      </c>
      <c r="P159" s="192" t="n">
        <f aca="false">M159+N159-O159</f>
        <v>-912409574</v>
      </c>
      <c r="Q159" s="195" t="n">
        <f aca="false">IFERROR(VLOOKUP(VALUE($D159),BSPL2026!$B:$Q,16,FALSE()),0)</f>
        <v>-901263243</v>
      </c>
      <c r="R159" s="196" t="s">
        <v>449</v>
      </c>
      <c r="S159" s="172" t="str">
        <f aca="false">IFERROR(VLOOKUP(VALUE($D159),BSPL2026!$B:$M,12,FALSE()),"")</f>
        <v>복구충당부채</v>
      </c>
      <c r="T159" s="172" t="str">
        <f aca="false">IF(OR(S159="",S159=0,LEFT(S159,5)="(원본오류"),"",IF(S159=H159,"","매핑차이"))</f>
        <v/>
      </c>
    </row>
    <row r="160" customFormat="false" ht="16.5" hidden="false" customHeight="false" outlineLevel="0" collapsed="false">
      <c r="D160" s="186" t="s">
        <v>789</v>
      </c>
      <c r="E160" s="187" t="s">
        <v>790</v>
      </c>
      <c r="F160" s="188" t="s">
        <v>791</v>
      </c>
      <c r="G160" s="189" t="s">
        <v>792</v>
      </c>
      <c r="H160" s="190" t="s">
        <v>264</v>
      </c>
      <c r="I160" s="191" t="s">
        <v>790</v>
      </c>
      <c r="J160" s="192" t="n">
        <f aca="false">IFERROR(VLOOKUP(VALUE($D160),BSPL2026!$B:$Z,25,FALSE()),0)</f>
        <v>-9221612000</v>
      </c>
      <c r="K160" s="193"/>
      <c r="L160" s="194"/>
      <c r="M160" s="192" t="n">
        <f aca="false">J160+K160-L160</f>
        <v>-9221612000</v>
      </c>
      <c r="N160" s="193" t="n">
        <f aca="false">SUMIF('statutory adj_2026 조정분개'!$S:$S,$D160,'statutory adj_2026 조정분개'!$K:$K)</f>
        <v>0</v>
      </c>
      <c r="O160" s="194" t="n">
        <f aca="false">SUMIF('statutory adj_2026 조정분개'!$S:$S,$D160,'statutory adj_2026 조정분개'!$L:$L)</f>
        <v>0</v>
      </c>
      <c r="P160" s="192" t="n">
        <f aca="false">M160+N160-O160</f>
        <v>-9221612000</v>
      </c>
      <c r="Q160" s="195" t="n">
        <f aca="false">IFERROR(VLOOKUP(VALUE($D160),BSPL2026!$B:$Q,16,FALSE()),0)</f>
        <v>-3087000000</v>
      </c>
      <c r="R160" s="196" t="s">
        <v>449</v>
      </c>
      <c r="S160" s="172" t="str">
        <f aca="false">IFERROR(VLOOKUP(VALUE($D160),BSPL2026!$B:$M,12,FALSE()),"")</f>
        <v>매출액</v>
      </c>
      <c r="T160" s="172" t="str">
        <f aca="false">IF(OR(S160="",S160=0,LEFT(S160,5)="(원본오류"),"",IF(S160=H160,"","매핑차이"))</f>
        <v/>
      </c>
    </row>
    <row r="161" customFormat="false" ht="16.5" hidden="false" customHeight="false" outlineLevel="0" collapsed="false">
      <c r="D161" s="186" t="s">
        <v>793</v>
      </c>
      <c r="E161" s="187" t="s">
        <v>794</v>
      </c>
      <c r="F161" s="188" t="s">
        <v>791</v>
      </c>
      <c r="G161" s="189" t="s">
        <v>792</v>
      </c>
      <c r="H161" s="190" t="s">
        <v>264</v>
      </c>
      <c r="I161" s="191" t="s">
        <v>794</v>
      </c>
      <c r="J161" s="192" t="n">
        <f aca="false">IFERROR(VLOOKUP(VALUE($D161),BSPL2026!$B:$Z,25,FALSE()),0)</f>
        <v>2405434000</v>
      </c>
      <c r="K161" s="193"/>
      <c r="L161" s="194"/>
      <c r="M161" s="192" t="n">
        <f aca="false">J161+K161-L161</f>
        <v>2405434000</v>
      </c>
      <c r="N161" s="193" t="n">
        <f aca="false">SUMIF('statutory adj_2026 조정분개'!$S:$S,$D161,'statutory adj_2026 조정분개'!$K:$K)</f>
        <v>0</v>
      </c>
      <c r="O161" s="194" t="n">
        <f aca="false">SUMIF('statutory adj_2026 조정분개'!$S:$S,$D161,'statutory adj_2026 조정분개'!$L:$L)</f>
        <v>0</v>
      </c>
      <c r="P161" s="192" t="n">
        <f aca="false">M161+N161-O161</f>
        <v>2405434000</v>
      </c>
      <c r="Q161" s="195" t="n">
        <f aca="false">IFERROR(VLOOKUP(VALUE($D161),BSPL2026!$B:$Q,16,FALSE()),0)</f>
        <v>0</v>
      </c>
      <c r="R161" s="196" t="s">
        <v>449</v>
      </c>
      <c r="S161" s="172" t="str">
        <f aca="false">IFERROR(VLOOKUP(VALUE($D161),BSPL2026!$B:$M,12,FALSE()),"")</f>
        <v>매출액</v>
      </c>
      <c r="T161" s="172" t="str">
        <f aca="false">IF(OR(S161="",S161=0,LEFT(S161,5)="(원본오류"),"",IF(S161=H161,"","매핑차이"))</f>
        <v/>
      </c>
    </row>
    <row r="162" customFormat="false" ht="16.5" hidden="false" customHeight="false" outlineLevel="0" collapsed="false">
      <c r="D162" s="186" t="s">
        <v>795</v>
      </c>
      <c r="E162" s="187" t="s">
        <v>796</v>
      </c>
      <c r="F162" s="188" t="s">
        <v>791</v>
      </c>
      <c r="G162" s="189" t="s">
        <v>792</v>
      </c>
      <c r="H162" s="190" t="s">
        <v>264</v>
      </c>
      <c r="I162" s="191" t="s">
        <v>796</v>
      </c>
      <c r="J162" s="192" t="n">
        <f aca="false">IFERROR(VLOOKUP(VALUE($D162),BSPL2026!$B:$Z,25,FALSE()),0)</f>
        <v>-659560439833</v>
      </c>
      <c r="K162" s="193"/>
      <c r="L162" s="194"/>
      <c r="M162" s="192" t="n">
        <f aca="false">J162+K162-L162</f>
        <v>-659560439833</v>
      </c>
      <c r="N162" s="193" t="n">
        <f aca="false">SUMIF('statutory adj_2026 조정분개'!$S:$S,$D162,'statutory adj_2026 조정분개'!$K:$K)</f>
        <v>0</v>
      </c>
      <c r="O162" s="194" t="n">
        <f aca="false">SUMIF('statutory adj_2026 조정분개'!$S:$S,$D162,'statutory adj_2026 조정분개'!$L:$L)</f>
        <v>0</v>
      </c>
      <c r="P162" s="192" t="n">
        <f aca="false">M162+N162-O162</f>
        <v>-659560439833</v>
      </c>
      <c r="Q162" s="195" t="n">
        <f aca="false">IFERROR(VLOOKUP(VALUE($D162),BSPL2026!$B:$Q,16,FALSE()),0)</f>
        <v>-814803906204</v>
      </c>
      <c r="R162" s="196" t="s">
        <v>449</v>
      </c>
      <c r="S162" s="172" t="str">
        <f aca="false">IFERROR(VLOOKUP(VALUE($D162),BSPL2026!$B:$M,12,FALSE()),"")</f>
        <v>매출액</v>
      </c>
      <c r="T162" s="172" t="str">
        <f aca="false">IF(OR(S162="",S162=0,LEFT(S162,5)="(원본오류"),"",IF(S162=H162,"","매핑차이"))</f>
        <v/>
      </c>
    </row>
    <row r="163" customFormat="false" ht="16.5" hidden="false" customHeight="false" outlineLevel="0" collapsed="false">
      <c r="D163" s="186" t="s">
        <v>797</v>
      </c>
      <c r="E163" s="187" t="s">
        <v>798</v>
      </c>
      <c r="F163" s="188" t="s">
        <v>791</v>
      </c>
      <c r="G163" s="189" t="s">
        <v>792</v>
      </c>
      <c r="H163" s="190" t="s">
        <v>264</v>
      </c>
      <c r="I163" s="191" t="s">
        <v>798</v>
      </c>
      <c r="J163" s="192" t="n">
        <f aca="false">IFERROR(VLOOKUP(VALUE($D163),BSPL2026!$B:$Z,25,FALSE()),0)</f>
        <v>278999</v>
      </c>
      <c r="K163" s="193"/>
      <c r="L163" s="194"/>
      <c r="M163" s="192" t="n">
        <f aca="false">J163+K163-L163</f>
        <v>278999</v>
      </c>
      <c r="N163" s="193" t="n">
        <f aca="false">SUMIF('statutory adj_2026 조정분개'!$S:$S,$D163,'statutory adj_2026 조정분개'!$K:$K)</f>
        <v>0</v>
      </c>
      <c r="O163" s="194" t="n">
        <f aca="false">SUMIF('statutory adj_2026 조정분개'!$S:$S,$D163,'statutory adj_2026 조정분개'!$L:$L)</f>
        <v>0</v>
      </c>
      <c r="P163" s="192" t="n">
        <f aca="false">M163+N163-O163</f>
        <v>278999</v>
      </c>
      <c r="Q163" s="195" t="n">
        <f aca="false">IFERROR(VLOOKUP(VALUE($D163),BSPL2026!$B:$Q,16,FALSE()),0)</f>
        <v>2562762679</v>
      </c>
      <c r="R163" s="196" t="s">
        <v>449</v>
      </c>
      <c r="S163" s="172" t="str">
        <f aca="false">IFERROR(VLOOKUP(VALUE($D163),BSPL2026!$B:$M,12,FALSE()),"")</f>
        <v>매출액</v>
      </c>
      <c r="T163" s="172" t="str">
        <f aca="false">IF(OR(S163="",S163=0,LEFT(S163,5)="(원본오류"),"",IF(S163=H163,"","매핑차이"))</f>
        <v/>
      </c>
    </row>
    <row r="164" customFormat="false" ht="16.5" hidden="false" customHeight="false" outlineLevel="0" collapsed="false">
      <c r="D164" s="186" t="s">
        <v>799</v>
      </c>
      <c r="E164" s="187" t="s">
        <v>800</v>
      </c>
      <c r="F164" s="188" t="s">
        <v>791</v>
      </c>
      <c r="G164" s="189" t="s">
        <v>792</v>
      </c>
      <c r="H164" s="190" t="s">
        <v>264</v>
      </c>
      <c r="I164" s="191" t="s">
        <v>800</v>
      </c>
      <c r="J164" s="192" t="n">
        <f aca="false">IFERROR(VLOOKUP(VALUE($D164),BSPL2026!$B:$Z,25,FALSE()),0)</f>
        <v>-841471076</v>
      </c>
      <c r="K164" s="193"/>
      <c r="L164" s="194"/>
      <c r="M164" s="192" t="n">
        <f aca="false">J164+K164-L164</f>
        <v>-841471076</v>
      </c>
      <c r="N164" s="193" t="n">
        <f aca="false">SUMIF('statutory adj_2026 조정분개'!$S:$S,$D164,'statutory adj_2026 조정분개'!$K:$K)</f>
        <v>0</v>
      </c>
      <c r="O164" s="194" t="n">
        <f aca="false">SUMIF('statutory adj_2026 조정분개'!$S:$S,$D164,'statutory adj_2026 조정분개'!$L:$L)</f>
        <v>0</v>
      </c>
      <c r="P164" s="192" t="n">
        <f aca="false">M164+N164-O164</f>
        <v>-841471076</v>
      </c>
      <c r="Q164" s="195" t="n">
        <f aca="false">IFERROR(VLOOKUP(VALUE($D164),BSPL2026!$B:$Q,16,FALSE()),0)</f>
        <v>0</v>
      </c>
      <c r="R164" s="196" t="s">
        <v>449</v>
      </c>
      <c r="S164" s="172" t="str">
        <f aca="false">IFERROR(VLOOKUP(VALUE($D164),BSPL2026!$B:$M,12,FALSE()),"")</f>
        <v>매출액</v>
      </c>
      <c r="T164" s="172" t="str">
        <f aca="false">IF(OR(S164="",S164=0,LEFT(S164,5)="(원본오류"),"",IF(S164=H164,"","매핑차이"))</f>
        <v/>
      </c>
    </row>
    <row r="165" customFormat="false" ht="16.5" hidden="false" customHeight="false" outlineLevel="0" collapsed="false">
      <c r="D165" s="186" t="s">
        <v>801</v>
      </c>
      <c r="E165" s="187" t="s">
        <v>802</v>
      </c>
      <c r="F165" s="188" t="s">
        <v>791</v>
      </c>
      <c r="G165" s="189" t="s">
        <v>792</v>
      </c>
      <c r="H165" s="190" t="s">
        <v>264</v>
      </c>
      <c r="I165" s="191" t="s">
        <v>802</v>
      </c>
      <c r="J165" s="192" t="n">
        <f aca="false">IFERROR(VLOOKUP(VALUE($D165),BSPL2026!$B:$Z,25,FALSE()),0)</f>
        <v>100647150</v>
      </c>
      <c r="K165" s="193"/>
      <c r="L165" s="194"/>
      <c r="M165" s="192" t="n">
        <f aca="false">J165+K165-L165</f>
        <v>100647150</v>
      </c>
      <c r="N165" s="193" t="n">
        <f aca="false">SUMIF('statutory adj_2026 조정분개'!$S:$S,$D165,'statutory adj_2026 조정분개'!$K:$K)</f>
        <v>0</v>
      </c>
      <c r="O165" s="194" t="n">
        <f aca="false">SUMIF('statutory adj_2026 조정분개'!$S:$S,$D165,'statutory adj_2026 조정분개'!$L:$L)</f>
        <v>0</v>
      </c>
      <c r="P165" s="192" t="n">
        <f aca="false">M165+N165-O165</f>
        <v>100647150</v>
      </c>
      <c r="Q165" s="195" t="n">
        <f aca="false">IFERROR(VLOOKUP(VALUE($D165),BSPL2026!$B:$Q,16,FALSE()),0)</f>
        <v>117845810</v>
      </c>
      <c r="R165" s="196" t="s">
        <v>449</v>
      </c>
      <c r="S165" s="172" t="str">
        <f aca="false">IFERROR(VLOOKUP(VALUE($D165),BSPL2026!$B:$M,12,FALSE()),"")</f>
        <v>매출액</v>
      </c>
      <c r="T165" s="172" t="str">
        <f aca="false">IF(OR(S165="",S165=0,LEFT(S165,5)="(원본오류"),"",IF(S165=H165,"","매핑차이"))</f>
        <v/>
      </c>
    </row>
    <row r="166" customFormat="false" ht="16.5" hidden="false" customHeight="false" outlineLevel="0" collapsed="false">
      <c r="D166" s="186" t="s">
        <v>803</v>
      </c>
      <c r="E166" s="187" t="s">
        <v>804</v>
      </c>
      <c r="F166" s="188" t="s">
        <v>791</v>
      </c>
      <c r="G166" s="189" t="s">
        <v>792</v>
      </c>
      <c r="H166" s="190" t="s">
        <v>264</v>
      </c>
      <c r="I166" s="191" t="s">
        <v>804</v>
      </c>
      <c r="J166" s="192" t="n">
        <f aca="false">IFERROR(VLOOKUP(VALUE($D166),BSPL2026!$B:$Z,25,FALSE()),0)</f>
        <v>3697749345</v>
      </c>
      <c r="K166" s="193"/>
      <c r="L166" s="194"/>
      <c r="M166" s="192" t="n">
        <f aca="false">J166+K166-L166</f>
        <v>3697749345</v>
      </c>
      <c r="N166" s="193" t="n">
        <f aca="false">SUMIF('statutory adj_2026 조정분개'!$S:$S,$D166,'statutory adj_2026 조정분개'!$K:$K)</f>
        <v>0</v>
      </c>
      <c r="O166" s="194" t="n">
        <f aca="false">SUMIF('statutory adj_2026 조정분개'!$S:$S,$D166,'statutory adj_2026 조정분개'!$L:$L)</f>
        <v>0</v>
      </c>
      <c r="P166" s="192" t="n">
        <f aca="false">M166+N166-O166</f>
        <v>3697749345</v>
      </c>
      <c r="Q166" s="195" t="n">
        <f aca="false">IFERROR(VLOOKUP(VALUE($D166),BSPL2026!$B:$Q,16,FALSE()),0)</f>
        <v>2131290602</v>
      </c>
      <c r="R166" s="196" t="s">
        <v>449</v>
      </c>
      <c r="S166" s="172" t="str">
        <f aca="false">IFERROR(VLOOKUP(VALUE($D166),BSPL2026!$B:$M,12,FALSE()),"")</f>
        <v>매출액</v>
      </c>
      <c r="T166" s="172" t="str">
        <f aca="false">IF(OR(S166="",S166=0,LEFT(S166,5)="(원본오류"),"",IF(S166=H166,"","매핑차이"))</f>
        <v/>
      </c>
    </row>
    <row r="167" customFormat="false" ht="16.5" hidden="false" customHeight="false" outlineLevel="0" collapsed="false">
      <c r="D167" s="186" t="s">
        <v>805</v>
      </c>
      <c r="E167" s="187" t="s">
        <v>806</v>
      </c>
      <c r="F167" s="188" t="s">
        <v>791</v>
      </c>
      <c r="G167" s="189" t="s">
        <v>792</v>
      </c>
      <c r="H167" s="190" t="s">
        <v>264</v>
      </c>
      <c r="I167" s="191" t="s">
        <v>806</v>
      </c>
      <c r="J167" s="192" t="n">
        <f aca="false">IFERROR(VLOOKUP(VALUE($D167),BSPL2026!$B:$Z,25,FALSE()),0)</f>
        <v>-950000000</v>
      </c>
      <c r="K167" s="193"/>
      <c r="L167" s="194"/>
      <c r="M167" s="192" t="n">
        <f aca="false">J167+K167-L167</f>
        <v>-950000000</v>
      </c>
      <c r="N167" s="193" t="n">
        <f aca="false">SUMIF('statutory adj_2026 조정분개'!$S:$S,$D167,'statutory adj_2026 조정분개'!$K:$K)</f>
        <v>0</v>
      </c>
      <c r="O167" s="194" t="n">
        <f aca="false">SUMIF('statutory adj_2026 조정분개'!$S:$S,$D167,'statutory adj_2026 조정분개'!$L:$L)</f>
        <v>0</v>
      </c>
      <c r="P167" s="192" t="n">
        <f aca="false">M167+N167-O167</f>
        <v>-950000000</v>
      </c>
      <c r="Q167" s="195" t="n">
        <f aca="false">IFERROR(VLOOKUP(VALUE($D167),BSPL2026!$B:$Q,16,FALSE()),0)</f>
        <v>-2726200000</v>
      </c>
      <c r="R167" s="196" t="s">
        <v>449</v>
      </c>
      <c r="S167" s="172" t="str">
        <f aca="false">IFERROR(VLOOKUP(VALUE($D167),BSPL2026!$B:$M,12,FALSE()),"")</f>
        <v>매출액</v>
      </c>
      <c r="T167" s="172" t="str">
        <f aca="false">IF(OR(S167="",S167=0,LEFT(S167,5)="(원본오류"),"",IF(S167=H167,"","매핑차이"))</f>
        <v/>
      </c>
    </row>
    <row r="168" customFormat="false" ht="16.5" hidden="false" customHeight="false" outlineLevel="0" collapsed="false">
      <c r="D168" s="186" t="s">
        <v>807</v>
      </c>
      <c r="E168" s="187" t="s">
        <v>808</v>
      </c>
      <c r="F168" s="188" t="s">
        <v>791</v>
      </c>
      <c r="G168" s="189" t="s">
        <v>792</v>
      </c>
      <c r="H168" s="190" t="s">
        <v>264</v>
      </c>
      <c r="I168" s="191" t="s">
        <v>808</v>
      </c>
      <c r="J168" s="192" t="n">
        <f aca="false">IFERROR(VLOOKUP(VALUE($D168),BSPL2026!$B:$Z,25,FALSE()),0)</f>
        <v>-732044323</v>
      </c>
      <c r="K168" s="193"/>
      <c r="L168" s="194"/>
      <c r="M168" s="192" t="n">
        <f aca="false">J168+K168-L168</f>
        <v>-732044323</v>
      </c>
      <c r="N168" s="193" t="n">
        <f aca="false">SUMIF('statutory adj_2026 조정분개'!$S:$S,$D168,'statutory adj_2026 조정분개'!$K:$K)</f>
        <v>0</v>
      </c>
      <c r="O168" s="194" t="n">
        <f aca="false">SUMIF('statutory adj_2026 조정분개'!$S:$S,$D168,'statutory adj_2026 조정분개'!$L:$L)</f>
        <v>0</v>
      </c>
      <c r="P168" s="192" t="n">
        <f aca="false">M168+N168-O168</f>
        <v>-732044323</v>
      </c>
      <c r="Q168" s="195" t="n">
        <f aca="false">IFERROR(VLOOKUP(VALUE($D168),BSPL2026!$B:$Q,16,FALSE()),0)</f>
        <v>3307432009</v>
      </c>
      <c r="R168" s="196" t="s">
        <v>449</v>
      </c>
      <c r="S168" s="172" t="str">
        <f aca="false">IFERROR(VLOOKUP(VALUE($D168),BSPL2026!$B:$M,12,FALSE()),"")</f>
        <v>매출액</v>
      </c>
      <c r="T168" s="172" t="str">
        <f aca="false">IF(OR(S168="",S168=0,LEFT(S168,5)="(원본오류"),"",IF(S168=H168,"","매핑차이"))</f>
        <v/>
      </c>
    </row>
    <row r="169" customFormat="false" ht="16.5" hidden="false" customHeight="false" outlineLevel="0" collapsed="false">
      <c r="D169" s="186" t="s">
        <v>809</v>
      </c>
      <c r="E169" s="187" t="s">
        <v>810</v>
      </c>
      <c r="F169" s="188" t="s">
        <v>791</v>
      </c>
      <c r="G169" s="189" t="s">
        <v>792</v>
      </c>
      <c r="H169" s="190" t="s">
        <v>264</v>
      </c>
      <c r="I169" s="191" t="s">
        <v>810</v>
      </c>
      <c r="J169" s="192" t="n">
        <f aca="false">IFERROR(VLOOKUP(VALUE($D169),BSPL2026!$B:$Z,25,FALSE()),0)</f>
        <v>55603169388</v>
      </c>
      <c r="K169" s="193"/>
      <c r="L169" s="194"/>
      <c r="M169" s="192" t="n">
        <f aca="false">J169+K169-L169</f>
        <v>55603169388</v>
      </c>
      <c r="N169" s="193" t="n">
        <f aca="false">SUMIF('statutory adj_2026 조정분개'!$S:$S,$D169,'statutory adj_2026 조정분개'!$K:$K)</f>
        <v>0</v>
      </c>
      <c r="O169" s="194" t="n">
        <f aca="false">SUMIF('statutory adj_2026 조정분개'!$S:$S,$D169,'statutory adj_2026 조정분개'!$L:$L)</f>
        <v>0</v>
      </c>
      <c r="P169" s="192" t="n">
        <f aca="false">M169+N169-O169</f>
        <v>55603169388</v>
      </c>
      <c r="Q169" s="195" t="n">
        <f aca="false">IFERROR(VLOOKUP(VALUE($D169),BSPL2026!$B:$Q,16,FALSE()),0)</f>
        <v>59356208234</v>
      </c>
      <c r="R169" s="196" t="s">
        <v>449</v>
      </c>
      <c r="S169" s="172" t="str">
        <f aca="false">IFERROR(VLOOKUP(VALUE($D169),BSPL2026!$B:$M,12,FALSE()),"")</f>
        <v>매출액</v>
      </c>
      <c r="T169" s="172" t="str">
        <f aca="false">IF(OR(S169="",S169=0,LEFT(S169,5)="(원본오류"),"",IF(S169=H169,"","매핑차이"))</f>
        <v/>
      </c>
    </row>
    <row r="170" customFormat="false" ht="16.5" hidden="false" customHeight="false" outlineLevel="0" collapsed="false">
      <c r="D170" s="186" t="s">
        <v>811</v>
      </c>
      <c r="E170" s="187" t="s">
        <v>812</v>
      </c>
      <c r="F170" s="188" t="s">
        <v>791</v>
      </c>
      <c r="G170" s="189" t="s">
        <v>792</v>
      </c>
      <c r="H170" s="190" t="s">
        <v>264</v>
      </c>
      <c r="I170" s="191" t="s">
        <v>812</v>
      </c>
      <c r="J170" s="192" t="n">
        <f aca="false">IFERROR(VLOOKUP(VALUE($D170),BSPL2026!$B:$Z,25,FALSE()),0)</f>
        <v>58814456189</v>
      </c>
      <c r="K170" s="193"/>
      <c r="L170" s="194"/>
      <c r="M170" s="192" t="n">
        <f aca="false">J170+K170-L170</f>
        <v>58814456189</v>
      </c>
      <c r="N170" s="193" t="n">
        <f aca="false">SUMIF('statutory adj_2026 조정분개'!$S:$S,$D170,'statutory adj_2026 조정분개'!$K:$K)</f>
        <v>0</v>
      </c>
      <c r="O170" s="194" t="n">
        <f aca="false">SUMIF('statutory adj_2026 조정분개'!$S:$S,$D170,'statutory adj_2026 조정분개'!$L:$L)</f>
        <v>0</v>
      </c>
      <c r="P170" s="192" t="n">
        <f aca="false">M170+N170-O170</f>
        <v>58814456189</v>
      </c>
      <c r="Q170" s="195" t="n">
        <f aca="false">IFERROR(VLOOKUP(VALUE($D170),BSPL2026!$B:$Q,16,FALSE()),0)</f>
        <v>65934766601</v>
      </c>
      <c r="R170" s="196" t="s">
        <v>449</v>
      </c>
      <c r="S170" s="172" t="str">
        <f aca="false">IFERROR(VLOOKUP(VALUE($D170),BSPL2026!$B:$M,12,FALSE()),"")</f>
        <v>매출액</v>
      </c>
      <c r="T170" s="172" t="str">
        <f aca="false">IF(OR(S170="",S170=0,LEFT(S170,5)="(원본오류"),"",IF(S170=H170,"","매핑차이"))</f>
        <v/>
      </c>
    </row>
    <row r="171" customFormat="false" ht="16.5" hidden="false" customHeight="false" outlineLevel="0" collapsed="false">
      <c r="D171" s="186" t="s">
        <v>813</v>
      </c>
      <c r="E171" s="187" t="s">
        <v>814</v>
      </c>
      <c r="F171" s="188" t="s">
        <v>791</v>
      </c>
      <c r="G171" s="189" t="s">
        <v>792</v>
      </c>
      <c r="H171" s="190" t="s">
        <v>264</v>
      </c>
      <c r="I171" s="191" t="s">
        <v>814</v>
      </c>
      <c r="J171" s="192" t="n">
        <f aca="false">IFERROR(VLOOKUP(VALUE($D171),BSPL2026!$B:$Z,25,FALSE()),0)</f>
        <v>-2094817541</v>
      </c>
      <c r="K171" s="193"/>
      <c r="L171" s="194"/>
      <c r="M171" s="192" t="n">
        <f aca="false">J171+K171-L171</f>
        <v>-2094817541</v>
      </c>
      <c r="N171" s="193" t="n">
        <f aca="false">SUMIF('statutory adj_2026 조정분개'!$S:$S,$D171,'statutory adj_2026 조정분개'!$K:$K)</f>
        <v>0</v>
      </c>
      <c r="O171" s="194" t="n">
        <f aca="false">SUMIF('statutory adj_2026 조정분개'!$S:$S,$D171,'statutory adj_2026 조정분개'!$L:$L)</f>
        <v>0</v>
      </c>
      <c r="P171" s="192" t="n">
        <f aca="false">M171+N171-O171</f>
        <v>-2094817541</v>
      </c>
      <c r="Q171" s="195" t="n">
        <f aca="false">IFERROR(VLOOKUP(VALUE($D171),BSPL2026!$B:$Q,16,FALSE()),0)</f>
        <v>2731055417</v>
      </c>
      <c r="R171" s="196" t="s">
        <v>449</v>
      </c>
      <c r="S171" s="172" t="str">
        <f aca="false">IFERROR(VLOOKUP(VALUE($D171),BSPL2026!$B:$M,12,FALSE()),"")</f>
        <v>매출액</v>
      </c>
      <c r="T171" s="172" t="str">
        <f aca="false">IF(OR(S171="",S171=0,LEFT(S171,5)="(원본오류"),"",IF(S171=H171,"","매핑차이"))</f>
        <v/>
      </c>
    </row>
    <row r="172" customFormat="false" ht="16.5" hidden="false" customHeight="false" outlineLevel="0" collapsed="false">
      <c r="D172" s="186" t="s">
        <v>815</v>
      </c>
      <c r="E172" s="187" t="s">
        <v>816</v>
      </c>
      <c r="F172" s="188" t="s">
        <v>791</v>
      </c>
      <c r="G172" s="189" t="s">
        <v>792</v>
      </c>
      <c r="H172" s="190" t="s">
        <v>264</v>
      </c>
      <c r="I172" s="191" t="s">
        <v>816</v>
      </c>
      <c r="J172" s="192" t="n">
        <f aca="false">IFERROR(VLOOKUP(VALUE($D172),BSPL2026!$B:$Z,25,FALSE()),0)</f>
        <v>-1043177671</v>
      </c>
      <c r="K172" s="193"/>
      <c r="L172" s="194"/>
      <c r="M172" s="192" t="n">
        <f aca="false">J172+K172-L172</f>
        <v>-1043177671</v>
      </c>
      <c r="N172" s="193" t="n">
        <f aca="false">SUMIF('statutory adj_2026 조정분개'!$S:$S,$D172,'statutory adj_2026 조정분개'!$K:$K)</f>
        <v>0</v>
      </c>
      <c r="O172" s="194" t="n">
        <f aca="false">SUMIF('statutory adj_2026 조정분개'!$S:$S,$D172,'statutory adj_2026 조정분개'!$L:$L)</f>
        <v>0</v>
      </c>
      <c r="P172" s="192" t="n">
        <f aca="false">M172+N172-O172</f>
        <v>-1043177671</v>
      </c>
      <c r="Q172" s="195" t="n">
        <f aca="false">IFERROR(VLOOKUP(VALUE($D172),BSPL2026!$B:$Q,16,FALSE()),0)</f>
        <v>9577310118</v>
      </c>
      <c r="R172" s="196" t="s">
        <v>449</v>
      </c>
      <c r="S172" s="172" t="str">
        <f aca="false">IFERROR(VLOOKUP(VALUE($D172),BSPL2026!$B:$M,12,FALSE()),"")</f>
        <v>매출액</v>
      </c>
      <c r="T172" s="172" t="str">
        <f aca="false">IF(OR(S172="",S172=0,LEFT(S172,5)="(원본오류"),"",IF(S172=H172,"","매핑차이"))</f>
        <v/>
      </c>
    </row>
    <row r="173" customFormat="false" ht="16.5" hidden="false" customHeight="false" outlineLevel="0" collapsed="false">
      <c r="D173" s="186" t="s">
        <v>817</v>
      </c>
      <c r="E173" s="187" t="s">
        <v>818</v>
      </c>
      <c r="F173" s="188" t="s">
        <v>791</v>
      </c>
      <c r="G173" s="189" t="s">
        <v>792</v>
      </c>
      <c r="H173" s="190" t="s">
        <v>264</v>
      </c>
      <c r="I173" s="191" t="s">
        <v>818</v>
      </c>
      <c r="J173" s="192" t="n">
        <f aca="false">IFERROR(VLOOKUP(VALUE($D173),BSPL2026!$B:$Z,25,FALSE()),0)</f>
        <v>11739011327</v>
      </c>
      <c r="K173" s="193"/>
      <c r="L173" s="194"/>
      <c r="M173" s="192" t="n">
        <f aca="false">J173+K173-L173</f>
        <v>11739011327</v>
      </c>
      <c r="N173" s="193" t="n">
        <f aca="false">SUMIF('statutory adj_2026 조정분개'!$S:$S,$D173,'statutory adj_2026 조정분개'!$K:$K)</f>
        <v>0</v>
      </c>
      <c r="O173" s="194" t="n">
        <f aca="false">SUMIF('statutory adj_2026 조정분개'!$S:$S,$D173,'statutory adj_2026 조정분개'!$L:$L)</f>
        <v>0</v>
      </c>
      <c r="P173" s="192" t="n">
        <f aca="false">M173+N173-O173</f>
        <v>11739011327</v>
      </c>
      <c r="Q173" s="195" t="n">
        <f aca="false">IFERROR(VLOOKUP(VALUE($D173),BSPL2026!$B:$Q,16,FALSE()),0)</f>
        <v>21861009921</v>
      </c>
      <c r="R173" s="196" t="s">
        <v>449</v>
      </c>
      <c r="S173" s="172" t="str">
        <f aca="false">IFERROR(VLOOKUP(VALUE($D173),BSPL2026!$B:$M,12,FALSE()),"")</f>
        <v>매출액</v>
      </c>
      <c r="T173" s="172" t="str">
        <f aca="false">IF(OR(S173="",S173=0,LEFT(S173,5)="(원본오류"),"",IF(S173=H173,"","매핑차이"))</f>
        <v/>
      </c>
    </row>
    <row r="174" customFormat="false" ht="16.5" hidden="false" customHeight="false" outlineLevel="0" collapsed="false">
      <c r="D174" s="186" t="s">
        <v>819</v>
      </c>
      <c r="E174" s="187" t="s">
        <v>820</v>
      </c>
      <c r="F174" s="188" t="s">
        <v>791</v>
      </c>
      <c r="G174" s="189" t="s">
        <v>792</v>
      </c>
      <c r="H174" s="190" t="s">
        <v>264</v>
      </c>
      <c r="I174" s="191" t="s">
        <v>820</v>
      </c>
      <c r="J174" s="192" t="n">
        <f aca="false">IFERROR(VLOOKUP(VALUE($D174),BSPL2026!$B:$Z,25,FALSE()),0)</f>
        <v>-245443361</v>
      </c>
      <c r="K174" s="193"/>
      <c r="L174" s="194"/>
      <c r="M174" s="192" t="n">
        <f aca="false">J174+K174-L174</f>
        <v>-245443361</v>
      </c>
      <c r="N174" s="193" t="n">
        <f aca="false">SUMIF('statutory adj_2026 조정분개'!$S:$S,$D174,'statutory adj_2026 조정분개'!$K:$K)</f>
        <v>0</v>
      </c>
      <c r="O174" s="194" t="n">
        <f aca="false">SUMIF('statutory adj_2026 조정분개'!$S:$S,$D174,'statutory adj_2026 조정분개'!$L:$L)</f>
        <v>0</v>
      </c>
      <c r="P174" s="192" t="n">
        <f aca="false">M174+N174-O174</f>
        <v>-245443361</v>
      </c>
      <c r="Q174" s="195" t="n">
        <f aca="false">IFERROR(VLOOKUP(VALUE($D174),BSPL2026!$B:$Q,16,FALSE()),0)</f>
        <v>-39590985</v>
      </c>
      <c r="R174" s="196" t="s">
        <v>449</v>
      </c>
      <c r="S174" s="172" t="str">
        <f aca="false">IFERROR(VLOOKUP(VALUE($D174),BSPL2026!$B:$M,12,FALSE()),"")</f>
        <v>매출액</v>
      </c>
      <c r="T174" s="172" t="str">
        <f aca="false">IF(OR(S174="",S174=0,LEFT(S174,5)="(원본오류"),"",IF(S174=H174,"","매핑차이"))</f>
        <v/>
      </c>
    </row>
    <row r="175" customFormat="false" ht="16.5" hidden="false" customHeight="false" outlineLevel="0" collapsed="false">
      <c r="D175" s="186" t="s">
        <v>821</v>
      </c>
      <c r="E175" s="187" t="s">
        <v>752</v>
      </c>
      <c r="F175" s="188" t="s">
        <v>791</v>
      </c>
      <c r="G175" s="189" t="s">
        <v>792</v>
      </c>
      <c r="H175" s="190" t="s">
        <v>264</v>
      </c>
      <c r="I175" s="191" t="s">
        <v>752</v>
      </c>
      <c r="J175" s="192" t="n">
        <f aca="false">IFERROR(VLOOKUP(VALUE($D175),BSPL2026!$B:$Z,25,FALSE()),0)</f>
        <v>10006743243</v>
      </c>
      <c r="K175" s="193"/>
      <c r="L175" s="194"/>
      <c r="M175" s="192" t="n">
        <f aca="false">J175+K175-L175</f>
        <v>10006743243</v>
      </c>
      <c r="N175" s="193" t="n">
        <f aca="false">SUMIF('statutory adj_2026 조정분개'!$S:$S,$D175,'statutory adj_2026 조정분개'!$K:$K)</f>
        <v>0</v>
      </c>
      <c r="O175" s="194" t="n">
        <f aca="false">SUMIF('statutory adj_2026 조정분개'!$S:$S,$D175,'statutory adj_2026 조정분개'!$L:$L)</f>
        <v>0</v>
      </c>
      <c r="P175" s="192" t="n">
        <f aca="false">M175+N175-O175</f>
        <v>10006743243</v>
      </c>
      <c r="Q175" s="195" t="n">
        <f aca="false">IFERROR(VLOOKUP(VALUE($D175),BSPL2026!$B:$Q,16,FALSE()),0)</f>
        <v>7322555127</v>
      </c>
      <c r="R175" s="196" t="s">
        <v>449</v>
      </c>
      <c r="S175" s="172" t="str">
        <f aca="false">IFERROR(VLOOKUP(VALUE($D175),BSPL2026!$B:$M,12,FALSE()),"")</f>
        <v>매출액</v>
      </c>
      <c r="T175" s="172" t="str">
        <f aca="false">IF(OR(S175="",S175=0,LEFT(S175,5)="(원본오류"),"",IF(S175=H175,"","매핑차이"))</f>
        <v/>
      </c>
    </row>
    <row r="176" customFormat="false" ht="16.5" hidden="false" customHeight="false" outlineLevel="0" collapsed="false">
      <c r="D176" s="186" t="s">
        <v>822</v>
      </c>
      <c r="E176" s="187" t="s">
        <v>823</v>
      </c>
      <c r="F176" s="188" t="s">
        <v>791</v>
      </c>
      <c r="G176" s="189" t="s">
        <v>824</v>
      </c>
      <c r="H176" s="190" t="s">
        <v>269</v>
      </c>
      <c r="I176" s="191" t="s">
        <v>823</v>
      </c>
      <c r="J176" s="192" t="n">
        <f aca="false">IFERROR(VLOOKUP(VALUE($D176),BSPL2026!$B:$Z,25,FALSE()),0)</f>
        <v>398083725574</v>
      </c>
      <c r="K176" s="193"/>
      <c r="L176" s="194"/>
      <c r="M176" s="192" t="n">
        <f aca="false">J176+K176-L176</f>
        <v>398083725574</v>
      </c>
      <c r="N176" s="193" t="n">
        <f aca="false">SUMIF('statutory adj_2026 조정분개'!$S:$S,$D176,'statutory adj_2026 조정분개'!$K:$K)</f>
        <v>0</v>
      </c>
      <c r="O176" s="194" t="n">
        <f aca="false">SUMIF('statutory adj_2026 조정분개'!$S:$S,$D176,'statutory adj_2026 조정분개'!$L:$L)</f>
        <v>0</v>
      </c>
      <c r="P176" s="192" t="n">
        <f aca="false">M176+N176-O176</f>
        <v>398083725574</v>
      </c>
      <c r="Q176" s="195" t="n">
        <f aca="false">IFERROR(VLOOKUP(VALUE($D176),BSPL2026!$B:$Q,16,FALSE()),0)</f>
        <v>492779169233</v>
      </c>
      <c r="R176" s="196" t="s">
        <v>449</v>
      </c>
      <c r="S176" s="172" t="str">
        <f aca="false">IFERROR(VLOOKUP(VALUE($D176),BSPL2026!$B:$M,12,FALSE()),"")</f>
        <v>상품매출원가</v>
      </c>
      <c r="T176" s="172" t="str">
        <f aca="false">IF(OR(S176="",S176=0,LEFT(S176,5)="(원본오류"),"",IF(S176=H176,"","매핑차이"))</f>
        <v/>
      </c>
    </row>
    <row r="177" customFormat="false" ht="16.5" hidden="false" customHeight="false" outlineLevel="0" collapsed="false">
      <c r="D177" s="186" t="s">
        <v>825</v>
      </c>
      <c r="E177" s="187" t="s">
        <v>826</v>
      </c>
      <c r="F177" s="188" t="s">
        <v>791</v>
      </c>
      <c r="G177" s="189" t="s">
        <v>824</v>
      </c>
      <c r="H177" s="190" t="s">
        <v>269</v>
      </c>
      <c r="I177" s="191" t="s">
        <v>826</v>
      </c>
      <c r="J177" s="192" t="n">
        <f aca="false">IFERROR(VLOOKUP(VALUE($D177),BSPL2026!$B:$Z,25,FALSE()),0)</f>
        <v>0</v>
      </c>
      <c r="K177" s="193"/>
      <c r="L177" s="194"/>
      <c r="M177" s="192" t="n">
        <f aca="false">J177+K177-L177</f>
        <v>0</v>
      </c>
      <c r="N177" s="193" t="n">
        <f aca="false">SUMIF('statutory adj_2026 조정분개'!$S:$S,$D177,'statutory adj_2026 조정분개'!$K:$K)</f>
        <v>0</v>
      </c>
      <c r="O177" s="194" t="n">
        <f aca="false">SUMIF('statutory adj_2026 조정분개'!$S:$S,$D177,'statutory adj_2026 조정분개'!$L:$L)</f>
        <v>0</v>
      </c>
      <c r="P177" s="192" t="n">
        <f aca="false">M177+N177-O177</f>
        <v>0</v>
      </c>
      <c r="Q177" s="195" t="n">
        <f aca="false">IFERROR(VLOOKUP(VALUE($D177),BSPL2026!$B:$Q,16,FALSE()),0)</f>
        <v>-1381680</v>
      </c>
      <c r="R177" s="196" t="s">
        <v>449</v>
      </c>
      <c r="S177" s="172" t="str">
        <f aca="false">IFERROR(VLOOKUP(VALUE($D177),BSPL2026!$B:$M,12,FALSE()),"")</f>
        <v>상품매출원가</v>
      </c>
      <c r="T177" s="172" t="str">
        <f aca="false">IF(OR(S177="",S177=0,LEFT(S177,5)="(원본오류"),"",IF(S177=H177,"","매핑차이"))</f>
        <v/>
      </c>
    </row>
    <row r="178" customFormat="false" ht="16.5" hidden="false" customHeight="false" outlineLevel="0" collapsed="false">
      <c r="D178" s="186" t="s">
        <v>827</v>
      </c>
      <c r="E178" s="187" t="s">
        <v>828</v>
      </c>
      <c r="F178" s="188" t="s">
        <v>791</v>
      </c>
      <c r="G178" s="189" t="s">
        <v>824</v>
      </c>
      <c r="H178" s="190" t="s">
        <v>269</v>
      </c>
      <c r="I178" s="191" t="s">
        <v>828</v>
      </c>
      <c r="J178" s="192" t="n">
        <f aca="false">IFERROR(VLOOKUP(VALUE($D178),BSPL2026!$B:$Z,25,FALSE()),0)</f>
        <v>-184200745</v>
      </c>
      <c r="K178" s="193"/>
      <c r="L178" s="194"/>
      <c r="M178" s="192" t="n">
        <f aca="false">J178+K178-L178</f>
        <v>-184200745</v>
      </c>
      <c r="N178" s="193" t="n">
        <f aca="false">SUMIF('statutory adj_2026 조정분개'!$S:$S,$D178,'statutory adj_2026 조정분개'!$K:$K)</f>
        <v>0</v>
      </c>
      <c r="O178" s="194" t="n">
        <f aca="false">SUMIF('statutory adj_2026 조정분개'!$S:$S,$D178,'statutory adj_2026 조정분개'!$L:$L)</f>
        <v>0</v>
      </c>
      <c r="P178" s="192" t="n">
        <f aca="false">M178+N178-O178</f>
        <v>-184200745</v>
      </c>
      <c r="Q178" s="195" t="n">
        <f aca="false">IFERROR(VLOOKUP(VALUE($D178),BSPL2026!$B:$Q,16,FALSE()),0)</f>
        <v>611922041</v>
      </c>
      <c r="R178" s="196" t="s">
        <v>449</v>
      </c>
      <c r="S178" s="172" t="str">
        <f aca="false">IFERROR(VLOOKUP(VALUE($D178),BSPL2026!$B:$M,12,FALSE()),"")</f>
        <v>상품매출원가</v>
      </c>
      <c r="T178" s="172" t="str">
        <f aca="false">IF(OR(S178="",S178=0,LEFT(S178,5)="(원본오류"),"",IF(S178=H178,"","매핑차이"))</f>
        <v/>
      </c>
    </row>
    <row r="179" customFormat="false" ht="16.5" hidden="false" customHeight="false" outlineLevel="0" collapsed="false">
      <c r="D179" s="186" t="s">
        <v>829</v>
      </c>
      <c r="E179" s="187" t="s">
        <v>830</v>
      </c>
      <c r="F179" s="188" t="s">
        <v>791</v>
      </c>
      <c r="G179" s="189" t="s">
        <v>824</v>
      </c>
      <c r="H179" s="190" t="s">
        <v>269</v>
      </c>
      <c r="I179" s="191" t="s">
        <v>830</v>
      </c>
      <c r="J179" s="192" t="n">
        <f aca="false">IFERROR(VLOOKUP(VALUE($D179),BSPL2026!$B:$Z,25,FALSE()),0)</f>
        <v>-2400102196</v>
      </c>
      <c r="K179" s="193"/>
      <c r="L179" s="194"/>
      <c r="M179" s="192" t="n">
        <f aca="false">J179+K179-L179</f>
        <v>-2400102196</v>
      </c>
      <c r="N179" s="193" t="n">
        <f aca="false">SUMIF('statutory adj_2026 조정분개'!$S:$S,$D179,'statutory adj_2026 조정분개'!$K:$K)</f>
        <v>0</v>
      </c>
      <c r="O179" s="194" t="n">
        <f aca="false">SUMIF('statutory adj_2026 조정분개'!$S:$S,$D179,'statutory adj_2026 조정분개'!$L:$L)</f>
        <v>0</v>
      </c>
      <c r="P179" s="192" t="n">
        <f aca="false">M179+N179-O179</f>
        <v>-2400102196</v>
      </c>
      <c r="Q179" s="195" t="n">
        <f aca="false">IFERROR(VLOOKUP(VALUE($D179),BSPL2026!$B:$Q,16,FALSE()),0)</f>
        <v>-355542315</v>
      </c>
      <c r="R179" s="196" t="s">
        <v>449</v>
      </c>
      <c r="S179" s="172" t="str">
        <f aca="false">IFERROR(VLOOKUP(VALUE($D179),BSPL2026!$B:$M,12,FALSE()),"")</f>
        <v>상품매출원가</v>
      </c>
      <c r="T179" s="172" t="str">
        <f aca="false">IF(OR(S179="",S179=0,LEFT(S179,5)="(원본오류"),"",IF(S179=H179,"","매핑차이"))</f>
        <v/>
      </c>
    </row>
    <row r="180" customFormat="false" ht="16.5" hidden="false" customHeight="false" outlineLevel="0" collapsed="false">
      <c r="D180" s="186" t="s">
        <v>831</v>
      </c>
      <c r="E180" s="187" t="s">
        <v>832</v>
      </c>
      <c r="F180" s="188" t="s">
        <v>791</v>
      </c>
      <c r="G180" s="189" t="s">
        <v>824</v>
      </c>
      <c r="H180" s="190" t="s">
        <v>269</v>
      </c>
      <c r="I180" s="191" t="s">
        <v>832</v>
      </c>
      <c r="J180" s="192" t="n">
        <f aca="false">IFERROR(VLOOKUP(VALUE($D180),BSPL2026!$B:$Z,25,FALSE()),0)</f>
        <v>-452391346</v>
      </c>
      <c r="K180" s="193"/>
      <c r="L180" s="194"/>
      <c r="M180" s="192" t="n">
        <f aca="false">J180+K180-L180</f>
        <v>-452391346</v>
      </c>
      <c r="N180" s="193" t="n">
        <f aca="false">SUMIF('statutory adj_2026 조정분개'!$S:$S,$D180,'statutory adj_2026 조정분개'!$K:$K)</f>
        <v>0</v>
      </c>
      <c r="O180" s="194" t="n">
        <f aca="false">SUMIF('statutory adj_2026 조정분개'!$S:$S,$D180,'statutory adj_2026 조정분개'!$L:$L)</f>
        <v>0</v>
      </c>
      <c r="P180" s="192" t="n">
        <f aca="false">M180+N180-O180</f>
        <v>-452391346</v>
      </c>
      <c r="Q180" s="195" t="n">
        <f aca="false">IFERROR(VLOOKUP(VALUE($D180),BSPL2026!$B:$Q,16,FALSE()),0)</f>
        <v>-4568891349</v>
      </c>
      <c r="R180" s="196" t="s">
        <v>449</v>
      </c>
      <c r="S180" s="172" t="str">
        <f aca="false">IFERROR(VLOOKUP(VALUE($D180),BSPL2026!$B:$M,12,FALSE()),"")</f>
        <v>상품매출원가</v>
      </c>
      <c r="T180" s="172" t="str">
        <f aca="false">IF(OR(S180="",S180=0,LEFT(S180,5)="(원본오류"),"",IF(S180=H180,"","매핑차이"))</f>
        <v/>
      </c>
    </row>
    <row r="181" customFormat="false" ht="16.5" hidden="false" customHeight="false" outlineLevel="0" collapsed="false">
      <c r="D181" s="186" t="s">
        <v>833</v>
      </c>
      <c r="E181" s="187" t="s">
        <v>834</v>
      </c>
      <c r="F181" s="188" t="s">
        <v>791</v>
      </c>
      <c r="G181" s="189" t="s">
        <v>824</v>
      </c>
      <c r="H181" s="190" t="s">
        <v>269</v>
      </c>
      <c r="I181" s="191" t="s">
        <v>834</v>
      </c>
      <c r="J181" s="192" t="n">
        <f aca="false">IFERROR(VLOOKUP(VALUE($D181),BSPL2026!$B:$Z,25,FALSE()),0)</f>
        <v>-1149824</v>
      </c>
      <c r="K181" s="193"/>
      <c r="L181" s="194"/>
      <c r="M181" s="192" t="n">
        <f aca="false">J181+K181-L181</f>
        <v>-1149824</v>
      </c>
      <c r="N181" s="193" t="n">
        <f aca="false">SUMIF('statutory adj_2026 조정분개'!$S:$S,$D181,'statutory adj_2026 조정분개'!$K:$K)</f>
        <v>0</v>
      </c>
      <c r="O181" s="194" t="n">
        <f aca="false">SUMIF('statutory adj_2026 조정분개'!$S:$S,$D181,'statutory adj_2026 조정분개'!$L:$L)</f>
        <v>0</v>
      </c>
      <c r="P181" s="192" t="n">
        <f aca="false">M181+N181-O181</f>
        <v>-1149824</v>
      </c>
      <c r="Q181" s="195" t="n">
        <f aca="false">IFERROR(VLOOKUP(VALUE($D181),BSPL2026!$B:$Q,16,FALSE()),0)</f>
        <v>1035710</v>
      </c>
      <c r="R181" s="196" t="s">
        <v>449</v>
      </c>
      <c r="S181" s="172" t="str">
        <f aca="false">IFERROR(VLOOKUP(VALUE($D181),BSPL2026!$B:$M,12,FALSE()),"")</f>
        <v>상품매출원가</v>
      </c>
      <c r="T181" s="172" t="str">
        <f aca="false">IF(OR(S181="",S181=0,LEFT(S181,5)="(원본오류"),"",IF(S181=H181,"","매핑차이"))</f>
        <v/>
      </c>
    </row>
    <row r="182" customFormat="false" ht="16.5" hidden="false" customHeight="false" outlineLevel="0" collapsed="false">
      <c r="D182" s="186" t="s">
        <v>835</v>
      </c>
      <c r="E182" s="187" t="s">
        <v>836</v>
      </c>
      <c r="F182" s="188" t="s">
        <v>791</v>
      </c>
      <c r="G182" s="189" t="s">
        <v>824</v>
      </c>
      <c r="H182" s="190" t="s">
        <v>269</v>
      </c>
      <c r="I182" s="191" t="s">
        <v>836</v>
      </c>
      <c r="J182" s="192" t="n">
        <f aca="false">IFERROR(VLOOKUP(VALUE($D182),BSPL2026!$B:$Z,25,FALSE()),0)</f>
        <v>21339601</v>
      </c>
      <c r="K182" s="193"/>
      <c r="L182" s="194"/>
      <c r="M182" s="192" t="n">
        <f aca="false">J182+K182-L182</f>
        <v>21339601</v>
      </c>
      <c r="N182" s="193" t="n">
        <f aca="false">SUMIF('statutory adj_2026 조정분개'!$S:$S,$D182,'statutory adj_2026 조정분개'!$K:$K)</f>
        <v>0</v>
      </c>
      <c r="O182" s="194" t="n">
        <f aca="false">SUMIF('statutory adj_2026 조정분개'!$S:$S,$D182,'statutory adj_2026 조정분개'!$L:$L)</f>
        <v>0</v>
      </c>
      <c r="P182" s="192" t="n">
        <f aca="false">M182+N182-O182</f>
        <v>21339601</v>
      </c>
      <c r="Q182" s="195" t="n">
        <f aca="false">IFERROR(VLOOKUP(VALUE($D182),BSPL2026!$B:$Q,16,FALSE()),0)</f>
        <v>0</v>
      </c>
      <c r="R182" s="196" t="s">
        <v>449</v>
      </c>
      <c r="S182" s="172" t="str">
        <f aca="false">IFERROR(VLOOKUP(VALUE($D182),BSPL2026!$B:$M,12,FALSE()),"")</f>
        <v>상품매출원가</v>
      </c>
      <c r="T182" s="172" t="str">
        <f aca="false">IF(OR(S182="",S182=0,LEFT(S182,5)="(원본오류"),"",IF(S182=H182,"","매핑차이"))</f>
        <v/>
      </c>
    </row>
    <row r="183" customFormat="false" ht="16.5" hidden="false" customHeight="false" outlineLevel="0" collapsed="false">
      <c r="D183" s="186" t="s">
        <v>837</v>
      </c>
      <c r="E183" s="187" t="s">
        <v>838</v>
      </c>
      <c r="F183" s="188" t="s">
        <v>791</v>
      </c>
      <c r="G183" s="189" t="s">
        <v>824</v>
      </c>
      <c r="H183" s="190" t="s">
        <v>269</v>
      </c>
      <c r="I183" s="191" t="s">
        <v>838</v>
      </c>
      <c r="J183" s="192" t="n">
        <f aca="false">IFERROR(VLOOKUP(VALUE($D183),BSPL2026!$B:$Z,25,FALSE()),0)</f>
        <v>-1987252232</v>
      </c>
      <c r="K183" s="193"/>
      <c r="L183" s="194"/>
      <c r="M183" s="192" t="n">
        <f aca="false">J183+K183-L183</f>
        <v>-1987252232</v>
      </c>
      <c r="N183" s="193" t="n">
        <f aca="false">SUMIF('statutory adj_2026 조정분개'!$S:$S,$D183,'statutory adj_2026 조정분개'!$K:$K)</f>
        <v>0</v>
      </c>
      <c r="O183" s="194" t="n">
        <f aca="false">SUMIF('statutory adj_2026 조정분개'!$S:$S,$D183,'statutory adj_2026 조정분개'!$L:$L)</f>
        <v>0</v>
      </c>
      <c r="P183" s="192" t="n">
        <f aca="false">M183+N183-O183</f>
        <v>-1987252232</v>
      </c>
      <c r="Q183" s="195" t="n">
        <f aca="false">IFERROR(VLOOKUP(VALUE($D183),BSPL2026!$B:$Q,16,FALSE()),0)</f>
        <v>-2417467720</v>
      </c>
      <c r="R183" s="196" t="s">
        <v>449</v>
      </c>
      <c r="S183" s="172" t="str">
        <f aca="false">IFERROR(VLOOKUP(VALUE($D183),BSPL2026!$B:$M,12,FALSE()),"")</f>
        <v>상품매출원가</v>
      </c>
      <c r="T183" s="172" t="str">
        <f aca="false">IF(OR(S183="",S183=0,LEFT(S183,5)="(원본오류"),"",IF(S183=H183,"","매핑차이"))</f>
        <v/>
      </c>
    </row>
    <row r="184" customFormat="false" ht="16.5" hidden="false" customHeight="false" outlineLevel="0" collapsed="false">
      <c r="D184" s="186" t="s">
        <v>839</v>
      </c>
      <c r="E184" s="187" t="s">
        <v>840</v>
      </c>
      <c r="F184" s="188" t="s">
        <v>791</v>
      </c>
      <c r="G184" s="189" t="s">
        <v>824</v>
      </c>
      <c r="H184" s="190" t="s">
        <v>269</v>
      </c>
      <c r="I184" s="191" t="s">
        <v>841</v>
      </c>
      <c r="J184" s="192" t="n">
        <f aca="false">IFERROR(VLOOKUP(VALUE($D184),BSPL2026!$B:$Z,25,FALSE()),0)</f>
        <v>1948608791</v>
      </c>
      <c r="K184" s="193"/>
      <c r="L184" s="194"/>
      <c r="M184" s="192" t="n">
        <f aca="false">J184+K184-L184</f>
        <v>1948608791</v>
      </c>
      <c r="N184" s="193" t="n">
        <f aca="false">SUMIF('statutory adj_2026 조정분개'!$S:$S,$D184,'statutory adj_2026 조정분개'!$K:$K)</f>
        <v>0</v>
      </c>
      <c r="O184" s="194" t="n">
        <f aca="false">SUMIF('statutory adj_2026 조정분개'!$S:$S,$D184,'statutory adj_2026 조정분개'!$L:$L)</f>
        <v>0</v>
      </c>
      <c r="P184" s="192" t="n">
        <f aca="false">M184+N184-O184</f>
        <v>1948608791</v>
      </c>
      <c r="Q184" s="195" t="n">
        <f aca="false">IFERROR(VLOOKUP(VALUE($D184),BSPL2026!$B:$Q,16,FALSE()),0)</f>
        <v>1584677840</v>
      </c>
      <c r="R184" s="196" t="s">
        <v>449</v>
      </c>
      <c r="S184" s="172" t="str">
        <f aca="false">IFERROR(VLOOKUP(VALUE($D184),BSPL2026!$B:$M,12,FALSE()),"")</f>
        <v>상품매출원가</v>
      </c>
      <c r="T184" s="172" t="str">
        <f aca="false">IF(OR(S184="",S184=0,LEFT(S184,5)="(원본오류"),"",IF(S184=H184,"","매핑차이"))</f>
        <v/>
      </c>
    </row>
    <row r="185" customFormat="false" ht="16.5" hidden="false" customHeight="false" outlineLevel="0" collapsed="false">
      <c r="D185" s="186" t="s">
        <v>842</v>
      </c>
      <c r="E185" s="187" t="s">
        <v>843</v>
      </c>
      <c r="F185" s="188" t="s">
        <v>791</v>
      </c>
      <c r="G185" s="189" t="s">
        <v>824</v>
      </c>
      <c r="H185" s="190" t="s">
        <v>269</v>
      </c>
      <c r="I185" s="191" t="s">
        <v>843</v>
      </c>
      <c r="J185" s="192" t="n">
        <f aca="false">IFERROR(VLOOKUP(VALUE($D185),BSPL2026!$B:$Z,25,FALSE()),0)</f>
        <v>2176465415</v>
      </c>
      <c r="K185" s="193"/>
      <c r="L185" s="194"/>
      <c r="M185" s="192" t="n">
        <f aca="false">J185+K185-L185</f>
        <v>2176465415</v>
      </c>
      <c r="N185" s="193" t="n">
        <f aca="false">SUMIF('statutory adj_2026 조정분개'!$S:$S,$D185,'statutory adj_2026 조정분개'!$K:$K)</f>
        <v>0</v>
      </c>
      <c r="O185" s="194" t="n">
        <f aca="false">SUMIF('statutory adj_2026 조정분개'!$S:$S,$D185,'statutory adj_2026 조정분개'!$L:$L)</f>
        <v>0</v>
      </c>
      <c r="P185" s="192" t="n">
        <f aca="false">M185+N185-O185</f>
        <v>2176465415</v>
      </c>
      <c r="Q185" s="195" t="n">
        <f aca="false">IFERROR(VLOOKUP(VALUE($D185),BSPL2026!$B:$Q,16,FALSE()),0)</f>
        <v>4272917104</v>
      </c>
      <c r="R185" s="196" t="s">
        <v>449</v>
      </c>
      <c r="S185" s="172" t="str">
        <f aca="false">IFERROR(VLOOKUP(VALUE($D185),BSPL2026!$B:$M,12,FALSE()),"")</f>
        <v>상품매출원가</v>
      </c>
      <c r="T185" s="172" t="str">
        <f aca="false">IF(OR(S185="",S185=0,LEFT(S185,5)="(원본오류"),"",IF(S185=H185,"","매핑차이"))</f>
        <v/>
      </c>
    </row>
    <row r="186" customFormat="false" ht="16.5" hidden="false" customHeight="false" outlineLevel="0" collapsed="false">
      <c r="D186" s="186" t="s">
        <v>844</v>
      </c>
      <c r="E186" s="187" t="s">
        <v>845</v>
      </c>
      <c r="F186" s="188" t="s">
        <v>791</v>
      </c>
      <c r="G186" s="189" t="s">
        <v>824</v>
      </c>
      <c r="H186" s="190" t="s">
        <v>269</v>
      </c>
      <c r="I186" s="191" t="s">
        <v>845</v>
      </c>
      <c r="J186" s="192" t="n">
        <f aca="false">IFERROR(VLOOKUP(VALUE($D186),BSPL2026!$B:$Z,25,FALSE()),0)</f>
        <v>1917769208</v>
      </c>
      <c r="K186" s="193"/>
      <c r="L186" s="194"/>
      <c r="M186" s="192" t="n">
        <f aca="false">J186+K186-L186</f>
        <v>1917769208</v>
      </c>
      <c r="N186" s="193" t="n">
        <f aca="false">SUMIF('statutory adj_2026 조정분개'!$S:$S,$D186,'statutory adj_2026 조정분개'!$K:$K)</f>
        <v>0</v>
      </c>
      <c r="O186" s="194" t="n">
        <f aca="false">SUMIF('statutory adj_2026 조정분개'!$S:$S,$D186,'statutory adj_2026 조정분개'!$L:$L)</f>
        <v>0</v>
      </c>
      <c r="P186" s="192" t="n">
        <f aca="false">M186+N186-O186</f>
        <v>1917769208</v>
      </c>
      <c r="Q186" s="195" t="n">
        <f aca="false">IFERROR(VLOOKUP(VALUE($D186),BSPL2026!$B:$Q,16,FALSE()),0)</f>
        <v>485633263</v>
      </c>
      <c r="R186" s="196" t="s">
        <v>449</v>
      </c>
      <c r="S186" s="172" t="str">
        <f aca="false">IFERROR(VLOOKUP(VALUE($D186),BSPL2026!$B:$M,12,FALSE()),"")</f>
        <v>상품매출원가</v>
      </c>
      <c r="T186" s="172" t="str">
        <f aca="false">IF(OR(S186="",S186=0,LEFT(S186,5)="(원본오류"),"",IF(S186=H186,"","매핑차이"))</f>
        <v/>
      </c>
    </row>
    <row r="187" customFormat="false" ht="16.5" hidden="false" customHeight="false" outlineLevel="0" collapsed="false">
      <c r="D187" s="186" t="s">
        <v>846</v>
      </c>
      <c r="E187" s="187" t="s">
        <v>847</v>
      </c>
      <c r="F187" s="188" t="s">
        <v>791</v>
      </c>
      <c r="G187" s="189" t="s">
        <v>824</v>
      </c>
      <c r="H187" s="190" t="s">
        <v>269</v>
      </c>
      <c r="I187" s="191" t="s">
        <v>847</v>
      </c>
      <c r="J187" s="192" t="n">
        <f aca="false">IFERROR(VLOOKUP(VALUE($D187),BSPL2026!$B:$Z,25,FALSE()),0)</f>
        <v>-3921818424</v>
      </c>
      <c r="K187" s="193"/>
      <c r="L187" s="194"/>
      <c r="M187" s="192" t="n">
        <f aca="false">J187+K187-L187</f>
        <v>-3921818424</v>
      </c>
      <c r="N187" s="193" t="n">
        <f aca="false">SUMIF('statutory adj_2026 조정분개'!$S:$S,$D187,'statutory adj_2026 조정분개'!$K:$K)</f>
        <v>0</v>
      </c>
      <c r="O187" s="194" t="n">
        <f aca="false">SUMIF('statutory adj_2026 조정분개'!$S:$S,$D187,'statutory adj_2026 조정분개'!$L:$L)</f>
        <v>0</v>
      </c>
      <c r="P187" s="192" t="n">
        <f aca="false">M187+N187-O187</f>
        <v>-3921818424</v>
      </c>
      <c r="Q187" s="195" t="n">
        <f aca="false">IFERROR(VLOOKUP(VALUE($D187),BSPL2026!$B:$Q,16,FALSE()),0)</f>
        <v>-3387201262</v>
      </c>
      <c r="R187" s="196" t="s">
        <v>449</v>
      </c>
      <c r="S187" s="172" t="str">
        <f aca="false">IFERROR(VLOOKUP(VALUE($D187),BSPL2026!$B:$M,12,FALSE()),"")</f>
        <v>상품매출원가</v>
      </c>
      <c r="T187" s="172" t="str">
        <f aca="false">IF(OR(S187="",S187=0,LEFT(S187,5)="(원본오류"),"",IF(S187=H187,"","매핑차이"))</f>
        <v/>
      </c>
    </row>
    <row r="188" customFormat="false" ht="16.5" hidden="false" customHeight="false" outlineLevel="0" collapsed="false">
      <c r="D188" s="186" t="s">
        <v>848</v>
      </c>
      <c r="E188" s="187" t="s">
        <v>849</v>
      </c>
      <c r="F188" s="188" t="s">
        <v>791</v>
      </c>
      <c r="G188" s="189" t="s">
        <v>824</v>
      </c>
      <c r="H188" s="190" t="s">
        <v>269</v>
      </c>
      <c r="I188" s="191" t="s">
        <v>849</v>
      </c>
      <c r="J188" s="192" t="n">
        <f aca="false">IFERROR(VLOOKUP(VALUE($D188),BSPL2026!$B:$Z,25,FALSE()),0)</f>
        <v>-234396026</v>
      </c>
      <c r="K188" s="193"/>
      <c r="L188" s="194"/>
      <c r="M188" s="192" t="n">
        <f aca="false">J188+K188-L188</f>
        <v>-234396026</v>
      </c>
      <c r="N188" s="193" t="n">
        <f aca="false">SUMIF('statutory adj_2026 조정분개'!$S:$S,$D188,'statutory adj_2026 조정분개'!$K:$K)</f>
        <v>0</v>
      </c>
      <c r="O188" s="194" t="n">
        <f aca="false">SUMIF('statutory adj_2026 조정분개'!$S:$S,$D188,'statutory adj_2026 조정분개'!$L:$L)</f>
        <v>0</v>
      </c>
      <c r="P188" s="192" t="n">
        <f aca="false">M188+N188-O188</f>
        <v>-234396026</v>
      </c>
      <c r="Q188" s="195" t="n">
        <f aca="false">IFERROR(VLOOKUP(VALUE($D188),BSPL2026!$B:$Q,16,FALSE()),0)</f>
        <v>-268905600</v>
      </c>
      <c r="R188" s="196" t="s">
        <v>449</v>
      </c>
      <c r="S188" s="172" t="str">
        <f aca="false">IFERROR(VLOOKUP(VALUE($D188),BSPL2026!$B:$M,12,FALSE()),"")</f>
        <v>상품매출원가</v>
      </c>
      <c r="T188" s="172" t="str">
        <f aca="false">IF(OR(S188="",S188=0,LEFT(S188,5)="(원본오류"),"",IF(S188=H188,"","매핑차이"))</f>
        <v/>
      </c>
    </row>
    <row r="189" customFormat="false" ht="16.5" hidden="false" customHeight="false" outlineLevel="0" collapsed="false">
      <c r="D189" s="186" t="s">
        <v>850</v>
      </c>
      <c r="E189" s="187" t="s">
        <v>851</v>
      </c>
      <c r="F189" s="188" t="s">
        <v>791</v>
      </c>
      <c r="G189" s="189" t="s">
        <v>824</v>
      </c>
      <c r="H189" s="190" t="s">
        <v>269</v>
      </c>
      <c r="I189" s="191" t="s">
        <v>851</v>
      </c>
      <c r="J189" s="192" t="n">
        <f aca="false">IFERROR(VLOOKUP(VALUE($D189),BSPL2026!$B:$Z,25,FALSE()),0)</f>
        <v>23526152</v>
      </c>
      <c r="K189" s="193"/>
      <c r="L189" s="194"/>
      <c r="M189" s="192" t="n">
        <f aca="false">J189+K189-L189</f>
        <v>23526152</v>
      </c>
      <c r="N189" s="193" t="n">
        <f aca="false">SUMIF('statutory adj_2026 조정분개'!$S:$S,$D189,'statutory adj_2026 조정분개'!$K:$K)</f>
        <v>0</v>
      </c>
      <c r="O189" s="194" t="n">
        <f aca="false">SUMIF('statutory adj_2026 조정분개'!$S:$S,$D189,'statutory adj_2026 조정분개'!$L:$L)</f>
        <v>0</v>
      </c>
      <c r="P189" s="192" t="n">
        <f aca="false">M189+N189-O189</f>
        <v>23526152</v>
      </c>
      <c r="Q189" s="195" t="n">
        <f aca="false">IFERROR(VLOOKUP(VALUE($D189),BSPL2026!$B:$Q,16,FALSE()),0)</f>
        <v>844936198</v>
      </c>
      <c r="R189" s="196" t="s">
        <v>449</v>
      </c>
      <c r="S189" s="172" t="str">
        <f aca="false">IFERROR(VLOOKUP(VALUE($D189),BSPL2026!$B:$M,12,FALSE()),"")</f>
        <v>상품매출원가</v>
      </c>
      <c r="T189" s="172" t="str">
        <f aca="false">IF(OR(S189="",S189=0,LEFT(S189,5)="(원본오류"),"",IF(S189=H189,"","매핑차이"))</f>
        <v/>
      </c>
    </row>
    <row r="190" customFormat="false" ht="16.5" hidden="false" customHeight="false" outlineLevel="0" collapsed="false">
      <c r="D190" s="186" t="s">
        <v>852</v>
      </c>
      <c r="E190" s="187" t="s">
        <v>853</v>
      </c>
      <c r="F190" s="188" t="s">
        <v>791</v>
      </c>
      <c r="G190" s="189" t="s">
        <v>824</v>
      </c>
      <c r="H190" s="190" t="s">
        <v>269</v>
      </c>
      <c r="I190" s="191" t="s">
        <v>853</v>
      </c>
      <c r="J190" s="192" t="n">
        <f aca="false">IFERROR(VLOOKUP(VALUE($D190),BSPL2026!$B:$Z,25,FALSE()),0)</f>
        <v>67274554</v>
      </c>
      <c r="K190" s="193"/>
      <c r="L190" s="194"/>
      <c r="M190" s="192" t="n">
        <f aca="false">J190+K190-L190</f>
        <v>67274554</v>
      </c>
      <c r="N190" s="193" t="n">
        <f aca="false">SUMIF('statutory adj_2026 조정분개'!$S:$S,$D190,'statutory adj_2026 조정분개'!$K:$K)</f>
        <v>0</v>
      </c>
      <c r="O190" s="194" t="n">
        <f aca="false">SUMIF('statutory adj_2026 조정분개'!$S:$S,$D190,'statutory adj_2026 조정분개'!$L:$L)</f>
        <v>0</v>
      </c>
      <c r="P190" s="192" t="n">
        <f aca="false">M190+N190-O190</f>
        <v>67274554</v>
      </c>
      <c r="Q190" s="195" t="n">
        <f aca="false">IFERROR(VLOOKUP(VALUE($D190),BSPL2026!$B:$Q,16,FALSE()),0)</f>
        <v>-5491708</v>
      </c>
      <c r="R190" s="196" t="s">
        <v>449</v>
      </c>
      <c r="S190" s="172" t="str">
        <f aca="false">IFERROR(VLOOKUP(VALUE($D190),BSPL2026!$B:$M,12,FALSE()),"")</f>
        <v>상품매출원가</v>
      </c>
      <c r="T190" s="172" t="str">
        <f aca="false">IF(OR(S190="",S190=0,LEFT(S190,5)="(원본오류"),"",IF(S190=H190,"","매핑차이"))</f>
        <v/>
      </c>
    </row>
    <row r="191" customFormat="false" ht="16.5" hidden="false" customHeight="false" outlineLevel="0" collapsed="false">
      <c r="D191" s="186" t="s">
        <v>854</v>
      </c>
      <c r="E191" s="187" t="s">
        <v>855</v>
      </c>
      <c r="F191" s="188" t="s">
        <v>791</v>
      </c>
      <c r="G191" s="189" t="s">
        <v>824</v>
      </c>
      <c r="H191" s="190" t="s">
        <v>269</v>
      </c>
      <c r="I191" s="191" t="s">
        <v>855</v>
      </c>
      <c r="J191" s="192" t="n">
        <f aca="false">IFERROR(VLOOKUP(VALUE($D191),BSPL2026!$B:$Z,25,FALSE()),0)</f>
        <v>-70303217</v>
      </c>
      <c r="K191" s="193"/>
      <c r="L191" s="194"/>
      <c r="M191" s="192" t="n">
        <f aca="false">J191+K191-L191</f>
        <v>-70303217</v>
      </c>
      <c r="N191" s="193" t="n">
        <f aca="false">SUMIF('statutory adj_2026 조정분개'!$S:$S,$D191,'statutory adj_2026 조정분개'!$K:$K)</f>
        <v>0</v>
      </c>
      <c r="O191" s="194" t="n">
        <f aca="false">SUMIF('statutory adj_2026 조정분개'!$S:$S,$D191,'statutory adj_2026 조정분개'!$L:$L)</f>
        <v>0</v>
      </c>
      <c r="P191" s="192" t="n">
        <f aca="false">M191+N191-O191</f>
        <v>-70303217</v>
      </c>
      <c r="Q191" s="195" t="n">
        <f aca="false">IFERROR(VLOOKUP(VALUE($D191),BSPL2026!$B:$Q,16,FALSE()),0)</f>
        <v>-38721729</v>
      </c>
      <c r="R191" s="196" t="s">
        <v>449</v>
      </c>
      <c r="S191" s="172" t="str">
        <f aca="false">IFERROR(VLOOKUP(VALUE($D191),BSPL2026!$B:$M,12,FALSE()),"")</f>
        <v>상품매출원가</v>
      </c>
      <c r="T191" s="172" t="str">
        <f aca="false">IF(OR(S191="",S191=0,LEFT(S191,5)="(원본오류"),"",IF(S191=H191,"","매핑차이"))</f>
        <v/>
      </c>
    </row>
    <row r="192" customFormat="false" ht="16.5" hidden="false" customHeight="false" outlineLevel="0" collapsed="false">
      <c r="D192" s="186" t="s">
        <v>856</v>
      </c>
      <c r="E192" s="187" t="s">
        <v>857</v>
      </c>
      <c r="F192" s="188" t="s">
        <v>791</v>
      </c>
      <c r="G192" s="189" t="s">
        <v>824</v>
      </c>
      <c r="H192" s="190" t="s">
        <v>269</v>
      </c>
      <c r="I192" s="191" t="s">
        <v>857</v>
      </c>
      <c r="J192" s="192" t="n">
        <f aca="false">IFERROR(VLOOKUP(VALUE($D192),BSPL2026!$B:$Z,25,FALSE()),0)</f>
        <v>3178234946</v>
      </c>
      <c r="K192" s="193"/>
      <c r="L192" s="194"/>
      <c r="M192" s="192" t="n">
        <f aca="false">J192+K192-L192</f>
        <v>3178234946</v>
      </c>
      <c r="N192" s="193" t="n">
        <f aca="false">SUMIF('statutory adj_2026 조정분개'!$S:$S,$D192,'statutory adj_2026 조정분개'!$K:$K)</f>
        <v>0</v>
      </c>
      <c r="O192" s="194" t="n">
        <f aca="false">SUMIF('statutory adj_2026 조정분개'!$S:$S,$D192,'statutory adj_2026 조정분개'!$L:$L)</f>
        <v>0</v>
      </c>
      <c r="P192" s="192" t="n">
        <f aca="false">M192+N192-O192</f>
        <v>3178234946</v>
      </c>
      <c r="Q192" s="195" t="n">
        <f aca="false">IFERROR(VLOOKUP(VALUE($D192),BSPL2026!$B:$Q,16,FALSE()),0)</f>
        <v>7678409124</v>
      </c>
      <c r="R192" s="196" t="s">
        <v>449</v>
      </c>
      <c r="S192" s="172" t="str">
        <f aca="false">IFERROR(VLOOKUP(VALUE($D192),BSPL2026!$B:$M,12,FALSE()),"")</f>
        <v>상품매출원가</v>
      </c>
      <c r="T192" s="172" t="str">
        <f aca="false">IF(OR(S192="",S192=0,LEFT(S192,5)="(원본오류"),"",IF(S192=H192,"","매핑차이"))</f>
        <v/>
      </c>
    </row>
    <row r="193" customFormat="false" ht="16.5" hidden="false" customHeight="false" outlineLevel="0" collapsed="false">
      <c r="D193" s="186" t="s">
        <v>858</v>
      </c>
      <c r="E193" s="187" t="s">
        <v>859</v>
      </c>
      <c r="F193" s="188" t="s">
        <v>791</v>
      </c>
      <c r="G193" s="189" t="s">
        <v>824</v>
      </c>
      <c r="H193" s="190" t="s">
        <v>269</v>
      </c>
      <c r="I193" s="191" t="s">
        <v>859</v>
      </c>
      <c r="J193" s="192" t="n">
        <f aca="false">IFERROR(VLOOKUP(VALUE($D193),BSPL2026!$B:$Z,25,FALSE()),0)</f>
        <v>-21513</v>
      </c>
      <c r="K193" s="193"/>
      <c r="L193" s="194"/>
      <c r="M193" s="192" t="n">
        <f aca="false">J193+K193-L193</f>
        <v>-21513</v>
      </c>
      <c r="N193" s="193" t="n">
        <f aca="false">SUMIF('statutory adj_2026 조정분개'!$S:$S,$D193,'statutory adj_2026 조정분개'!$K:$K)</f>
        <v>0</v>
      </c>
      <c r="O193" s="194" t="n">
        <f aca="false">SUMIF('statutory adj_2026 조정분개'!$S:$S,$D193,'statutory adj_2026 조정분개'!$L:$L)</f>
        <v>0</v>
      </c>
      <c r="P193" s="192" t="n">
        <f aca="false">M193+N193-O193</f>
        <v>-21513</v>
      </c>
      <c r="Q193" s="195" t="n">
        <f aca="false">IFERROR(VLOOKUP(VALUE($D193),BSPL2026!$B:$Q,16,FALSE()),0)</f>
        <v>27447908</v>
      </c>
      <c r="R193" s="196" t="s">
        <v>449</v>
      </c>
      <c r="S193" s="172" t="str">
        <f aca="false">IFERROR(VLOOKUP(VALUE($D193),BSPL2026!$B:$M,12,FALSE()),"")</f>
        <v>상품매출원가</v>
      </c>
      <c r="T193" s="172" t="str">
        <f aca="false">IF(OR(S193="",S193=0,LEFT(S193,5)="(원본오류"),"",IF(S193=H193,"","매핑차이"))</f>
        <v/>
      </c>
    </row>
    <row r="194" customFormat="false" ht="16.5" hidden="false" customHeight="false" outlineLevel="0" collapsed="false">
      <c r="D194" s="186" t="s">
        <v>860</v>
      </c>
      <c r="E194" s="187" t="s">
        <v>861</v>
      </c>
      <c r="F194" s="188" t="s">
        <v>791</v>
      </c>
      <c r="G194" s="189" t="s">
        <v>862</v>
      </c>
      <c r="H194" s="190" t="s">
        <v>344</v>
      </c>
      <c r="I194" s="191" t="s">
        <v>861</v>
      </c>
      <c r="J194" s="192" t="n">
        <f aca="false">IFERROR(VLOOKUP(VALUE($D194),BSPL2026!$B:$Z,25,FALSE()),0)</f>
        <v>2816679419</v>
      </c>
      <c r="K194" s="193"/>
      <c r="L194" s="194"/>
      <c r="M194" s="192" t="n">
        <f aca="false">J194+K194-L194</f>
        <v>2816679419</v>
      </c>
      <c r="N194" s="193" t="n">
        <f aca="false">SUMIF('statutory adj_2026 조정분개'!$S:$S,$D194,'statutory adj_2026 조정분개'!$K:$K)</f>
        <v>0</v>
      </c>
      <c r="O194" s="194" t="n">
        <f aca="false">SUMIF('statutory adj_2026 조정분개'!$S:$S,$D194,'statutory adj_2026 조정분개'!$L:$L)</f>
        <v>0</v>
      </c>
      <c r="P194" s="192" t="n">
        <f aca="false">M194+N194-O194</f>
        <v>2816679419</v>
      </c>
      <c r="Q194" s="195" t="n">
        <f aca="false">IFERROR(VLOOKUP(VALUE($D194),BSPL2026!$B:$Q,16,FALSE()),0)</f>
        <v>437758949</v>
      </c>
      <c r="R194" s="196" t="s">
        <v>449</v>
      </c>
      <c r="S194" s="172" t="str">
        <f aca="false">IFERROR(VLOOKUP(VALUE($D194),BSPL2026!$B:$M,12,FALSE()),"")</f>
        <v>지급수수료</v>
      </c>
      <c r="T194" s="172" t="str">
        <f aca="false">IF(OR(S194="",S194=0,LEFT(S194,5)="(원본오류"),"",IF(S194=H194,"","매핑차이"))</f>
        <v/>
      </c>
    </row>
    <row r="195" customFormat="false" ht="16.5" hidden="false" customHeight="false" outlineLevel="0" collapsed="false">
      <c r="D195" s="186" t="s">
        <v>863</v>
      </c>
      <c r="E195" s="187" t="s">
        <v>864</v>
      </c>
      <c r="F195" s="188" t="s">
        <v>791</v>
      </c>
      <c r="G195" s="189" t="s">
        <v>862</v>
      </c>
      <c r="H195" s="190" t="s">
        <v>355</v>
      </c>
      <c r="I195" s="191" t="s">
        <v>865</v>
      </c>
      <c r="J195" s="192" t="n">
        <f aca="false">IFERROR(VLOOKUP(VALUE($D195),BSPL2026!$B:$Z,25,FALSE()),0)</f>
        <v>140169400</v>
      </c>
      <c r="K195" s="193"/>
      <c r="L195" s="194"/>
      <c r="M195" s="192" t="n">
        <f aca="false">J195+K195-L195</f>
        <v>140169400</v>
      </c>
      <c r="N195" s="193" t="n">
        <f aca="false">SUMIF('statutory adj_2026 조정분개'!$S:$S,$D195,'statutory adj_2026 조정분개'!$K:$K)</f>
        <v>0</v>
      </c>
      <c r="O195" s="194" t="n">
        <f aca="false">SUMIF('statutory adj_2026 조정분개'!$S:$S,$D195,'statutory adj_2026 조정분개'!$L:$L)</f>
        <v>0</v>
      </c>
      <c r="P195" s="192" t="n">
        <f aca="false">M195+N195-O195</f>
        <v>140169400</v>
      </c>
      <c r="Q195" s="195" t="n">
        <f aca="false">IFERROR(VLOOKUP(VALUE($D195),BSPL2026!$B:$Q,16,FALSE()),0)</f>
        <v>3879868</v>
      </c>
      <c r="R195" s="196" t="s">
        <v>449</v>
      </c>
      <c r="S195" s="172" t="str">
        <f aca="false">IFERROR(VLOOKUP(VALUE($D195),BSPL2026!$B:$M,12,FALSE()),"")</f>
        <v>임상증례조사비</v>
      </c>
      <c r="T195" s="172" t="str">
        <f aca="false">IF(OR(S195="",S195=0,LEFT(S195,5)="(원본오류"),"",IF(S195=H195,"","매핑차이"))</f>
        <v/>
      </c>
    </row>
    <row r="196" customFormat="false" ht="16.5" hidden="false" customHeight="false" outlineLevel="0" collapsed="false">
      <c r="D196" s="186" t="s">
        <v>866</v>
      </c>
      <c r="E196" s="187" t="s">
        <v>867</v>
      </c>
      <c r="F196" s="188" t="s">
        <v>791</v>
      </c>
      <c r="G196" s="189" t="s">
        <v>824</v>
      </c>
      <c r="H196" s="190" t="s">
        <v>269</v>
      </c>
      <c r="I196" s="191" t="s">
        <v>867</v>
      </c>
      <c r="J196" s="192" t="n">
        <f aca="false">IFERROR(VLOOKUP(VALUE($D196),BSPL2026!$B:$Z,25,FALSE()),0)</f>
        <v>4354291</v>
      </c>
      <c r="K196" s="193"/>
      <c r="L196" s="194"/>
      <c r="M196" s="192" t="n">
        <f aca="false">J196+K196-L196</f>
        <v>4354291</v>
      </c>
      <c r="N196" s="193" t="n">
        <f aca="false">SUMIF('statutory adj_2026 조정분개'!$S:$S,$D196,'statutory adj_2026 조정분개'!$K:$K)</f>
        <v>0</v>
      </c>
      <c r="O196" s="194" t="n">
        <f aca="false">SUMIF('statutory adj_2026 조정분개'!$S:$S,$D196,'statutory adj_2026 조정분개'!$L:$L)</f>
        <v>0</v>
      </c>
      <c r="P196" s="192" t="n">
        <f aca="false">M196+N196-O196</f>
        <v>4354291</v>
      </c>
      <c r="Q196" s="195" t="n">
        <f aca="false">IFERROR(VLOOKUP(VALUE($D196),BSPL2026!$B:$Q,16,FALSE()),0)</f>
        <v>3950705</v>
      </c>
      <c r="R196" s="196" t="s">
        <v>449</v>
      </c>
      <c r="S196" s="172" t="str">
        <f aca="false">IFERROR(VLOOKUP(VALUE($D196),BSPL2026!$B:$M,12,FALSE()),"")</f>
        <v>상품매출원가</v>
      </c>
      <c r="T196" s="172" t="str">
        <f aca="false">IF(OR(S196="",S196=0,LEFT(S196,5)="(원본오류"),"",IF(S196=H196,"","매핑차이"))</f>
        <v/>
      </c>
    </row>
    <row r="197" customFormat="false" ht="16.5" hidden="false" customHeight="false" outlineLevel="0" collapsed="false">
      <c r="D197" s="186" t="s">
        <v>868</v>
      </c>
      <c r="E197" s="187" t="s">
        <v>869</v>
      </c>
      <c r="F197" s="188" t="s">
        <v>791</v>
      </c>
      <c r="G197" s="189" t="s">
        <v>870</v>
      </c>
      <c r="H197" s="190" t="s">
        <v>393</v>
      </c>
      <c r="I197" s="191" t="s">
        <v>869</v>
      </c>
      <c r="J197" s="192" t="n">
        <f aca="false">IFERROR(VLOOKUP(VALUE($D197),BSPL2026!$B:$Z,25,FALSE()),0)</f>
        <v>-980740018</v>
      </c>
      <c r="K197" s="193"/>
      <c r="L197" s="194"/>
      <c r="M197" s="192" t="n">
        <f aca="false">J197+K197-L197</f>
        <v>-980740018</v>
      </c>
      <c r="N197" s="193" t="n">
        <f aca="false">SUMIF('statutory adj_2026 조정분개'!$S:$S,$D197,'statutory adj_2026 조정분개'!$K:$K)</f>
        <v>0</v>
      </c>
      <c r="O197" s="194" t="n">
        <f aca="false">SUMIF('statutory adj_2026 조정분개'!$S:$S,$D197,'statutory adj_2026 조정분개'!$L:$L)</f>
        <v>0</v>
      </c>
      <c r="P197" s="192" t="n">
        <f aca="false">M197+N197-O197</f>
        <v>-980740018</v>
      </c>
      <c r="Q197" s="195" t="n">
        <f aca="false">IFERROR(VLOOKUP(VALUE($D197),BSPL2026!$B:$Q,16,FALSE()),0)</f>
        <v>-1056190856</v>
      </c>
      <c r="R197" s="196" t="s">
        <v>449</v>
      </c>
      <c r="S197" s="172" t="str">
        <f aca="false">IFERROR(VLOOKUP(VALUE($D197),BSPL2026!$B:$M,12,FALSE()),"")</f>
        <v>잡이익</v>
      </c>
      <c r="T197" s="172" t="str">
        <f aca="false">IF(OR(S197="",S197=0,LEFT(S197,5)="(원본오류"),"",IF(S197=H197,"","매핑차이"))</f>
        <v/>
      </c>
    </row>
    <row r="198" customFormat="false" ht="16.5" hidden="false" customHeight="false" outlineLevel="0" collapsed="false">
      <c r="D198" s="186" t="s">
        <v>871</v>
      </c>
      <c r="E198" s="187" t="s">
        <v>872</v>
      </c>
      <c r="F198" s="188" t="s">
        <v>791</v>
      </c>
      <c r="G198" s="189" t="s">
        <v>862</v>
      </c>
      <c r="H198" s="190" t="s">
        <v>364</v>
      </c>
      <c r="I198" s="191" t="s">
        <v>872</v>
      </c>
      <c r="J198" s="192" t="n">
        <f aca="false">IFERROR(VLOOKUP(VALUE($D198),BSPL2026!$B:$Z,25,FALSE()),0)</f>
        <v>137494628</v>
      </c>
      <c r="K198" s="193"/>
      <c r="L198" s="194"/>
      <c r="M198" s="192" t="n">
        <f aca="false">J198+K198-L198</f>
        <v>137494628</v>
      </c>
      <c r="N198" s="193" t="n">
        <f aca="false">SUMIF('statutory adj_2026 조정분개'!$S:$S,$D198,'statutory adj_2026 조정분개'!$K:$K)</f>
        <v>0</v>
      </c>
      <c r="O198" s="194" t="n">
        <f aca="false">SUMIF('statutory adj_2026 조정분개'!$S:$S,$D198,'statutory adj_2026 조정분개'!$L:$L)</f>
        <v>0</v>
      </c>
      <c r="P198" s="192" t="n">
        <f aca="false">M198+N198-O198</f>
        <v>137494628</v>
      </c>
      <c r="Q198" s="195" t="n">
        <f aca="false">IFERROR(VLOOKUP(VALUE($D198),BSPL2026!$B:$Q,16,FALSE()),0)</f>
        <v>252267505</v>
      </c>
      <c r="R198" s="196" t="s">
        <v>449</v>
      </c>
      <c r="S198" s="172" t="str">
        <f aca="false">IFERROR(VLOOKUP(VALUE($D198),BSPL2026!$B:$M,12,FALSE()),"")</f>
        <v>교육훈련비</v>
      </c>
      <c r="T198" s="172" t="str">
        <f aca="false">IF(OR(S198="",S198=0,LEFT(S198,5)="(원본오류"),"",IF(S198=H198,"","매핑차이"))</f>
        <v/>
      </c>
    </row>
    <row r="199" customFormat="false" ht="16.5" hidden="false" customHeight="false" outlineLevel="0" collapsed="false">
      <c r="D199" s="186" t="s">
        <v>873</v>
      </c>
      <c r="E199" s="187" t="s">
        <v>874</v>
      </c>
      <c r="F199" s="188" t="s">
        <v>791</v>
      </c>
      <c r="G199" s="189" t="s">
        <v>862</v>
      </c>
      <c r="H199" s="190" t="s">
        <v>344</v>
      </c>
      <c r="I199" s="191" t="s">
        <v>874</v>
      </c>
      <c r="J199" s="192" t="n">
        <f aca="false">IFERROR(VLOOKUP(VALUE($D199),BSPL2026!$B:$Z,25,FALSE()),0)</f>
        <v>6731978</v>
      </c>
      <c r="K199" s="193"/>
      <c r="L199" s="194"/>
      <c r="M199" s="192" t="n">
        <f aca="false">J199+K199-L199</f>
        <v>6731978</v>
      </c>
      <c r="N199" s="193" t="n">
        <f aca="false">SUMIF('statutory adj_2026 조정분개'!$S:$S,$D199,'statutory adj_2026 조정분개'!$K:$K)</f>
        <v>0</v>
      </c>
      <c r="O199" s="194" t="n">
        <f aca="false">SUMIF('statutory adj_2026 조정분개'!$S:$S,$D199,'statutory adj_2026 조정분개'!$L:$L)</f>
        <v>0</v>
      </c>
      <c r="P199" s="192" t="n">
        <f aca="false">M199+N199-O199</f>
        <v>6731978</v>
      </c>
      <c r="Q199" s="195" t="n">
        <f aca="false">IFERROR(VLOOKUP(VALUE($D199),BSPL2026!$B:$Q,16,FALSE()),0)</f>
        <v>8168087</v>
      </c>
      <c r="R199" s="196" t="s">
        <v>449</v>
      </c>
      <c r="S199" s="172" t="str">
        <f aca="false">IFERROR(VLOOKUP(VALUE($D199),BSPL2026!$B:$M,12,FALSE()),"")</f>
        <v>지급수수료</v>
      </c>
      <c r="T199" s="172" t="str">
        <f aca="false">IF(OR(S199="",S199=0,LEFT(S199,5)="(원본오류"),"",IF(S199=H199,"","매핑차이"))</f>
        <v/>
      </c>
    </row>
    <row r="200" customFormat="false" ht="16.5" hidden="false" customHeight="false" outlineLevel="0" collapsed="false">
      <c r="D200" s="186" t="s">
        <v>875</v>
      </c>
      <c r="E200" s="187" t="s">
        <v>876</v>
      </c>
      <c r="F200" s="188" t="s">
        <v>791</v>
      </c>
      <c r="G200" s="189" t="s">
        <v>862</v>
      </c>
      <c r="H200" s="190" t="s">
        <v>344</v>
      </c>
      <c r="I200" s="191" t="s">
        <v>876</v>
      </c>
      <c r="J200" s="192" t="n">
        <f aca="false">IFERROR(VLOOKUP(VALUE($D200),BSPL2026!$B:$Z,25,FALSE()),0)</f>
        <v>0</v>
      </c>
      <c r="K200" s="193"/>
      <c r="L200" s="194"/>
      <c r="M200" s="192" t="n">
        <f aca="false">J200+K200-L200</f>
        <v>0</v>
      </c>
      <c r="N200" s="193" t="n">
        <f aca="false">SUMIF('statutory adj_2026 조정분개'!$S:$S,$D200,'statutory adj_2026 조정분개'!$K:$K)</f>
        <v>0</v>
      </c>
      <c r="O200" s="194" t="n">
        <f aca="false">SUMIF('statutory adj_2026 조정분개'!$S:$S,$D200,'statutory adj_2026 조정분개'!$L:$L)</f>
        <v>0</v>
      </c>
      <c r="P200" s="192" t="n">
        <f aca="false">M200+N200-O200</f>
        <v>0</v>
      </c>
      <c r="Q200" s="195" t="n">
        <f aca="false">IFERROR(VLOOKUP(VALUE($D200),BSPL2026!$B:$Q,16,FALSE()),0)</f>
        <v>2000</v>
      </c>
      <c r="R200" s="196" t="s">
        <v>449</v>
      </c>
      <c r="S200" s="172" t="str">
        <f aca="false">IFERROR(VLOOKUP(VALUE($D200),BSPL2026!$B:$M,12,FALSE()),"")</f>
        <v>지급수수료</v>
      </c>
      <c r="T200" s="172" t="str">
        <f aca="false">IF(OR(S200="",S200=0,LEFT(S200,5)="(원본오류"),"",IF(S200=H200,"","매핑차이"))</f>
        <v/>
      </c>
    </row>
    <row r="201" customFormat="false" ht="16.5" hidden="false" customHeight="false" outlineLevel="0" collapsed="false">
      <c r="D201" s="186" t="s">
        <v>877</v>
      </c>
      <c r="E201" s="187" t="s">
        <v>878</v>
      </c>
      <c r="F201" s="188" t="s">
        <v>791</v>
      </c>
      <c r="G201" s="189" t="s">
        <v>862</v>
      </c>
      <c r="H201" s="190" t="s">
        <v>358</v>
      </c>
      <c r="I201" s="191" t="s">
        <v>879</v>
      </c>
      <c r="J201" s="192" t="n">
        <f aca="false">IFERROR(VLOOKUP(VALUE($D201),BSPL2026!$B:$Z,25,FALSE()),0)</f>
        <v>0</v>
      </c>
      <c r="K201" s="193"/>
      <c r="L201" s="194"/>
      <c r="M201" s="192" t="n">
        <f aca="false">J201+K201-L201</f>
        <v>0</v>
      </c>
      <c r="N201" s="193" t="n">
        <f aca="false">SUMIF('statutory adj_2026 조정분개'!$S:$S,$D201,'statutory adj_2026 조정분개'!$K:$K)</f>
        <v>0</v>
      </c>
      <c r="O201" s="194" t="n">
        <f aca="false">SUMIF('statutory adj_2026 조정분개'!$S:$S,$D201,'statutory adj_2026 조정분개'!$L:$L)</f>
        <v>0</v>
      </c>
      <c r="P201" s="192" t="n">
        <f aca="false">M201+N201-O201</f>
        <v>0</v>
      </c>
      <c r="Q201" s="195" t="n">
        <f aca="false">IFERROR(VLOOKUP(VALUE($D201),BSPL2026!$B:$Q,16,FALSE()),0)</f>
        <v>1121736</v>
      </c>
      <c r="R201" s="196" t="s">
        <v>449</v>
      </c>
      <c r="S201" s="172" t="str">
        <f aca="false">IFERROR(VLOOKUP(VALUE($D201),BSPL2026!$B:$M,12,FALSE()),"")</f>
        <v>감가상각비</v>
      </c>
      <c r="T201" s="172" t="str">
        <f aca="false">IF(OR(S201="",S201=0,LEFT(S201,5)="(원본오류"),"",IF(S201=H201,"","매핑차이"))</f>
        <v/>
      </c>
    </row>
    <row r="202" customFormat="false" ht="16.5" hidden="false" customHeight="false" outlineLevel="0" collapsed="false">
      <c r="D202" s="186" t="s">
        <v>880</v>
      </c>
      <c r="E202" s="187" t="s">
        <v>881</v>
      </c>
      <c r="F202" s="188" t="s">
        <v>791</v>
      </c>
      <c r="G202" s="189" t="s">
        <v>862</v>
      </c>
      <c r="H202" s="190" t="s">
        <v>321</v>
      </c>
      <c r="I202" s="191" t="s">
        <v>881</v>
      </c>
      <c r="J202" s="192" t="n">
        <f aca="false">IFERROR(VLOOKUP(VALUE($D202),BSPL2026!$B:$Z,25,FALSE()),0)</f>
        <v>203700000</v>
      </c>
      <c r="K202" s="193"/>
      <c r="L202" s="194"/>
      <c r="M202" s="192" t="n">
        <f aca="false">J202+K202-L202</f>
        <v>203700000</v>
      </c>
      <c r="N202" s="193" t="n">
        <f aca="false">SUMIF('statutory adj_2026 조정분개'!$S:$S,$D202,'statutory adj_2026 조정분개'!$K:$K)</f>
        <v>0</v>
      </c>
      <c r="O202" s="194" t="n">
        <f aca="false">SUMIF('statutory adj_2026 조정분개'!$S:$S,$D202,'statutory adj_2026 조정분개'!$L:$L)</f>
        <v>0</v>
      </c>
      <c r="P202" s="192" t="n">
        <f aca="false">M202+N202-O202</f>
        <v>203700000</v>
      </c>
      <c r="Q202" s="195" t="n">
        <f aca="false">IFERROR(VLOOKUP(VALUE($D202),BSPL2026!$B:$Q,16,FALSE()),0)</f>
        <v>107700000</v>
      </c>
      <c r="R202" s="196" t="s">
        <v>449</v>
      </c>
      <c r="S202" s="172" t="str">
        <f aca="false">IFERROR(VLOOKUP(VALUE($D202),BSPL2026!$B:$M,12,FALSE()),"")</f>
        <v>상여와수당</v>
      </c>
      <c r="T202" s="172" t="str">
        <f aca="false">IF(OR(S202="",S202=0,LEFT(S202,5)="(원본오류"),"",IF(S202=H202,"","매핑차이"))</f>
        <v/>
      </c>
    </row>
    <row r="203" customFormat="false" ht="16.5" hidden="false" customHeight="false" outlineLevel="0" collapsed="false">
      <c r="D203" s="186" t="s">
        <v>882</v>
      </c>
      <c r="E203" s="187" t="s">
        <v>883</v>
      </c>
      <c r="F203" s="188" t="s">
        <v>791</v>
      </c>
      <c r="G203" s="189" t="s">
        <v>862</v>
      </c>
      <c r="H203" s="190" t="s">
        <v>321</v>
      </c>
      <c r="I203" s="191" t="s">
        <v>883</v>
      </c>
      <c r="J203" s="192" t="n">
        <f aca="false">IFERROR(VLOOKUP(VALUE($D203),BSPL2026!$B:$Z,25,FALSE()),0)</f>
        <v>910853726</v>
      </c>
      <c r="K203" s="193"/>
      <c r="L203" s="194"/>
      <c r="M203" s="192" t="n">
        <f aca="false">J203+K203-L203</f>
        <v>910853726</v>
      </c>
      <c r="N203" s="193" t="n">
        <f aca="false">SUMIF('statutory adj_2026 조정분개'!$S:$S,$D203,'statutory adj_2026 조정분개'!$K:$K)</f>
        <v>0</v>
      </c>
      <c r="O203" s="194" t="n">
        <f aca="false">SUMIF('statutory adj_2026 조정분개'!$S:$S,$D203,'statutory adj_2026 조정분개'!$L:$L)</f>
        <v>0</v>
      </c>
      <c r="P203" s="192" t="n">
        <f aca="false">M203+N203-O203</f>
        <v>910853726</v>
      </c>
      <c r="Q203" s="195" t="n">
        <f aca="false">IFERROR(VLOOKUP(VALUE($D203),BSPL2026!$B:$Q,16,FALSE()),0)</f>
        <v>1289093338</v>
      </c>
      <c r="R203" s="196" t="s">
        <v>449</v>
      </c>
      <c r="S203" s="172" t="str">
        <f aca="false">IFERROR(VLOOKUP(VALUE($D203),BSPL2026!$B:$M,12,FALSE()),"")</f>
        <v>상여와수당</v>
      </c>
      <c r="T203" s="172" t="str">
        <f aca="false">IF(OR(S203="",S203=0,LEFT(S203,5)="(원본오류"),"",IF(S203=H203,"","매핑차이"))</f>
        <v/>
      </c>
    </row>
    <row r="204" customFormat="false" ht="16.5" hidden="false" customHeight="false" outlineLevel="0" collapsed="false">
      <c r="D204" s="186" t="s">
        <v>884</v>
      </c>
      <c r="E204" s="187" t="s">
        <v>885</v>
      </c>
      <c r="F204" s="188" t="s">
        <v>791</v>
      </c>
      <c r="G204" s="189" t="s">
        <v>862</v>
      </c>
      <c r="H204" s="190" t="s">
        <v>319</v>
      </c>
      <c r="I204" s="191" t="s">
        <v>885</v>
      </c>
      <c r="J204" s="192" t="n">
        <f aca="false">IFERROR(VLOOKUP(VALUE($D204),BSPL2026!$B:$Z,25,FALSE()),0)</f>
        <v>344265645</v>
      </c>
      <c r="K204" s="193"/>
      <c r="L204" s="194"/>
      <c r="M204" s="192" t="n">
        <f aca="false">J204+K204-L204</f>
        <v>344265645</v>
      </c>
      <c r="N204" s="193" t="n">
        <f aca="false">SUMIF('statutory adj_2026 조정분개'!$S:$S,$D204,'statutory adj_2026 조정분개'!$K:$K)</f>
        <v>0</v>
      </c>
      <c r="O204" s="194" t="n">
        <f aca="false">SUMIF('statutory adj_2026 조정분개'!$S:$S,$D204,'statutory adj_2026 조정분개'!$L:$L)</f>
        <v>0</v>
      </c>
      <c r="P204" s="192" t="n">
        <f aca="false">M204+N204-O204</f>
        <v>344265645</v>
      </c>
      <c r="Q204" s="195" t="n">
        <f aca="false">IFERROR(VLOOKUP(VALUE($D204),BSPL2026!$B:$Q,16,FALSE()),0)</f>
        <v>369741359</v>
      </c>
      <c r="R204" s="196" t="s">
        <v>449</v>
      </c>
      <c r="S204" s="172" t="str">
        <f aca="false">IFERROR(VLOOKUP(VALUE($D204),BSPL2026!$B:$M,12,FALSE()),"")</f>
        <v>급여</v>
      </c>
      <c r="T204" s="172" t="str">
        <f aca="false">IF(OR(S204="",S204=0,LEFT(S204,5)="(원본오류"),"",IF(S204=H204,"","매핑차이"))</f>
        <v/>
      </c>
    </row>
    <row r="205" customFormat="false" ht="16.5" hidden="false" customHeight="false" outlineLevel="0" collapsed="false">
      <c r="D205" s="186" t="s">
        <v>886</v>
      </c>
      <c r="E205" s="187" t="s">
        <v>887</v>
      </c>
      <c r="F205" s="188" t="s">
        <v>791</v>
      </c>
      <c r="G205" s="189" t="s">
        <v>862</v>
      </c>
      <c r="H205" s="190" t="s">
        <v>319</v>
      </c>
      <c r="I205" s="191" t="s">
        <v>887</v>
      </c>
      <c r="J205" s="192" t="n">
        <f aca="false">IFERROR(VLOOKUP(VALUE($D205),BSPL2026!$B:$Z,25,FALSE()),0)</f>
        <v>27579467961</v>
      </c>
      <c r="K205" s="193"/>
      <c r="L205" s="194"/>
      <c r="M205" s="192" t="n">
        <f aca="false">J205+K205-L205</f>
        <v>27579467961</v>
      </c>
      <c r="N205" s="193" t="n">
        <f aca="false">SUMIF('statutory adj_2026 조정분개'!$S:$S,$D205,'statutory adj_2026 조정분개'!$K:$K)</f>
        <v>0</v>
      </c>
      <c r="O205" s="194" t="n">
        <f aca="false">SUMIF('statutory adj_2026 조정분개'!$S:$S,$D205,'statutory adj_2026 조정분개'!$L:$L)</f>
        <v>0</v>
      </c>
      <c r="P205" s="192" t="n">
        <f aca="false">M205+N205-O205</f>
        <v>27579467961</v>
      </c>
      <c r="Q205" s="195" t="n">
        <f aca="false">IFERROR(VLOOKUP(VALUE($D205),BSPL2026!$B:$Q,16,FALSE()),0)</f>
        <v>37163609496</v>
      </c>
      <c r="R205" s="196" t="s">
        <v>449</v>
      </c>
      <c r="S205" s="172" t="str">
        <f aca="false">IFERROR(VLOOKUP(VALUE($D205),BSPL2026!$B:$M,12,FALSE()),"")</f>
        <v>급여</v>
      </c>
      <c r="T205" s="172" t="str">
        <f aca="false">IF(OR(S205="",S205=0,LEFT(S205,5)="(원본오류"),"",IF(S205=H205,"","매핑차이"))</f>
        <v/>
      </c>
    </row>
    <row r="206" customFormat="false" ht="16.5" hidden="false" customHeight="false" outlineLevel="0" collapsed="false">
      <c r="D206" s="186" t="s">
        <v>888</v>
      </c>
      <c r="E206" s="187" t="s">
        <v>889</v>
      </c>
      <c r="F206" s="188" t="s">
        <v>791</v>
      </c>
      <c r="G206" s="189" t="s">
        <v>862</v>
      </c>
      <c r="H206" s="190" t="s">
        <v>319</v>
      </c>
      <c r="I206" s="191" t="s">
        <v>889</v>
      </c>
      <c r="J206" s="192" t="n">
        <f aca="false">IFERROR(VLOOKUP(VALUE($D206),BSPL2026!$B:$Z,25,FALSE()),0)</f>
        <v>-141361790</v>
      </c>
      <c r="K206" s="193"/>
      <c r="L206" s="194"/>
      <c r="M206" s="192" t="n">
        <f aca="false">J206+K206-L206</f>
        <v>-141361790</v>
      </c>
      <c r="N206" s="193" t="n">
        <f aca="false">SUMIF('statutory adj_2026 조정분개'!$S:$S,$D206,'statutory adj_2026 조정분개'!$K:$K)</f>
        <v>0</v>
      </c>
      <c r="O206" s="194" t="n">
        <f aca="false">SUMIF('statutory adj_2026 조정분개'!$S:$S,$D206,'statutory adj_2026 조정분개'!$L:$L)</f>
        <v>0</v>
      </c>
      <c r="P206" s="192" t="n">
        <f aca="false">M206+N206-O206</f>
        <v>-141361790</v>
      </c>
      <c r="Q206" s="195" t="n">
        <f aca="false">IFERROR(VLOOKUP(VALUE($D206),BSPL2026!$B:$Q,16,FALSE()),0)</f>
        <v>353827550</v>
      </c>
      <c r="R206" s="196" t="s">
        <v>449</v>
      </c>
      <c r="S206" s="172" t="str">
        <f aca="false">IFERROR(VLOOKUP(VALUE($D206),BSPL2026!$B:$M,12,FALSE()),"")</f>
        <v>급여</v>
      </c>
      <c r="T206" s="172" t="str">
        <f aca="false">IF(OR(S206="",S206=0,LEFT(S206,5)="(원본오류"),"",IF(S206=H206,"","매핑차이"))</f>
        <v/>
      </c>
    </row>
    <row r="207" customFormat="false" ht="16.5" hidden="false" customHeight="false" outlineLevel="0" collapsed="false">
      <c r="D207" s="186" t="s">
        <v>890</v>
      </c>
      <c r="E207" s="187" t="s">
        <v>891</v>
      </c>
      <c r="F207" s="188" t="s">
        <v>791</v>
      </c>
      <c r="G207" s="189" t="s">
        <v>862</v>
      </c>
      <c r="H207" s="190" t="s">
        <v>309</v>
      </c>
      <c r="I207" s="191" t="s">
        <v>891</v>
      </c>
      <c r="J207" s="192" t="n">
        <f aca="false">IFERROR(VLOOKUP(VALUE($D207),BSPL2026!$B:$Z,25,FALSE()),0)</f>
        <v>-808494567</v>
      </c>
      <c r="K207" s="193"/>
      <c r="L207" s="194"/>
      <c r="M207" s="192" t="n">
        <f aca="false">J207+K207-L207</f>
        <v>-808494567</v>
      </c>
      <c r="N207" s="193" t="n">
        <f aca="false">SUMIF('statutory adj_2026 조정분개'!$S:$S,$D207,'statutory adj_2026 조정분개'!$K:$K)</f>
        <v>0</v>
      </c>
      <c r="O207" s="194" t="n">
        <f aca="false">SUMIF('statutory adj_2026 조정분개'!$S:$S,$D207,'statutory adj_2026 조정분개'!$L:$L)</f>
        <v>0</v>
      </c>
      <c r="P207" s="192" t="n">
        <f aca="false">M207+N207-O207</f>
        <v>-808494567</v>
      </c>
      <c r="Q207" s="195" t="n">
        <f aca="false">IFERROR(VLOOKUP(VALUE($D207),BSPL2026!$B:$Q,16,FALSE()),0)</f>
        <v>-22885088</v>
      </c>
      <c r="R207" s="196" t="s">
        <v>449</v>
      </c>
      <c r="S207" s="172" t="str">
        <f aca="false">IFERROR(VLOOKUP(VALUE($D207),BSPL2026!$B:$M,12,FALSE()),"")</f>
        <v>판매수당</v>
      </c>
      <c r="T207" s="172" t="str">
        <f aca="false">IF(OR(S207="",S207=0,LEFT(S207,5)="(원본오류"),"",IF(S207=H207,"","매핑차이"))</f>
        <v/>
      </c>
    </row>
    <row r="208" customFormat="false" ht="16.5" hidden="false" customHeight="false" outlineLevel="0" collapsed="false">
      <c r="D208" s="186" t="s">
        <v>892</v>
      </c>
      <c r="E208" s="187" t="s">
        <v>893</v>
      </c>
      <c r="F208" s="188" t="s">
        <v>791</v>
      </c>
      <c r="G208" s="189" t="s">
        <v>862</v>
      </c>
      <c r="H208" s="190" t="s">
        <v>332</v>
      </c>
      <c r="I208" s="191" t="s">
        <v>893</v>
      </c>
      <c r="J208" s="192" t="n">
        <f aca="false">IFERROR(VLOOKUP(VALUE($D208),BSPL2026!$B:$Z,25,FALSE()),0)</f>
        <v>347825000</v>
      </c>
      <c r="K208" s="193"/>
      <c r="L208" s="194"/>
      <c r="M208" s="192" t="n">
        <f aca="false">J208+K208-L208</f>
        <v>347825000</v>
      </c>
      <c r="N208" s="193" t="n">
        <f aca="false">SUMIF('statutory adj_2026 조정분개'!$S:$S,$D208,'statutory adj_2026 조정분개'!$K:$K)</f>
        <v>0</v>
      </c>
      <c r="O208" s="194" t="n">
        <f aca="false">SUMIF('statutory adj_2026 조정분개'!$S:$S,$D208,'statutory adj_2026 조정분개'!$L:$L)</f>
        <v>0</v>
      </c>
      <c r="P208" s="192" t="n">
        <f aca="false">M208+N208-O208</f>
        <v>347825000</v>
      </c>
      <c r="Q208" s="195" t="n">
        <f aca="false">IFERROR(VLOOKUP(VALUE($D208),BSPL2026!$B:$Q,16,FALSE()),0)</f>
        <v>634092023</v>
      </c>
      <c r="R208" s="196" t="s">
        <v>449</v>
      </c>
      <c r="S208" s="172" t="str">
        <f aca="false">IFERROR(VLOOKUP(VALUE($D208),BSPL2026!$B:$M,12,FALSE()),"")</f>
        <v>여비교통비</v>
      </c>
      <c r="T208" s="172" t="str">
        <f aca="false">IF(OR(S208="",S208=0,LEFT(S208,5)="(원본오류"),"",IF(S208=H208,"","매핑차이"))</f>
        <v/>
      </c>
    </row>
    <row r="209" customFormat="false" ht="16.5" hidden="false" customHeight="false" outlineLevel="0" collapsed="false">
      <c r="D209" s="186" t="s">
        <v>894</v>
      </c>
      <c r="E209" s="187" t="s">
        <v>895</v>
      </c>
      <c r="F209" s="188" t="s">
        <v>791</v>
      </c>
      <c r="G209" s="189" t="s">
        <v>862</v>
      </c>
      <c r="H209" s="190" t="s">
        <v>309</v>
      </c>
      <c r="I209" s="191" t="s">
        <v>895</v>
      </c>
      <c r="J209" s="192" t="n">
        <f aca="false">IFERROR(VLOOKUP(VALUE($D209),BSPL2026!$B:$Z,25,FALSE()),0)</f>
        <v>4163222610</v>
      </c>
      <c r="K209" s="193"/>
      <c r="L209" s="194"/>
      <c r="M209" s="192" t="n">
        <f aca="false">J209+K209-L209</f>
        <v>4163222610</v>
      </c>
      <c r="N209" s="193" t="n">
        <f aca="false">SUMIF('statutory adj_2026 조정분개'!$S:$S,$D209,'statutory adj_2026 조정분개'!$K:$K)</f>
        <v>0</v>
      </c>
      <c r="O209" s="194" t="n">
        <f aca="false">SUMIF('statutory adj_2026 조정분개'!$S:$S,$D209,'statutory adj_2026 조정분개'!$L:$L)</f>
        <v>0</v>
      </c>
      <c r="P209" s="192" t="n">
        <f aca="false">M209+N209-O209</f>
        <v>4163222610</v>
      </c>
      <c r="Q209" s="195" t="n">
        <f aca="false">IFERROR(VLOOKUP(VALUE($D209),BSPL2026!$B:$Q,16,FALSE()),0)</f>
        <v>4172982320</v>
      </c>
      <c r="R209" s="196" t="s">
        <v>449</v>
      </c>
      <c r="S209" s="172" t="str">
        <f aca="false">IFERROR(VLOOKUP(VALUE($D209),BSPL2026!$B:$M,12,FALSE()),"")</f>
        <v>판매수당</v>
      </c>
      <c r="T209" s="172" t="str">
        <f aca="false">IF(OR(S209="",S209=0,LEFT(S209,5)="(원본오류"),"",IF(S209=H209,"","매핑차이"))</f>
        <v/>
      </c>
    </row>
    <row r="210" customFormat="false" ht="16.5" hidden="false" customHeight="false" outlineLevel="0" collapsed="false">
      <c r="D210" s="186" t="s">
        <v>896</v>
      </c>
      <c r="E210" s="187" t="s">
        <v>645</v>
      </c>
      <c r="F210" s="188" t="s">
        <v>791</v>
      </c>
      <c r="G210" s="189" t="s">
        <v>862</v>
      </c>
      <c r="H210" s="190" t="s">
        <v>321</v>
      </c>
      <c r="I210" s="191" t="s">
        <v>645</v>
      </c>
      <c r="J210" s="192" t="n">
        <f aca="false">IFERROR(VLOOKUP(VALUE($D210),BSPL2026!$B:$Z,25,FALSE()),0)</f>
        <v>1127914767</v>
      </c>
      <c r="K210" s="193"/>
      <c r="L210" s="194"/>
      <c r="M210" s="192" t="n">
        <f aca="false">J210+K210-L210</f>
        <v>1127914767</v>
      </c>
      <c r="N210" s="193" t="n">
        <f aca="false">SUMIF('statutory adj_2026 조정분개'!$S:$S,$D210,'statutory adj_2026 조정분개'!$K:$K)</f>
        <v>0</v>
      </c>
      <c r="O210" s="194" t="n">
        <f aca="false">SUMIF('statutory adj_2026 조정분개'!$S:$S,$D210,'statutory adj_2026 조정분개'!$L:$L)</f>
        <v>0</v>
      </c>
      <c r="P210" s="192" t="n">
        <f aca="false">M210+N210-O210</f>
        <v>1127914767</v>
      </c>
      <c r="Q210" s="195" t="n">
        <f aca="false">IFERROR(VLOOKUP(VALUE($D210),BSPL2026!$B:$Q,16,FALSE()),0)</f>
        <v>1200612826</v>
      </c>
      <c r="R210" s="196" t="s">
        <v>449</v>
      </c>
      <c r="S210" s="172" t="str">
        <f aca="false">IFERROR(VLOOKUP(VALUE($D210),BSPL2026!$B:$M,12,FALSE()),"")</f>
        <v>상여와수당</v>
      </c>
      <c r="T210" s="172" t="str">
        <f aca="false">IF(OR(S210="",S210=0,LEFT(S210,5)="(원본오류"),"",IF(S210=H210,"","매핑차이"))</f>
        <v/>
      </c>
    </row>
    <row r="211" customFormat="false" ht="16.5" hidden="false" customHeight="false" outlineLevel="0" collapsed="false">
      <c r="D211" s="186" t="s">
        <v>897</v>
      </c>
      <c r="E211" s="187" t="s">
        <v>898</v>
      </c>
      <c r="F211" s="188" t="s">
        <v>791</v>
      </c>
      <c r="G211" s="189" t="s">
        <v>862</v>
      </c>
      <c r="H211" s="190" t="s">
        <v>321</v>
      </c>
      <c r="I211" s="191" t="s">
        <v>898</v>
      </c>
      <c r="J211" s="192" t="n">
        <f aca="false">IFERROR(VLOOKUP(VALUE($D211),BSPL2026!$B:$Z,25,FALSE()),0)</f>
        <v>284270186</v>
      </c>
      <c r="K211" s="193"/>
      <c r="L211" s="194"/>
      <c r="M211" s="192" t="n">
        <f aca="false">J211+K211-L211</f>
        <v>284270186</v>
      </c>
      <c r="N211" s="193" t="n">
        <f aca="false">SUMIF('statutory adj_2026 조정분개'!$S:$S,$D211,'statutory adj_2026 조정분개'!$K:$K)</f>
        <v>0</v>
      </c>
      <c r="O211" s="194" t="n">
        <f aca="false">SUMIF('statutory adj_2026 조정분개'!$S:$S,$D211,'statutory adj_2026 조정분개'!$L:$L)</f>
        <v>0</v>
      </c>
      <c r="P211" s="192" t="n">
        <f aca="false">M211+N211-O211</f>
        <v>284270186</v>
      </c>
      <c r="Q211" s="195" t="n">
        <f aca="false">IFERROR(VLOOKUP(VALUE($D211),BSPL2026!$B:$Q,16,FALSE()),0)</f>
        <v>408807534</v>
      </c>
      <c r="R211" s="196" t="s">
        <v>449</v>
      </c>
      <c r="S211" s="172" t="str">
        <f aca="false">IFERROR(VLOOKUP(VALUE($D211),BSPL2026!$B:$M,12,FALSE()),"")</f>
        <v>상여와수당</v>
      </c>
      <c r="T211" s="172" t="str">
        <f aca="false">IF(OR(S211="",S211=0,LEFT(S211,5)="(원본오류"),"",IF(S211=H211,"","매핑차이"))</f>
        <v/>
      </c>
    </row>
    <row r="212" customFormat="false" ht="16.5" hidden="false" customHeight="false" outlineLevel="0" collapsed="false">
      <c r="D212" s="186" t="s">
        <v>899</v>
      </c>
      <c r="E212" s="187" t="s">
        <v>900</v>
      </c>
      <c r="F212" s="188" t="s">
        <v>791</v>
      </c>
      <c r="G212" s="189" t="s">
        <v>862</v>
      </c>
      <c r="H212" s="190" t="s">
        <v>346</v>
      </c>
      <c r="I212" s="191" t="s">
        <v>900</v>
      </c>
      <c r="J212" s="192" t="n">
        <f aca="false">IFERROR(VLOOKUP(VALUE($D212),BSPL2026!$B:$Z,25,FALSE()),0)</f>
        <v>890858351</v>
      </c>
      <c r="K212" s="193"/>
      <c r="L212" s="194"/>
      <c r="M212" s="192" t="n">
        <f aca="false">J212+K212-L212</f>
        <v>890858351</v>
      </c>
      <c r="N212" s="193" t="n">
        <f aca="false">SUMIF('statutory adj_2026 조정분개'!$S:$S,$D212,'statutory adj_2026 조정분개'!$K:$K)</f>
        <v>0</v>
      </c>
      <c r="O212" s="194" t="n">
        <f aca="false">SUMIF('statutory adj_2026 조정분개'!$S:$S,$D212,'statutory adj_2026 조정분개'!$L:$L)</f>
        <v>0</v>
      </c>
      <c r="P212" s="192" t="n">
        <f aca="false">M212+N212-O212</f>
        <v>890858351</v>
      </c>
      <c r="Q212" s="195" t="n">
        <f aca="false">IFERROR(VLOOKUP(VALUE($D212),BSPL2026!$B:$Q,16,FALSE()),0)</f>
        <v>1380273135</v>
      </c>
      <c r="R212" s="196" t="s">
        <v>449</v>
      </c>
      <c r="S212" s="172" t="str">
        <f aca="false">IFERROR(VLOOKUP(VALUE($D212),BSPL2026!$B:$M,12,FALSE()),"")</f>
        <v>제세공과</v>
      </c>
      <c r="T212" s="172" t="str">
        <f aca="false">IF(OR(S212="",S212=0,LEFT(S212,5)="(원본오류"),"",IF(S212=H212,"","매핑차이"))</f>
        <v/>
      </c>
    </row>
    <row r="213" customFormat="false" ht="16.5" hidden="false" customHeight="false" outlineLevel="0" collapsed="false">
      <c r="D213" s="186" t="s">
        <v>901</v>
      </c>
      <c r="E213" s="187" t="s">
        <v>902</v>
      </c>
      <c r="F213" s="188" t="s">
        <v>791</v>
      </c>
      <c r="G213" s="189" t="s">
        <v>862</v>
      </c>
      <c r="H213" s="190" t="s">
        <v>325</v>
      </c>
      <c r="I213" s="191" t="s">
        <v>902</v>
      </c>
      <c r="J213" s="192" t="n">
        <f aca="false">IFERROR(VLOOKUP(VALUE($D213),BSPL2026!$B:$Z,25,FALSE()),0)</f>
        <v>4660370448</v>
      </c>
      <c r="K213" s="193"/>
      <c r="L213" s="194"/>
      <c r="M213" s="192" t="n">
        <f aca="false">J213+K213-L213</f>
        <v>4660370448</v>
      </c>
      <c r="N213" s="193" t="n">
        <f aca="false">SUMIF('statutory adj_2026 조정분개'!$S:$S,$D213,'statutory adj_2026 조정분개'!$K:$K)</f>
        <v>0</v>
      </c>
      <c r="O213" s="194" t="n">
        <f aca="false">SUMIF('statutory adj_2026 조정분개'!$S:$S,$D213,'statutory adj_2026 조정분개'!$L:$L)</f>
        <v>0</v>
      </c>
      <c r="P213" s="192" t="n">
        <f aca="false">M213+N213-O213</f>
        <v>4660370448</v>
      </c>
      <c r="Q213" s="195" t="n">
        <f aca="false">IFERROR(VLOOKUP(VALUE($D213),BSPL2026!$B:$Q,16,FALSE()),0)</f>
        <v>5809203600</v>
      </c>
      <c r="R213" s="196" t="s">
        <v>449</v>
      </c>
      <c r="S213" s="172" t="str">
        <f aca="false">IFERROR(VLOOKUP(VALUE($D213),BSPL2026!$B:$M,12,FALSE()),"")</f>
        <v>퇴직급여</v>
      </c>
      <c r="T213" s="172" t="str">
        <f aca="false">IF(OR(S213="",S213=0,LEFT(S213,5)="(원본오류"),"",IF(S213=H213,"","매핑차이"))</f>
        <v/>
      </c>
    </row>
    <row r="214" customFormat="false" ht="16.5" hidden="false" customHeight="false" outlineLevel="0" collapsed="false">
      <c r="D214" s="186" t="s">
        <v>903</v>
      </c>
      <c r="E214" s="187" t="s">
        <v>904</v>
      </c>
      <c r="F214" s="188" t="s">
        <v>791</v>
      </c>
      <c r="G214" s="189" t="s">
        <v>862</v>
      </c>
      <c r="H214" s="190" t="s">
        <v>330</v>
      </c>
      <c r="I214" s="191" t="s">
        <v>904</v>
      </c>
      <c r="J214" s="192" t="n">
        <f aca="false">IFERROR(VLOOKUP(VALUE($D214),BSPL2026!$B:$Z,25,FALSE()),0)</f>
        <v>1364502312</v>
      </c>
      <c r="K214" s="193"/>
      <c r="L214" s="194"/>
      <c r="M214" s="192" t="n">
        <f aca="false">J214+K214-L214</f>
        <v>1364502312</v>
      </c>
      <c r="N214" s="193" t="n">
        <f aca="false">SUMIF('statutory adj_2026 조정분개'!$S:$S,$D214,'statutory adj_2026 조정분개'!$K:$K)</f>
        <v>0</v>
      </c>
      <c r="O214" s="194" t="n">
        <f aca="false">SUMIF('statutory adj_2026 조정분개'!$S:$S,$D214,'statutory adj_2026 조정분개'!$L:$L)</f>
        <v>0</v>
      </c>
      <c r="P214" s="192" t="n">
        <f aca="false">M214+N214-O214</f>
        <v>1364502312</v>
      </c>
      <c r="Q214" s="195" t="n">
        <f aca="false">IFERROR(VLOOKUP(VALUE($D214),BSPL2026!$B:$Q,16,FALSE()),0)</f>
        <v>2009211921</v>
      </c>
      <c r="R214" s="196" t="s">
        <v>449</v>
      </c>
      <c r="S214" s="172" t="str">
        <f aca="false">IFERROR(VLOOKUP(VALUE($D214),BSPL2026!$B:$M,12,FALSE()),"")</f>
        <v>복리후생비</v>
      </c>
      <c r="T214" s="172" t="str">
        <f aca="false">IF(OR(S214="",S214=0,LEFT(S214,5)="(원본오류"),"",IF(S214=H214,"","매핑차이"))</f>
        <v/>
      </c>
    </row>
    <row r="215" customFormat="false" ht="16.5" hidden="false" customHeight="false" outlineLevel="0" collapsed="false">
      <c r="D215" s="186" t="s">
        <v>905</v>
      </c>
      <c r="E215" s="187" t="s">
        <v>906</v>
      </c>
      <c r="F215" s="188" t="s">
        <v>791</v>
      </c>
      <c r="G215" s="189" t="s">
        <v>862</v>
      </c>
      <c r="H215" s="190" t="s">
        <v>330</v>
      </c>
      <c r="I215" s="191" t="s">
        <v>906</v>
      </c>
      <c r="J215" s="192" t="n">
        <f aca="false">IFERROR(VLOOKUP(VALUE($D215),BSPL2026!$B:$Z,25,FALSE()),0)</f>
        <v>239892981</v>
      </c>
      <c r="K215" s="193"/>
      <c r="L215" s="194"/>
      <c r="M215" s="192" t="n">
        <f aca="false">J215+K215-L215</f>
        <v>239892981</v>
      </c>
      <c r="N215" s="193" t="n">
        <f aca="false">SUMIF('statutory adj_2026 조정분개'!$S:$S,$D215,'statutory adj_2026 조정분개'!$K:$K)</f>
        <v>0</v>
      </c>
      <c r="O215" s="194" t="n">
        <f aca="false">SUMIF('statutory adj_2026 조정분개'!$S:$S,$D215,'statutory adj_2026 조정분개'!$L:$L)</f>
        <v>0</v>
      </c>
      <c r="P215" s="192" t="n">
        <f aca="false">M215+N215-O215</f>
        <v>239892981</v>
      </c>
      <c r="Q215" s="195" t="n">
        <f aca="false">IFERROR(VLOOKUP(VALUE($D215),BSPL2026!$B:$Q,16,FALSE()),0)</f>
        <v>276761763</v>
      </c>
      <c r="R215" s="196" t="s">
        <v>449</v>
      </c>
      <c r="S215" s="172" t="str">
        <f aca="false">IFERROR(VLOOKUP(VALUE($D215),BSPL2026!$B:$M,12,FALSE()),"")</f>
        <v>복리후생비</v>
      </c>
      <c r="T215" s="172" t="str">
        <f aca="false">IF(OR(S215="",S215=0,LEFT(S215,5)="(원본오류"),"",IF(S215=H215,"","매핑차이"))</f>
        <v/>
      </c>
    </row>
    <row r="216" customFormat="false" ht="16.5" hidden="false" customHeight="false" outlineLevel="0" collapsed="false">
      <c r="D216" s="186" t="s">
        <v>907</v>
      </c>
      <c r="E216" s="187" t="s">
        <v>908</v>
      </c>
      <c r="F216" s="188" t="s">
        <v>791</v>
      </c>
      <c r="G216" s="189" t="s">
        <v>862</v>
      </c>
      <c r="H216" s="190" t="s">
        <v>330</v>
      </c>
      <c r="I216" s="191" t="s">
        <v>908</v>
      </c>
      <c r="J216" s="192" t="n">
        <f aca="false">IFERROR(VLOOKUP(VALUE($D216),BSPL2026!$B:$Z,25,FALSE()),0)</f>
        <v>156704704</v>
      </c>
      <c r="K216" s="193"/>
      <c r="L216" s="194"/>
      <c r="M216" s="192" t="n">
        <f aca="false">J216+K216-L216</f>
        <v>156704704</v>
      </c>
      <c r="N216" s="193" t="n">
        <f aca="false">SUMIF('statutory adj_2026 조정분개'!$S:$S,$D216,'statutory adj_2026 조정분개'!$K:$K)</f>
        <v>0</v>
      </c>
      <c r="O216" s="194" t="n">
        <f aca="false">SUMIF('statutory adj_2026 조정분개'!$S:$S,$D216,'statutory adj_2026 조정분개'!$L:$L)</f>
        <v>0</v>
      </c>
      <c r="P216" s="192" t="n">
        <f aca="false">M216+N216-O216</f>
        <v>156704704</v>
      </c>
      <c r="Q216" s="195" t="n">
        <f aca="false">IFERROR(VLOOKUP(VALUE($D216),BSPL2026!$B:$Q,16,FALSE()),0)</f>
        <v>200141195</v>
      </c>
      <c r="R216" s="196" t="s">
        <v>449</v>
      </c>
      <c r="S216" s="172" t="str">
        <f aca="false">IFERROR(VLOOKUP(VALUE($D216),BSPL2026!$B:$M,12,FALSE()),"")</f>
        <v>복리후생비</v>
      </c>
      <c r="T216" s="172" t="str">
        <f aca="false">IF(OR(S216="",S216=0,LEFT(S216,5)="(원본오류"),"",IF(S216=H216,"","매핑차이"))</f>
        <v/>
      </c>
    </row>
    <row r="217" customFormat="false" ht="16.5" hidden="false" customHeight="false" outlineLevel="0" collapsed="false">
      <c r="D217" s="186" t="s">
        <v>909</v>
      </c>
      <c r="E217" s="187" t="s">
        <v>910</v>
      </c>
      <c r="F217" s="188" t="s">
        <v>791</v>
      </c>
      <c r="G217" s="189" t="s">
        <v>862</v>
      </c>
      <c r="H217" s="190" t="s">
        <v>330</v>
      </c>
      <c r="I217" s="191" t="s">
        <v>910</v>
      </c>
      <c r="J217" s="192" t="n">
        <f aca="false">IFERROR(VLOOKUP(VALUE($D217),BSPL2026!$B:$Z,25,FALSE()),0)</f>
        <v>-14614089</v>
      </c>
      <c r="K217" s="193"/>
      <c r="L217" s="194"/>
      <c r="M217" s="192" t="n">
        <f aca="false">J217+K217-L217</f>
        <v>-14614089</v>
      </c>
      <c r="N217" s="193" t="n">
        <f aca="false">SUMIF('statutory adj_2026 조정분개'!$S:$S,$D217,'statutory adj_2026 조정분개'!$K:$K)</f>
        <v>0</v>
      </c>
      <c r="O217" s="194" t="n">
        <f aca="false">SUMIF('statutory adj_2026 조정분개'!$S:$S,$D217,'statutory adj_2026 조정분개'!$L:$L)</f>
        <v>0</v>
      </c>
      <c r="P217" s="192" t="n">
        <f aca="false">M217+N217-O217</f>
        <v>-14614089</v>
      </c>
      <c r="Q217" s="195" t="n">
        <f aca="false">IFERROR(VLOOKUP(VALUE($D217),BSPL2026!$B:$Q,16,FALSE()),0)</f>
        <v>14614089</v>
      </c>
      <c r="R217" s="196" t="s">
        <v>449</v>
      </c>
      <c r="S217" s="172" t="str">
        <f aca="false">IFERROR(VLOOKUP(VALUE($D217),BSPL2026!$B:$M,12,FALSE()),"")</f>
        <v>복리후생비</v>
      </c>
      <c r="T217" s="172" t="str">
        <f aca="false">IF(OR(S217="",S217=0,LEFT(S217,5)="(원본오류"),"",IF(S217=H217,"","매핑차이"))</f>
        <v/>
      </c>
    </row>
    <row r="218" customFormat="false" ht="16.5" hidden="false" customHeight="false" outlineLevel="0" collapsed="false">
      <c r="D218" s="186" t="s">
        <v>911</v>
      </c>
      <c r="E218" s="187" t="s">
        <v>912</v>
      </c>
      <c r="F218" s="188" t="s">
        <v>791</v>
      </c>
      <c r="G218" s="189" t="s">
        <v>862</v>
      </c>
      <c r="H218" s="190" t="s">
        <v>332</v>
      </c>
      <c r="I218" s="191" t="s">
        <v>912</v>
      </c>
      <c r="J218" s="192" t="n">
        <f aca="false">IFERROR(VLOOKUP(VALUE($D218),BSPL2026!$B:$Z,25,FALSE()),0)</f>
        <v>63924575</v>
      </c>
      <c r="K218" s="193"/>
      <c r="L218" s="194"/>
      <c r="M218" s="192" t="n">
        <f aca="false">J218+K218-L218</f>
        <v>63924575</v>
      </c>
      <c r="N218" s="193" t="n">
        <f aca="false">SUMIF('statutory adj_2026 조정분개'!$S:$S,$D218,'statutory adj_2026 조정분개'!$K:$K)</f>
        <v>0</v>
      </c>
      <c r="O218" s="194" t="n">
        <f aca="false">SUMIF('statutory adj_2026 조정분개'!$S:$S,$D218,'statutory adj_2026 조정분개'!$L:$L)</f>
        <v>0</v>
      </c>
      <c r="P218" s="192" t="n">
        <f aca="false">M218+N218-O218</f>
        <v>63924575</v>
      </c>
      <c r="Q218" s="195" t="n">
        <f aca="false">IFERROR(VLOOKUP(VALUE($D218),BSPL2026!$B:$Q,16,FALSE()),0)</f>
        <v>59161675</v>
      </c>
      <c r="R218" s="196" t="s">
        <v>449</v>
      </c>
      <c r="S218" s="172" t="str">
        <f aca="false">IFERROR(VLOOKUP(VALUE($D218),BSPL2026!$B:$M,12,FALSE()),"")</f>
        <v>여비교통비</v>
      </c>
      <c r="T218" s="172" t="str">
        <f aca="false">IF(OR(S218="",S218=0,LEFT(S218,5)="(원본오류"),"",IF(S218=H218,"","매핑차이"))</f>
        <v/>
      </c>
    </row>
    <row r="219" customFormat="false" ht="16.5" hidden="false" customHeight="false" outlineLevel="0" collapsed="false">
      <c r="D219" s="186" t="s">
        <v>913</v>
      </c>
      <c r="E219" s="187" t="s">
        <v>914</v>
      </c>
      <c r="F219" s="188" t="s">
        <v>791</v>
      </c>
      <c r="G219" s="189" t="s">
        <v>862</v>
      </c>
      <c r="H219" s="190" t="s">
        <v>323</v>
      </c>
      <c r="I219" s="191" t="s">
        <v>914</v>
      </c>
      <c r="J219" s="192" t="n">
        <f aca="false">IFERROR(VLOOKUP(VALUE($D219),BSPL2026!$B:$Z,25,FALSE()),0)</f>
        <v>-348309458</v>
      </c>
      <c r="K219" s="193"/>
      <c r="L219" s="194"/>
      <c r="M219" s="192" t="n">
        <f aca="false">J219+K219-L219</f>
        <v>-348309458</v>
      </c>
      <c r="N219" s="193" t="n">
        <f aca="false">SUMIF('statutory adj_2026 조정분개'!$S:$S,$D219,'statutory adj_2026 조정분개'!$K:$K)</f>
        <v>0</v>
      </c>
      <c r="O219" s="194" t="n">
        <f aca="false">SUMIF('statutory adj_2026 조정분개'!$S:$S,$D219,'statutory adj_2026 조정분개'!$L:$L)</f>
        <v>0</v>
      </c>
      <c r="P219" s="192" t="n">
        <f aca="false">M219+N219-O219</f>
        <v>-348309458</v>
      </c>
      <c r="Q219" s="195" t="n">
        <f aca="false">IFERROR(VLOOKUP(VALUE($D219),BSPL2026!$B:$Q,16,FALSE()),0)</f>
        <v>-164581135</v>
      </c>
      <c r="R219" s="196" t="s">
        <v>449</v>
      </c>
      <c r="S219" s="172" t="str">
        <f aca="false">IFERROR(VLOOKUP(VALUE($D219),BSPL2026!$B:$M,12,FALSE()),"")</f>
        <v>성과급여</v>
      </c>
      <c r="T219" s="172" t="str">
        <f aca="false">IF(OR(S219="",S219=0,LEFT(S219,5)="(원본오류"),"",IF(S219=H219,"","매핑차이"))</f>
        <v/>
      </c>
    </row>
    <row r="220" customFormat="false" ht="16.5" hidden="false" customHeight="false" outlineLevel="0" collapsed="false">
      <c r="D220" s="186" t="s">
        <v>915</v>
      </c>
      <c r="E220" s="187" t="s">
        <v>916</v>
      </c>
      <c r="F220" s="188" t="s">
        <v>791</v>
      </c>
      <c r="G220" s="189" t="s">
        <v>862</v>
      </c>
      <c r="H220" s="190" t="s">
        <v>323</v>
      </c>
      <c r="I220" s="191" t="s">
        <v>916</v>
      </c>
      <c r="J220" s="192" t="n">
        <f aca="false">IFERROR(VLOOKUP(VALUE($D220),BSPL2026!$B:$Z,25,FALSE()),0)</f>
        <v>690780403</v>
      </c>
      <c r="K220" s="193"/>
      <c r="L220" s="194"/>
      <c r="M220" s="192" t="n">
        <f aca="false">J220+K220-L220</f>
        <v>690780403</v>
      </c>
      <c r="N220" s="193" t="n">
        <f aca="false">SUMIF('statutory adj_2026 조정분개'!$S:$S,$D220,'statutory adj_2026 조정분개'!$K:$K)</f>
        <v>0</v>
      </c>
      <c r="O220" s="194" t="n">
        <f aca="false">SUMIF('statutory adj_2026 조정분개'!$S:$S,$D220,'statutory adj_2026 조정분개'!$L:$L)</f>
        <v>0</v>
      </c>
      <c r="P220" s="192" t="n">
        <f aca="false">M220+N220-O220</f>
        <v>690780403</v>
      </c>
      <c r="Q220" s="195" t="n">
        <f aca="false">IFERROR(VLOOKUP(VALUE($D220),BSPL2026!$B:$Q,16,FALSE()),0)</f>
        <v>1090091454</v>
      </c>
      <c r="R220" s="196" t="s">
        <v>449</v>
      </c>
      <c r="S220" s="172" t="str">
        <f aca="false">IFERROR(VLOOKUP(VALUE($D220),BSPL2026!$B:$M,12,FALSE()),"")</f>
        <v>성과급여</v>
      </c>
      <c r="T220" s="172" t="str">
        <f aca="false">IF(OR(S220="",S220=0,LEFT(S220,5)="(원본오류"),"",IF(S220=H220,"","매핑차이"))</f>
        <v/>
      </c>
    </row>
    <row r="221" customFormat="false" ht="16.5" hidden="false" customHeight="false" outlineLevel="0" collapsed="false">
      <c r="D221" s="186" t="s">
        <v>917</v>
      </c>
      <c r="E221" s="187" t="s">
        <v>918</v>
      </c>
      <c r="F221" s="188" t="s">
        <v>791</v>
      </c>
      <c r="G221" s="189" t="s">
        <v>862</v>
      </c>
      <c r="H221" s="190" t="s">
        <v>321</v>
      </c>
      <c r="I221" s="191" t="s">
        <v>918</v>
      </c>
      <c r="J221" s="192" t="n">
        <f aca="false">IFERROR(VLOOKUP(VALUE($D221),BSPL2026!$B:$Z,25,FALSE()),0)</f>
        <v>-12320098</v>
      </c>
      <c r="K221" s="193"/>
      <c r="L221" s="194"/>
      <c r="M221" s="192" t="n">
        <f aca="false">J221+K221-L221</f>
        <v>-12320098</v>
      </c>
      <c r="N221" s="193" t="n">
        <f aca="false">SUMIF('statutory adj_2026 조정분개'!$S:$S,$D221,'statutory adj_2026 조정분개'!$K:$K)</f>
        <v>0</v>
      </c>
      <c r="O221" s="194" t="n">
        <f aca="false">SUMIF('statutory adj_2026 조정분개'!$S:$S,$D221,'statutory adj_2026 조정분개'!$L:$L)</f>
        <v>0</v>
      </c>
      <c r="P221" s="192" t="n">
        <f aca="false">M221+N221-O221</f>
        <v>-12320098</v>
      </c>
      <c r="Q221" s="195" t="n">
        <f aca="false">IFERROR(VLOOKUP(VALUE($D221),BSPL2026!$B:$Q,16,FALSE()),0)</f>
        <v>99624976</v>
      </c>
      <c r="R221" s="196" t="s">
        <v>449</v>
      </c>
      <c r="S221" s="172" t="str">
        <f aca="false">IFERROR(VLOOKUP(VALUE($D221),BSPL2026!$B:$M,12,FALSE()),"")</f>
        <v>상여와수당</v>
      </c>
      <c r="T221" s="172" t="str">
        <f aca="false">IF(OR(S221="",S221=0,LEFT(S221,5)="(원본오류"),"",IF(S221=H221,"","매핑차이"))</f>
        <v/>
      </c>
    </row>
    <row r="222" customFormat="false" ht="16.5" hidden="false" customHeight="false" outlineLevel="0" collapsed="false">
      <c r="D222" s="186" t="s">
        <v>919</v>
      </c>
      <c r="E222" s="187" t="s">
        <v>920</v>
      </c>
      <c r="F222" s="188" t="s">
        <v>791</v>
      </c>
      <c r="G222" s="189" t="s">
        <v>862</v>
      </c>
      <c r="H222" s="190" t="s">
        <v>364</v>
      </c>
      <c r="I222" s="191" t="s">
        <v>920</v>
      </c>
      <c r="J222" s="192" t="n">
        <f aca="false">IFERROR(VLOOKUP(VALUE($D222),BSPL2026!$B:$Z,25,FALSE()),0)</f>
        <v>249000</v>
      </c>
      <c r="K222" s="193"/>
      <c r="L222" s="194"/>
      <c r="M222" s="192" t="n">
        <f aca="false">J222+K222-L222</f>
        <v>249000</v>
      </c>
      <c r="N222" s="193" t="n">
        <f aca="false">SUMIF('statutory adj_2026 조정분개'!$S:$S,$D222,'statutory adj_2026 조정분개'!$K:$K)</f>
        <v>0</v>
      </c>
      <c r="O222" s="194" t="n">
        <f aca="false">SUMIF('statutory adj_2026 조정분개'!$S:$S,$D222,'statutory adj_2026 조정분개'!$L:$L)</f>
        <v>0</v>
      </c>
      <c r="P222" s="192" t="n">
        <f aca="false">M222+N222-O222</f>
        <v>249000</v>
      </c>
      <c r="Q222" s="195" t="n">
        <f aca="false">IFERROR(VLOOKUP(VALUE($D222),BSPL2026!$B:$Q,16,FALSE()),0)</f>
        <v>1816200</v>
      </c>
      <c r="R222" s="196" t="s">
        <v>449</v>
      </c>
      <c r="S222" s="172" t="str">
        <f aca="false">IFERROR(VLOOKUP(VALUE($D222),BSPL2026!$B:$M,12,FALSE()),"")</f>
        <v>교육훈련비</v>
      </c>
      <c r="T222" s="172" t="str">
        <f aca="false">IF(OR(S222="",S222=0,LEFT(S222,5)="(원본오류"),"",IF(S222=H222,"","매핑차이"))</f>
        <v/>
      </c>
    </row>
    <row r="223" customFormat="false" ht="16.5" hidden="false" customHeight="false" outlineLevel="0" collapsed="false">
      <c r="D223" s="186" t="s">
        <v>921</v>
      </c>
      <c r="E223" s="187" t="s">
        <v>922</v>
      </c>
      <c r="F223" s="188" t="s">
        <v>791</v>
      </c>
      <c r="G223" s="189" t="s">
        <v>862</v>
      </c>
      <c r="H223" s="190" t="s">
        <v>355</v>
      </c>
      <c r="I223" s="191" t="s">
        <v>922</v>
      </c>
      <c r="J223" s="192" t="n">
        <f aca="false">IFERROR(VLOOKUP(VALUE($D223),BSPL2026!$B:$Z,25,FALSE()),0)</f>
        <v>402998681</v>
      </c>
      <c r="K223" s="193"/>
      <c r="L223" s="194"/>
      <c r="M223" s="192" t="n">
        <f aca="false">J223+K223-L223</f>
        <v>402998681</v>
      </c>
      <c r="N223" s="193" t="n">
        <f aca="false">SUMIF('statutory adj_2026 조정분개'!$S:$S,$D223,'statutory adj_2026 조정분개'!$K:$K)</f>
        <v>0</v>
      </c>
      <c r="O223" s="194" t="n">
        <f aca="false">SUMIF('statutory adj_2026 조정분개'!$S:$S,$D223,'statutory adj_2026 조정분개'!$L:$L)</f>
        <v>0</v>
      </c>
      <c r="P223" s="192" t="n">
        <f aca="false">M223+N223-O223</f>
        <v>402998681</v>
      </c>
      <c r="Q223" s="195" t="n">
        <f aca="false">IFERROR(VLOOKUP(VALUE($D223),BSPL2026!$B:$Q,16,FALSE()),0)</f>
        <v>392927090</v>
      </c>
      <c r="R223" s="196" t="s">
        <v>449</v>
      </c>
      <c r="S223" s="172" t="str">
        <f aca="false">IFERROR(VLOOKUP(VALUE($D223),BSPL2026!$B:$M,12,FALSE()),"")</f>
        <v>임상증례조사비</v>
      </c>
      <c r="T223" s="172" t="str">
        <f aca="false">IF(OR(S223="",S223=0,LEFT(S223,5)="(원본오류"),"",IF(S223=H223,"","매핑차이"))</f>
        <v/>
      </c>
    </row>
    <row r="224" customFormat="false" ht="16.5" hidden="false" customHeight="false" outlineLevel="0" collapsed="false">
      <c r="D224" s="186" t="s">
        <v>923</v>
      </c>
      <c r="E224" s="187" t="s">
        <v>924</v>
      </c>
      <c r="F224" s="188" t="s">
        <v>791</v>
      </c>
      <c r="G224" s="189" t="s">
        <v>862</v>
      </c>
      <c r="H224" s="190" t="s">
        <v>355</v>
      </c>
      <c r="I224" s="191" t="s">
        <v>924</v>
      </c>
      <c r="J224" s="192" t="n">
        <f aca="false">IFERROR(VLOOKUP(VALUE($D224),BSPL2026!$B:$Z,25,FALSE()),0)</f>
        <v>39750000</v>
      </c>
      <c r="K224" s="193"/>
      <c r="L224" s="194"/>
      <c r="M224" s="192" t="n">
        <f aca="false">J224+K224-L224</f>
        <v>39750000</v>
      </c>
      <c r="N224" s="193" t="n">
        <f aca="false">SUMIF('statutory adj_2026 조정분개'!$S:$S,$D224,'statutory adj_2026 조정분개'!$K:$K)</f>
        <v>0</v>
      </c>
      <c r="O224" s="194" t="n">
        <f aca="false">SUMIF('statutory adj_2026 조정분개'!$S:$S,$D224,'statutory adj_2026 조정분개'!$L:$L)</f>
        <v>0</v>
      </c>
      <c r="P224" s="192" t="n">
        <f aca="false">M224+N224-O224</f>
        <v>39750000</v>
      </c>
      <c r="Q224" s="195" t="n">
        <f aca="false">IFERROR(VLOOKUP(VALUE($D224),BSPL2026!$B:$Q,16,FALSE()),0)</f>
        <v>57250000</v>
      </c>
      <c r="R224" s="196" t="s">
        <v>449</v>
      </c>
      <c r="S224" s="172" t="str">
        <f aca="false">IFERROR(VLOOKUP(VALUE($D224),BSPL2026!$B:$M,12,FALSE()),"")</f>
        <v>임상증례조사비</v>
      </c>
      <c r="T224" s="172" t="str">
        <f aca="false">IF(OR(S224="",S224=0,LEFT(S224,5)="(원본오류"),"",IF(S224=H224,"","매핑차이"))</f>
        <v/>
      </c>
    </row>
    <row r="225" customFormat="false" ht="16.5" hidden="false" customHeight="false" outlineLevel="0" collapsed="false">
      <c r="D225" s="186" t="s">
        <v>925</v>
      </c>
      <c r="E225" s="187" t="s">
        <v>926</v>
      </c>
      <c r="F225" s="188" t="s">
        <v>791</v>
      </c>
      <c r="G225" s="189" t="s">
        <v>862</v>
      </c>
      <c r="H225" s="190" t="s">
        <v>355</v>
      </c>
      <c r="I225" s="191" t="s">
        <v>926</v>
      </c>
      <c r="J225" s="192" t="n">
        <f aca="false">IFERROR(VLOOKUP(VALUE($D225),BSPL2026!$B:$Z,25,FALSE()),0)</f>
        <v>6888477316</v>
      </c>
      <c r="K225" s="193"/>
      <c r="L225" s="194"/>
      <c r="M225" s="192" t="n">
        <f aca="false">J225+K225-L225</f>
        <v>6888477316</v>
      </c>
      <c r="N225" s="193" t="n">
        <f aca="false">SUMIF('statutory adj_2026 조정분개'!$S:$S,$D225,'statutory adj_2026 조정분개'!$K:$K)</f>
        <v>0</v>
      </c>
      <c r="O225" s="194" t="n">
        <f aca="false">SUMIF('statutory adj_2026 조정분개'!$S:$S,$D225,'statutory adj_2026 조정분개'!$L:$L)</f>
        <v>0</v>
      </c>
      <c r="P225" s="192" t="n">
        <f aca="false">M225+N225-O225</f>
        <v>6888477316</v>
      </c>
      <c r="Q225" s="195" t="n">
        <f aca="false">IFERROR(VLOOKUP(VALUE($D225),BSPL2026!$B:$Q,16,FALSE()),0)</f>
        <v>718716355</v>
      </c>
      <c r="R225" s="196" t="s">
        <v>449</v>
      </c>
      <c r="S225" s="172" t="str">
        <f aca="false">IFERROR(VLOOKUP(VALUE($D225),BSPL2026!$B:$M,12,FALSE()),"")</f>
        <v>임상증례조사비</v>
      </c>
      <c r="T225" s="172" t="str">
        <f aca="false">IF(OR(S225="",S225=0,LEFT(S225,5)="(원본오류"),"",IF(S225=H225,"","매핑차이"))</f>
        <v/>
      </c>
    </row>
    <row r="226" customFormat="false" ht="16.5" hidden="false" customHeight="false" outlineLevel="0" collapsed="false">
      <c r="D226" s="186" t="s">
        <v>927</v>
      </c>
      <c r="E226" s="187" t="s">
        <v>928</v>
      </c>
      <c r="F226" s="188" t="s">
        <v>791</v>
      </c>
      <c r="G226" s="189" t="s">
        <v>862</v>
      </c>
      <c r="H226" s="190" t="s">
        <v>355</v>
      </c>
      <c r="I226" s="191" t="s">
        <v>928</v>
      </c>
      <c r="J226" s="192" t="n">
        <f aca="false">IFERROR(VLOOKUP(VALUE($D226),BSPL2026!$B:$Z,25,FALSE()),0)</f>
        <v>105186941</v>
      </c>
      <c r="K226" s="193"/>
      <c r="L226" s="194"/>
      <c r="M226" s="192" t="n">
        <f aca="false">J226+K226-L226</f>
        <v>105186941</v>
      </c>
      <c r="N226" s="193" t="n">
        <f aca="false">SUMIF('statutory adj_2026 조정분개'!$S:$S,$D226,'statutory adj_2026 조정분개'!$K:$K)</f>
        <v>0</v>
      </c>
      <c r="O226" s="194" t="n">
        <f aca="false">SUMIF('statutory adj_2026 조정분개'!$S:$S,$D226,'statutory adj_2026 조정분개'!$L:$L)</f>
        <v>0</v>
      </c>
      <c r="P226" s="192" t="n">
        <f aca="false">M226+N226-O226</f>
        <v>105186941</v>
      </c>
      <c r="Q226" s="195" t="n">
        <f aca="false">IFERROR(VLOOKUP(VALUE($D226),BSPL2026!$B:$Q,16,FALSE()),0)</f>
        <v>0</v>
      </c>
      <c r="R226" s="196" t="s">
        <v>449</v>
      </c>
      <c r="S226" s="172" t="str">
        <f aca="false">IFERROR(VLOOKUP(VALUE($D226),BSPL2026!$B:$M,12,FALSE()),"")</f>
        <v>임상증례조사비</v>
      </c>
      <c r="T226" s="172" t="str">
        <f aca="false">IF(OR(S226="",S226=0,LEFT(S226,5)="(원본오류"),"",IF(S226=H226,"","매핑차이"))</f>
        <v/>
      </c>
    </row>
    <row r="227" customFormat="false" ht="16.5" hidden="false" customHeight="false" outlineLevel="0" collapsed="false">
      <c r="D227" s="186" t="s">
        <v>929</v>
      </c>
      <c r="E227" s="187" t="s">
        <v>930</v>
      </c>
      <c r="F227" s="188" t="s">
        <v>791</v>
      </c>
      <c r="G227" s="189" t="s">
        <v>862</v>
      </c>
      <c r="H227" s="190" t="s">
        <v>332</v>
      </c>
      <c r="I227" s="191" t="s">
        <v>930</v>
      </c>
      <c r="J227" s="192" t="n">
        <f aca="false">IFERROR(VLOOKUP(VALUE($D227),BSPL2026!$B:$Z,25,FALSE()),0)</f>
        <v>724695011</v>
      </c>
      <c r="K227" s="193"/>
      <c r="L227" s="194"/>
      <c r="M227" s="192" t="n">
        <f aca="false">J227+K227-L227</f>
        <v>724695011</v>
      </c>
      <c r="N227" s="193" t="n">
        <f aca="false">SUMIF('statutory adj_2026 조정분개'!$S:$S,$D227,'statutory adj_2026 조정분개'!$K:$K)</f>
        <v>0</v>
      </c>
      <c r="O227" s="194" t="n">
        <f aca="false">SUMIF('statutory adj_2026 조정분개'!$S:$S,$D227,'statutory adj_2026 조정분개'!$L:$L)</f>
        <v>0</v>
      </c>
      <c r="P227" s="192" t="n">
        <f aca="false">M227+N227-O227</f>
        <v>724695011</v>
      </c>
      <c r="Q227" s="195" t="n">
        <f aca="false">IFERROR(VLOOKUP(VALUE($D227),BSPL2026!$B:$Q,16,FALSE()),0)</f>
        <v>1144180686</v>
      </c>
      <c r="R227" s="196" t="s">
        <v>449</v>
      </c>
      <c r="S227" s="172" t="str">
        <f aca="false">IFERROR(VLOOKUP(VALUE($D227),BSPL2026!$B:$M,12,FALSE()),"")</f>
        <v>여비교통비</v>
      </c>
      <c r="T227" s="172" t="str">
        <f aca="false">IF(OR(S227="",S227=0,LEFT(S227,5)="(원본오류"),"",IF(S227=H227,"","매핑차이"))</f>
        <v/>
      </c>
    </row>
    <row r="228" customFormat="false" ht="16.5" hidden="false" customHeight="false" outlineLevel="0" collapsed="false">
      <c r="D228" s="186" t="s">
        <v>931</v>
      </c>
      <c r="E228" s="187" t="s">
        <v>932</v>
      </c>
      <c r="F228" s="188" t="s">
        <v>791</v>
      </c>
      <c r="G228" s="189" t="s">
        <v>862</v>
      </c>
      <c r="H228" s="190" t="s">
        <v>332</v>
      </c>
      <c r="I228" s="191" t="s">
        <v>932</v>
      </c>
      <c r="J228" s="192" t="n">
        <f aca="false">IFERROR(VLOOKUP(VALUE($D228),BSPL2026!$B:$Z,25,FALSE()),0)</f>
        <v>200512833</v>
      </c>
      <c r="K228" s="193"/>
      <c r="L228" s="194"/>
      <c r="M228" s="192" t="n">
        <f aca="false">J228+K228-L228</f>
        <v>200512833</v>
      </c>
      <c r="N228" s="193" t="n">
        <f aca="false">SUMIF('statutory adj_2026 조정분개'!$S:$S,$D228,'statutory adj_2026 조정분개'!$K:$K)</f>
        <v>0</v>
      </c>
      <c r="O228" s="194" t="n">
        <f aca="false">SUMIF('statutory adj_2026 조정분개'!$S:$S,$D228,'statutory adj_2026 조정분개'!$L:$L)</f>
        <v>0</v>
      </c>
      <c r="P228" s="192" t="n">
        <f aca="false">M228+N228-O228</f>
        <v>200512833</v>
      </c>
      <c r="Q228" s="195" t="n">
        <f aca="false">IFERROR(VLOOKUP(VALUE($D228),BSPL2026!$B:$Q,16,FALSE()),0)</f>
        <v>627902575</v>
      </c>
      <c r="R228" s="196" t="s">
        <v>449</v>
      </c>
      <c r="S228" s="172" t="str">
        <f aca="false">IFERROR(VLOOKUP(VALUE($D228),BSPL2026!$B:$M,12,FALSE()),"")</f>
        <v>여비교통비</v>
      </c>
      <c r="T228" s="172" t="str">
        <f aca="false">IF(OR(S228="",S228=0,LEFT(S228,5)="(원본오류"),"",IF(S228=H228,"","매핑차이"))</f>
        <v/>
      </c>
    </row>
    <row r="229" customFormat="false" ht="16.5" hidden="false" customHeight="false" outlineLevel="0" collapsed="false">
      <c r="D229" s="186" t="s">
        <v>933</v>
      </c>
      <c r="E229" s="187" t="s">
        <v>934</v>
      </c>
      <c r="F229" s="188" t="s">
        <v>791</v>
      </c>
      <c r="G229" s="189" t="s">
        <v>862</v>
      </c>
      <c r="H229" s="190" t="s">
        <v>332</v>
      </c>
      <c r="I229" s="191" t="s">
        <v>934</v>
      </c>
      <c r="J229" s="192" t="n">
        <f aca="false">IFERROR(VLOOKUP(VALUE($D229),BSPL2026!$B:$Z,25,FALSE()),0)</f>
        <v>771586050</v>
      </c>
      <c r="K229" s="193"/>
      <c r="L229" s="194"/>
      <c r="M229" s="192" t="n">
        <f aca="false">J229+K229-L229</f>
        <v>771586050</v>
      </c>
      <c r="N229" s="193" t="n">
        <f aca="false">SUMIF('statutory adj_2026 조정분개'!$S:$S,$D229,'statutory adj_2026 조정분개'!$K:$K)</f>
        <v>0</v>
      </c>
      <c r="O229" s="194" t="n">
        <f aca="false">SUMIF('statutory adj_2026 조정분개'!$S:$S,$D229,'statutory adj_2026 조정분개'!$L:$L)</f>
        <v>0</v>
      </c>
      <c r="P229" s="192" t="n">
        <f aca="false">M229+N229-O229</f>
        <v>771586050</v>
      </c>
      <c r="Q229" s="195" t="n">
        <f aca="false">IFERROR(VLOOKUP(VALUE($D229),BSPL2026!$B:$Q,16,FALSE()),0)</f>
        <v>977430514</v>
      </c>
      <c r="R229" s="196" t="s">
        <v>449</v>
      </c>
      <c r="S229" s="172" t="str">
        <f aca="false">IFERROR(VLOOKUP(VALUE($D229),BSPL2026!$B:$M,12,FALSE()),"")</f>
        <v>여비교통비</v>
      </c>
      <c r="T229" s="172" t="str">
        <f aca="false">IF(OR(S229="",S229=0,LEFT(S229,5)="(원본오류"),"",IF(S229=H229,"","매핑차이"))</f>
        <v/>
      </c>
    </row>
    <row r="230" customFormat="false" ht="16.5" hidden="false" customHeight="false" outlineLevel="0" collapsed="false">
      <c r="D230" s="186" t="s">
        <v>935</v>
      </c>
      <c r="E230" s="187" t="s">
        <v>936</v>
      </c>
      <c r="F230" s="188" t="s">
        <v>791</v>
      </c>
      <c r="G230" s="189" t="s">
        <v>862</v>
      </c>
      <c r="H230" s="190" t="s">
        <v>332</v>
      </c>
      <c r="I230" s="191" t="s">
        <v>936</v>
      </c>
      <c r="J230" s="192" t="n">
        <f aca="false">IFERROR(VLOOKUP(VALUE($D230),BSPL2026!$B:$Z,25,FALSE()),0)</f>
        <v>245291825</v>
      </c>
      <c r="K230" s="193"/>
      <c r="L230" s="194"/>
      <c r="M230" s="192" t="n">
        <f aca="false">J230+K230-L230</f>
        <v>245291825</v>
      </c>
      <c r="N230" s="193" t="n">
        <f aca="false">SUMIF('statutory adj_2026 조정분개'!$S:$S,$D230,'statutory adj_2026 조정분개'!$K:$K)</f>
        <v>0</v>
      </c>
      <c r="O230" s="194" t="n">
        <f aca="false">SUMIF('statutory adj_2026 조정분개'!$S:$S,$D230,'statutory adj_2026 조정분개'!$L:$L)</f>
        <v>0</v>
      </c>
      <c r="P230" s="192" t="n">
        <f aca="false">M230+N230-O230</f>
        <v>245291825</v>
      </c>
      <c r="Q230" s="195" t="n">
        <f aca="false">IFERROR(VLOOKUP(VALUE($D230),BSPL2026!$B:$Q,16,FALSE()),0)</f>
        <v>297992352</v>
      </c>
      <c r="R230" s="196" t="s">
        <v>449</v>
      </c>
      <c r="S230" s="172" t="str">
        <f aca="false">IFERROR(VLOOKUP(VALUE($D230),BSPL2026!$B:$M,12,FALSE()),"")</f>
        <v>여비교통비</v>
      </c>
      <c r="T230" s="172" t="str">
        <f aca="false">IF(OR(S230="",S230=0,LEFT(S230,5)="(원본오류"),"",IF(S230=H230,"","매핑차이"))</f>
        <v/>
      </c>
    </row>
    <row r="231" customFormat="false" ht="16.5" hidden="false" customHeight="false" outlineLevel="0" collapsed="false">
      <c r="D231" s="186" t="s">
        <v>937</v>
      </c>
      <c r="E231" s="187" t="s">
        <v>938</v>
      </c>
      <c r="F231" s="188" t="s">
        <v>791</v>
      </c>
      <c r="G231" s="189" t="s">
        <v>862</v>
      </c>
      <c r="H231" s="190" t="s">
        <v>332</v>
      </c>
      <c r="I231" s="191" t="s">
        <v>938</v>
      </c>
      <c r="J231" s="192" t="n">
        <f aca="false">IFERROR(VLOOKUP(VALUE($D231),BSPL2026!$B:$Z,25,FALSE()),0)</f>
        <v>219749734</v>
      </c>
      <c r="K231" s="193"/>
      <c r="L231" s="194"/>
      <c r="M231" s="192" t="n">
        <f aca="false">J231+K231-L231</f>
        <v>219749734</v>
      </c>
      <c r="N231" s="193" t="n">
        <f aca="false">SUMIF('statutory adj_2026 조정분개'!$S:$S,$D231,'statutory adj_2026 조정분개'!$K:$K)</f>
        <v>0</v>
      </c>
      <c r="O231" s="194" t="n">
        <f aca="false">SUMIF('statutory adj_2026 조정분개'!$S:$S,$D231,'statutory adj_2026 조정분개'!$L:$L)</f>
        <v>0</v>
      </c>
      <c r="P231" s="192" t="n">
        <f aca="false">M231+N231-O231</f>
        <v>219749734</v>
      </c>
      <c r="Q231" s="195" t="n">
        <f aca="false">IFERROR(VLOOKUP(VALUE($D231),BSPL2026!$B:$Q,16,FALSE()),0)</f>
        <v>387825910</v>
      </c>
      <c r="R231" s="196" t="s">
        <v>449</v>
      </c>
      <c r="S231" s="172" t="str">
        <f aca="false">IFERROR(VLOOKUP(VALUE($D231),BSPL2026!$B:$M,12,FALSE()),"")</f>
        <v>여비교통비</v>
      </c>
      <c r="T231" s="172" t="str">
        <f aca="false">IF(OR(S231="",S231=0,LEFT(S231,5)="(원본오류"),"",IF(S231=H231,"","매핑차이"))</f>
        <v/>
      </c>
    </row>
    <row r="232" customFormat="false" ht="16.5" hidden="false" customHeight="false" outlineLevel="0" collapsed="false">
      <c r="D232" s="186" t="s">
        <v>939</v>
      </c>
      <c r="E232" s="187" t="s">
        <v>940</v>
      </c>
      <c r="F232" s="188" t="s">
        <v>791</v>
      </c>
      <c r="G232" s="189" t="s">
        <v>862</v>
      </c>
      <c r="H232" s="190" t="s">
        <v>348</v>
      </c>
      <c r="I232" s="191" t="s">
        <v>940</v>
      </c>
      <c r="J232" s="192" t="n">
        <f aca="false">IFERROR(VLOOKUP(VALUE($D232),BSPL2026!$B:$Z,25,FALSE()),0)</f>
        <v>417021348</v>
      </c>
      <c r="K232" s="193"/>
      <c r="L232" s="194"/>
      <c r="M232" s="192" t="n">
        <f aca="false">J232+K232-L232</f>
        <v>417021348</v>
      </c>
      <c r="N232" s="193" t="n">
        <f aca="false">SUMIF('statutory adj_2026 조정분개'!$S:$S,$D232,'statutory adj_2026 조정분개'!$K:$K)</f>
        <v>0</v>
      </c>
      <c r="O232" s="194" t="n">
        <f aca="false">SUMIF('statutory adj_2026 조정분개'!$S:$S,$D232,'statutory adj_2026 조정분개'!$L:$L)</f>
        <v>0</v>
      </c>
      <c r="P232" s="192" t="n">
        <f aca="false">M232+N232-O232</f>
        <v>417021348</v>
      </c>
      <c r="Q232" s="195" t="n">
        <f aca="false">IFERROR(VLOOKUP(VALUE($D232),BSPL2026!$B:$Q,16,FALSE()),0)</f>
        <v>808759233</v>
      </c>
      <c r="R232" s="196" t="s">
        <v>449</v>
      </c>
      <c r="S232" s="172" t="str">
        <f aca="false">IFERROR(VLOOKUP(VALUE($D232),BSPL2026!$B:$M,12,FALSE()),"")</f>
        <v>접대비</v>
      </c>
      <c r="T232" s="172" t="str">
        <f aca="false">IF(OR(S232="",S232=0,LEFT(S232,5)="(원본오류"),"",IF(S232=H232,"","매핑차이"))</f>
        <v/>
      </c>
    </row>
    <row r="233" customFormat="false" ht="16.5" hidden="false" customHeight="false" outlineLevel="0" collapsed="false">
      <c r="D233" s="186" t="s">
        <v>941</v>
      </c>
      <c r="E233" s="187" t="s">
        <v>942</v>
      </c>
      <c r="F233" s="188" t="s">
        <v>791</v>
      </c>
      <c r="G233" s="189" t="s">
        <v>862</v>
      </c>
      <c r="H233" s="190" t="s">
        <v>332</v>
      </c>
      <c r="I233" s="191" t="s">
        <v>942</v>
      </c>
      <c r="J233" s="192" t="n">
        <f aca="false">IFERROR(VLOOKUP(VALUE($D233),BSPL2026!$B:$Z,25,FALSE()),0)</f>
        <v>49659829</v>
      </c>
      <c r="K233" s="193"/>
      <c r="L233" s="194"/>
      <c r="M233" s="192" t="n">
        <f aca="false">J233+K233-L233</f>
        <v>49659829</v>
      </c>
      <c r="N233" s="193" t="n">
        <f aca="false">SUMIF('statutory adj_2026 조정분개'!$S:$S,$D233,'statutory adj_2026 조정분개'!$K:$K)</f>
        <v>0</v>
      </c>
      <c r="O233" s="194" t="n">
        <f aca="false">SUMIF('statutory adj_2026 조정분개'!$S:$S,$D233,'statutory adj_2026 조정분개'!$L:$L)</f>
        <v>0</v>
      </c>
      <c r="P233" s="192" t="n">
        <f aca="false">M233+N233-O233</f>
        <v>49659829</v>
      </c>
      <c r="Q233" s="195" t="n">
        <f aca="false">IFERROR(VLOOKUP(VALUE($D233),BSPL2026!$B:$Q,16,FALSE()),0)</f>
        <v>60050855</v>
      </c>
      <c r="R233" s="196" t="s">
        <v>449</v>
      </c>
      <c r="S233" s="172" t="str">
        <f aca="false">IFERROR(VLOOKUP(VALUE($D233),BSPL2026!$B:$M,12,FALSE()),"")</f>
        <v>여비교통비</v>
      </c>
      <c r="T233" s="172" t="str">
        <f aca="false">IF(OR(S233="",S233=0,LEFT(S233,5)="(원본오류"),"",IF(S233=H233,"","매핑차이"))</f>
        <v/>
      </c>
    </row>
    <row r="234" customFormat="false" ht="16.5" hidden="false" customHeight="false" outlineLevel="0" collapsed="false">
      <c r="D234" s="186" t="s">
        <v>943</v>
      </c>
      <c r="E234" s="187" t="s">
        <v>944</v>
      </c>
      <c r="F234" s="188" t="s">
        <v>791</v>
      </c>
      <c r="G234" s="189" t="s">
        <v>862</v>
      </c>
      <c r="H234" s="190" t="s">
        <v>332</v>
      </c>
      <c r="I234" s="191" t="s">
        <v>945</v>
      </c>
      <c r="J234" s="192" t="n">
        <f aca="false">IFERROR(VLOOKUP(VALUE($D234),BSPL2026!$B:$Z,25,FALSE()),0)</f>
        <v>500026</v>
      </c>
      <c r="K234" s="193"/>
      <c r="L234" s="194"/>
      <c r="M234" s="192" t="n">
        <f aca="false">J234+K234-L234</f>
        <v>500026</v>
      </c>
      <c r="N234" s="193" t="n">
        <f aca="false">SUMIF('statutory adj_2026 조정분개'!$S:$S,$D234,'statutory adj_2026 조정분개'!$K:$K)</f>
        <v>0</v>
      </c>
      <c r="O234" s="194" t="n">
        <f aca="false">SUMIF('statutory adj_2026 조정분개'!$S:$S,$D234,'statutory adj_2026 조정분개'!$L:$L)</f>
        <v>0</v>
      </c>
      <c r="P234" s="192" t="n">
        <f aca="false">M234+N234-O234</f>
        <v>500026</v>
      </c>
      <c r="Q234" s="195" t="n">
        <f aca="false">IFERROR(VLOOKUP(VALUE($D234),BSPL2026!$B:$Q,16,FALSE()),0)</f>
        <v>1110815</v>
      </c>
      <c r="R234" s="196" t="s">
        <v>449</v>
      </c>
      <c r="S234" s="172" t="str">
        <f aca="false">IFERROR(VLOOKUP(VALUE($D234),BSPL2026!$B:$M,12,FALSE()),"")</f>
        <v>여비교통비</v>
      </c>
      <c r="T234" s="172" t="str">
        <f aca="false">IF(OR(S234="",S234=0,LEFT(S234,5)="(원본오류"),"",IF(S234=H234,"","매핑차이"))</f>
        <v/>
      </c>
    </row>
    <row r="235" customFormat="false" ht="16.5" hidden="false" customHeight="false" outlineLevel="0" collapsed="false">
      <c r="D235" s="186" t="s">
        <v>946</v>
      </c>
      <c r="E235" s="187" t="s">
        <v>947</v>
      </c>
      <c r="F235" s="188" t="s">
        <v>791</v>
      </c>
      <c r="G235" s="189" t="s">
        <v>862</v>
      </c>
      <c r="H235" s="190" t="s">
        <v>344</v>
      </c>
      <c r="I235" s="191" t="s">
        <v>947</v>
      </c>
      <c r="J235" s="192" t="n">
        <f aca="false">IFERROR(VLOOKUP(VALUE($D235),BSPL2026!$B:$Z,25,FALSE()),0)</f>
        <v>510410764</v>
      </c>
      <c r="K235" s="193"/>
      <c r="L235" s="194"/>
      <c r="M235" s="192" t="n">
        <f aca="false">J235+K235-L235</f>
        <v>510410764</v>
      </c>
      <c r="N235" s="193" t="n">
        <f aca="false">SUMIF('statutory adj_2026 조정분개'!$S:$S,$D235,'statutory adj_2026 조정분개'!$K:$K)</f>
        <v>0</v>
      </c>
      <c r="O235" s="194" t="n">
        <f aca="false">SUMIF('statutory adj_2026 조정분개'!$S:$S,$D235,'statutory adj_2026 조정분개'!$L:$L)</f>
        <v>0</v>
      </c>
      <c r="P235" s="192" t="n">
        <f aca="false">M235+N235-O235</f>
        <v>510410764</v>
      </c>
      <c r="Q235" s="195" t="n">
        <f aca="false">IFERROR(VLOOKUP(VALUE($D235),BSPL2026!$B:$Q,16,FALSE()),0)</f>
        <v>797608255</v>
      </c>
      <c r="R235" s="196" t="s">
        <v>449</v>
      </c>
      <c r="S235" s="172" t="str">
        <f aca="false">IFERROR(VLOOKUP(VALUE($D235),BSPL2026!$B:$M,12,FALSE()),"")</f>
        <v>지급수수료</v>
      </c>
      <c r="T235" s="172" t="str">
        <f aca="false">IF(OR(S235="",S235=0,LEFT(S235,5)="(원본오류"),"",IF(S235=H235,"","매핑차이"))</f>
        <v/>
      </c>
    </row>
    <row r="236" customFormat="false" ht="16.5" hidden="false" customHeight="false" outlineLevel="0" collapsed="false">
      <c r="D236" s="186" t="s">
        <v>948</v>
      </c>
      <c r="E236" s="187" t="s">
        <v>949</v>
      </c>
      <c r="F236" s="188" t="s">
        <v>791</v>
      </c>
      <c r="G236" s="189" t="s">
        <v>862</v>
      </c>
      <c r="H236" s="190" t="s">
        <v>344</v>
      </c>
      <c r="I236" s="191" t="s">
        <v>949</v>
      </c>
      <c r="J236" s="192" t="n">
        <f aca="false">IFERROR(VLOOKUP(VALUE($D236),BSPL2026!$B:$Z,25,FALSE()),0)</f>
        <v>81548204</v>
      </c>
      <c r="K236" s="193"/>
      <c r="L236" s="194"/>
      <c r="M236" s="192" t="n">
        <f aca="false">J236+K236-L236</f>
        <v>81548204</v>
      </c>
      <c r="N236" s="193" t="n">
        <f aca="false">SUMIF('statutory adj_2026 조정분개'!$S:$S,$D236,'statutory adj_2026 조정분개'!$K:$K)</f>
        <v>0</v>
      </c>
      <c r="O236" s="194" t="n">
        <f aca="false">SUMIF('statutory adj_2026 조정분개'!$S:$S,$D236,'statutory adj_2026 조정분개'!$L:$L)</f>
        <v>0</v>
      </c>
      <c r="P236" s="192" t="n">
        <f aca="false">M236+N236-O236</f>
        <v>81548204</v>
      </c>
      <c r="Q236" s="195" t="n">
        <f aca="false">IFERROR(VLOOKUP(VALUE($D236),BSPL2026!$B:$Q,16,FALSE()),0)</f>
        <v>110116910</v>
      </c>
      <c r="R236" s="196" t="s">
        <v>449</v>
      </c>
      <c r="S236" s="172" t="str">
        <f aca="false">IFERROR(VLOOKUP(VALUE($D236),BSPL2026!$B:$M,12,FALSE()),"")</f>
        <v>지급수수료</v>
      </c>
      <c r="T236" s="172" t="str">
        <f aca="false">IF(OR(S236="",S236=0,LEFT(S236,5)="(원본오류"),"",IF(S236=H236,"","매핑차이"))</f>
        <v/>
      </c>
    </row>
    <row r="237" customFormat="false" ht="16.5" hidden="false" customHeight="false" outlineLevel="0" collapsed="false">
      <c r="D237" s="186" t="s">
        <v>950</v>
      </c>
      <c r="E237" s="187" t="s">
        <v>951</v>
      </c>
      <c r="F237" s="188" t="s">
        <v>791</v>
      </c>
      <c r="G237" s="189" t="s">
        <v>862</v>
      </c>
      <c r="H237" s="190" t="s">
        <v>344</v>
      </c>
      <c r="I237" s="191" t="s">
        <v>951</v>
      </c>
      <c r="J237" s="192" t="n">
        <f aca="false">IFERROR(VLOOKUP(VALUE($D237),BSPL2026!$B:$Z,25,FALSE()),0)</f>
        <v>54542909</v>
      </c>
      <c r="K237" s="193"/>
      <c r="L237" s="194"/>
      <c r="M237" s="192" t="n">
        <f aca="false">J237+K237-L237</f>
        <v>54542909</v>
      </c>
      <c r="N237" s="193" t="n">
        <f aca="false">SUMIF('statutory adj_2026 조정분개'!$S:$S,$D237,'statutory adj_2026 조정분개'!$K:$K)</f>
        <v>0</v>
      </c>
      <c r="O237" s="194" t="n">
        <f aca="false">SUMIF('statutory adj_2026 조정분개'!$S:$S,$D237,'statutory adj_2026 조정분개'!$L:$L)</f>
        <v>0</v>
      </c>
      <c r="P237" s="192" t="n">
        <f aca="false">M237+N237-O237</f>
        <v>54542909</v>
      </c>
      <c r="Q237" s="195" t="n">
        <f aca="false">IFERROR(VLOOKUP(VALUE($D237),BSPL2026!$B:$Q,16,FALSE()),0)</f>
        <v>212456564</v>
      </c>
      <c r="R237" s="196" t="s">
        <v>449</v>
      </c>
      <c r="S237" s="172" t="str">
        <f aca="false">IFERROR(VLOOKUP(VALUE($D237),BSPL2026!$B:$M,12,FALSE()),"")</f>
        <v>지급수수료</v>
      </c>
      <c r="T237" s="172" t="str">
        <f aca="false">IF(OR(S237="",S237=0,LEFT(S237,5)="(원본오류"),"",IF(S237=H237,"","매핑차이"))</f>
        <v/>
      </c>
    </row>
    <row r="238" customFormat="false" ht="16.5" hidden="false" customHeight="false" outlineLevel="0" collapsed="false">
      <c r="D238" s="186" t="s">
        <v>952</v>
      </c>
      <c r="E238" s="187" t="s">
        <v>953</v>
      </c>
      <c r="F238" s="188" t="s">
        <v>791</v>
      </c>
      <c r="G238" s="189" t="s">
        <v>862</v>
      </c>
      <c r="H238" s="190" t="s">
        <v>344</v>
      </c>
      <c r="I238" s="191" t="s">
        <v>954</v>
      </c>
      <c r="J238" s="192" t="n">
        <f aca="false">IFERROR(VLOOKUP(VALUE($D238),BSPL2026!$B:$Z,25,FALSE()),0)</f>
        <v>8580000</v>
      </c>
      <c r="K238" s="193"/>
      <c r="L238" s="194"/>
      <c r="M238" s="192" t="n">
        <f aca="false">J238+K238-L238</f>
        <v>8580000</v>
      </c>
      <c r="N238" s="193" t="n">
        <f aca="false">SUMIF('statutory adj_2026 조정분개'!$S:$S,$D238,'statutory adj_2026 조정분개'!$K:$K)</f>
        <v>0</v>
      </c>
      <c r="O238" s="194" t="n">
        <f aca="false">SUMIF('statutory adj_2026 조정분개'!$S:$S,$D238,'statutory adj_2026 조정분개'!$L:$L)</f>
        <v>0</v>
      </c>
      <c r="P238" s="192" t="n">
        <f aca="false">M238+N238-O238</f>
        <v>8580000</v>
      </c>
      <c r="Q238" s="195" t="n">
        <f aca="false">IFERROR(VLOOKUP(VALUE($D238),BSPL2026!$B:$Q,16,FALSE()),0)</f>
        <v>10692000</v>
      </c>
      <c r="R238" s="196" t="s">
        <v>449</v>
      </c>
      <c r="S238" s="172" t="str">
        <f aca="false">IFERROR(VLOOKUP(VALUE($D238),BSPL2026!$B:$M,12,FALSE()),"")</f>
        <v>지급수수료</v>
      </c>
      <c r="T238" s="172" t="str">
        <f aca="false">IF(OR(S238="",S238=0,LEFT(S238,5)="(원본오류"),"",IF(S238=H238,"","매핑차이"))</f>
        <v/>
      </c>
    </row>
    <row r="239" customFormat="false" ht="16.5" hidden="false" customHeight="false" outlineLevel="0" collapsed="false">
      <c r="D239" s="186" t="s">
        <v>955</v>
      </c>
      <c r="E239" s="187" t="s">
        <v>956</v>
      </c>
      <c r="F239" s="188" t="s">
        <v>791</v>
      </c>
      <c r="G239" s="189" t="s">
        <v>862</v>
      </c>
      <c r="H239" s="190" t="s">
        <v>344</v>
      </c>
      <c r="I239" s="191" t="s">
        <v>957</v>
      </c>
      <c r="J239" s="192" t="n">
        <f aca="false">IFERROR(VLOOKUP(VALUE($D239),BSPL2026!$B:$Z,25,FALSE()),0)</f>
        <v>75353064</v>
      </c>
      <c r="K239" s="193"/>
      <c r="L239" s="194"/>
      <c r="M239" s="192" t="n">
        <f aca="false">J239+K239-L239</f>
        <v>75353064</v>
      </c>
      <c r="N239" s="193" t="n">
        <f aca="false">SUMIF('statutory adj_2026 조정분개'!$S:$S,$D239,'statutory adj_2026 조정분개'!$K:$K)</f>
        <v>0</v>
      </c>
      <c r="O239" s="194" t="n">
        <f aca="false">SUMIF('statutory adj_2026 조정분개'!$S:$S,$D239,'statutory adj_2026 조정분개'!$L:$L)</f>
        <v>0</v>
      </c>
      <c r="P239" s="192" t="n">
        <f aca="false">M239+N239-O239</f>
        <v>75353064</v>
      </c>
      <c r="Q239" s="195" t="n">
        <f aca="false">IFERROR(VLOOKUP(VALUE($D239),BSPL2026!$B:$Q,16,FALSE()),0)</f>
        <v>127512955</v>
      </c>
      <c r="R239" s="196" t="s">
        <v>449</v>
      </c>
      <c r="S239" s="172" t="str">
        <f aca="false">IFERROR(VLOOKUP(VALUE($D239),BSPL2026!$B:$M,12,FALSE()),"")</f>
        <v>지급수수료</v>
      </c>
      <c r="T239" s="172" t="str">
        <f aca="false">IF(OR(S239="",S239=0,LEFT(S239,5)="(원본오류"),"",IF(S239=H239,"","매핑차이"))</f>
        <v/>
      </c>
    </row>
    <row r="240" customFormat="false" ht="16.5" hidden="false" customHeight="false" outlineLevel="0" collapsed="false">
      <c r="D240" s="186" t="s">
        <v>958</v>
      </c>
      <c r="E240" s="187" t="s">
        <v>959</v>
      </c>
      <c r="F240" s="188" t="s">
        <v>791</v>
      </c>
      <c r="G240" s="189" t="s">
        <v>862</v>
      </c>
      <c r="H240" s="190" t="s">
        <v>344</v>
      </c>
      <c r="I240" s="191" t="s">
        <v>959</v>
      </c>
      <c r="J240" s="192" t="n">
        <f aca="false">IFERROR(VLOOKUP(VALUE($D240),BSPL2026!$B:$Z,25,FALSE()),0)</f>
        <v>9433609</v>
      </c>
      <c r="K240" s="193"/>
      <c r="L240" s="194"/>
      <c r="M240" s="192" t="n">
        <f aca="false">J240+K240-L240</f>
        <v>9433609</v>
      </c>
      <c r="N240" s="193" t="n">
        <f aca="false">SUMIF('statutory adj_2026 조정분개'!$S:$S,$D240,'statutory adj_2026 조정분개'!$K:$K)</f>
        <v>0</v>
      </c>
      <c r="O240" s="194" t="n">
        <f aca="false">SUMIF('statutory adj_2026 조정분개'!$S:$S,$D240,'statutory adj_2026 조정분개'!$L:$L)</f>
        <v>0</v>
      </c>
      <c r="P240" s="192" t="n">
        <f aca="false">M240+N240-O240</f>
        <v>9433609</v>
      </c>
      <c r="Q240" s="195" t="n">
        <f aca="false">IFERROR(VLOOKUP(VALUE($D240),BSPL2026!$B:$Q,16,FALSE()),0)</f>
        <v>0</v>
      </c>
      <c r="R240" s="196" t="s">
        <v>449</v>
      </c>
      <c r="S240" s="172" t="str">
        <f aca="false">IFERROR(VLOOKUP(VALUE($D240),BSPL2026!$B:$M,12,FALSE()),"")</f>
        <v>지급수수료</v>
      </c>
      <c r="T240" s="172" t="str">
        <f aca="false">IF(OR(S240="",S240=0,LEFT(S240,5)="(원본오류"),"",IF(S240=H240,"","매핑차이"))</f>
        <v/>
      </c>
    </row>
    <row r="241" customFormat="false" ht="16.5" hidden="false" customHeight="false" outlineLevel="0" collapsed="false">
      <c r="D241" s="186" t="s">
        <v>960</v>
      </c>
      <c r="E241" s="187" t="s">
        <v>961</v>
      </c>
      <c r="F241" s="188" t="s">
        <v>791</v>
      </c>
      <c r="G241" s="189" t="s">
        <v>862</v>
      </c>
      <c r="H241" s="190" t="s">
        <v>344</v>
      </c>
      <c r="I241" s="191" t="s">
        <v>961</v>
      </c>
      <c r="J241" s="192" t="n">
        <f aca="false">IFERROR(VLOOKUP(VALUE($D241),BSPL2026!$B:$Z,25,FALSE()),0)</f>
        <v>461336963</v>
      </c>
      <c r="K241" s="193"/>
      <c r="L241" s="194"/>
      <c r="M241" s="192" t="n">
        <f aca="false">J241+K241-L241</f>
        <v>461336963</v>
      </c>
      <c r="N241" s="193" t="n">
        <f aca="false">SUMIF('statutory adj_2026 조정분개'!$S:$S,$D241,'statutory adj_2026 조정분개'!$K:$K)</f>
        <v>0</v>
      </c>
      <c r="O241" s="194" t="n">
        <f aca="false">SUMIF('statutory adj_2026 조정분개'!$S:$S,$D241,'statutory adj_2026 조정분개'!$L:$L)</f>
        <v>0</v>
      </c>
      <c r="P241" s="192" t="n">
        <f aca="false">M241+N241-O241</f>
        <v>461336963</v>
      </c>
      <c r="Q241" s="195" t="n">
        <f aca="false">IFERROR(VLOOKUP(VALUE($D241),BSPL2026!$B:$Q,16,FALSE()),0)</f>
        <v>193401123</v>
      </c>
      <c r="R241" s="196" t="s">
        <v>449</v>
      </c>
      <c r="S241" s="172" t="str">
        <f aca="false">IFERROR(VLOOKUP(VALUE($D241),BSPL2026!$B:$M,12,FALSE()),"")</f>
        <v>지급수수료</v>
      </c>
      <c r="T241" s="172" t="str">
        <f aca="false">IF(OR(S241="",S241=0,LEFT(S241,5)="(원본오류"),"",IF(S241=H241,"","매핑차이"))</f>
        <v/>
      </c>
    </row>
    <row r="242" customFormat="false" ht="16.5" hidden="false" customHeight="false" outlineLevel="0" collapsed="false">
      <c r="D242" s="186" t="s">
        <v>962</v>
      </c>
      <c r="E242" s="187" t="s">
        <v>963</v>
      </c>
      <c r="F242" s="188" t="s">
        <v>791</v>
      </c>
      <c r="G242" s="189" t="s">
        <v>862</v>
      </c>
      <c r="H242" s="190" t="s">
        <v>344</v>
      </c>
      <c r="I242" s="191" t="s">
        <v>963</v>
      </c>
      <c r="J242" s="192" t="n">
        <f aca="false">IFERROR(VLOOKUP(VALUE($D242),BSPL2026!$B:$Z,25,FALSE()),0)</f>
        <v>72741420</v>
      </c>
      <c r="K242" s="193"/>
      <c r="L242" s="194"/>
      <c r="M242" s="192" t="n">
        <f aca="false">J242+K242-L242</f>
        <v>72741420</v>
      </c>
      <c r="N242" s="193" t="n">
        <f aca="false">SUMIF('statutory adj_2026 조정분개'!$S:$S,$D242,'statutory adj_2026 조정분개'!$K:$K)</f>
        <v>0</v>
      </c>
      <c r="O242" s="194" t="n">
        <f aca="false">SUMIF('statutory adj_2026 조정분개'!$S:$S,$D242,'statutory adj_2026 조정분개'!$L:$L)</f>
        <v>0</v>
      </c>
      <c r="P242" s="192" t="n">
        <f aca="false">M242+N242-O242</f>
        <v>72741420</v>
      </c>
      <c r="Q242" s="195" t="n">
        <f aca="false">IFERROR(VLOOKUP(VALUE($D242),BSPL2026!$B:$Q,16,FALSE()),0)</f>
        <v>53376663</v>
      </c>
      <c r="R242" s="196" t="s">
        <v>449</v>
      </c>
      <c r="S242" s="172" t="str">
        <f aca="false">IFERROR(VLOOKUP(VALUE($D242),BSPL2026!$B:$M,12,FALSE()),"")</f>
        <v>지급수수료</v>
      </c>
      <c r="T242" s="172" t="str">
        <f aca="false">IF(OR(S242="",S242=0,LEFT(S242,5)="(원본오류"),"",IF(S242=H242,"","매핑차이"))</f>
        <v/>
      </c>
    </row>
    <row r="243" customFormat="false" ht="16.5" hidden="false" customHeight="false" outlineLevel="0" collapsed="false">
      <c r="D243" s="186" t="s">
        <v>964</v>
      </c>
      <c r="E243" s="187" t="s">
        <v>965</v>
      </c>
      <c r="F243" s="188" t="s">
        <v>791</v>
      </c>
      <c r="G243" s="189" t="s">
        <v>862</v>
      </c>
      <c r="H243" s="190" t="s">
        <v>344</v>
      </c>
      <c r="I243" s="191" t="s">
        <v>965</v>
      </c>
      <c r="J243" s="192" t="n">
        <f aca="false">IFERROR(VLOOKUP(VALUE($D243),BSPL2026!$B:$Z,25,FALSE()),0)</f>
        <v>247604987</v>
      </c>
      <c r="K243" s="193"/>
      <c r="L243" s="194"/>
      <c r="M243" s="192" t="n">
        <f aca="false">J243+K243-L243</f>
        <v>247604987</v>
      </c>
      <c r="N243" s="193" t="n">
        <f aca="false">SUMIF('statutory adj_2026 조정분개'!$S:$S,$D243,'statutory adj_2026 조정분개'!$K:$K)</f>
        <v>0</v>
      </c>
      <c r="O243" s="194" t="n">
        <f aca="false">SUMIF('statutory adj_2026 조정분개'!$S:$S,$D243,'statutory adj_2026 조정분개'!$L:$L)</f>
        <v>0</v>
      </c>
      <c r="P243" s="192" t="n">
        <f aca="false">M243+N243-O243</f>
        <v>247604987</v>
      </c>
      <c r="Q243" s="195" t="n">
        <f aca="false">IFERROR(VLOOKUP(VALUE($D243),BSPL2026!$B:$Q,16,FALSE()),0)</f>
        <v>1181290912</v>
      </c>
      <c r="R243" s="196" t="s">
        <v>449</v>
      </c>
      <c r="S243" s="172" t="str">
        <f aca="false">IFERROR(VLOOKUP(VALUE($D243),BSPL2026!$B:$M,12,FALSE()),"")</f>
        <v>지급수수료</v>
      </c>
      <c r="T243" s="172" t="str">
        <f aca="false">IF(OR(S243="",S243=0,LEFT(S243,5)="(원본오류"),"",IF(S243=H243,"","매핑차이"))</f>
        <v/>
      </c>
    </row>
    <row r="244" customFormat="false" ht="16.5" hidden="false" customHeight="false" outlineLevel="0" collapsed="false">
      <c r="D244" s="186" t="s">
        <v>966</v>
      </c>
      <c r="E244" s="187" t="s">
        <v>967</v>
      </c>
      <c r="F244" s="188" t="s">
        <v>791</v>
      </c>
      <c r="G244" s="189" t="s">
        <v>862</v>
      </c>
      <c r="H244" s="190" t="s">
        <v>344</v>
      </c>
      <c r="I244" s="191" t="s">
        <v>967</v>
      </c>
      <c r="J244" s="192" t="n">
        <f aca="false">IFERROR(VLOOKUP(VALUE($D244),BSPL2026!$B:$Z,25,FALSE()),0)</f>
        <v>25221186</v>
      </c>
      <c r="K244" s="193"/>
      <c r="L244" s="194"/>
      <c r="M244" s="192" t="n">
        <f aca="false">J244+K244-L244</f>
        <v>25221186</v>
      </c>
      <c r="N244" s="193" t="n">
        <f aca="false">SUMIF('statutory adj_2026 조정분개'!$S:$S,$D244,'statutory adj_2026 조정분개'!$K:$K)</f>
        <v>0</v>
      </c>
      <c r="O244" s="194" t="n">
        <f aca="false">SUMIF('statutory adj_2026 조정분개'!$S:$S,$D244,'statutory adj_2026 조정분개'!$L:$L)</f>
        <v>0</v>
      </c>
      <c r="P244" s="192" t="n">
        <f aca="false">M244+N244-O244</f>
        <v>25221186</v>
      </c>
      <c r="Q244" s="195" t="n">
        <f aca="false">IFERROR(VLOOKUP(VALUE($D244),BSPL2026!$B:$Q,16,FALSE()),0)</f>
        <v>115116809</v>
      </c>
      <c r="R244" s="196" t="s">
        <v>449</v>
      </c>
      <c r="S244" s="172" t="str">
        <f aca="false">IFERROR(VLOOKUP(VALUE($D244),BSPL2026!$B:$M,12,FALSE()),"")</f>
        <v>지급수수료</v>
      </c>
      <c r="T244" s="172" t="str">
        <f aca="false">IF(OR(S244="",S244=0,LEFT(S244,5)="(원본오류"),"",IF(S244=H244,"","매핑차이"))</f>
        <v/>
      </c>
    </row>
    <row r="245" customFormat="false" ht="16.5" hidden="false" customHeight="false" outlineLevel="0" collapsed="false">
      <c r="D245" s="186" t="s">
        <v>968</v>
      </c>
      <c r="E245" s="187" t="s">
        <v>969</v>
      </c>
      <c r="F245" s="188" t="s">
        <v>791</v>
      </c>
      <c r="G245" s="189" t="s">
        <v>862</v>
      </c>
      <c r="H245" s="190" t="s">
        <v>344</v>
      </c>
      <c r="I245" s="191" t="s">
        <v>969</v>
      </c>
      <c r="J245" s="192" t="n">
        <f aca="false">IFERROR(VLOOKUP(VALUE($D245),BSPL2026!$B:$Z,25,FALSE()),0)</f>
        <v>543554392</v>
      </c>
      <c r="K245" s="193"/>
      <c r="L245" s="194"/>
      <c r="M245" s="192" t="n">
        <f aca="false">J245+K245-L245</f>
        <v>543554392</v>
      </c>
      <c r="N245" s="193" t="n">
        <f aca="false">SUMIF('statutory adj_2026 조정분개'!$S:$S,$D245,'statutory adj_2026 조정분개'!$K:$K)</f>
        <v>0</v>
      </c>
      <c r="O245" s="194" t="n">
        <f aca="false">SUMIF('statutory adj_2026 조정분개'!$S:$S,$D245,'statutory adj_2026 조정분개'!$L:$L)</f>
        <v>0</v>
      </c>
      <c r="P245" s="192" t="n">
        <f aca="false">M245+N245-O245</f>
        <v>543554392</v>
      </c>
      <c r="Q245" s="195" t="n">
        <f aca="false">IFERROR(VLOOKUP(VALUE($D245),BSPL2026!$B:$Q,16,FALSE()),0)</f>
        <v>858696709</v>
      </c>
      <c r="R245" s="196" t="s">
        <v>449</v>
      </c>
      <c r="S245" s="172" t="str">
        <f aca="false">IFERROR(VLOOKUP(VALUE($D245),BSPL2026!$B:$M,12,FALSE()),"")</f>
        <v>지급수수료</v>
      </c>
      <c r="T245" s="172" t="str">
        <f aca="false">IF(OR(S245="",S245=0,LEFT(S245,5)="(원본오류"),"",IF(S245=H245,"","매핑차이"))</f>
        <v/>
      </c>
    </row>
    <row r="246" customFormat="false" ht="16.5" hidden="false" customHeight="false" outlineLevel="0" collapsed="false">
      <c r="D246" s="186" t="s">
        <v>970</v>
      </c>
      <c r="E246" s="187" t="s">
        <v>971</v>
      </c>
      <c r="F246" s="188" t="s">
        <v>791</v>
      </c>
      <c r="G246" s="189" t="s">
        <v>862</v>
      </c>
      <c r="H246" s="190" t="s">
        <v>344</v>
      </c>
      <c r="I246" s="191" t="s">
        <v>971</v>
      </c>
      <c r="J246" s="192" t="n">
        <f aca="false">IFERROR(VLOOKUP(VALUE($D246),BSPL2026!$B:$Z,25,FALSE()),0)</f>
        <v>8165000</v>
      </c>
      <c r="K246" s="193"/>
      <c r="L246" s="194"/>
      <c r="M246" s="192" t="n">
        <f aca="false">J246+K246-L246</f>
        <v>8165000</v>
      </c>
      <c r="N246" s="193" t="n">
        <f aca="false">SUMIF('statutory adj_2026 조정분개'!$S:$S,$D246,'statutory adj_2026 조정분개'!$K:$K)</f>
        <v>0</v>
      </c>
      <c r="O246" s="194" t="n">
        <f aca="false">SUMIF('statutory adj_2026 조정분개'!$S:$S,$D246,'statutory adj_2026 조정분개'!$L:$L)</f>
        <v>0</v>
      </c>
      <c r="P246" s="192" t="n">
        <f aca="false">M246+N246-O246</f>
        <v>8165000</v>
      </c>
      <c r="Q246" s="195" t="n">
        <f aca="false">IFERROR(VLOOKUP(VALUE($D246),BSPL2026!$B:$Q,16,FALSE()),0)</f>
        <v>4740000</v>
      </c>
      <c r="R246" s="196" t="s">
        <v>449</v>
      </c>
      <c r="S246" s="172" t="str">
        <f aca="false">IFERROR(VLOOKUP(VALUE($D246),BSPL2026!$B:$M,12,FALSE()),"")</f>
        <v>지급수수료</v>
      </c>
      <c r="T246" s="172" t="str">
        <f aca="false">IF(OR(S246="",S246=0,LEFT(S246,5)="(원본오류"),"",IF(S246=H246,"","매핑차이"))</f>
        <v/>
      </c>
    </row>
    <row r="247" customFormat="false" ht="16.5" hidden="false" customHeight="false" outlineLevel="0" collapsed="false">
      <c r="D247" s="186" t="s">
        <v>972</v>
      </c>
      <c r="E247" s="187" t="s">
        <v>973</v>
      </c>
      <c r="F247" s="188" t="s">
        <v>791</v>
      </c>
      <c r="G247" s="189" t="s">
        <v>862</v>
      </c>
      <c r="H247" s="190" t="s">
        <v>315</v>
      </c>
      <c r="I247" s="191" t="s">
        <v>973</v>
      </c>
      <c r="J247" s="192" t="n">
        <f aca="false">IFERROR(VLOOKUP(VALUE($D247),BSPL2026!$B:$Z,25,FALSE()),0)</f>
        <v>103422332</v>
      </c>
      <c r="K247" s="193"/>
      <c r="L247" s="194"/>
      <c r="M247" s="192" t="n">
        <f aca="false">J247+K247-L247</f>
        <v>103422332</v>
      </c>
      <c r="N247" s="193" t="n">
        <f aca="false">SUMIF('statutory adj_2026 조정분개'!$S:$S,$D247,'statutory adj_2026 조정분개'!$K:$K)</f>
        <v>0</v>
      </c>
      <c r="O247" s="194" t="n">
        <f aca="false">SUMIF('statutory adj_2026 조정분개'!$S:$S,$D247,'statutory adj_2026 조정분개'!$L:$L)</f>
        <v>0</v>
      </c>
      <c r="P247" s="192" t="n">
        <f aca="false">M247+N247-O247</f>
        <v>103422332</v>
      </c>
      <c r="Q247" s="195" t="n">
        <f aca="false">IFERROR(VLOOKUP(VALUE($D247),BSPL2026!$B:$Q,16,FALSE()),0)</f>
        <v>101073465</v>
      </c>
      <c r="R247" s="196" t="s">
        <v>449</v>
      </c>
      <c r="S247" s="172" t="str">
        <f aca="false">IFERROR(VLOOKUP(VALUE($D247),BSPL2026!$B:$M,12,FALSE()),"")</f>
        <v>광고선전비</v>
      </c>
      <c r="T247" s="172" t="str">
        <f aca="false">IF(OR(S247="",S247=0,LEFT(S247,5)="(원본오류"),"",IF(S247=H247,"","매핑차이"))</f>
        <v/>
      </c>
    </row>
    <row r="248" customFormat="false" ht="16.5" hidden="false" customHeight="false" outlineLevel="0" collapsed="false">
      <c r="D248" s="186" t="s">
        <v>974</v>
      </c>
      <c r="E248" s="187" t="s">
        <v>975</v>
      </c>
      <c r="F248" s="188" t="s">
        <v>791</v>
      </c>
      <c r="G248" s="189" t="s">
        <v>862</v>
      </c>
      <c r="H248" s="190" t="s">
        <v>315</v>
      </c>
      <c r="I248" s="191" t="s">
        <v>975</v>
      </c>
      <c r="J248" s="192" t="n">
        <f aca="false">IFERROR(VLOOKUP(VALUE($D248),BSPL2026!$B:$Z,25,FALSE()),0)</f>
        <v>835585092</v>
      </c>
      <c r="K248" s="193"/>
      <c r="L248" s="194"/>
      <c r="M248" s="192" t="n">
        <f aca="false">J248+K248-L248</f>
        <v>835585092</v>
      </c>
      <c r="N248" s="193" t="n">
        <f aca="false">SUMIF('statutory adj_2026 조정분개'!$S:$S,$D248,'statutory adj_2026 조정분개'!$K:$K)</f>
        <v>0</v>
      </c>
      <c r="O248" s="194" t="n">
        <f aca="false">SUMIF('statutory adj_2026 조정분개'!$S:$S,$D248,'statutory adj_2026 조정분개'!$L:$L)</f>
        <v>0</v>
      </c>
      <c r="P248" s="192" t="n">
        <f aca="false">M248+N248-O248</f>
        <v>835585092</v>
      </c>
      <c r="Q248" s="195" t="n">
        <f aca="false">IFERROR(VLOOKUP(VALUE($D248),BSPL2026!$B:$Q,16,FALSE()),0)</f>
        <v>1146378033</v>
      </c>
      <c r="R248" s="196" t="s">
        <v>449</v>
      </c>
      <c r="S248" s="172" t="str">
        <f aca="false">IFERROR(VLOOKUP(VALUE($D248),BSPL2026!$B:$M,12,FALSE()),"")</f>
        <v>광고선전비</v>
      </c>
      <c r="T248" s="172" t="str">
        <f aca="false">IF(OR(S248="",S248=0,LEFT(S248,5)="(원본오류"),"",IF(S248=H248,"","매핑차이"))</f>
        <v/>
      </c>
    </row>
    <row r="249" customFormat="false" ht="16.5" hidden="false" customHeight="false" outlineLevel="0" collapsed="false">
      <c r="D249" s="186" t="s">
        <v>976</v>
      </c>
      <c r="E249" s="187" t="s">
        <v>977</v>
      </c>
      <c r="F249" s="188" t="s">
        <v>791</v>
      </c>
      <c r="G249" s="189" t="s">
        <v>862</v>
      </c>
      <c r="H249" s="190" t="s">
        <v>315</v>
      </c>
      <c r="I249" s="191" t="s">
        <v>977</v>
      </c>
      <c r="J249" s="192" t="n">
        <f aca="false">IFERROR(VLOOKUP(VALUE($D249),BSPL2026!$B:$Z,25,FALSE()),0)</f>
        <v>0</v>
      </c>
      <c r="K249" s="193"/>
      <c r="L249" s="194"/>
      <c r="M249" s="192" t="n">
        <f aca="false">J249+K249-L249</f>
        <v>0</v>
      </c>
      <c r="N249" s="193" t="n">
        <f aca="false">SUMIF('statutory adj_2026 조정분개'!$S:$S,$D249,'statutory adj_2026 조정분개'!$K:$K)</f>
        <v>0</v>
      </c>
      <c r="O249" s="194" t="n">
        <f aca="false">SUMIF('statutory adj_2026 조정분개'!$S:$S,$D249,'statutory adj_2026 조정분개'!$L:$L)</f>
        <v>0</v>
      </c>
      <c r="P249" s="192" t="n">
        <f aca="false">M249+N249-O249</f>
        <v>0</v>
      </c>
      <c r="Q249" s="195" t="n">
        <f aca="false">IFERROR(VLOOKUP(VALUE($D249),BSPL2026!$B:$Q,16,FALSE()),0)</f>
        <v>-266854</v>
      </c>
      <c r="R249" s="196" t="s">
        <v>449</v>
      </c>
      <c r="S249" s="172" t="str">
        <f aca="false">IFERROR(VLOOKUP(VALUE($D249),BSPL2026!$B:$M,12,FALSE()),"")</f>
        <v>광고선전비</v>
      </c>
      <c r="T249" s="172" t="str">
        <f aca="false">IF(OR(S249="",S249=0,LEFT(S249,5)="(원본오류"),"",IF(S249=H249,"","매핑차이"))</f>
        <v/>
      </c>
    </row>
    <row r="250" customFormat="false" ht="16.5" hidden="false" customHeight="false" outlineLevel="0" collapsed="false">
      <c r="D250" s="186" t="s">
        <v>978</v>
      </c>
      <c r="E250" s="187" t="s">
        <v>979</v>
      </c>
      <c r="F250" s="188" t="s">
        <v>791</v>
      </c>
      <c r="G250" s="189" t="s">
        <v>862</v>
      </c>
      <c r="H250" s="190" t="s">
        <v>315</v>
      </c>
      <c r="I250" s="191" t="s">
        <v>979</v>
      </c>
      <c r="J250" s="192" t="n">
        <f aca="false">IFERROR(VLOOKUP(VALUE($D250),BSPL2026!$B:$Z,25,FALSE()),0)</f>
        <v>1152026115</v>
      </c>
      <c r="K250" s="193"/>
      <c r="L250" s="194"/>
      <c r="M250" s="192" t="n">
        <f aca="false">J250+K250-L250</f>
        <v>1152026115</v>
      </c>
      <c r="N250" s="193" t="n">
        <f aca="false">SUMIF('statutory adj_2026 조정분개'!$S:$S,$D250,'statutory adj_2026 조정분개'!$K:$K)</f>
        <v>0</v>
      </c>
      <c r="O250" s="194" t="n">
        <f aca="false">SUMIF('statutory adj_2026 조정분개'!$S:$S,$D250,'statutory adj_2026 조정분개'!$L:$L)</f>
        <v>0</v>
      </c>
      <c r="P250" s="192" t="n">
        <f aca="false">M250+N250-O250</f>
        <v>1152026115</v>
      </c>
      <c r="Q250" s="195" t="n">
        <f aca="false">IFERROR(VLOOKUP(VALUE($D250),BSPL2026!$B:$Q,16,FALSE()),0)</f>
        <v>1617944637</v>
      </c>
      <c r="R250" s="196" t="s">
        <v>449</v>
      </c>
      <c r="S250" s="172" t="str">
        <f aca="false">IFERROR(VLOOKUP(VALUE($D250),BSPL2026!$B:$M,12,FALSE()),"")</f>
        <v>광고선전비</v>
      </c>
      <c r="T250" s="172" t="str">
        <f aca="false">IF(OR(S250="",S250=0,LEFT(S250,5)="(원본오류"),"",IF(S250=H250,"","매핑차이"))</f>
        <v/>
      </c>
    </row>
    <row r="251" customFormat="false" ht="16.5" hidden="false" customHeight="false" outlineLevel="0" collapsed="false">
      <c r="D251" s="186" t="s">
        <v>980</v>
      </c>
      <c r="E251" s="187" t="s">
        <v>981</v>
      </c>
      <c r="F251" s="188" t="s">
        <v>791</v>
      </c>
      <c r="G251" s="189" t="s">
        <v>862</v>
      </c>
      <c r="H251" s="190" t="s">
        <v>315</v>
      </c>
      <c r="I251" s="191" t="s">
        <v>981</v>
      </c>
      <c r="J251" s="192" t="n">
        <f aca="false">IFERROR(VLOOKUP(VALUE($D251),BSPL2026!$B:$Z,25,FALSE()),0)</f>
        <v>2245127049</v>
      </c>
      <c r="K251" s="193"/>
      <c r="L251" s="194"/>
      <c r="M251" s="192" t="n">
        <f aca="false">J251+K251-L251</f>
        <v>2245127049</v>
      </c>
      <c r="N251" s="193" t="n">
        <f aca="false">SUMIF('statutory adj_2026 조정분개'!$S:$S,$D251,'statutory adj_2026 조정분개'!$K:$K)</f>
        <v>0</v>
      </c>
      <c r="O251" s="194" t="n">
        <f aca="false">SUMIF('statutory adj_2026 조정분개'!$S:$S,$D251,'statutory adj_2026 조정분개'!$L:$L)</f>
        <v>0</v>
      </c>
      <c r="P251" s="192" t="n">
        <f aca="false">M251+N251-O251</f>
        <v>2245127049</v>
      </c>
      <c r="Q251" s="195" t="n">
        <f aca="false">IFERROR(VLOOKUP(VALUE($D251),BSPL2026!$B:$Q,16,FALSE()),0)</f>
        <v>4235790455</v>
      </c>
      <c r="R251" s="196" t="s">
        <v>449</v>
      </c>
      <c r="S251" s="172" t="str">
        <f aca="false">IFERROR(VLOOKUP(VALUE($D251),BSPL2026!$B:$M,12,FALSE()),"")</f>
        <v>광고선전비</v>
      </c>
      <c r="T251" s="172" t="str">
        <f aca="false">IF(OR(S251="",S251=0,LEFT(S251,5)="(원본오류"),"",IF(S251=H251,"","매핑차이"))</f>
        <v/>
      </c>
    </row>
    <row r="252" customFormat="false" ht="16.5" hidden="false" customHeight="false" outlineLevel="0" collapsed="false">
      <c r="D252" s="186" t="s">
        <v>982</v>
      </c>
      <c r="E252" s="187" t="s">
        <v>983</v>
      </c>
      <c r="F252" s="188" t="s">
        <v>791</v>
      </c>
      <c r="G252" s="189" t="s">
        <v>862</v>
      </c>
      <c r="H252" s="190" t="s">
        <v>315</v>
      </c>
      <c r="I252" s="191" t="s">
        <v>983</v>
      </c>
      <c r="J252" s="192" t="n">
        <f aca="false">IFERROR(VLOOKUP(VALUE($D252),BSPL2026!$B:$Z,25,FALSE()),0)</f>
        <v>574412708</v>
      </c>
      <c r="K252" s="193"/>
      <c r="L252" s="194"/>
      <c r="M252" s="192" t="n">
        <f aca="false">J252+K252-L252</f>
        <v>574412708</v>
      </c>
      <c r="N252" s="193" t="n">
        <f aca="false">SUMIF('statutory adj_2026 조정분개'!$S:$S,$D252,'statutory adj_2026 조정분개'!$K:$K)</f>
        <v>0</v>
      </c>
      <c r="O252" s="194" t="n">
        <f aca="false">SUMIF('statutory adj_2026 조정분개'!$S:$S,$D252,'statutory adj_2026 조정분개'!$L:$L)</f>
        <v>0</v>
      </c>
      <c r="P252" s="192" t="n">
        <f aca="false">M252+N252-O252</f>
        <v>574412708</v>
      </c>
      <c r="Q252" s="195" t="n">
        <f aca="false">IFERROR(VLOOKUP(VALUE($D252),BSPL2026!$B:$Q,16,FALSE()),0)</f>
        <v>684330614</v>
      </c>
      <c r="R252" s="196" t="s">
        <v>449</v>
      </c>
      <c r="S252" s="172" t="str">
        <f aca="false">IFERROR(VLOOKUP(VALUE($D252),BSPL2026!$B:$M,12,FALSE()),"")</f>
        <v>광고선전비</v>
      </c>
      <c r="T252" s="172" t="str">
        <f aca="false">IF(OR(S252="",S252=0,LEFT(S252,5)="(원본오류"),"",IF(S252=H252,"","매핑차이"))</f>
        <v/>
      </c>
    </row>
    <row r="253" customFormat="false" ht="16.5" hidden="false" customHeight="false" outlineLevel="0" collapsed="false">
      <c r="D253" s="186" t="s">
        <v>984</v>
      </c>
      <c r="E253" s="187" t="s">
        <v>985</v>
      </c>
      <c r="F253" s="188" t="s">
        <v>791</v>
      </c>
      <c r="G253" s="189" t="s">
        <v>862</v>
      </c>
      <c r="H253" s="190" t="s">
        <v>344</v>
      </c>
      <c r="I253" s="191" t="s">
        <v>985</v>
      </c>
      <c r="J253" s="192" t="n">
        <f aca="false">IFERROR(VLOOKUP(VALUE($D253),BSPL2026!$B:$Z,25,FALSE()),0)</f>
        <v>0</v>
      </c>
      <c r="K253" s="193"/>
      <c r="L253" s="194"/>
      <c r="M253" s="192" t="n">
        <f aca="false">J253+K253-L253</f>
        <v>0</v>
      </c>
      <c r="N253" s="193" t="n">
        <f aca="false">SUMIF('statutory adj_2026 조정분개'!$S:$S,$D253,'statutory adj_2026 조정분개'!$K:$K)</f>
        <v>0</v>
      </c>
      <c r="O253" s="194" t="n">
        <f aca="false">SUMIF('statutory adj_2026 조정분개'!$S:$S,$D253,'statutory adj_2026 조정분개'!$L:$L)</f>
        <v>0</v>
      </c>
      <c r="P253" s="192" t="n">
        <f aca="false">M253+N253-O253</f>
        <v>0</v>
      </c>
      <c r="Q253" s="195" t="n">
        <f aca="false">IFERROR(VLOOKUP(VALUE($D253),BSPL2026!$B:$Q,16,FALSE()),0)</f>
        <v>4000000</v>
      </c>
      <c r="R253" s="196" t="s">
        <v>449</v>
      </c>
      <c r="S253" s="172" t="str">
        <f aca="false">IFERROR(VLOOKUP(VALUE($D253),BSPL2026!$B:$M,12,FALSE()),"")</f>
        <v>지급수수료</v>
      </c>
      <c r="T253" s="172" t="str">
        <f aca="false">IF(OR(S253="",S253=0,LEFT(S253,5)="(원본오류"),"",IF(S253=H253,"","매핑차이"))</f>
        <v/>
      </c>
    </row>
    <row r="254" customFormat="false" ht="16.5" hidden="false" customHeight="false" outlineLevel="0" collapsed="false">
      <c r="D254" s="186" t="s">
        <v>986</v>
      </c>
      <c r="E254" s="187" t="s">
        <v>987</v>
      </c>
      <c r="F254" s="188" t="s">
        <v>791</v>
      </c>
      <c r="G254" s="189" t="s">
        <v>862</v>
      </c>
      <c r="H254" s="190" t="s">
        <v>315</v>
      </c>
      <c r="I254" s="191" t="s">
        <v>987</v>
      </c>
      <c r="J254" s="192" t="n">
        <f aca="false">IFERROR(VLOOKUP(VALUE($D254),BSPL2026!$B:$Z,25,FALSE()),0)</f>
        <v>0</v>
      </c>
      <c r="K254" s="193"/>
      <c r="L254" s="194"/>
      <c r="M254" s="192" t="n">
        <f aca="false">J254+K254-L254</f>
        <v>0</v>
      </c>
      <c r="N254" s="193" t="n">
        <f aca="false">SUMIF('statutory adj_2026 조정분개'!$S:$S,$D254,'statutory adj_2026 조정분개'!$K:$K)</f>
        <v>0</v>
      </c>
      <c r="O254" s="194" t="n">
        <f aca="false">SUMIF('statutory adj_2026 조정분개'!$S:$S,$D254,'statutory adj_2026 조정분개'!$L:$L)</f>
        <v>0</v>
      </c>
      <c r="P254" s="192" t="n">
        <f aca="false">M254+N254-O254</f>
        <v>0</v>
      </c>
      <c r="Q254" s="195" t="n">
        <f aca="false">IFERROR(VLOOKUP(VALUE($D254),BSPL2026!$B:$Q,16,FALSE()),0)</f>
        <v>-43933200</v>
      </c>
      <c r="R254" s="196" t="s">
        <v>449</v>
      </c>
      <c r="S254" s="172" t="str">
        <f aca="false">IFERROR(VLOOKUP(VALUE($D254),BSPL2026!$B:$M,12,FALSE()),"")</f>
        <v>광고선전비</v>
      </c>
      <c r="T254" s="172" t="str">
        <f aca="false">IF(OR(S254="",S254=0,LEFT(S254,5)="(원본오류"),"",IF(S254=H254,"","매핑차이"))</f>
        <v/>
      </c>
    </row>
    <row r="255" customFormat="false" ht="16.5" hidden="false" customHeight="false" outlineLevel="0" collapsed="false">
      <c r="D255" s="186" t="s">
        <v>988</v>
      </c>
      <c r="E255" s="187" t="s">
        <v>989</v>
      </c>
      <c r="F255" s="188" t="s">
        <v>791</v>
      </c>
      <c r="G255" s="189" t="s">
        <v>862</v>
      </c>
      <c r="H255" s="190" t="s">
        <v>346</v>
      </c>
      <c r="I255" s="191" t="s">
        <v>989</v>
      </c>
      <c r="J255" s="192" t="n">
        <f aca="false">IFERROR(VLOOKUP(VALUE($D255),BSPL2026!$B:$Z,25,FALSE()),0)</f>
        <v>296221488</v>
      </c>
      <c r="K255" s="193"/>
      <c r="L255" s="194"/>
      <c r="M255" s="192" t="n">
        <f aca="false">J255+K255-L255</f>
        <v>296221488</v>
      </c>
      <c r="N255" s="193" t="n">
        <f aca="false">SUMIF('statutory adj_2026 조정분개'!$S:$S,$D255,'statutory adj_2026 조정분개'!$K:$K)</f>
        <v>0</v>
      </c>
      <c r="O255" s="194" t="n">
        <f aca="false">SUMIF('statutory adj_2026 조정분개'!$S:$S,$D255,'statutory adj_2026 조정분개'!$L:$L)</f>
        <v>0</v>
      </c>
      <c r="P255" s="192" t="n">
        <f aca="false">M255+N255-O255</f>
        <v>296221488</v>
      </c>
      <c r="Q255" s="195" t="n">
        <f aca="false">IFERROR(VLOOKUP(VALUE($D255),BSPL2026!$B:$Q,16,FALSE()),0)</f>
        <v>419798628</v>
      </c>
      <c r="R255" s="196" t="s">
        <v>449</v>
      </c>
      <c r="S255" s="172" t="str">
        <f aca="false">IFERROR(VLOOKUP(VALUE($D255),BSPL2026!$B:$M,12,FALSE()),"")</f>
        <v>제세공과</v>
      </c>
      <c r="T255" s="172" t="str">
        <f aca="false">IF(OR(S255="",S255=0,LEFT(S255,5)="(원본오류"),"",IF(S255=H255,"","매핑차이"))</f>
        <v/>
      </c>
    </row>
    <row r="256" customFormat="false" ht="16.5" hidden="false" customHeight="false" outlineLevel="0" collapsed="false">
      <c r="D256" s="186" t="s">
        <v>990</v>
      </c>
      <c r="E256" s="187" t="s">
        <v>991</v>
      </c>
      <c r="F256" s="188" t="s">
        <v>791</v>
      </c>
      <c r="G256" s="189" t="s">
        <v>862</v>
      </c>
      <c r="H256" s="190" t="s">
        <v>344</v>
      </c>
      <c r="I256" s="191" t="s">
        <v>991</v>
      </c>
      <c r="J256" s="192" t="n">
        <f aca="false">IFERROR(VLOOKUP(VALUE($D256),BSPL2026!$B:$Z,25,FALSE()),0)</f>
        <v>454576863</v>
      </c>
      <c r="K256" s="193"/>
      <c r="L256" s="194"/>
      <c r="M256" s="192" t="n">
        <f aca="false">J256+K256-L256</f>
        <v>454576863</v>
      </c>
      <c r="N256" s="193" t="n">
        <f aca="false">SUMIF('statutory adj_2026 조정분개'!$S:$S,$D256,'statutory adj_2026 조정분개'!$K:$K)</f>
        <v>0</v>
      </c>
      <c r="O256" s="194" t="n">
        <f aca="false">SUMIF('statutory adj_2026 조정분개'!$S:$S,$D256,'statutory adj_2026 조정분개'!$L:$L)</f>
        <v>0</v>
      </c>
      <c r="P256" s="192" t="n">
        <f aca="false">M256+N256-O256</f>
        <v>454576863</v>
      </c>
      <c r="Q256" s="195" t="n">
        <f aca="false">IFERROR(VLOOKUP(VALUE($D256),BSPL2026!$B:$Q,16,FALSE()),0)</f>
        <v>732418362</v>
      </c>
      <c r="R256" s="196" t="s">
        <v>449</v>
      </c>
      <c r="S256" s="172" t="str">
        <f aca="false">IFERROR(VLOOKUP(VALUE($D256),BSPL2026!$B:$M,12,FALSE()),"")</f>
        <v>지급수수료</v>
      </c>
      <c r="T256" s="172" t="str">
        <f aca="false">IF(OR(S256="",S256=0,LEFT(S256,5)="(원본오류"),"",IF(S256=H256,"","매핑차이"))</f>
        <v/>
      </c>
    </row>
    <row r="257" customFormat="false" ht="16.5" hidden="false" customHeight="false" outlineLevel="0" collapsed="false">
      <c r="D257" s="186" t="s">
        <v>992</v>
      </c>
      <c r="E257" s="187" t="s">
        <v>993</v>
      </c>
      <c r="F257" s="188" t="s">
        <v>791</v>
      </c>
      <c r="G257" s="189" t="s">
        <v>862</v>
      </c>
      <c r="H257" s="190" t="s">
        <v>315</v>
      </c>
      <c r="I257" s="191" t="s">
        <v>993</v>
      </c>
      <c r="J257" s="192" t="n">
        <f aca="false">IFERROR(VLOOKUP(VALUE($D257),BSPL2026!$B:$Z,25,FALSE()),0)</f>
        <v>1383397148</v>
      </c>
      <c r="K257" s="193"/>
      <c r="L257" s="194"/>
      <c r="M257" s="192" t="n">
        <f aca="false">J257+K257-L257</f>
        <v>1383397148</v>
      </c>
      <c r="N257" s="193" t="n">
        <f aca="false">SUMIF('statutory adj_2026 조정분개'!$S:$S,$D257,'statutory adj_2026 조정분개'!$K:$K)</f>
        <v>0</v>
      </c>
      <c r="O257" s="194" t="n">
        <f aca="false">SUMIF('statutory adj_2026 조정분개'!$S:$S,$D257,'statutory adj_2026 조정분개'!$L:$L)</f>
        <v>0</v>
      </c>
      <c r="P257" s="192" t="n">
        <f aca="false">M257+N257-O257</f>
        <v>1383397148</v>
      </c>
      <c r="Q257" s="195" t="n">
        <f aca="false">IFERROR(VLOOKUP(VALUE($D257),BSPL2026!$B:$Q,16,FALSE()),0)</f>
        <v>2592263449</v>
      </c>
      <c r="R257" s="196" t="s">
        <v>449</v>
      </c>
      <c r="S257" s="172" t="str">
        <f aca="false">IFERROR(VLOOKUP(VALUE($D257),BSPL2026!$B:$M,12,FALSE()),"")</f>
        <v>광고선전비</v>
      </c>
      <c r="T257" s="172" t="str">
        <f aca="false">IF(OR(S257="",S257=0,LEFT(S257,5)="(원본오류"),"",IF(S257=H257,"","매핑차이"))</f>
        <v/>
      </c>
    </row>
    <row r="258" customFormat="false" ht="16.5" hidden="false" customHeight="false" outlineLevel="0" collapsed="false">
      <c r="D258" s="186" t="s">
        <v>994</v>
      </c>
      <c r="E258" s="187" t="s">
        <v>995</v>
      </c>
      <c r="F258" s="188" t="s">
        <v>791</v>
      </c>
      <c r="G258" s="189" t="s">
        <v>862</v>
      </c>
      <c r="H258" s="190" t="s">
        <v>315</v>
      </c>
      <c r="I258" s="191" t="s">
        <v>995</v>
      </c>
      <c r="J258" s="192" t="n">
        <f aca="false">IFERROR(VLOOKUP(VALUE($D258),BSPL2026!$B:$Z,25,FALSE()),0)</f>
        <v>383074589</v>
      </c>
      <c r="K258" s="193"/>
      <c r="L258" s="194"/>
      <c r="M258" s="192" t="n">
        <f aca="false">J258+K258-L258</f>
        <v>383074589</v>
      </c>
      <c r="N258" s="193" t="n">
        <f aca="false">SUMIF('statutory adj_2026 조정분개'!$S:$S,$D258,'statutory adj_2026 조정분개'!$K:$K)</f>
        <v>0</v>
      </c>
      <c r="O258" s="194" t="n">
        <f aca="false">SUMIF('statutory adj_2026 조정분개'!$S:$S,$D258,'statutory adj_2026 조정분개'!$L:$L)</f>
        <v>0</v>
      </c>
      <c r="P258" s="192" t="n">
        <f aca="false">M258+N258-O258</f>
        <v>383074589</v>
      </c>
      <c r="Q258" s="195" t="n">
        <f aca="false">IFERROR(VLOOKUP(VALUE($D258),BSPL2026!$B:$Q,16,FALSE()),0)</f>
        <v>413713160</v>
      </c>
      <c r="R258" s="196" t="s">
        <v>449</v>
      </c>
      <c r="S258" s="172" t="str">
        <f aca="false">IFERROR(VLOOKUP(VALUE($D258),BSPL2026!$B:$M,12,FALSE()),"")</f>
        <v>광고선전비</v>
      </c>
      <c r="T258" s="172" t="str">
        <f aca="false">IF(OR(S258="",S258=0,LEFT(S258,5)="(원본오류"),"",IF(S258=H258,"","매핑차이"))</f>
        <v/>
      </c>
    </row>
    <row r="259" customFormat="false" ht="16.5" hidden="false" customHeight="false" outlineLevel="0" collapsed="false">
      <c r="D259" s="186" t="s">
        <v>996</v>
      </c>
      <c r="E259" s="187" t="s">
        <v>997</v>
      </c>
      <c r="F259" s="188" t="s">
        <v>791</v>
      </c>
      <c r="G259" s="189" t="s">
        <v>862</v>
      </c>
      <c r="H259" s="190" t="s">
        <v>315</v>
      </c>
      <c r="I259" s="191" t="s">
        <v>997</v>
      </c>
      <c r="J259" s="192" t="n">
        <f aca="false">IFERROR(VLOOKUP(VALUE($D259),BSPL2026!$B:$Z,25,FALSE()),0)</f>
        <v>760619973</v>
      </c>
      <c r="K259" s="193"/>
      <c r="L259" s="194"/>
      <c r="M259" s="192" t="n">
        <f aca="false">J259+K259-L259</f>
        <v>760619973</v>
      </c>
      <c r="N259" s="193" t="n">
        <f aca="false">SUMIF('statutory adj_2026 조정분개'!$S:$S,$D259,'statutory adj_2026 조정분개'!$K:$K)</f>
        <v>0</v>
      </c>
      <c r="O259" s="194" t="n">
        <f aca="false">SUMIF('statutory adj_2026 조정분개'!$S:$S,$D259,'statutory adj_2026 조정분개'!$L:$L)</f>
        <v>0</v>
      </c>
      <c r="P259" s="192" t="n">
        <f aca="false">M259+N259-O259</f>
        <v>760619973</v>
      </c>
      <c r="Q259" s="195" t="n">
        <f aca="false">IFERROR(VLOOKUP(VALUE($D259),BSPL2026!$B:$Q,16,FALSE()),0)</f>
        <v>1098853873</v>
      </c>
      <c r="R259" s="196" t="s">
        <v>449</v>
      </c>
      <c r="S259" s="172" t="str">
        <f aca="false">IFERROR(VLOOKUP(VALUE($D259),BSPL2026!$B:$M,12,FALSE()),"")</f>
        <v>광고선전비</v>
      </c>
      <c r="T259" s="172" t="str">
        <f aca="false">IF(OR(S259="",S259=0,LEFT(S259,5)="(원본오류"),"",IF(S259=H259,"","매핑차이"))</f>
        <v/>
      </c>
    </row>
    <row r="260" customFormat="false" ht="16.5" hidden="false" customHeight="false" outlineLevel="0" collapsed="false">
      <c r="D260" s="186" t="s">
        <v>998</v>
      </c>
      <c r="E260" s="187" t="s">
        <v>999</v>
      </c>
      <c r="F260" s="188" t="s">
        <v>791</v>
      </c>
      <c r="G260" s="189" t="s">
        <v>862</v>
      </c>
      <c r="H260" s="190" t="s">
        <v>315</v>
      </c>
      <c r="I260" s="191" t="s">
        <v>999</v>
      </c>
      <c r="J260" s="192" t="n">
        <f aca="false">IFERROR(VLOOKUP(VALUE($D260),BSPL2026!$B:$Z,25,FALSE()),0)</f>
        <v>1187318831</v>
      </c>
      <c r="K260" s="193"/>
      <c r="L260" s="194"/>
      <c r="M260" s="192" t="n">
        <f aca="false">J260+K260-L260</f>
        <v>1187318831</v>
      </c>
      <c r="N260" s="193" t="n">
        <f aca="false">SUMIF('statutory adj_2026 조정분개'!$S:$S,$D260,'statutory adj_2026 조정분개'!$K:$K)</f>
        <v>0</v>
      </c>
      <c r="O260" s="194" t="n">
        <f aca="false">SUMIF('statutory adj_2026 조정분개'!$S:$S,$D260,'statutory adj_2026 조정분개'!$L:$L)</f>
        <v>0</v>
      </c>
      <c r="P260" s="192" t="n">
        <f aca="false">M260+N260-O260</f>
        <v>1187318831</v>
      </c>
      <c r="Q260" s="195" t="n">
        <f aca="false">IFERROR(VLOOKUP(VALUE($D260),BSPL2026!$B:$Q,16,FALSE()),0)</f>
        <v>1913268307</v>
      </c>
      <c r="R260" s="196" t="s">
        <v>449</v>
      </c>
      <c r="S260" s="172" t="str">
        <f aca="false">IFERROR(VLOOKUP(VALUE($D260),BSPL2026!$B:$M,12,FALSE()),"")</f>
        <v>광고선전비</v>
      </c>
      <c r="T260" s="172" t="str">
        <f aca="false">IF(OR(S260="",S260=0,LEFT(S260,5)="(원본오류"),"",IF(S260=H260,"","매핑차이"))</f>
        <v/>
      </c>
    </row>
    <row r="261" customFormat="false" ht="16.5" hidden="false" customHeight="false" outlineLevel="0" collapsed="false">
      <c r="D261" s="186" t="s">
        <v>1000</v>
      </c>
      <c r="E261" s="187" t="s">
        <v>1001</v>
      </c>
      <c r="F261" s="188" t="s">
        <v>791</v>
      </c>
      <c r="G261" s="189" t="s">
        <v>862</v>
      </c>
      <c r="H261" s="190" t="s">
        <v>315</v>
      </c>
      <c r="I261" s="191" t="s">
        <v>1001</v>
      </c>
      <c r="J261" s="192" t="n">
        <f aca="false">IFERROR(VLOOKUP(VALUE($D261),BSPL2026!$B:$Z,25,FALSE()),0)</f>
        <v>0</v>
      </c>
      <c r="K261" s="193"/>
      <c r="L261" s="194"/>
      <c r="M261" s="192" t="n">
        <f aca="false">J261+K261-L261</f>
        <v>0</v>
      </c>
      <c r="N261" s="193" t="n">
        <f aca="false">SUMIF('statutory adj_2026 조정분개'!$S:$S,$D261,'statutory adj_2026 조정분개'!$K:$K)</f>
        <v>0</v>
      </c>
      <c r="O261" s="194" t="n">
        <f aca="false">SUMIF('statutory adj_2026 조정분개'!$S:$S,$D261,'statutory adj_2026 조정분개'!$L:$L)</f>
        <v>0</v>
      </c>
      <c r="P261" s="192" t="n">
        <f aca="false">M261+N261-O261</f>
        <v>0</v>
      </c>
      <c r="Q261" s="195" t="n">
        <f aca="false">IFERROR(VLOOKUP(VALUE($D261),BSPL2026!$B:$Q,16,FALSE()),0)</f>
        <v>0</v>
      </c>
      <c r="R261" s="196" t="s">
        <v>449</v>
      </c>
      <c r="S261" s="172" t="str">
        <f aca="false">IFERROR(VLOOKUP(VALUE($D261),BSPL2026!$B:$M,12,FALSE()),"")</f>
        <v>광고선전비</v>
      </c>
      <c r="T261" s="172" t="str">
        <f aca="false">IF(OR(S261="",S261=0,LEFT(S261,5)="(원본오류"),"",IF(S261=H261,"","매핑차이"))</f>
        <v/>
      </c>
    </row>
    <row r="262" customFormat="false" ht="16.5" hidden="false" customHeight="false" outlineLevel="0" collapsed="false">
      <c r="D262" s="186" t="s">
        <v>1002</v>
      </c>
      <c r="E262" s="187" t="s">
        <v>1003</v>
      </c>
      <c r="F262" s="188" t="s">
        <v>791</v>
      </c>
      <c r="G262" s="189" t="s">
        <v>862</v>
      </c>
      <c r="H262" s="190" t="s">
        <v>355</v>
      </c>
      <c r="I262" s="191" t="s">
        <v>1003</v>
      </c>
      <c r="J262" s="192" t="n">
        <f aca="false">IFERROR(VLOOKUP(VALUE($D262),BSPL2026!$B:$Z,25,FALSE()),0)</f>
        <v>2672791433</v>
      </c>
      <c r="K262" s="193"/>
      <c r="L262" s="194"/>
      <c r="M262" s="192" t="n">
        <f aca="false">J262+K262-L262</f>
        <v>2672791433</v>
      </c>
      <c r="N262" s="193" t="n">
        <f aca="false">SUMIF('statutory adj_2026 조정분개'!$S:$S,$D262,'statutory adj_2026 조정분개'!$K:$K)</f>
        <v>0</v>
      </c>
      <c r="O262" s="194" t="n">
        <f aca="false">SUMIF('statutory adj_2026 조정분개'!$S:$S,$D262,'statutory adj_2026 조정분개'!$L:$L)</f>
        <v>0</v>
      </c>
      <c r="P262" s="192" t="n">
        <f aca="false">M262+N262-O262</f>
        <v>2672791433</v>
      </c>
      <c r="Q262" s="195" t="n">
        <f aca="false">IFERROR(VLOOKUP(VALUE($D262),BSPL2026!$B:$Q,16,FALSE()),0)</f>
        <v>3899617646</v>
      </c>
      <c r="R262" s="196" t="s">
        <v>449</v>
      </c>
      <c r="S262" s="172" t="str">
        <f aca="false">IFERROR(VLOOKUP(VALUE($D262),BSPL2026!$B:$M,12,FALSE()),"")</f>
        <v>임상증례조사비</v>
      </c>
      <c r="T262" s="172" t="str">
        <f aca="false">IF(OR(S262="",S262=0,LEFT(S262,5)="(원본오류"),"",IF(S262=H262,"","매핑차이"))</f>
        <v/>
      </c>
    </row>
    <row r="263" customFormat="false" ht="16.5" hidden="false" customHeight="false" outlineLevel="0" collapsed="false">
      <c r="D263" s="186" t="s">
        <v>1004</v>
      </c>
      <c r="E263" s="187" t="s">
        <v>1005</v>
      </c>
      <c r="F263" s="188" t="s">
        <v>791</v>
      </c>
      <c r="G263" s="189" t="s">
        <v>862</v>
      </c>
      <c r="H263" s="190" t="s">
        <v>315</v>
      </c>
      <c r="I263" s="191" t="s">
        <v>1005</v>
      </c>
      <c r="J263" s="192" t="n">
        <f aca="false">IFERROR(VLOOKUP(VALUE($D263),BSPL2026!$B:$Z,25,FALSE()),0)</f>
        <v>2311855062</v>
      </c>
      <c r="K263" s="193"/>
      <c r="L263" s="194"/>
      <c r="M263" s="192" t="n">
        <f aca="false">J263+K263-L263</f>
        <v>2311855062</v>
      </c>
      <c r="N263" s="193" t="n">
        <f aca="false">SUMIF('statutory adj_2026 조정분개'!$S:$S,$D263,'statutory adj_2026 조정분개'!$K:$K)</f>
        <v>0</v>
      </c>
      <c r="O263" s="194" t="n">
        <f aca="false">SUMIF('statutory adj_2026 조정분개'!$S:$S,$D263,'statutory adj_2026 조정분개'!$L:$L)</f>
        <v>0</v>
      </c>
      <c r="P263" s="192" t="n">
        <f aca="false">M263+N263-O263</f>
        <v>2311855062</v>
      </c>
      <c r="Q263" s="195" t="n">
        <f aca="false">IFERROR(VLOOKUP(VALUE($D263),BSPL2026!$B:$Q,16,FALSE()),0)</f>
        <v>3433479830</v>
      </c>
      <c r="R263" s="196" t="s">
        <v>449</v>
      </c>
      <c r="S263" s="172" t="str">
        <f aca="false">IFERROR(VLOOKUP(VALUE($D263),BSPL2026!$B:$M,12,FALSE()),"")</f>
        <v>광고선전비</v>
      </c>
      <c r="T263" s="172" t="str">
        <f aca="false">IF(OR(S263="",S263=0,LEFT(S263,5)="(원본오류"),"",IF(S263=H263,"","매핑차이"))</f>
        <v/>
      </c>
    </row>
    <row r="264" customFormat="false" ht="16.5" hidden="false" customHeight="false" outlineLevel="0" collapsed="false">
      <c r="D264" s="186" t="s">
        <v>1006</v>
      </c>
      <c r="E264" s="187" t="s">
        <v>1007</v>
      </c>
      <c r="F264" s="188" t="s">
        <v>791</v>
      </c>
      <c r="G264" s="189" t="s">
        <v>862</v>
      </c>
      <c r="H264" s="190" t="s">
        <v>355</v>
      </c>
      <c r="I264" s="191" t="s">
        <v>1007</v>
      </c>
      <c r="J264" s="192" t="n">
        <f aca="false">IFERROR(VLOOKUP(VALUE($D264),BSPL2026!$B:$Z,25,FALSE()),0)</f>
        <v>3336401089</v>
      </c>
      <c r="K264" s="193"/>
      <c r="L264" s="194"/>
      <c r="M264" s="192" t="n">
        <f aca="false">J264+K264-L264</f>
        <v>3336401089</v>
      </c>
      <c r="N264" s="193" t="n">
        <f aca="false">SUMIF('statutory adj_2026 조정분개'!$S:$S,$D264,'statutory adj_2026 조정분개'!$K:$K)</f>
        <v>0</v>
      </c>
      <c r="O264" s="194" t="n">
        <f aca="false">SUMIF('statutory adj_2026 조정분개'!$S:$S,$D264,'statutory adj_2026 조정분개'!$L:$L)</f>
        <v>0</v>
      </c>
      <c r="P264" s="192" t="n">
        <f aca="false">M264+N264-O264</f>
        <v>3336401089</v>
      </c>
      <c r="Q264" s="195" t="n">
        <f aca="false">IFERROR(VLOOKUP(VALUE($D264),BSPL2026!$B:$Q,16,FALSE()),0)</f>
        <v>5337493600</v>
      </c>
      <c r="R264" s="196" t="s">
        <v>449</v>
      </c>
      <c r="S264" s="172" t="str">
        <f aca="false">IFERROR(VLOOKUP(VALUE($D264),BSPL2026!$B:$M,12,FALSE()),"")</f>
        <v>임상증례조사비</v>
      </c>
      <c r="T264" s="172" t="str">
        <f aca="false">IF(OR(S264="",S264=0,LEFT(S264,5)="(원본오류"),"",IF(S264=H264,"","매핑차이"))</f>
        <v/>
      </c>
    </row>
    <row r="265" customFormat="false" ht="16.5" hidden="false" customHeight="false" outlineLevel="0" collapsed="false">
      <c r="D265" s="186" t="s">
        <v>1008</v>
      </c>
      <c r="E265" s="187" t="s">
        <v>1009</v>
      </c>
      <c r="F265" s="188" t="s">
        <v>791</v>
      </c>
      <c r="G265" s="189" t="s">
        <v>862</v>
      </c>
      <c r="H265" s="190" t="s">
        <v>344</v>
      </c>
      <c r="I265" s="191" t="s">
        <v>1009</v>
      </c>
      <c r="J265" s="192" t="n">
        <f aca="false">IFERROR(VLOOKUP(VALUE($D265),BSPL2026!$B:$Z,25,FALSE()),0)</f>
        <v>0</v>
      </c>
      <c r="K265" s="193"/>
      <c r="L265" s="194"/>
      <c r="M265" s="192" t="n">
        <f aca="false">J265+K265-L265</f>
        <v>0</v>
      </c>
      <c r="N265" s="193" t="n">
        <f aca="false">SUMIF('statutory adj_2026 조정분개'!$S:$S,$D265,'statutory adj_2026 조정분개'!$K:$K)</f>
        <v>0</v>
      </c>
      <c r="O265" s="194" t="n">
        <f aca="false">SUMIF('statutory adj_2026 조정분개'!$S:$S,$D265,'statutory adj_2026 조정분개'!$L:$L)</f>
        <v>0</v>
      </c>
      <c r="P265" s="192" t="n">
        <f aca="false">M265+N265-O265</f>
        <v>0</v>
      </c>
      <c r="Q265" s="195" t="n">
        <f aca="false">IFERROR(VLOOKUP(VALUE($D265),BSPL2026!$B:$Q,16,FALSE()),0)</f>
        <v>34257251</v>
      </c>
      <c r="R265" s="196" t="s">
        <v>449</v>
      </c>
      <c r="S265" s="172" t="str">
        <f aca="false">IFERROR(VLOOKUP(VALUE($D265),BSPL2026!$B:$M,12,FALSE()),"")</f>
        <v>지급수수료</v>
      </c>
      <c r="T265" s="172" t="str">
        <f aca="false">IF(OR(S265="",S265=0,LEFT(S265,5)="(원본오류"),"",IF(S265=H265,"","매핑차이"))</f>
        <v/>
      </c>
    </row>
    <row r="266" customFormat="false" ht="16.5" hidden="false" customHeight="false" outlineLevel="0" collapsed="false">
      <c r="D266" s="186" t="s">
        <v>1010</v>
      </c>
      <c r="E266" s="187" t="s">
        <v>1011</v>
      </c>
      <c r="F266" s="188" t="s">
        <v>791</v>
      </c>
      <c r="G266" s="189" t="s">
        <v>870</v>
      </c>
      <c r="H266" s="190" t="s">
        <v>393</v>
      </c>
      <c r="I266" s="191" t="s">
        <v>1011</v>
      </c>
      <c r="J266" s="192" t="n">
        <f aca="false">IFERROR(VLOOKUP(VALUE($D266),BSPL2026!$B:$Z,25,FALSE()),0)</f>
        <v>75168530</v>
      </c>
      <c r="K266" s="193"/>
      <c r="L266" s="194"/>
      <c r="M266" s="192" t="n">
        <f aca="false">J266+K266-L266</f>
        <v>75168530</v>
      </c>
      <c r="N266" s="193" t="n">
        <f aca="false">SUMIF('statutory adj_2026 조정분개'!$S:$S,$D266,'statutory adj_2026 조정분개'!$K:$K)</f>
        <v>0</v>
      </c>
      <c r="O266" s="194" t="n">
        <f aca="false">SUMIF('statutory adj_2026 조정분개'!$S:$S,$D266,'statutory adj_2026 조정분개'!$L:$L)</f>
        <v>0</v>
      </c>
      <c r="P266" s="192" t="n">
        <f aca="false">M266+N266-O266</f>
        <v>75168530</v>
      </c>
      <c r="Q266" s="195" t="n">
        <f aca="false">IFERROR(VLOOKUP(VALUE($D266),BSPL2026!$B:$Q,16,FALSE()),0)</f>
        <v>55278600</v>
      </c>
      <c r="R266" s="196" t="s">
        <v>449</v>
      </c>
      <c r="S266" s="172" t="str">
        <f aca="false">IFERROR(VLOOKUP(VALUE($D266),BSPL2026!$B:$M,12,FALSE()),"")</f>
        <v>잡이익</v>
      </c>
      <c r="T266" s="172" t="str">
        <f aca="false">IF(OR(S266="",S266=0,LEFT(S266,5)="(원본오류"),"",IF(S266=H266,"","매핑차이"))</f>
        <v/>
      </c>
    </row>
    <row r="267" customFormat="false" ht="16.5" hidden="false" customHeight="false" outlineLevel="0" collapsed="false">
      <c r="D267" s="186" t="s">
        <v>1012</v>
      </c>
      <c r="E267" s="187" t="s">
        <v>1013</v>
      </c>
      <c r="F267" s="188" t="s">
        <v>791</v>
      </c>
      <c r="G267" s="189" t="s">
        <v>862</v>
      </c>
      <c r="H267" s="190" t="s">
        <v>344</v>
      </c>
      <c r="I267" s="191" t="s">
        <v>1013</v>
      </c>
      <c r="J267" s="192" t="n">
        <f aca="false">IFERROR(VLOOKUP(VALUE($D267),BSPL2026!$B:$Z,25,FALSE()),0)</f>
        <v>60782292</v>
      </c>
      <c r="K267" s="193"/>
      <c r="L267" s="194"/>
      <c r="M267" s="192" t="n">
        <f aca="false">J267+K267-L267</f>
        <v>60782292</v>
      </c>
      <c r="N267" s="193" t="n">
        <f aca="false">SUMIF('statutory adj_2026 조정분개'!$S:$S,$D267,'statutory adj_2026 조정분개'!$K:$K)</f>
        <v>0</v>
      </c>
      <c r="O267" s="194" t="n">
        <f aca="false">SUMIF('statutory adj_2026 조정분개'!$S:$S,$D267,'statutory adj_2026 조정분개'!$L:$L)</f>
        <v>0</v>
      </c>
      <c r="P267" s="192" t="n">
        <f aca="false">M267+N267-O267</f>
        <v>60782292</v>
      </c>
      <c r="Q267" s="195" t="n">
        <f aca="false">IFERROR(VLOOKUP(VALUE($D267),BSPL2026!$B:$Q,16,FALSE()),0)</f>
        <v>143196600</v>
      </c>
      <c r="R267" s="196" t="s">
        <v>449</v>
      </c>
      <c r="S267" s="172" t="str">
        <f aca="false">IFERROR(VLOOKUP(VALUE($D267),BSPL2026!$B:$M,12,FALSE()),"")</f>
        <v>지급수수료</v>
      </c>
      <c r="T267" s="172" t="str">
        <f aca="false">IF(OR(S267="",S267=0,LEFT(S267,5)="(원본오류"),"",IF(S267=H267,"","매핑차이"))</f>
        <v/>
      </c>
    </row>
    <row r="268" customFormat="false" ht="16.5" hidden="false" customHeight="false" outlineLevel="0" collapsed="false">
      <c r="D268" s="186" t="s">
        <v>1014</v>
      </c>
      <c r="E268" s="187" t="s">
        <v>1015</v>
      </c>
      <c r="F268" s="188" t="s">
        <v>791</v>
      </c>
      <c r="G268" s="189" t="s">
        <v>862</v>
      </c>
      <c r="H268" s="190" t="s">
        <v>344</v>
      </c>
      <c r="I268" s="191" t="s">
        <v>1015</v>
      </c>
      <c r="J268" s="192" t="n">
        <f aca="false">IFERROR(VLOOKUP(VALUE($D268),BSPL2026!$B:$Z,25,FALSE()),0)</f>
        <v>114532971</v>
      </c>
      <c r="K268" s="193"/>
      <c r="L268" s="194"/>
      <c r="M268" s="192" t="n">
        <f aca="false">J268+K268-L268</f>
        <v>114532971</v>
      </c>
      <c r="N268" s="193" t="n">
        <f aca="false">SUMIF('statutory adj_2026 조정분개'!$S:$S,$D268,'statutory adj_2026 조정분개'!$K:$K)</f>
        <v>0</v>
      </c>
      <c r="O268" s="194" t="n">
        <f aca="false">SUMIF('statutory adj_2026 조정분개'!$S:$S,$D268,'statutory adj_2026 조정분개'!$L:$L)</f>
        <v>0</v>
      </c>
      <c r="P268" s="192" t="n">
        <f aca="false">M268+N268-O268</f>
        <v>114532971</v>
      </c>
      <c r="Q268" s="195" t="n">
        <f aca="false">IFERROR(VLOOKUP(VALUE($D268),BSPL2026!$B:$Q,16,FALSE()),0)</f>
        <v>113760726</v>
      </c>
      <c r="R268" s="196" t="s">
        <v>449</v>
      </c>
      <c r="S268" s="172" t="str">
        <f aca="false">IFERROR(VLOOKUP(VALUE($D268),BSPL2026!$B:$M,12,FALSE()),"")</f>
        <v>지급수수료</v>
      </c>
      <c r="T268" s="172" t="str">
        <f aca="false">IF(OR(S268="",S268=0,LEFT(S268,5)="(원본오류"),"",IF(S268=H268,"","매핑차이"))</f>
        <v/>
      </c>
    </row>
    <row r="269" customFormat="false" ht="16.5" hidden="false" customHeight="false" outlineLevel="0" collapsed="false">
      <c r="D269" s="186" t="s">
        <v>1016</v>
      </c>
      <c r="E269" s="187" t="s">
        <v>1017</v>
      </c>
      <c r="F269" s="188" t="s">
        <v>791</v>
      </c>
      <c r="G269" s="189" t="s">
        <v>862</v>
      </c>
      <c r="H269" s="190" t="s">
        <v>344</v>
      </c>
      <c r="I269" s="191" t="s">
        <v>1017</v>
      </c>
      <c r="J269" s="192" t="n">
        <f aca="false">IFERROR(VLOOKUP(VALUE($D269),BSPL2026!$B:$Z,25,FALSE()),0)</f>
        <v>5671111</v>
      </c>
      <c r="K269" s="193"/>
      <c r="L269" s="194"/>
      <c r="M269" s="192" t="n">
        <f aca="false">J269+K269-L269</f>
        <v>5671111</v>
      </c>
      <c r="N269" s="193" t="n">
        <f aca="false">SUMIF('statutory adj_2026 조정분개'!$S:$S,$D269,'statutory adj_2026 조정분개'!$K:$K)</f>
        <v>0</v>
      </c>
      <c r="O269" s="194" t="n">
        <f aca="false">SUMIF('statutory adj_2026 조정분개'!$S:$S,$D269,'statutory adj_2026 조정분개'!$L:$L)</f>
        <v>0</v>
      </c>
      <c r="P269" s="192" t="n">
        <f aca="false">M269+N269-O269</f>
        <v>5671111</v>
      </c>
      <c r="Q269" s="195" t="n">
        <f aca="false">IFERROR(VLOOKUP(VALUE($D269),BSPL2026!$B:$Q,16,FALSE()),0)</f>
        <v>11966044</v>
      </c>
      <c r="R269" s="196" t="s">
        <v>449</v>
      </c>
      <c r="S269" s="172" t="str">
        <f aca="false">IFERROR(VLOOKUP(VALUE($D269),BSPL2026!$B:$M,12,FALSE()),"")</f>
        <v>지급수수료</v>
      </c>
      <c r="T269" s="172" t="str">
        <f aca="false">IF(OR(S269="",S269=0,LEFT(S269,5)="(원본오류"),"",IF(S269=H269,"","매핑차이"))</f>
        <v/>
      </c>
    </row>
    <row r="270" customFormat="false" ht="16.5" hidden="false" customHeight="false" outlineLevel="0" collapsed="false">
      <c r="D270" s="186" t="s">
        <v>1018</v>
      </c>
      <c r="E270" s="187" t="s">
        <v>1019</v>
      </c>
      <c r="F270" s="188" t="s">
        <v>791</v>
      </c>
      <c r="G270" s="189" t="s">
        <v>862</v>
      </c>
      <c r="H270" s="190" t="s">
        <v>334</v>
      </c>
      <c r="I270" s="191" t="s">
        <v>1019</v>
      </c>
      <c r="J270" s="192" t="n">
        <f aca="false">IFERROR(VLOOKUP(VALUE($D270),BSPL2026!$B:$Z,25,FALSE()),0)</f>
        <v>19716910</v>
      </c>
      <c r="K270" s="193"/>
      <c r="L270" s="194"/>
      <c r="M270" s="192" t="n">
        <f aca="false">J270+K270-L270</f>
        <v>19716910</v>
      </c>
      <c r="N270" s="193" t="n">
        <f aca="false">SUMIF('statutory adj_2026 조정분개'!$S:$S,$D270,'statutory adj_2026 조정분개'!$K:$K)</f>
        <v>0</v>
      </c>
      <c r="O270" s="194" t="n">
        <f aca="false">SUMIF('statutory adj_2026 조정분개'!$S:$S,$D270,'statutory adj_2026 조정분개'!$L:$L)</f>
        <v>0</v>
      </c>
      <c r="P270" s="192" t="n">
        <f aca="false">M270+N270-O270</f>
        <v>19716910</v>
      </c>
      <c r="Q270" s="195" t="n">
        <f aca="false">IFERROR(VLOOKUP(VALUE($D270),BSPL2026!$B:$Q,16,FALSE()),0)</f>
        <v>29264836</v>
      </c>
      <c r="R270" s="196" t="s">
        <v>449</v>
      </c>
      <c r="S270" s="172" t="str">
        <f aca="false">IFERROR(VLOOKUP(VALUE($D270),BSPL2026!$B:$M,12,FALSE()),"")</f>
        <v>통신비</v>
      </c>
      <c r="T270" s="172" t="str">
        <f aca="false">IF(OR(S270="",S270=0,LEFT(S270,5)="(원본오류"),"",IF(S270=H270,"","매핑차이"))</f>
        <v/>
      </c>
    </row>
    <row r="271" customFormat="false" ht="16.5" hidden="false" customHeight="false" outlineLevel="0" collapsed="false">
      <c r="D271" s="186" t="s">
        <v>1020</v>
      </c>
      <c r="E271" s="187" t="s">
        <v>1021</v>
      </c>
      <c r="F271" s="188" t="s">
        <v>791</v>
      </c>
      <c r="G271" s="189" t="s">
        <v>862</v>
      </c>
      <c r="H271" s="190" t="s">
        <v>312</v>
      </c>
      <c r="I271" s="191" t="s">
        <v>1021</v>
      </c>
      <c r="J271" s="192" t="n">
        <f aca="false">IFERROR(VLOOKUP(VALUE($D271),BSPL2026!$B:$Z,25,FALSE()),0)</f>
        <v>759893265</v>
      </c>
      <c r="K271" s="193"/>
      <c r="L271" s="194"/>
      <c r="M271" s="192" t="n">
        <f aca="false">J271+K271-L271</f>
        <v>759893265</v>
      </c>
      <c r="N271" s="193" t="n">
        <f aca="false">SUMIF('statutory adj_2026 조정분개'!$S:$S,$D271,'statutory adj_2026 조정분개'!$K:$K)</f>
        <v>0</v>
      </c>
      <c r="O271" s="194" t="n">
        <f aca="false">SUMIF('statutory adj_2026 조정분개'!$S:$S,$D271,'statutory adj_2026 조정분개'!$L:$L)</f>
        <v>0</v>
      </c>
      <c r="P271" s="192" t="n">
        <f aca="false">M271+N271-O271</f>
        <v>759893265</v>
      </c>
      <c r="Q271" s="195" t="n">
        <f aca="false">IFERROR(VLOOKUP(VALUE($D271),BSPL2026!$B:$Q,16,FALSE()),0)</f>
        <v>1224384275</v>
      </c>
      <c r="R271" s="196" t="s">
        <v>449</v>
      </c>
      <c r="S271" s="172" t="str">
        <f aca="false">IFERROR(VLOOKUP(VALUE($D271),BSPL2026!$B:$M,12,FALSE()),"")</f>
        <v>하조및운임</v>
      </c>
      <c r="T271" s="172" t="str">
        <f aca="false">IF(OR(S271="",S271=0,LEFT(S271,5)="(원본오류"),"",IF(S271=H271,"","매핑차이"))</f>
        <v/>
      </c>
    </row>
    <row r="272" customFormat="false" ht="16.5" hidden="false" customHeight="false" outlineLevel="0" collapsed="false">
      <c r="D272" s="186" t="s">
        <v>1022</v>
      </c>
      <c r="E272" s="187" t="s">
        <v>1023</v>
      </c>
      <c r="F272" s="188" t="s">
        <v>791</v>
      </c>
      <c r="G272" s="189" t="s">
        <v>862</v>
      </c>
      <c r="H272" s="190" t="s">
        <v>344</v>
      </c>
      <c r="I272" s="191" t="s">
        <v>1023</v>
      </c>
      <c r="J272" s="192" t="n">
        <f aca="false">IFERROR(VLOOKUP(VALUE($D272),BSPL2026!$B:$Z,25,FALSE()),0)</f>
        <v>532256757</v>
      </c>
      <c r="K272" s="193"/>
      <c r="L272" s="194"/>
      <c r="M272" s="192" t="n">
        <f aca="false">J272+K272-L272</f>
        <v>532256757</v>
      </c>
      <c r="N272" s="193" t="n">
        <f aca="false">SUMIF('statutory adj_2026 조정분개'!$S:$S,$D272,'statutory adj_2026 조정분개'!$K:$K)</f>
        <v>0</v>
      </c>
      <c r="O272" s="194" t="n">
        <f aca="false">SUMIF('statutory adj_2026 조정분개'!$S:$S,$D272,'statutory adj_2026 조정분개'!$L:$L)</f>
        <v>0</v>
      </c>
      <c r="P272" s="192" t="n">
        <f aca="false">M272+N272-O272</f>
        <v>532256757</v>
      </c>
      <c r="Q272" s="195" t="n">
        <f aca="false">IFERROR(VLOOKUP(VALUE($D272),BSPL2026!$B:$Q,16,FALSE()),0)</f>
        <v>1127731372</v>
      </c>
      <c r="R272" s="196" t="s">
        <v>449</v>
      </c>
      <c r="S272" s="172" t="str">
        <f aca="false">IFERROR(VLOOKUP(VALUE($D272),BSPL2026!$B:$M,12,FALSE()),"")</f>
        <v>지급수수료</v>
      </c>
      <c r="T272" s="172" t="str">
        <f aca="false">IF(OR(S272="",S272=0,LEFT(S272,5)="(원본오류"),"",IF(S272=H272,"","매핑차이"))</f>
        <v/>
      </c>
    </row>
    <row r="273" customFormat="false" ht="16.5" hidden="false" customHeight="false" outlineLevel="0" collapsed="false">
      <c r="D273" s="186" t="s">
        <v>1024</v>
      </c>
      <c r="E273" s="187" t="s">
        <v>1025</v>
      </c>
      <c r="F273" s="188" t="s">
        <v>791</v>
      </c>
      <c r="G273" s="189" t="s">
        <v>862</v>
      </c>
      <c r="H273" s="190" t="s">
        <v>344</v>
      </c>
      <c r="I273" s="191" t="s">
        <v>1025</v>
      </c>
      <c r="J273" s="192" t="n">
        <f aca="false">IFERROR(VLOOKUP(VALUE($D273),BSPL2026!$B:$Z,25,FALSE()),0)</f>
        <v>-162981298</v>
      </c>
      <c r="K273" s="193"/>
      <c r="L273" s="194"/>
      <c r="M273" s="192" t="n">
        <f aca="false">J273+K273-L273</f>
        <v>-162981298</v>
      </c>
      <c r="N273" s="193" t="n">
        <f aca="false">SUMIF('statutory adj_2026 조정분개'!$S:$S,$D273,'statutory adj_2026 조정분개'!$K:$K)</f>
        <v>0</v>
      </c>
      <c r="O273" s="194" t="n">
        <f aca="false">SUMIF('statutory adj_2026 조정분개'!$S:$S,$D273,'statutory adj_2026 조정분개'!$L:$L)</f>
        <v>0</v>
      </c>
      <c r="P273" s="192" t="n">
        <f aca="false">M273+N273-O273</f>
        <v>-162981298</v>
      </c>
      <c r="Q273" s="195" t="n">
        <f aca="false">IFERROR(VLOOKUP(VALUE($D273),BSPL2026!$B:$Q,16,FALSE()),0)</f>
        <v>883118930</v>
      </c>
      <c r="R273" s="196" t="s">
        <v>449</v>
      </c>
      <c r="S273" s="172" t="str">
        <f aca="false">IFERROR(VLOOKUP(VALUE($D273),BSPL2026!$B:$M,12,FALSE()),"")</f>
        <v>지급수수료</v>
      </c>
      <c r="T273" s="172" t="str">
        <f aca="false">IF(OR(S273="",S273=0,LEFT(S273,5)="(원본오류"),"",IF(S273=H273,"","매핑차이"))</f>
        <v/>
      </c>
    </row>
    <row r="274" customFormat="false" ht="16.5" hidden="false" customHeight="false" outlineLevel="0" collapsed="false">
      <c r="D274" s="186" t="s">
        <v>1026</v>
      </c>
      <c r="E274" s="187" t="s">
        <v>1027</v>
      </c>
      <c r="F274" s="188" t="s">
        <v>791</v>
      </c>
      <c r="G274" s="189" t="s">
        <v>862</v>
      </c>
      <c r="H274" s="190" t="s">
        <v>344</v>
      </c>
      <c r="I274" s="191" t="s">
        <v>1027</v>
      </c>
      <c r="J274" s="192" t="n">
        <f aca="false">IFERROR(VLOOKUP(VALUE($D274),BSPL2026!$B:$Z,25,FALSE()),0)</f>
        <v>146120884</v>
      </c>
      <c r="K274" s="193"/>
      <c r="L274" s="194"/>
      <c r="M274" s="192" t="n">
        <f aca="false">J274+K274-L274</f>
        <v>146120884</v>
      </c>
      <c r="N274" s="193" t="n">
        <f aca="false">SUMIF('statutory adj_2026 조정분개'!$S:$S,$D274,'statutory adj_2026 조정분개'!$K:$K)</f>
        <v>0</v>
      </c>
      <c r="O274" s="194" t="n">
        <f aca="false">SUMIF('statutory adj_2026 조정분개'!$S:$S,$D274,'statutory adj_2026 조정분개'!$L:$L)</f>
        <v>0</v>
      </c>
      <c r="P274" s="192" t="n">
        <f aca="false">M274+N274-O274</f>
        <v>146120884</v>
      </c>
      <c r="Q274" s="195" t="n">
        <f aca="false">IFERROR(VLOOKUP(VALUE($D274),BSPL2026!$B:$Q,16,FALSE()),0)</f>
        <v>31857000</v>
      </c>
      <c r="R274" s="196" t="s">
        <v>449</v>
      </c>
      <c r="S274" s="172" t="str">
        <f aca="false">IFERROR(VLOOKUP(VALUE($D274),BSPL2026!$B:$M,12,FALSE()),"")</f>
        <v>지급수수료</v>
      </c>
      <c r="T274" s="172" t="str">
        <f aca="false">IF(OR(S274="",S274=0,LEFT(S274,5)="(원본오류"),"",IF(S274=H274,"","매핑차이"))</f>
        <v/>
      </c>
    </row>
    <row r="275" customFormat="false" ht="16.5" hidden="false" customHeight="false" outlineLevel="0" collapsed="false">
      <c r="D275" s="186" t="s">
        <v>1028</v>
      </c>
      <c r="E275" s="187" t="s">
        <v>1029</v>
      </c>
      <c r="F275" s="188" t="s">
        <v>791</v>
      </c>
      <c r="G275" s="189" t="s">
        <v>862</v>
      </c>
      <c r="H275" s="190" t="s">
        <v>330</v>
      </c>
      <c r="I275" s="191" t="s">
        <v>1029</v>
      </c>
      <c r="J275" s="192" t="n">
        <f aca="false">IFERROR(VLOOKUP(VALUE($D275),BSPL2026!$B:$Z,25,FALSE()),0)</f>
        <v>557246116</v>
      </c>
      <c r="K275" s="193"/>
      <c r="L275" s="194"/>
      <c r="M275" s="192" t="n">
        <f aca="false">J275+K275-L275</f>
        <v>557246116</v>
      </c>
      <c r="N275" s="193" t="n">
        <f aca="false">SUMIF('statutory adj_2026 조정분개'!$S:$S,$D275,'statutory adj_2026 조정분개'!$K:$K)</f>
        <v>0</v>
      </c>
      <c r="O275" s="194" t="n">
        <f aca="false">SUMIF('statutory adj_2026 조정분개'!$S:$S,$D275,'statutory adj_2026 조정분개'!$L:$L)</f>
        <v>0</v>
      </c>
      <c r="P275" s="192" t="n">
        <f aca="false">M275+N275-O275</f>
        <v>557246116</v>
      </c>
      <c r="Q275" s="195" t="n">
        <f aca="false">IFERROR(VLOOKUP(VALUE($D275),BSPL2026!$B:$Q,16,FALSE()),0)</f>
        <v>715350610</v>
      </c>
      <c r="R275" s="196" t="s">
        <v>449</v>
      </c>
      <c r="S275" s="172" t="str">
        <f aca="false">IFERROR(VLOOKUP(VALUE($D275),BSPL2026!$B:$M,12,FALSE()),"")</f>
        <v>복리후생비</v>
      </c>
      <c r="T275" s="172" t="str">
        <f aca="false">IF(OR(S275="",S275=0,LEFT(S275,5)="(원본오류"),"",IF(S275=H275,"","매핑차이"))</f>
        <v/>
      </c>
    </row>
    <row r="276" customFormat="false" ht="16.5" hidden="false" customHeight="false" outlineLevel="0" collapsed="false">
      <c r="D276" s="186" t="s">
        <v>1030</v>
      </c>
      <c r="E276" s="187" t="s">
        <v>1031</v>
      </c>
      <c r="F276" s="188" t="s">
        <v>791</v>
      </c>
      <c r="G276" s="189" t="s">
        <v>862</v>
      </c>
      <c r="H276" s="190" t="s">
        <v>335</v>
      </c>
      <c r="I276" s="191" t="s">
        <v>1031</v>
      </c>
      <c r="J276" s="192" t="n">
        <f aca="false">IFERROR(VLOOKUP(VALUE($D276),BSPL2026!$B:$Z,25,FALSE()),0)</f>
        <v>579913</v>
      </c>
      <c r="K276" s="193"/>
      <c r="L276" s="194"/>
      <c r="M276" s="192" t="n">
        <f aca="false">J276+K276-L276</f>
        <v>579913</v>
      </c>
      <c r="N276" s="193" t="n">
        <f aca="false">SUMIF('statutory adj_2026 조정분개'!$S:$S,$D276,'statutory adj_2026 조정분개'!$K:$K)</f>
        <v>0</v>
      </c>
      <c r="O276" s="194" t="n">
        <f aca="false">SUMIF('statutory adj_2026 조정분개'!$S:$S,$D276,'statutory adj_2026 조정분개'!$L:$L)</f>
        <v>0</v>
      </c>
      <c r="P276" s="192" t="n">
        <f aca="false">M276+N276-O276</f>
        <v>579913</v>
      </c>
      <c r="Q276" s="195" t="n">
        <f aca="false">IFERROR(VLOOKUP(VALUE($D276),BSPL2026!$B:$Q,16,FALSE()),0)</f>
        <v>15325687</v>
      </c>
      <c r="R276" s="196" t="s">
        <v>449</v>
      </c>
      <c r="S276" s="172" t="str">
        <f aca="false">IFERROR(VLOOKUP(VALUE($D276),BSPL2026!$B:$M,12,FALSE()),"")</f>
        <v>소모품비</v>
      </c>
      <c r="T276" s="172" t="str">
        <f aca="false">IF(OR(S276="",S276=0,LEFT(S276,5)="(원본오류"),"",IF(S276=H276,"","매핑차이"))</f>
        <v/>
      </c>
    </row>
    <row r="277" customFormat="false" ht="16.5" hidden="false" customHeight="false" outlineLevel="0" collapsed="false">
      <c r="D277" s="186" t="s">
        <v>1032</v>
      </c>
      <c r="E277" s="187" t="s">
        <v>1033</v>
      </c>
      <c r="F277" s="188" t="s">
        <v>791</v>
      </c>
      <c r="G277" s="189" t="s">
        <v>862</v>
      </c>
      <c r="H277" s="190" t="s">
        <v>355</v>
      </c>
      <c r="I277" s="191" t="s">
        <v>1034</v>
      </c>
      <c r="J277" s="192" t="n">
        <f aca="false">IFERROR(VLOOKUP(VALUE($D277),BSPL2026!$B:$Z,25,FALSE()),0)</f>
        <v>21599970</v>
      </c>
      <c r="K277" s="193"/>
      <c r="L277" s="194"/>
      <c r="M277" s="192" t="n">
        <f aca="false">J277+K277-L277</f>
        <v>21599970</v>
      </c>
      <c r="N277" s="193" t="n">
        <f aca="false">SUMIF('statutory adj_2026 조정분개'!$S:$S,$D277,'statutory adj_2026 조정분개'!$K:$K)</f>
        <v>0</v>
      </c>
      <c r="O277" s="194" t="n">
        <f aca="false">SUMIF('statutory adj_2026 조정분개'!$S:$S,$D277,'statutory adj_2026 조정분개'!$L:$L)</f>
        <v>0</v>
      </c>
      <c r="P277" s="192" t="n">
        <f aca="false">M277+N277-O277</f>
        <v>21599970</v>
      </c>
      <c r="Q277" s="195" t="n">
        <f aca="false">IFERROR(VLOOKUP(VALUE($D277),BSPL2026!$B:$Q,16,FALSE()),0)</f>
        <v>9782100</v>
      </c>
      <c r="R277" s="196" t="s">
        <v>449</v>
      </c>
      <c r="S277" s="172" t="str">
        <f aca="false">IFERROR(VLOOKUP(VALUE($D277),BSPL2026!$B:$M,12,FALSE()),"")</f>
        <v>임상증례조사비</v>
      </c>
      <c r="T277" s="172" t="str">
        <f aca="false">IF(OR(S277="",S277=0,LEFT(S277,5)="(원본오류"),"",IF(S277=H277,"","매핑차이"))</f>
        <v/>
      </c>
    </row>
    <row r="278" customFormat="false" ht="16.5" hidden="false" customHeight="false" outlineLevel="0" collapsed="false">
      <c r="D278" s="186" t="s">
        <v>1035</v>
      </c>
      <c r="E278" s="187" t="s">
        <v>1036</v>
      </c>
      <c r="F278" s="188" t="s">
        <v>791</v>
      </c>
      <c r="G278" s="189" t="s">
        <v>862</v>
      </c>
      <c r="H278" s="190" t="s">
        <v>338</v>
      </c>
      <c r="I278" s="191" t="s">
        <v>1036</v>
      </c>
      <c r="J278" s="192" t="n">
        <f aca="false">IFERROR(VLOOKUP(VALUE($D278),BSPL2026!$B:$Z,25,FALSE()),0)</f>
        <v>1242631250</v>
      </c>
      <c r="K278" s="193"/>
      <c r="L278" s="194"/>
      <c r="M278" s="192" t="n">
        <f aca="false">J278+K278-L278</f>
        <v>1242631250</v>
      </c>
      <c r="N278" s="193" t="n">
        <f aca="false">SUMIF('statutory adj_2026 조정분개'!$S:$S,$D278,'statutory adj_2026 조정분개'!$K:$K)</f>
        <v>0</v>
      </c>
      <c r="O278" s="194" t="n">
        <f aca="false">SUMIF('statutory adj_2026 조정분개'!$S:$S,$D278,'statutory adj_2026 조정분개'!$L:$L)</f>
        <v>0</v>
      </c>
      <c r="P278" s="192" t="n">
        <f aca="false">M278+N278-O278</f>
        <v>1242631250</v>
      </c>
      <c r="Q278" s="195" t="n">
        <f aca="false">IFERROR(VLOOKUP(VALUE($D278),BSPL2026!$B:$Q,16,FALSE()),0)</f>
        <v>1339014190</v>
      </c>
      <c r="R278" s="196" t="s">
        <v>449</v>
      </c>
      <c r="S278" s="172" t="str">
        <f aca="false">IFERROR(VLOOKUP(VALUE($D278),BSPL2026!$B:$M,12,FALSE()),"")</f>
        <v>임차료</v>
      </c>
      <c r="T278" s="172" t="str">
        <f aca="false">IF(OR(S278="",S278=0,LEFT(S278,5)="(원본오류"),"",IF(S278=H278,"","매핑차이"))</f>
        <v/>
      </c>
    </row>
    <row r="279" customFormat="false" ht="16.5" hidden="false" customHeight="false" outlineLevel="0" collapsed="false">
      <c r="D279" s="186" t="s">
        <v>1037</v>
      </c>
      <c r="E279" s="187" t="s">
        <v>1038</v>
      </c>
      <c r="F279" s="188" t="s">
        <v>791</v>
      </c>
      <c r="G279" s="189" t="s">
        <v>862</v>
      </c>
      <c r="H279" s="190" t="s">
        <v>338</v>
      </c>
      <c r="I279" s="191" t="s">
        <v>1038</v>
      </c>
      <c r="J279" s="192" t="n">
        <f aca="false">IFERROR(VLOOKUP(VALUE($D279),BSPL2026!$B:$Z,25,FALSE()),0)</f>
        <v>-812490588</v>
      </c>
      <c r="K279" s="193"/>
      <c r="L279" s="194"/>
      <c r="M279" s="192" t="n">
        <f aca="false">J279+K279-L279</f>
        <v>-812490588</v>
      </c>
      <c r="N279" s="193" t="n">
        <f aca="false">SUMIF('statutory adj_2026 조정분개'!$S:$S,$D279,'statutory adj_2026 조정분개'!$K:$K)</f>
        <v>0</v>
      </c>
      <c r="O279" s="194" t="n">
        <f aca="false">SUMIF('statutory adj_2026 조정분개'!$S:$S,$D279,'statutory adj_2026 조정분개'!$L:$L)</f>
        <v>0</v>
      </c>
      <c r="P279" s="192" t="n">
        <f aca="false">M279+N279-O279</f>
        <v>-812490588</v>
      </c>
      <c r="Q279" s="195" t="n">
        <f aca="false">IFERROR(VLOOKUP(VALUE($D279),BSPL2026!$B:$Q,16,FALSE()),0)</f>
        <v>-1126894020</v>
      </c>
      <c r="R279" s="196" t="s">
        <v>449</v>
      </c>
      <c r="S279" s="172" t="str">
        <f aca="false">IFERROR(VLOOKUP(VALUE($D279),BSPL2026!$B:$M,12,FALSE()),"")</f>
        <v>임차료</v>
      </c>
      <c r="T279" s="172" t="str">
        <f aca="false">IF(OR(S279="",S279=0,LEFT(S279,5)="(원본오류"),"",IF(S279=H279,"","매핑차이"))</f>
        <v/>
      </c>
    </row>
    <row r="280" customFormat="false" ht="16.5" hidden="false" customHeight="false" outlineLevel="0" collapsed="false">
      <c r="D280" s="186" t="s">
        <v>1039</v>
      </c>
      <c r="E280" s="187" t="s">
        <v>1040</v>
      </c>
      <c r="F280" s="188" t="s">
        <v>791</v>
      </c>
      <c r="G280" s="189" t="s">
        <v>862</v>
      </c>
      <c r="H280" s="190" t="s">
        <v>342</v>
      </c>
      <c r="I280" s="191" t="s">
        <v>1040</v>
      </c>
      <c r="J280" s="192" t="n">
        <f aca="false">IFERROR(VLOOKUP(VALUE($D280),BSPL2026!$B:$Z,25,FALSE()),0)</f>
        <v>16172820</v>
      </c>
      <c r="K280" s="193"/>
      <c r="L280" s="194"/>
      <c r="M280" s="192" t="n">
        <f aca="false">J280+K280-L280</f>
        <v>16172820</v>
      </c>
      <c r="N280" s="193" t="n">
        <f aca="false">SUMIF('statutory adj_2026 조정분개'!$S:$S,$D280,'statutory adj_2026 조정분개'!$K:$K)</f>
        <v>0</v>
      </c>
      <c r="O280" s="194" t="n">
        <f aca="false">SUMIF('statutory adj_2026 조정분개'!$S:$S,$D280,'statutory adj_2026 조정분개'!$L:$L)</f>
        <v>0</v>
      </c>
      <c r="P280" s="192" t="n">
        <f aca="false">M280+N280-O280</f>
        <v>16172820</v>
      </c>
      <c r="Q280" s="195" t="n">
        <f aca="false">IFERROR(VLOOKUP(VALUE($D280),BSPL2026!$B:$Q,16,FALSE()),0)</f>
        <v>26593320</v>
      </c>
      <c r="R280" s="196" t="s">
        <v>449</v>
      </c>
      <c r="S280" s="172" t="str">
        <f aca="false">IFERROR(VLOOKUP(VALUE($D280),BSPL2026!$B:$M,12,FALSE()),"")</f>
        <v>수도광열비</v>
      </c>
      <c r="T280" s="172" t="str">
        <f aca="false">IF(OR(S280="",S280=0,LEFT(S280,5)="(원본오류"),"",IF(S280=H280,"","매핑차이"))</f>
        <v/>
      </c>
    </row>
    <row r="281" customFormat="false" ht="16.5" hidden="false" customHeight="false" outlineLevel="0" collapsed="false">
      <c r="D281" s="186" t="s">
        <v>1041</v>
      </c>
      <c r="E281" s="187" t="s">
        <v>1042</v>
      </c>
      <c r="F281" s="188" t="s">
        <v>791</v>
      </c>
      <c r="G281" s="189" t="s">
        <v>862</v>
      </c>
      <c r="H281" s="190" t="s">
        <v>334</v>
      </c>
      <c r="I281" s="191" t="s">
        <v>1042</v>
      </c>
      <c r="J281" s="192" t="n">
        <f aca="false">IFERROR(VLOOKUP(VALUE($D281),BSPL2026!$B:$Z,25,FALSE()),0)</f>
        <v>128587635</v>
      </c>
      <c r="K281" s="193"/>
      <c r="L281" s="194"/>
      <c r="M281" s="192" t="n">
        <f aca="false">J281+K281-L281</f>
        <v>128587635</v>
      </c>
      <c r="N281" s="193" t="n">
        <f aca="false">SUMIF('statutory adj_2026 조정분개'!$S:$S,$D281,'statutory adj_2026 조정분개'!$K:$K)</f>
        <v>0</v>
      </c>
      <c r="O281" s="194" t="n">
        <f aca="false">SUMIF('statutory adj_2026 조정분개'!$S:$S,$D281,'statutory adj_2026 조정분개'!$L:$L)</f>
        <v>0</v>
      </c>
      <c r="P281" s="192" t="n">
        <f aca="false">M281+N281-O281</f>
        <v>128587635</v>
      </c>
      <c r="Q281" s="195" t="n">
        <f aca="false">IFERROR(VLOOKUP(VALUE($D281),BSPL2026!$B:$Q,16,FALSE()),0)</f>
        <v>168925257</v>
      </c>
      <c r="R281" s="196" t="s">
        <v>449</v>
      </c>
      <c r="S281" s="172" t="str">
        <f aca="false">IFERROR(VLOOKUP(VALUE($D281),BSPL2026!$B:$M,12,FALSE()),"")</f>
        <v>통신비</v>
      </c>
      <c r="T281" s="172" t="str">
        <f aca="false">IF(OR(S281="",S281=0,LEFT(S281,5)="(원본오류"),"",IF(S281=H281,"","매핑차이"))</f>
        <v/>
      </c>
    </row>
    <row r="282" customFormat="false" ht="16.5" hidden="false" customHeight="false" outlineLevel="0" collapsed="false">
      <c r="D282" s="186" t="s">
        <v>1043</v>
      </c>
      <c r="E282" s="187" t="s">
        <v>1044</v>
      </c>
      <c r="F282" s="188" t="s">
        <v>791</v>
      </c>
      <c r="G282" s="189" t="s">
        <v>862</v>
      </c>
      <c r="H282" s="190" t="s">
        <v>334</v>
      </c>
      <c r="I282" s="191" t="s">
        <v>1044</v>
      </c>
      <c r="J282" s="192" t="n">
        <f aca="false">IFERROR(VLOOKUP(VALUE($D282),BSPL2026!$B:$Z,25,FALSE()),0)</f>
        <v>137733970</v>
      </c>
      <c r="K282" s="193"/>
      <c r="L282" s="194"/>
      <c r="M282" s="192" t="n">
        <f aca="false">J282+K282-L282</f>
        <v>137733970</v>
      </c>
      <c r="N282" s="193" t="n">
        <f aca="false">SUMIF('statutory adj_2026 조정분개'!$S:$S,$D282,'statutory adj_2026 조정분개'!$K:$K)</f>
        <v>0</v>
      </c>
      <c r="O282" s="194" t="n">
        <f aca="false">SUMIF('statutory adj_2026 조정분개'!$S:$S,$D282,'statutory adj_2026 조정분개'!$L:$L)</f>
        <v>0</v>
      </c>
      <c r="P282" s="192" t="n">
        <f aca="false">M282+N282-O282</f>
        <v>137733970</v>
      </c>
      <c r="Q282" s="195" t="n">
        <f aca="false">IFERROR(VLOOKUP(VALUE($D282),BSPL2026!$B:$Q,16,FALSE()),0)</f>
        <v>206717269</v>
      </c>
      <c r="R282" s="196" t="s">
        <v>449</v>
      </c>
      <c r="S282" s="172" t="str">
        <f aca="false">IFERROR(VLOOKUP(VALUE($D282),BSPL2026!$B:$M,12,FALSE()),"")</f>
        <v>통신비</v>
      </c>
      <c r="T282" s="172" t="str">
        <f aca="false">IF(OR(S282="",S282=0,LEFT(S282,5)="(원본오류"),"",IF(S282=H282,"","매핑차이"))</f>
        <v/>
      </c>
    </row>
    <row r="283" customFormat="false" ht="16.5" hidden="false" customHeight="false" outlineLevel="0" collapsed="false">
      <c r="D283" s="186" t="s">
        <v>1045</v>
      </c>
      <c r="E283" s="187" t="s">
        <v>1046</v>
      </c>
      <c r="F283" s="188" t="s">
        <v>791</v>
      </c>
      <c r="G283" s="189" t="s">
        <v>862</v>
      </c>
      <c r="H283" s="190" t="s">
        <v>341</v>
      </c>
      <c r="I283" s="191" t="s">
        <v>1046</v>
      </c>
      <c r="J283" s="192" t="n">
        <f aca="false">IFERROR(VLOOKUP(VALUE($D283),BSPL2026!$B:$Z,25,FALSE()),0)</f>
        <v>69195000</v>
      </c>
      <c r="K283" s="193"/>
      <c r="L283" s="194"/>
      <c r="M283" s="192" t="n">
        <f aca="false">J283+K283-L283</f>
        <v>69195000</v>
      </c>
      <c r="N283" s="193" t="n">
        <f aca="false">SUMIF('statutory adj_2026 조정분개'!$S:$S,$D283,'statutory adj_2026 조정분개'!$K:$K)</f>
        <v>0</v>
      </c>
      <c r="O283" s="194" t="n">
        <f aca="false">SUMIF('statutory adj_2026 조정분개'!$S:$S,$D283,'statutory adj_2026 조정분개'!$L:$L)</f>
        <v>0</v>
      </c>
      <c r="P283" s="192" t="n">
        <f aca="false">M283+N283-O283</f>
        <v>69195000</v>
      </c>
      <c r="Q283" s="195" t="n">
        <f aca="false">IFERROR(VLOOKUP(VALUE($D283),BSPL2026!$B:$Q,16,FALSE()),0)</f>
        <v>97560000</v>
      </c>
      <c r="R283" s="196" t="s">
        <v>449</v>
      </c>
      <c r="S283" s="172" t="str">
        <f aca="false">IFERROR(VLOOKUP(VALUE($D283),BSPL2026!$B:$M,12,FALSE()),"")</f>
        <v>수선비</v>
      </c>
      <c r="T283" s="172" t="str">
        <f aca="false">IF(OR(S283="",S283=0,LEFT(S283,5)="(원본오류"),"",IF(S283=H283,"","매핑차이"))</f>
        <v/>
      </c>
    </row>
    <row r="284" customFormat="false" ht="16.5" hidden="false" customHeight="false" outlineLevel="0" collapsed="false">
      <c r="D284" s="186" t="s">
        <v>1047</v>
      </c>
      <c r="E284" s="187" t="s">
        <v>1048</v>
      </c>
      <c r="F284" s="188" t="s">
        <v>791</v>
      </c>
      <c r="G284" s="189" t="s">
        <v>862</v>
      </c>
      <c r="H284" s="190" t="s">
        <v>335</v>
      </c>
      <c r="I284" s="191" t="s">
        <v>1048</v>
      </c>
      <c r="J284" s="192" t="n">
        <f aca="false">IFERROR(VLOOKUP(VALUE($D284),BSPL2026!$B:$Z,25,FALSE()),0)</f>
        <v>22739938</v>
      </c>
      <c r="K284" s="193"/>
      <c r="L284" s="194"/>
      <c r="M284" s="192" t="n">
        <f aca="false">J284+K284-L284</f>
        <v>22739938</v>
      </c>
      <c r="N284" s="193" t="n">
        <f aca="false">SUMIF('statutory adj_2026 조정분개'!$S:$S,$D284,'statutory adj_2026 조정분개'!$K:$K)</f>
        <v>0</v>
      </c>
      <c r="O284" s="194" t="n">
        <f aca="false">SUMIF('statutory adj_2026 조정분개'!$S:$S,$D284,'statutory adj_2026 조정분개'!$L:$L)</f>
        <v>0</v>
      </c>
      <c r="P284" s="192" t="n">
        <f aca="false">M284+N284-O284</f>
        <v>22739938</v>
      </c>
      <c r="Q284" s="195" t="n">
        <f aca="false">IFERROR(VLOOKUP(VALUE($D284),BSPL2026!$B:$Q,16,FALSE()),0)</f>
        <v>57475140</v>
      </c>
      <c r="R284" s="196" t="s">
        <v>449</v>
      </c>
      <c r="S284" s="172" t="str">
        <f aca="false">IFERROR(VLOOKUP(VALUE($D284),BSPL2026!$B:$M,12,FALSE()),"")</f>
        <v>소모품비</v>
      </c>
      <c r="T284" s="172" t="str">
        <f aca="false">IF(OR(S284="",S284=0,LEFT(S284,5)="(원본오류"),"",IF(S284=H284,"","매핑차이"))</f>
        <v/>
      </c>
    </row>
    <row r="285" customFormat="false" ht="16.5" hidden="false" customHeight="false" outlineLevel="0" collapsed="false">
      <c r="D285" s="186" t="s">
        <v>1049</v>
      </c>
      <c r="E285" s="187" t="s">
        <v>1050</v>
      </c>
      <c r="F285" s="188" t="s">
        <v>791</v>
      </c>
      <c r="G285" s="189" t="s">
        <v>862</v>
      </c>
      <c r="H285" s="190" t="s">
        <v>358</v>
      </c>
      <c r="I285" s="191" t="s">
        <v>1050</v>
      </c>
      <c r="J285" s="192" t="n">
        <f aca="false">IFERROR(VLOOKUP(VALUE($D285),BSPL2026!$B:$Z,25,FALSE()),0)</f>
        <v>79793855</v>
      </c>
      <c r="K285" s="193"/>
      <c r="L285" s="194"/>
      <c r="M285" s="192" t="n">
        <f aca="false">J285+K285-L285</f>
        <v>79793855</v>
      </c>
      <c r="N285" s="193" t="n">
        <f aca="false">SUMIF('statutory adj_2026 조정분개'!$S:$S,$D285,'statutory adj_2026 조정분개'!$K:$K)</f>
        <v>0</v>
      </c>
      <c r="O285" s="194" t="n">
        <f aca="false">SUMIF('statutory adj_2026 조정분개'!$S:$S,$D285,'statutory adj_2026 조정분개'!$L:$L)</f>
        <v>0</v>
      </c>
      <c r="P285" s="192" t="n">
        <f aca="false">M285+N285-O285</f>
        <v>79793855</v>
      </c>
      <c r="Q285" s="195" t="n">
        <f aca="false">IFERROR(VLOOKUP(VALUE($D285),BSPL2026!$B:$Q,16,FALSE()),0)</f>
        <v>133379604</v>
      </c>
      <c r="R285" s="196" t="s">
        <v>449</v>
      </c>
      <c r="S285" s="172" t="str">
        <f aca="false">IFERROR(VLOOKUP(VALUE($D285),BSPL2026!$B:$M,12,FALSE()),"")</f>
        <v>감가상각비</v>
      </c>
      <c r="T285" s="172" t="str">
        <f aca="false">IF(OR(S285="",S285=0,LEFT(S285,5)="(원본오류"),"",IF(S285=H285,"","매핑차이"))</f>
        <v/>
      </c>
    </row>
    <row r="286" customFormat="false" ht="16.5" hidden="false" customHeight="false" outlineLevel="0" collapsed="false">
      <c r="D286" s="186" t="s">
        <v>1051</v>
      </c>
      <c r="E286" s="187" t="s">
        <v>1052</v>
      </c>
      <c r="F286" s="188" t="s">
        <v>791</v>
      </c>
      <c r="G286" s="189" t="s">
        <v>862</v>
      </c>
      <c r="H286" s="190" t="s">
        <v>358</v>
      </c>
      <c r="I286" s="191" t="s">
        <v>1052</v>
      </c>
      <c r="J286" s="192" t="n">
        <f aca="false">IFERROR(VLOOKUP(VALUE($D286),BSPL2026!$B:$Z,25,FALSE()),0)</f>
        <v>0</v>
      </c>
      <c r="K286" s="193"/>
      <c r="L286" s="194"/>
      <c r="M286" s="192" t="n">
        <f aca="false">J286+K286-L286</f>
        <v>0</v>
      </c>
      <c r="N286" s="193" t="n">
        <f aca="false">SUMIF('statutory adj_2026 조정분개'!$S:$S,$D286,'statutory adj_2026 조정분개'!$K:$K)</f>
        <v>0</v>
      </c>
      <c r="O286" s="194" t="n">
        <f aca="false">SUMIF('statutory adj_2026 조정분개'!$S:$S,$D286,'statutory adj_2026 조정분개'!$L:$L)</f>
        <v>0</v>
      </c>
      <c r="P286" s="192" t="n">
        <f aca="false">M286+N286-O286</f>
        <v>0</v>
      </c>
      <c r="Q286" s="195" t="n">
        <f aca="false">IFERROR(VLOOKUP(VALUE($D286),BSPL2026!$B:$Q,16,FALSE()),0)</f>
        <v>-383857</v>
      </c>
      <c r="R286" s="196" t="s">
        <v>449</v>
      </c>
      <c r="S286" s="172" t="str">
        <f aca="false">IFERROR(VLOOKUP(VALUE($D286),BSPL2026!$B:$M,12,FALSE()),"")</f>
        <v>감가상각비</v>
      </c>
      <c r="T286" s="172" t="str">
        <f aca="false">IF(OR(S286="",S286=0,LEFT(S286,5)="(원본오류"),"",IF(S286=H286,"","매핑차이"))</f>
        <v/>
      </c>
    </row>
    <row r="287" customFormat="false" ht="16.5" hidden="false" customHeight="false" outlineLevel="0" collapsed="false">
      <c r="D287" s="186" t="s">
        <v>1053</v>
      </c>
      <c r="E287" s="187" t="s">
        <v>879</v>
      </c>
      <c r="F287" s="188" t="s">
        <v>791</v>
      </c>
      <c r="G287" s="189" t="s">
        <v>862</v>
      </c>
      <c r="H287" s="190" t="s">
        <v>358</v>
      </c>
      <c r="I287" s="191" t="s">
        <v>1054</v>
      </c>
      <c r="J287" s="192" t="n">
        <f aca="false">IFERROR(VLOOKUP(VALUE($D287),BSPL2026!$B:$Z,25,FALSE()),0)</f>
        <v>340741388</v>
      </c>
      <c r="K287" s="193"/>
      <c r="L287" s="194"/>
      <c r="M287" s="192" t="n">
        <f aca="false">J287+K287-L287</f>
        <v>340741388</v>
      </c>
      <c r="N287" s="193" t="n">
        <f aca="false">SUMIF('statutory adj_2026 조정분개'!$S:$S,$D287,'statutory adj_2026 조정분개'!$K:$K)</f>
        <v>0</v>
      </c>
      <c r="O287" s="194" t="n">
        <f aca="false">SUMIF('statutory adj_2026 조정분개'!$S:$S,$D287,'statutory adj_2026 조정분개'!$L:$L)</f>
        <v>0</v>
      </c>
      <c r="P287" s="192" t="n">
        <f aca="false">M287+N287-O287</f>
        <v>340741388</v>
      </c>
      <c r="Q287" s="195" t="n">
        <f aca="false">IFERROR(VLOOKUP(VALUE($D287),BSPL2026!$B:$Q,16,FALSE()),0)</f>
        <v>454321850</v>
      </c>
      <c r="R287" s="196" t="s">
        <v>449</v>
      </c>
      <c r="S287" s="172" t="str">
        <f aca="false">IFERROR(VLOOKUP(VALUE($D287),BSPL2026!$B:$M,12,FALSE()),"")</f>
        <v>감가상각비</v>
      </c>
      <c r="T287" s="172" t="str">
        <f aca="false">IF(OR(S287="",S287=0,LEFT(S287,5)="(원본오류"),"",IF(S287=H287,"","매핑차이"))</f>
        <v/>
      </c>
    </row>
    <row r="288" customFormat="false" ht="16.5" hidden="false" customHeight="false" outlineLevel="0" collapsed="false">
      <c r="D288" s="186" t="s">
        <v>1055</v>
      </c>
      <c r="E288" s="187" t="s">
        <v>1056</v>
      </c>
      <c r="F288" s="188" t="s">
        <v>791</v>
      </c>
      <c r="G288" s="189" t="s">
        <v>862</v>
      </c>
      <c r="H288" s="190" t="s">
        <v>358</v>
      </c>
      <c r="I288" s="191" t="s">
        <v>1054</v>
      </c>
      <c r="J288" s="192" t="n">
        <f aca="false">IFERROR(VLOOKUP(VALUE($D288),BSPL2026!$B:$Z,25,FALSE()),0)</f>
        <v>41244000</v>
      </c>
      <c r="K288" s="193"/>
      <c r="L288" s="194"/>
      <c r="M288" s="192" t="n">
        <f aca="false">J288+K288-L288</f>
        <v>41244000</v>
      </c>
      <c r="N288" s="193" t="n">
        <f aca="false">SUMIF('statutory adj_2026 조정분개'!$S:$S,$D288,'statutory adj_2026 조정분개'!$K:$K)</f>
        <v>0</v>
      </c>
      <c r="O288" s="194" t="n">
        <f aca="false">SUMIF('statutory adj_2026 조정분개'!$S:$S,$D288,'statutory adj_2026 조정분개'!$L:$L)</f>
        <v>0</v>
      </c>
      <c r="P288" s="192" t="n">
        <f aca="false">M288+N288-O288</f>
        <v>41244000</v>
      </c>
      <c r="Q288" s="195" t="n">
        <f aca="false">IFERROR(VLOOKUP(VALUE($D288),BSPL2026!$B:$Q,16,FALSE()),0)</f>
        <v>54992000</v>
      </c>
      <c r="R288" s="196" t="s">
        <v>449</v>
      </c>
      <c r="S288" s="172" t="str">
        <f aca="false">IFERROR(VLOOKUP(VALUE($D288),BSPL2026!$B:$M,12,FALSE()),"")</f>
        <v>감가상각비</v>
      </c>
      <c r="T288" s="172" t="str">
        <f aca="false">IF(OR(S288="",S288=0,LEFT(S288,5)="(원본오류"),"",IF(S288=H288,"","매핑차이"))</f>
        <v/>
      </c>
    </row>
    <row r="289" customFormat="false" ht="16.5" hidden="false" customHeight="false" outlineLevel="0" collapsed="false">
      <c r="D289" s="186" t="s">
        <v>1057</v>
      </c>
      <c r="E289" s="187" t="s">
        <v>1058</v>
      </c>
      <c r="F289" s="188" t="s">
        <v>791</v>
      </c>
      <c r="G289" s="189" t="s">
        <v>862</v>
      </c>
      <c r="H289" s="190" t="s">
        <v>344</v>
      </c>
      <c r="I289" s="191" t="s">
        <v>1058</v>
      </c>
      <c r="J289" s="192" t="n">
        <f aca="false">IFERROR(VLOOKUP(VALUE($D289),BSPL2026!$B:$Z,25,FALSE()),0)</f>
        <v>19654241</v>
      </c>
      <c r="K289" s="193"/>
      <c r="L289" s="194"/>
      <c r="M289" s="192" t="n">
        <f aca="false">J289+K289-L289</f>
        <v>19654241</v>
      </c>
      <c r="N289" s="193" t="n">
        <f aca="false">SUMIF('statutory adj_2026 조정분개'!$S:$S,$D289,'statutory adj_2026 조정분개'!$K:$K)</f>
        <v>0</v>
      </c>
      <c r="O289" s="194" t="n">
        <f aca="false">SUMIF('statutory adj_2026 조정분개'!$S:$S,$D289,'statutory adj_2026 조정분개'!$L:$L)</f>
        <v>0</v>
      </c>
      <c r="P289" s="192" t="n">
        <f aca="false">M289+N289-O289</f>
        <v>19654241</v>
      </c>
      <c r="Q289" s="195" t="n">
        <f aca="false">IFERROR(VLOOKUP(VALUE($D289),BSPL2026!$B:$Q,16,FALSE()),0)</f>
        <v>255551702</v>
      </c>
      <c r="R289" s="196" t="s">
        <v>449</v>
      </c>
      <c r="S289" s="172" t="str">
        <f aca="false">IFERROR(VLOOKUP(VALUE($D289),BSPL2026!$B:$M,12,FALSE()),"")</f>
        <v>지급수수료</v>
      </c>
      <c r="T289" s="172" t="str">
        <f aca="false">IF(OR(S289="",S289=0,LEFT(S289,5)="(원본오류"),"",IF(S289=H289,"","매핑차이"))</f>
        <v/>
      </c>
    </row>
    <row r="290" customFormat="false" ht="16.5" hidden="false" customHeight="false" outlineLevel="0" collapsed="false">
      <c r="D290" s="186" t="s">
        <v>1059</v>
      </c>
      <c r="E290" s="187" t="s">
        <v>1060</v>
      </c>
      <c r="F290" s="188" t="s">
        <v>791</v>
      </c>
      <c r="G290" s="189" t="s">
        <v>862</v>
      </c>
      <c r="H290" s="190" t="s">
        <v>341</v>
      </c>
      <c r="I290" s="191" t="s">
        <v>1060</v>
      </c>
      <c r="J290" s="192" t="n">
        <f aca="false">IFERROR(VLOOKUP(VALUE($D290),BSPL2026!$B:$Z,25,FALSE()),0)</f>
        <v>2533174</v>
      </c>
      <c r="K290" s="193"/>
      <c r="L290" s="194"/>
      <c r="M290" s="192" t="n">
        <f aca="false">J290+K290-L290</f>
        <v>2533174</v>
      </c>
      <c r="N290" s="193" t="n">
        <f aca="false">SUMIF('statutory adj_2026 조정분개'!$S:$S,$D290,'statutory adj_2026 조정분개'!$K:$K)</f>
        <v>0</v>
      </c>
      <c r="O290" s="194" t="n">
        <f aca="false">SUMIF('statutory adj_2026 조정분개'!$S:$S,$D290,'statutory adj_2026 조정분개'!$L:$L)</f>
        <v>0</v>
      </c>
      <c r="P290" s="192" t="n">
        <f aca="false">M290+N290-O290</f>
        <v>2533174</v>
      </c>
      <c r="Q290" s="195" t="n">
        <f aca="false">IFERROR(VLOOKUP(VALUE($D290),BSPL2026!$B:$Q,16,FALSE()),0)</f>
        <v>-1420070</v>
      </c>
      <c r="R290" s="196" t="s">
        <v>449</v>
      </c>
      <c r="S290" s="172" t="str">
        <f aca="false">IFERROR(VLOOKUP(VALUE($D290),BSPL2026!$B:$M,12,FALSE()),"")</f>
        <v>수선비</v>
      </c>
      <c r="T290" s="172" t="str">
        <f aca="false">IF(OR(S290="",S290=0,LEFT(S290,5)="(원본오류"),"",IF(S290=H290,"","매핑차이"))</f>
        <v/>
      </c>
    </row>
    <row r="291" customFormat="false" ht="16.5" hidden="false" customHeight="false" outlineLevel="0" collapsed="false">
      <c r="D291" s="186" t="s">
        <v>1061</v>
      </c>
      <c r="E291" s="187" t="s">
        <v>1062</v>
      </c>
      <c r="F291" s="188" t="s">
        <v>791</v>
      </c>
      <c r="G291" s="189" t="s">
        <v>862</v>
      </c>
      <c r="H291" s="190" t="s">
        <v>353</v>
      </c>
      <c r="I291" s="191" t="s">
        <v>1062</v>
      </c>
      <c r="J291" s="192" t="n">
        <f aca="false">IFERROR(VLOOKUP(VALUE($D291),BSPL2026!$B:$Z,25,FALSE()),0)</f>
        <v>274311</v>
      </c>
      <c r="K291" s="193"/>
      <c r="L291" s="194"/>
      <c r="M291" s="192" t="n">
        <f aca="false">J291+K291-L291</f>
        <v>274311</v>
      </c>
      <c r="N291" s="193" t="n">
        <f aca="false">SUMIF('statutory adj_2026 조정분개'!$S:$S,$D291,'statutory adj_2026 조정분개'!$K:$K)</f>
        <v>0</v>
      </c>
      <c r="O291" s="194" t="n">
        <f aca="false">SUMIF('statutory adj_2026 조정분개'!$S:$S,$D291,'statutory adj_2026 조정분개'!$L:$L)</f>
        <v>0</v>
      </c>
      <c r="P291" s="192" t="n">
        <f aca="false">M291+N291-O291</f>
        <v>274311</v>
      </c>
      <c r="Q291" s="195" t="n">
        <f aca="false">IFERROR(VLOOKUP(VALUE($D291),BSPL2026!$B:$Q,16,FALSE()),0)</f>
        <v>1991992</v>
      </c>
      <c r="R291" s="196" t="s">
        <v>449</v>
      </c>
      <c r="S291" s="172" t="str">
        <f aca="false">IFERROR(VLOOKUP(VALUE($D291),BSPL2026!$B:$M,12,FALSE()),"")</f>
        <v>차량비</v>
      </c>
      <c r="T291" s="172" t="str">
        <f aca="false">IF(OR(S291="",S291=0,LEFT(S291,5)="(원본오류"),"",IF(S291=H291,"","매핑차이"))</f>
        <v/>
      </c>
    </row>
    <row r="292" customFormat="false" ht="16.5" hidden="false" customHeight="false" outlineLevel="0" collapsed="false">
      <c r="D292" s="186" t="s">
        <v>1063</v>
      </c>
      <c r="E292" s="187" t="s">
        <v>1064</v>
      </c>
      <c r="F292" s="188" t="s">
        <v>791</v>
      </c>
      <c r="G292" s="189" t="s">
        <v>862</v>
      </c>
      <c r="H292" s="190" t="s">
        <v>335</v>
      </c>
      <c r="I292" s="191" t="s">
        <v>1064</v>
      </c>
      <c r="J292" s="192" t="n">
        <f aca="false">IFERROR(VLOOKUP(VALUE($D292),BSPL2026!$B:$Z,25,FALSE()),0)</f>
        <v>29290731</v>
      </c>
      <c r="K292" s="193"/>
      <c r="L292" s="194"/>
      <c r="M292" s="192" t="n">
        <f aca="false">J292+K292-L292</f>
        <v>29290731</v>
      </c>
      <c r="N292" s="193" t="n">
        <f aca="false">SUMIF('statutory adj_2026 조정분개'!$S:$S,$D292,'statutory adj_2026 조정분개'!$K:$K)</f>
        <v>0</v>
      </c>
      <c r="O292" s="194" t="n">
        <f aca="false">SUMIF('statutory adj_2026 조정분개'!$S:$S,$D292,'statutory adj_2026 조정분개'!$L:$L)</f>
        <v>0</v>
      </c>
      <c r="P292" s="192" t="n">
        <f aca="false">M292+N292-O292</f>
        <v>29290731</v>
      </c>
      <c r="Q292" s="195" t="n">
        <f aca="false">IFERROR(VLOOKUP(VALUE($D292),BSPL2026!$B:$Q,16,FALSE()),0)</f>
        <v>64946303</v>
      </c>
      <c r="R292" s="196" t="s">
        <v>449</v>
      </c>
      <c r="S292" s="172" t="str">
        <f aca="false">IFERROR(VLOOKUP(VALUE($D292),BSPL2026!$B:$M,12,FALSE()),"")</f>
        <v>소모품비</v>
      </c>
      <c r="T292" s="172" t="str">
        <f aca="false">IF(OR(S292="",S292=0,LEFT(S292,5)="(원본오류"),"",IF(S292=H292,"","매핑차이"))</f>
        <v/>
      </c>
    </row>
    <row r="293" customFormat="false" ht="16.5" hidden="false" customHeight="false" outlineLevel="0" collapsed="false">
      <c r="D293" s="186" t="s">
        <v>1065</v>
      </c>
      <c r="E293" s="187" t="s">
        <v>1066</v>
      </c>
      <c r="F293" s="188" t="s">
        <v>791</v>
      </c>
      <c r="G293" s="189" t="s">
        <v>862</v>
      </c>
      <c r="H293" s="190" t="s">
        <v>355</v>
      </c>
      <c r="I293" s="191" t="s">
        <v>1066</v>
      </c>
      <c r="J293" s="192" t="n">
        <f aca="false">IFERROR(VLOOKUP(VALUE($D293),BSPL2026!$B:$Z,25,FALSE()),0)</f>
        <v>31591154</v>
      </c>
      <c r="K293" s="193"/>
      <c r="L293" s="194"/>
      <c r="M293" s="192" t="n">
        <f aca="false">J293+K293-L293</f>
        <v>31591154</v>
      </c>
      <c r="N293" s="193" t="n">
        <f aca="false">SUMIF('statutory adj_2026 조정분개'!$S:$S,$D293,'statutory adj_2026 조정분개'!$K:$K)</f>
        <v>0</v>
      </c>
      <c r="O293" s="194" t="n">
        <f aca="false">SUMIF('statutory adj_2026 조정분개'!$S:$S,$D293,'statutory adj_2026 조정분개'!$L:$L)</f>
        <v>0</v>
      </c>
      <c r="P293" s="192" t="n">
        <f aca="false">M293+N293-O293</f>
        <v>31591154</v>
      </c>
      <c r="Q293" s="195" t="n">
        <f aca="false">IFERROR(VLOOKUP(VALUE($D293),BSPL2026!$B:$Q,16,FALSE()),0)</f>
        <v>0</v>
      </c>
      <c r="R293" s="196" t="s">
        <v>449</v>
      </c>
      <c r="S293" s="172" t="str">
        <f aca="false">IFERROR(VLOOKUP(VALUE($D293),BSPL2026!$B:$M,12,FALSE()),"")</f>
        <v>임상증례조사비</v>
      </c>
      <c r="T293" s="172" t="str">
        <f aca="false">IF(OR(S293="",S293=0,LEFT(S293,5)="(원본오류"),"",IF(S293=H293,"","매핑차이"))</f>
        <v/>
      </c>
    </row>
    <row r="294" customFormat="false" ht="16.5" hidden="false" customHeight="false" outlineLevel="0" collapsed="false">
      <c r="D294" s="186" t="s">
        <v>1067</v>
      </c>
      <c r="E294" s="187" t="s">
        <v>1068</v>
      </c>
      <c r="F294" s="188" t="s">
        <v>791</v>
      </c>
      <c r="G294" s="189" t="s">
        <v>862</v>
      </c>
      <c r="H294" s="190" t="s">
        <v>330</v>
      </c>
      <c r="I294" s="191" t="s">
        <v>1068</v>
      </c>
      <c r="J294" s="192" t="n">
        <f aca="false">IFERROR(VLOOKUP(VALUE($D294),BSPL2026!$B:$Z,25,FALSE()),0)</f>
        <v>-113205122</v>
      </c>
      <c r="K294" s="193"/>
      <c r="L294" s="194"/>
      <c r="M294" s="192" t="n">
        <f aca="false">J294+K294-L294</f>
        <v>-113205122</v>
      </c>
      <c r="N294" s="193" t="n">
        <f aca="false">SUMIF('statutory adj_2026 조정분개'!$S:$S,$D294,'statutory adj_2026 조정분개'!$K:$K)</f>
        <v>0</v>
      </c>
      <c r="O294" s="194" t="n">
        <f aca="false">SUMIF('statutory adj_2026 조정분개'!$S:$S,$D294,'statutory adj_2026 조정분개'!$L:$L)</f>
        <v>0</v>
      </c>
      <c r="P294" s="192" t="n">
        <f aca="false">M294+N294-O294</f>
        <v>-113205122</v>
      </c>
      <c r="Q294" s="195" t="n">
        <f aca="false">IFERROR(VLOOKUP(VALUE($D294),BSPL2026!$B:$Q,16,FALSE()),0)</f>
        <v>79853060</v>
      </c>
      <c r="R294" s="196" t="s">
        <v>449</v>
      </c>
      <c r="S294" s="172" t="str">
        <f aca="false">IFERROR(VLOOKUP(VALUE($D294),BSPL2026!$B:$M,12,FALSE()),"")</f>
        <v>복리후생비</v>
      </c>
      <c r="T294" s="172" t="str">
        <f aca="false">IF(OR(S294="",S294=0,LEFT(S294,5)="(원본오류"),"",IF(S294=H294,"","매핑차이"))</f>
        <v/>
      </c>
    </row>
    <row r="295" customFormat="false" ht="16.5" hidden="false" customHeight="false" outlineLevel="0" collapsed="false">
      <c r="D295" s="186" t="s">
        <v>1069</v>
      </c>
      <c r="E295" s="187" t="s">
        <v>1070</v>
      </c>
      <c r="F295" s="188" t="s">
        <v>791</v>
      </c>
      <c r="G295" s="189" t="s">
        <v>862</v>
      </c>
      <c r="H295" s="190" t="s">
        <v>336</v>
      </c>
      <c r="I295" s="191" t="s">
        <v>1070</v>
      </c>
      <c r="J295" s="192" t="n">
        <f aca="false">IFERROR(VLOOKUP(VALUE($D295),BSPL2026!$B:$Z,25,FALSE()),0)</f>
        <v>8549981</v>
      </c>
      <c r="K295" s="193"/>
      <c r="L295" s="194"/>
      <c r="M295" s="192" t="n">
        <f aca="false">J295+K295-L295</f>
        <v>8549981</v>
      </c>
      <c r="N295" s="193" t="n">
        <f aca="false">SUMIF('statutory adj_2026 조정분개'!$S:$S,$D295,'statutory adj_2026 조정분개'!$K:$K)</f>
        <v>0</v>
      </c>
      <c r="O295" s="194" t="n">
        <f aca="false">SUMIF('statutory adj_2026 조정분개'!$S:$S,$D295,'statutory adj_2026 조정분개'!$L:$L)</f>
        <v>0</v>
      </c>
      <c r="P295" s="192" t="n">
        <f aca="false">M295+N295-O295</f>
        <v>8549981</v>
      </c>
      <c r="Q295" s="195" t="n">
        <f aca="false">IFERROR(VLOOKUP(VALUE($D295),BSPL2026!$B:$Q,16,FALSE()),0)</f>
        <v>5701984</v>
      </c>
      <c r="R295" s="196" t="s">
        <v>449</v>
      </c>
      <c r="S295" s="172" t="str">
        <f aca="false">IFERROR(VLOOKUP(VALUE($D295),BSPL2026!$B:$M,12,FALSE()),"")</f>
        <v>도서인쇄비</v>
      </c>
      <c r="T295" s="172" t="str">
        <f aca="false">IF(OR(S295="",S295=0,LEFT(S295,5)="(원본오류"),"",IF(S295=H295,"","매핑차이"))</f>
        <v/>
      </c>
    </row>
    <row r="296" customFormat="false" ht="16.5" hidden="false" customHeight="false" outlineLevel="0" collapsed="false">
      <c r="D296" s="186" t="s">
        <v>1071</v>
      </c>
      <c r="E296" s="187" t="s">
        <v>1072</v>
      </c>
      <c r="F296" s="188" t="s">
        <v>791</v>
      </c>
      <c r="G296" s="189" t="s">
        <v>862</v>
      </c>
      <c r="H296" s="190" t="s">
        <v>336</v>
      </c>
      <c r="I296" s="191" t="s">
        <v>1072</v>
      </c>
      <c r="J296" s="192" t="n">
        <f aca="false">IFERROR(VLOOKUP(VALUE($D296),BSPL2026!$B:$Z,25,FALSE()),0)</f>
        <v>453188710</v>
      </c>
      <c r="K296" s="193"/>
      <c r="L296" s="194"/>
      <c r="M296" s="192" t="n">
        <f aca="false">J296+K296-L296</f>
        <v>453188710</v>
      </c>
      <c r="N296" s="193" t="n">
        <f aca="false">SUMIF('statutory adj_2026 조정분개'!$S:$S,$D296,'statutory adj_2026 조정분개'!$K:$K)</f>
        <v>0</v>
      </c>
      <c r="O296" s="194" t="n">
        <f aca="false">SUMIF('statutory adj_2026 조정분개'!$S:$S,$D296,'statutory adj_2026 조정분개'!$L:$L)</f>
        <v>0</v>
      </c>
      <c r="P296" s="192" t="n">
        <f aca="false">M296+N296-O296</f>
        <v>453188710</v>
      </c>
      <c r="Q296" s="195" t="n">
        <f aca="false">IFERROR(VLOOKUP(VALUE($D296),BSPL2026!$B:$Q,16,FALSE()),0)</f>
        <v>299612978</v>
      </c>
      <c r="R296" s="196" t="s">
        <v>449</v>
      </c>
      <c r="S296" s="172" t="str">
        <f aca="false">IFERROR(VLOOKUP(VALUE($D296),BSPL2026!$B:$M,12,FALSE()),"")</f>
        <v>도서인쇄비</v>
      </c>
      <c r="T296" s="172" t="str">
        <f aca="false">IF(OR(S296="",S296=0,LEFT(S296,5)="(원본오류"),"",IF(S296=H296,"","매핑차이"))</f>
        <v/>
      </c>
    </row>
    <row r="297" customFormat="false" ht="16.5" hidden="false" customHeight="false" outlineLevel="0" collapsed="false">
      <c r="D297" s="186" t="s">
        <v>1073</v>
      </c>
      <c r="E297" s="187" t="s">
        <v>1074</v>
      </c>
      <c r="F297" s="188" t="s">
        <v>791</v>
      </c>
      <c r="G297" s="189" t="s">
        <v>862</v>
      </c>
      <c r="H297" s="190" t="s">
        <v>361</v>
      </c>
      <c r="I297" s="191" t="s">
        <v>1074</v>
      </c>
      <c r="J297" s="192" t="n">
        <f aca="false">IFERROR(VLOOKUP(VALUE($D297),BSPL2026!$B:$Z,25,FALSE()),0)</f>
        <v>218563083</v>
      </c>
      <c r="K297" s="193"/>
      <c r="L297" s="194"/>
      <c r="M297" s="192" t="n">
        <f aca="false">J297+K297-L297</f>
        <v>218563083</v>
      </c>
      <c r="N297" s="193" t="n">
        <f aca="false">SUMIF('statutory adj_2026 조정분개'!$S:$S,$D297,'statutory adj_2026 조정분개'!$K:$K)</f>
        <v>0</v>
      </c>
      <c r="O297" s="194" t="n">
        <f aca="false">SUMIF('statutory adj_2026 조정분개'!$S:$S,$D297,'statutory adj_2026 조정분개'!$L:$L)</f>
        <v>0</v>
      </c>
      <c r="P297" s="192" t="n">
        <f aca="false">M297+N297-O297</f>
        <v>218563083</v>
      </c>
      <c r="Q297" s="195" t="n">
        <f aca="false">IFERROR(VLOOKUP(VALUE($D297),BSPL2026!$B:$Q,16,FALSE()),0)</f>
        <v>248286549</v>
      </c>
      <c r="R297" s="196" t="s">
        <v>449</v>
      </c>
      <c r="S297" s="172" t="str">
        <f aca="false">IFERROR(VLOOKUP(VALUE($D297),BSPL2026!$B:$M,12,FALSE()),"")</f>
        <v>보험료</v>
      </c>
      <c r="T297" s="172" t="str">
        <f aca="false">IF(OR(S297="",S297=0,LEFT(S297,5)="(원본오류"),"",IF(S297=H297,"","매핑차이"))</f>
        <v/>
      </c>
    </row>
    <row r="298" customFormat="false" ht="16.5" hidden="false" customHeight="false" outlineLevel="0" collapsed="false">
      <c r="D298" s="186" t="s">
        <v>1075</v>
      </c>
      <c r="E298" s="187" t="s">
        <v>1076</v>
      </c>
      <c r="F298" s="188" t="s">
        <v>791</v>
      </c>
      <c r="G298" s="189" t="s">
        <v>862</v>
      </c>
      <c r="H298" s="190" t="s">
        <v>361</v>
      </c>
      <c r="I298" s="191" t="s">
        <v>1076</v>
      </c>
      <c r="J298" s="192" t="n">
        <f aca="false">IFERROR(VLOOKUP(VALUE($D298),BSPL2026!$B:$Z,25,FALSE()),0)</f>
        <v>210123882</v>
      </c>
      <c r="K298" s="193"/>
      <c r="L298" s="194"/>
      <c r="M298" s="192" t="n">
        <f aca="false">J298+K298-L298</f>
        <v>210123882</v>
      </c>
      <c r="N298" s="193" t="n">
        <f aca="false">SUMIF('statutory adj_2026 조정분개'!$S:$S,$D298,'statutory adj_2026 조정분개'!$K:$K)</f>
        <v>0</v>
      </c>
      <c r="O298" s="194" t="n">
        <f aca="false">SUMIF('statutory adj_2026 조정분개'!$S:$S,$D298,'statutory adj_2026 조정분개'!$L:$L)</f>
        <v>0</v>
      </c>
      <c r="P298" s="192" t="n">
        <f aca="false">M298+N298-O298</f>
        <v>210123882</v>
      </c>
      <c r="Q298" s="195" t="n">
        <f aca="false">IFERROR(VLOOKUP(VALUE($D298),BSPL2026!$B:$Q,16,FALSE()),0)</f>
        <v>648706188</v>
      </c>
      <c r="R298" s="196" t="s">
        <v>449</v>
      </c>
      <c r="S298" s="172" t="str">
        <f aca="false">IFERROR(VLOOKUP(VALUE($D298),BSPL2026!$B:$M,12,FALSE()),"")</f>
        <v>보험료</v>
      </c>
      <c r="T298" s="172" t="str">
        <f aca="false">IF(OR(S298="",S298=0,LEFT(S298,5)="(원본오류"),"",IF(S298=H298,"","매핑차이"))</f>
        <v/>
      </c>
    </row>
    <row r="299" customFormat="false" ht="16.5" hidden="false" customHeight="false" outlineLevel="0" collapsed="false">
      <c r="D299" s="186" t="s">
        <v>1077</v>
      </c>
      <c r="E299" s="187" t="s">
        <v>1078</v>
      </c>
      <c r="F299" s="188" t="s">
        <v>791</v>
      </c>
      <c r="G299" s="189" t="s">
        <v>862</v>
      </c>
      <c r="H299" s="190" t="s">
        <v>312</v>
      </c>
      <c r="I299" s="191" t="s">
        <v>1078</v>
      </c>
      <c r="J299" s="192" t="n">
        <f aca="false">IFERROR(VLOOKUP(VALUE($D299),BSPL2026!$B:$Z,25,FALSE()),0)</f>
        <v>882045385</v>
      </c>
      <c r="K299" s="193"/>
      <c r="L299" s="194"/>
      <c r="M299" s="192" t="n">
        <f aca="false">J299+K299-L299</f>
        <v>882045385</v>
      </c>
      <c r="N299" s="193" t="n">
        <f aca="false">SUMIF('statutory adj_2026 조정분개'!$S:$S,$D299,'statutory adj_2026 조정분개'!$K:$K)</f>
        <v>0</v>
      </c>
      <c r="O299" s="194" t="n">
        <f aca="false">SUMIF('statutory adj_2026 조정분개'!$S:$S,$D299,'statutory adj_2026 조정분개'!$L:$L)</f>
        <v>0</v>
      </c>
      <c r="P299" s="192" t="n">
        <f aca="false">M299+N299-O299</f>
        <v>882045385</v>
      </c>
      <c r="Q299" s="195" t="n">
        <f aca="false">IFERROR(VLOOKUP(VALUE($D299),BSPL2026!$B:$Q,16,FALSE()),0)</f>
        <v>1824005086</v>
      </c>
      <c r="R299" s="196" t="s">
        <v>449</v>
      </c>
      <c r="S299" s="172" t="str">
        <f aca="false">IFERROR(VLOOKUP(VALUE($D299),BSPL2026!$B:$M,12,FALSE()),"")</f>
        <v>하조및운임</v>
      </c>
      <c r="T299" s="172" t="str">
        <f aca="false">IF(OR(S299="",S299=0,LEFT(S299,5)="(원본오류"),"",IF(S299=H299,"","매핑차이"))</f>
        <v/>
      </c>
    </row>
    <row r="300" customFormat="false" ht="16.5" hidden="false" customHeight="false" outlineLevel="0" collapsed="false">
      <c r="D300" s="186" t="s">
        <v>1079</v>
      </c>
      <c r="E300" s="187" t="s">
        <v>1080</v>
      </c>
      <c r="F300" s="188" t="s">
        <v>791</v>
      </c>
      <c r="G300" s="189" t="s">
        <v>862</v>
      </c>
      <c r="H300" s="190" t="s">
        <v>312</v>
      </c>
      <c r="I300" s="191" t="s">
        <v>1081</v>
      </c>
      <c r="J300" s="192" t="n">
        <f aca="false">IFERROR(VLOOKUP(VALUE($D300),BSPL2026!$B:$Z,25,FALSE()),0)</f>
        <v>-55000</v>
      </c>
      <c r="K300" s="193"/>
      <c r="L300" s="194"/>
      <c r="M300" s="192" t="n">
        <f aca="false">J300+K300-L300</f>
        <v>-55000</v>
      </c>
      <c r="N300" s="193" t="n">
        <f aca="false">SUMIF('statutory adj_2026 조정분개'!$S:$S,$D300,'statutory adj_2026 조정분개'!$K:$K)</f>
        <v>0</v>
      </c>
      <c r="O300" s="194" t="n">
        <f aca="false">SUMIF('statutory adj_2026 조정분개'!$S:$S,$D300,'statutory adj_2026 조정분개'!$L:$L)</f>
        <v>0</v>
      </c>
      <c r="P300" s="192" t="n">
        <f aca="false">M300+N300-O300</f>
        <v>-55000</v>
      </c>
      <c r="Q300" s="195" t="n">
        <f aca="false">IFERROR(VLOOKUP(VALUE($D300),BSPL2026!$B:$Q,16,FALSE()),0)</f>
        <v>1769103</v>
      </c>
      <c r="R300" s="196" t="s">
        <v>449</v>
      </c>
      <c r="S300" s="172" t="str">
        <f aca="false">IFERROR(VLOOKUP(VALUE($D300),BSPL2026!$B:$M,12,FALSE()),"")</f>
        <v>하조및운임</v>
      </c>
      <c r="T300" s="172" t="str">
        <f aca="false">IF(OR(S300="",S300=0,LEFT(S300,5)="(원본오류"),"",IF(S300=H300,"","매핑차이"))</f>
        <v/>
      </c>
    </row>
    <row r="301" customFormat="false" ht="16.5" hidden="false" customHeight="false" outlineLevel="0" collapsed="false">
      <c r="D301" s="186" t="s">
        <v>1082</v>
      </c>
      <c r="E301" s="187" t="s">
        <v>1083</v>
      </c>
      <c r="F301" s="188" t="s">
        <v>791</v>
      </c>
      <c r="G301" s="189" t="s">
        <v>862</v>
      </c>
      <c r="H301" s="190" t="s">
        <v>346</v>
      </c>
      <c r="I301" s="191" t="s">
        <v>1083</v>
      </c>
      <c r="J301" s="192" t="n">
        <f aca="false">IFERROR(VLOOKUP(VALUE($D301),BSPL2026!$B:$Z,25,FALSE()),0)</f>
        <v>7497550</v>
      </c>
      <c r="K301" s="193"/>
      <c r="L301" s="194"/>
      <c r="M301" s="192" t="n">
        <f aca="false">J301+K301-L301</f>
        <v>7497550</v>
      </c>
      <c r="N301" s="193" t="n">
        <f aca="false">SUMIF('statutory adj_2026 조정분개'!$S:$S,$D301,'statutory adj_2026 조정분개'!$K:$K)</f>
        <v>0</v>
      </c>
      <c r="O301" s="194" t="n">
        <f aca="false">SUMIF('statutory adj_2026 조정분개'!$S:$S,$D301,'statutory adj_2026 조정분개'!$L:$L)</f>
        <v>0</v>
      </c>
      <c r="P301" s="192" t="n">
        <f aca="false">M301+N301-O301</f>
        <v>7497550</v>
      </c>
      <c r="Q301" s="195" t="n">
        <f aca="false">IFERROR(VLOOKUP(VALUE($D301),BSPL2026!$B:$Q,16,FALSE()),0)</f>
        <v>1407780</v>
      </c>
      <c r="R301" s="196" t="s">
        <v>449</v>
      </c>
      <c r="S301" s="172" t="str">
        <f aca="false">IFERROR(VLOOKUP(VALUE($D301),BSPL2026!$B:$M,12,FALSE()),"")</f>
        <v>제세공과</v>
      </c>
      <c r="T301" s="172" t="str">
        <f aca="false">IF(OR(S301="",S301=0,LEFT(S301,5)="(원본오류"),"",IF(S301=H301,"","매핑차이"))</f>
        <v/>
      </c>
    </row>
    <row r="302" customFormat="false" ht="16.5" hidden="false" customHeight="false" outlineLevel="0" collapsed="false">
      <c r="D302" s="186" t="s">
        <v>1084</v>
      </c>
      <c r="E302" s="187" t="s">
        <v>1085</v>
      </c>
      <c r="F302" s="188" t="s">
        <v>791</v>
      </c>
      <c r="G302" s="189" t="s">
        <v>862</v>
      </c>
      <c r="H302" s="190" t="s">
        <v>330</v>
      </c>
      <c r="I302" s="191" t="s">
        <v>1085</v>
      </c>
      <c r="J302" s="192" t="n">
        <f aca="false">IFERROR(VLOOKUP(VALUE($D302),BSPL2026!$B:$Z,25,FALSE()),0)</f>
        <v>380536469</v>
      </c>
      <c r="K302" s="193"/>
      <c r="L302" s="194"/>
      <c r="M302" s="192" t="n">
        <f aca="false">J302+K302-L302</f>
        <v>380536469</v>
      </c>
      <c r="N302" s="193" t="n">
        <f aca="false">SUMIF('statutory adj_2026 조정분개'!$S:$S,$D302,'statutory adj_2026 조정분개'!$K:$K)</f>
        <v>0</v>
      </c>
      <c r="O302" s="194" t="n">
        <f aca="false">SUMIF('statutory adj_2026 조정분개'!$S:$S,$D302,'statutory adj_2026 조정분개'!$L:$L)</f>
        <v>0</v>
      </c>
      <c r="P302" s="192" t="n">
        <f aca="false">M302+N302-O302</f>
        <v>380536469</v>
      </c>
      <c r="Q302" s="195" t="n">
        <f aca="false">IFERROR(VLOOKUP(VALUE($D302),BSPL2026!$B:$Q,16,FALSE()),0)</f>
        <v>400875300</v>
      </c>
      <c r="R302" s="196" t="s">
        <v>449</v>
      </c>
      <c r="S302" s="172" t="str">
        <f aca="false">IFERROR(VLOOKUP(VALUE($D302),BSPL2026!$B:$M,12,FALSE()),"")</f>
        <v>복리후생비</v>
      </c>
      <c r="T302" s="172" t="str">
        <f aca="false">IF(OR(S302="",S302=0,LEFT(S302,5)="(원본오류"),"",IF(S302=H302,"","매핑차이"))</f>
        <v/>
      </c>
    </row>
    <row r="303" customFormat="false" ht="16.5" hidden="false" customHeight="false" outlineLevel="0" collapsed="false">
      <c r="D303" s="186" t="s">
        <v>1086</v>
      </c>
      <c r="E303" s="187" t="s">
        <v>1087</v>
      </c>
      <c r="F303" s="188" t="s">
        <v>791</v>
      </c>
      <c r="G303" s="189" t="s">
        <v>862</v>
      </c>
      <c r="H303" s="190" t="s">
        <v>336</v>
      </c>
      <c r="I303" s="191" t="s">
        <v>1087</v>
      </c>
      <c r="J303" s="192" t="n">
        <f aca="false">IFERROR(VLOOKUP(VALUE($D303),BSPL2026!$B:$Z,25,FALSE()),0)</f>
        <v>11790000</v>
      </c>
      <c r="K303" s="193"/>
      <c r="L303" s="194"/>
      <c r="M303" s="192" t="n">
        <f aca="false">J303+K303-L303</f>
        <v>11790000</v>
      </c>
      <c r="N303" s="193" t="n">
        <f aca="false">SUMIF('statutory adj_2026 조정분개'!$S:$S,$D303,'statutory adj_2026 조정분개'!$K:$K)</f>
        <v>0</v>
      </c>
      <c r="O303" s="194" t="n">
        <f aca="false">SUMIF('statutory adj_2026 조정분개'!$S:$S,$D303,'statutory adj_2026 조정분개'!$L:$L)</f>
        <v>0</v>
      </c>
      <c r="P303" s="192" t="n">
        <f aca="false">M303+N303-O303</f>
        <v>11790000</v>
      </c>
      <c r="Q303" s="195" t="n">
        <f aca="false">IFERROR(VLOOKUP(VALUE($D303),BSPL2026!$B:$Q,16,FALSE()),0)</f>
        <v>22040000</v>
      </c>
      <c r="R303" s="196" t="s">
        <v>449</v>
      </c>
      <c r="S303" s="172" t="str">
        <f aca="false">IFERROR(VLOOKUP(VALUE($D303),BSPL2026!$B:$M,12,FALSE()),"")</f>
        <v>도서인쇄비</v>
      </c>
      <c r="T303" s="172" t="str">
        <f aca="false">IF(OR(S303="",S303=0,LEFT(S303,5)="(원본오류"),"",IF(S303=H303,"","매핑차이"))</f>
        <v/>
      </c>
    </row>
    <row r="304" customFormat="false" ht="16.5" hidden="false" customHeight="false" outlineLevel="0" collapsed="false">
      <c r="D304" s="186" t="s">
        <v>1088</v>
      </c>
      <c r="E304" s="187" t="s">
        <v>1089</v>
      </c>
      <c r="F304" s="188" t="s">
        <v>791</v>
      </c>
      <c r="G304" s="189" t="s">
        <v>1090</v>
      </c>
      <c r="H304" s="190" t="s">
        <v>419</v>
      </c>
      <c r="I304" s="191" t="s">
        <v>1089</v>
      </c>
      <c r="J304" s="192" t="n">
        <f aca="false">IFERROR(VLOOKUP(VALUE($D304),BSPL2026!$B:$Z,25,FALSE()),0)</f>
        <v>-8407426</v>
      </c>
      <c r="K304" s="193"/>
      <c r="L304" s="194"/>
      <c r="M304" s="192" t="n">
        <f aca="false">J304+K304-L304</f>
        <v>-8407426</v>
      </c>
      <c r="N304" s="193" t="n">
        <f aca="false">SUMIF('statutory adj_2026 조정분개'!$S:$S,$D304,'statutory adj_2026 조정분개'!$K:$K)</f>
        <v>0</v>
      </c>
      <c r="O304" s="194" t="n">
        <f aca="false">SUMIF('statutory adj_2026 조정분개'!$S:$S,$D304,'statutory adj_2026 조정분개'!$L:$L)</f>
        <v>0</v>
      </c>
      <c r="P304" s="192" t="n">
        <f aca="false">M304+N304-O304</f>
        <v>-8407426</v>
      </c>
      <c r="Q304" s="195" t="n">
        <f aca="false">IFERROR(VLOOKUP(VALUE($D304),BSPL2026!$B:$Q,16,FALSE()),0)</f>
        <v>97646461</v>
      </c>
      <c r="R304" s="196" t="s">
        <v>449</v>
      </c>
      <c r="S304" s="172" t="str">
        <f aca="false">IFERROR(VLOOKUP(VALUE($D304),BSPL2026!$B:$M,12,FALSE()),"")</f>
        <v>잡손실</v>
      </c>
      <c r="T304" s="172" t="str">
        <f aca="false">IF(OR(S304="",S304=0,LEFT(S304,5)="(원본오류"),"",IF(S304=H304,"","매핑차이"))</f>
        <v/>
      </c>
    </row>
    <row r="305" customFormat="false" ht="16.5" hidden="false" customHeight="false" outlineLevel="0" collapsed="false">
      <c r="D305" s="186" t="s">
        <v>1091</v>
      </c>
      <c r="E305" s="187" t="s">
        <v>1092</v>
      </c>
      <c r="F305" s="188" t="s">
        <v>791</v>
      </c>
      <c r="G305" s="189" t="s">
        <v>1090</v>
      </c>
      <c r="H305" s="190" t="s">
        <v>406</v>
      </c>
      <c r="I305" s="191" t="s">
        <v>1093</v>
      </c>
      <c r="J305" s="192" t="n">
        <f aca="false">IFERROR(VLOOKUP(VALUE($D305),BSPL2026!$B:$Z,25,FALSE()),0)</f>
        <v>285797619</v>
      </c>
      <c r="K305" s="193"/>
      <c r="L305" s="194"/>
      <c r="M305" s="192" t="n">
        <f aca="false">J305+K305-L305</f>
        <v>285797619</v>
      </c>
      <c r="N305" s="193" t="n">
        <f aca="false">SUMIF('statutory adj_2026 조정분개'!$S:$S,$D305,'statutory adj_2026 조정분개'!$K:$K)</f>
        <v>0</v>
      </c>
      <c r="O305" s="194" t="n">
        <f aca="false">SUMIF('statutory adj_2026 조정분개'!$S:$S,$D305,'statutory adj_2026 조정분개'!$L:$L)</f>
        <v>0</v>
      </c>
      <c r="P305" s="192" t="n">
        <f aca="false">M305+N305-O305</f>
        <v>285797619</v>
      </c>
      <c r="Q305" s="195" t="n">
        <f aca="false">IFERROR(VLOOKUP(VALUE($D305),BSPL2026!$B:$Q,16,FALSE()),0)</f>
        <v>213198200</v>
      </c>
      <c r="R305" s="196" t="s">
        <v>449</v>
      </c>
      <c r="S305" s="172" t="str">
        <f aca="false">IFERROR(VLOOKUP(VALUE($D305),BSPL2026!$B:$M,12,FALSE()),"")</f>
        <v>기부금</v>
      </c>
      <c r="T305" s="172" t="str">
        <f aca="false">IF(OR(S305="",S305=0,LEFT(S305,5)="(원본오류"),"",IF(S305=H305,"","매핑차이"))</f>
        <v/>
      </c>
    </row>
    <row r="306" customFormat="false" ht="16.5" hidden="false" customHeight="false" outlineLevel="0" collapsed="false">
      <c r="D306" s="186" t="s">
        <v>1094</v>
      </c>
      <c r="E306" s="187" t="s">
        <v>1095</v>
      </c>
      <c r="F306" s="188" t="s">
        <v>791</v>
      </c>
      <c r="G306" s="189" t="s">
        <v>1090</v>
      </c>
      <c r="H306" s="190" t="s">
        <v>406</v>
      </c>
      <c r="I306" s="191" t="s">
        <v>1096</v>
      </c>
      <c r="J306" s="192" t="n">
        <f aca="false">IFERROR(VLOOKUP(VALUE($D306),BSPL2026!$B:$Z,25,FALSE()),0)</f>
        <v>0</v>
      </c>
      <c r="K306" s="193"/>
      <c r="L306" s="194"/>
      <c r="M306" s="192" t="n">
        <f aca="false">J306+K306-L306</f>
        <v>0</v>
      </c>
      <c r="N306" s="193" t="n">
        <f aca="false">SUMIF('statutory adj_2026 조정분개'!$S:$S,$D306,'statutory adj_2026 조정분개'!$K:$K)</f>
        <v>0</v>
      </c>
      <c r="O306" s="194" t="n">
        <f aca="false">SUMIF('statutory adj_2026 조정분개'!$S:$S,$D306,'statutory adj_2026 조정분개'!$L:$L)</f>
        <v>0</v>
      </c>
      <c r="P306" s="192" t="n">
        <f aca="false">M306+N306-O306</f>
        <v>0</v>
      </c>
      <c r="Q306" s="195" t="n">
        <f aca="false">IFERROR(VLOOKUP(VALUE($D306),BSPL2026!$B:$Q,16,FALSE()),0)</f>
        <v>10000000</v>
      </c>
      <c r="R306" s="196" t="s">
        <v>449</v>
      </c>
      <c r="S306" s="172" t="str">
        <f aca="false">IFERROR(VLOOKUP(VALUE($D306),BSPL2026!$B:$M,12,FALSE()),"")</f>
        <v>기부금</v>
      </c>
      <c r="T306" s="172" t="str">
        <f aca="false">IF(OR(S306="",S306=0,LEFT(S306,5)="(원본오류"),"",IF(S306=H306,"","매핑차이"))</f>
        <v/>
      </c>
    </row>
    <row r="307" customFormat="false" ht="16.5" hidden="false" customHeight="false" outlineLevel="0" collapsed="false">
      <c r="D307" s="186" t="s">
        <v>1097</v>
      </c>
      <c r="E307" s="187" t="s">
        <v>1098</v>
      </c>
      <c r="F307" s="188" t="s">
        <v>791</v>
      </c>
      <c r="G307" s="189" t="s">
        <v>1090</v>
      </c>
      <c r="H307" s="190" t="s">
        <v>406</v>
      </c>
      <c r="I307" s="191" t="s">
        <v>1098</v>
      </c>
      <c r="J307" s="192" t="n">
        <f aca="false">IFERROR(VLOOKUP(VALUE($D307),BSPL2026!$B:$Z,25,FALSE()),0)</f>
        <v>5000000</v>
      </c>
      <c r="K307" s="193"/>
      <c r="L307" s="194"/>
      <c r="M307" s="192" t="n">
        <f aca="false">J307+K307-L307</f>
        <v>5000000</v>
      </c>
      <c r="N307" s="193" t="n">
        <f aca="false">SUMIF('statutory adj_2026 조정분개'!$S:$S,$D307,'statutory adj_2026 조정분개'!$K:$K)</f>
        <v>0</v>
      </c>
      <c r="O307" s="194" t="n">
        <f aca="false">SUMIF('statutory adj_2026 조정분개'!$S:$S,$D307,'statutory adj_2026 조정분개'!$L:$L)</f>
        <v>0</v>
      </c>
      <c r="P307" s="192" t="n">
        <f aca="false">M307+N307-O307</f>
        <v>5000000</v>
      </c>
      <c r="Q307" s="195" t="n">
        <f aca="false">IFERROR(VLOOKUP(VALUE($D307),BSPL2026!$B:$Q,16,FALSE()),0)</f>
        <v>35855618</v>
      </c>
      <c r="R307" s="196" t="s">
        <v>449</v>
      </c>
      <c r="S307" s="172" t="str">
        <f aca="false">IFERROR(VLOOKUP(VALUE($D307),BSPL2026!$B:$M,12,FALSE()),"")</f>
        <v>기부금</v>
      </c>
      <c r="T307" s="172" t="str">
        <f aca="false">IF(OR(S307="",S307=0,LEFT(S307,5)="(원본오류"),"",IF(S307=H307,"","매핑차이"))</f>
        <v/>
      </c>
    </row>
    <row r="308" customFormat="false" ht="16.5" hidden="false" customHeight="false" outlineLevel="0" collapsed="false">
      <c r="D308" s="186" t="s">
        <v>1099</v>
      </c>
      <c r="E308" s="187" t="s">
        <v>1100</v>
      </c>
      <c r="F308" s="188" t="s">
        <v>791</v>
      </c>
      <c r="G308" s="189" t="s">
        <v>862</v>
      </c>
      <c r="H308" s="190" t="s">
        <v>344</v>
      </c>
      <c r="I308" s="191" t="s">
        <v>1100</v>
      </c>
      <c r="J308" s="192" t="n">
        <f aca="false">IFERROR(VLOOKUP(VALUE($D308),BSPL2026!$B:$Z,25,FALSE()),0)</f>
        <v>64618589</v>
      </c>
      <c r="K308" s="193"/>
      <c r="L308" s="194"/>
      <c r="M308" s="192" t="n">
        <f aca="false">J308+K308-L308</f>
        <v>64618589</v>
      </c>
      <c r="N308" s="193" t="n">
        <f aca="false">SUMIF('statutory adj_2026 조정분개'!$S:$S,$D308,'statutory adj_2026 조정분개'!$K:$K)</f>
        <v>0</v>
      </c>
      <c r="O308" s="194" t="n">
        <f aca="false">SUMIF('statutory adj_2026 조정분개'!$S:$S,$D308,'statutory adj_2026 조정분개'!$L:$L)</f>
        <v>0</v>
      </c>
      <c r="P308" s="192" t="n">
        <f aca="false">M308+N308-O308</f>
        <v>64618589</v>
      </c>
      <c r="Q308" s="195" t="n">
        <f aca="false">IFERROR(VLOOKUP(VALUE($D308),BSPL2026!$B:$Q,16,FALSE()),0)</f>
        <v>81697788</v>
      </c>
      <c r="R308" s="196" t="s">
        <v>449</v>
      </c>
      <c r="S308" s="172" t="str">
        <f aca="false">IFERROR(VLOOKUP(VALUE($D308),BSPL2026!$B:$M,12,FALSE()),"")</f>
        <v>지급수수료</v>
      </c>
      <c r="T308" s="172" t="str">
        <f aca="false">IF(OR(S308="",S308=0,LEFT(S308,5)="(원본오류"),"",IF(S308=H308,"","매핑차이"))</f>
        <v/>
      </c>
    </row>
    <row r="309" customFormat="false" ht="16.5" hidden="false" customHeight="false" outlineLevel="0" collapsed="false">
      <c r="D309" s="186" t="s">
        <v>1101</v>
      </c>
      <c r="E309" s="187" t="s">
        <v>1102</v>
      </c>
      <c r="F309" s="188" t="s">
        <v>791</v>
      </c>
      <c r="G309" s="189" t="s">
        <v>862</v>
      </c>
      <c r="H309" s="190" t="s">
        <v>355</v>
      </c>
      <c r="I309" s="191" t="s">
        <v>1102</v>
      </c>
      <c r="J309" s="192" t="n">
        <f aca="false">IFERROR(VLOOKUP(VALUE($D309),BSPL2026!$B:$Z,25,FALSE()),0)</f>
        <v>0</v>
      </c>
      <c r="K309" s="193"/>
      <c r="L309" s="194"/>
      <c r="M309" s="192" t="n">
        <f aca="false">J309+K309-L309</f>
        <v>0</v>
      </c>
      <c r="N309" s="193" t="n">
        <f aca="false">SUMIF('statutory adj_2026 조정분개'!$S:$S,$D309,'statutory adj_2026 조정분개'!$K:$K)</f>
        <v>0</v>
      </c>
      <c r="O309" s="194" t="n">
        <f aca="false">SUMIF('statutory adj_2026 조정분개'!$S:$S,$D309,'statutory adj_2026 조정분개'!$L:$L)</f>
        <v>0</v>
      </c>
      <c r="P309" s="192" t="n">
        <f aca="false">M309+N309-O309</f>
        <v>0</v>
      </c>
      <c r="Q309" s="195" t="n">
        <f aca="false">IFERROR(VLOOKUP(VALUE($D309),BSPL2026!$B:$Q,16,FALSE()),0)</f>
        <v>-174835248</v>
      </c>
      <c r="R309" s="196" t="s">
        <v>449</v>
      </c>
      <c r="S309" s="172" t="str">
        <f aca="false">IFERROR(VLOOKUP(VALUE($D309),BSPL2026!$B:$M,12,FALSE()),"")</f>
        <v>임상증례조사비</v>
      </c>
      <c r="T309" s="172" t="str">
        <f aca="false">IF(OR(S309="",S309=0,LEFT(S309,5)="(원본오류"),"",IF(S309=H309,"","매핑차이"))</f>
        <v/>
      </c>
    </row>
    <row r="310" customFormat="false" ht="16.5" hidden="false" customHeight="false" outlineLevel="0" collapsed="false">
      <c r="D310" s="186" t="s">
        <v>1103</v>
      </c>
      <c r="E310" s="187" t="s">
        <v>1104</v>
      </c>
      <c r="F310" s="188" t="s">
        <v>791</v>
      </c>
      <c r="G310" s="189" t="s">
        <v>862</v>
      </c>
      <c r="H310" s="190" t="s">
        <v>344</v>
      </c>
      <c r="I310" s="191" t="s">
        <v>1104</v>
      </c>
      <c r="J310" s="192" t="n">
        <f aca="false">IFERROR(VLOOKUP(VALUE($D310),BSPL2026!$B:$Z,25,FALSE()),0)</f>
        <v>407970082</v>
      </c>
      <c r="K310" s="193"/>
      <c r="L310" s="194"/>
      <c r="M310" s="192" t="n">
        <f aca="false">J310+K310-L310</f>
        <v>407970082</v>
      </c>
      <c r="N310" s="193" t="n">
        <f aca="false">SUMIF('statutory adj_2026 조정분개'!$S:$S,$D310,'statutory adj_2026 조정분개'!$K:$K)</f>
        <v>0</v>
      </c>
      <c r="O310" s="194" t="n">
        <f aca="false">SUMIF('statutory adj_2026 조정분개'!$S:$S,$D310,'statutory adj_2026 조정분개'!$L:$L)</f>
        <v>0</v>
      </c>
      <c r="P310" s="192" t="n">
        <f aca="false">M310+N310-O310</f>
        <v>407970082</v>
      </c>
      <c r="Q310" s="195" t="n">
        <f aca="false">IFERROR(VLOOKUP(VALUE($D310),BSPL2026!$B:$Q,16,FALSE()),0)</f>
        <v>244495750</v>
      </c>
      <c r="R310" s="196" t="s">
        <v>449</v>
      </c>
      <c r="S310" s="172" t="str">
        <f aca="false">IFERROR(VLOOKUP(VALUE($D310),BSPL2026!$B:$M,12,FALSE()),"")</f>
        <v>지급수수료</v>
      </c>
      <c r="T310" s="172" t="str">
        <f aca="false">IF(OR(S310="",S310=0,LEFT(S310,5)="(원본오류"),"",IF(S310=H310,"","매핑차이"))</f>
        <v/>
      </c>
    </row>
    <row r="311" customFormat="false" ht="16.5" hidden="false" customHeight="false" outlineLevel="0" collapsed="false">
      <c r="D311" s="186" t="s">
        <v>1105</v>
      </c>
      <c r="E311" s="187" t="s">
        <v>1106</v>
      </c>
      <c r="F311" s="188" t="s">
        <v>791</v>
      </c>
      <c r="G311" s="189" t="s">
        <v>824</v>
      </c>
      <c r="H311" s="190" t="s">
        <v>269</v>
      </c>
      <c r="I311" s="191" t="s">
        <v>1106</v>
      </c>
      <c r="J311" s="192" t="n">
        <f aca="false">IFERROR(VLOOKUP(VALUE($D311),BSPL2026!$B:$Z,25,FALSE()),0)</f>
        <v>3605799114</v>
      </c>
      <c r="K311" s="193"/>
      <c r="L311" s="194"/>
      <c r="M311" s="192" t="n">
        <f aca="false">J311+K311-L311</f>
        <v>3605799114</v>
      </c>
      <c r="N311" s="193" t="n">
        <f aca="false">SUMIF('statutory adj_2026 조정분개'!$S:$S,$D311,'statutory adj_2026 조정분개'!$K:$K)</f>
        <v>0</v>
      </c>
      <c r="O311" s="194" t="n">
        <f aca="false">SUMIF('statutory adj_2026 조정분개'!$S:$S,$D311,'statutory adj_2026 조정분개'!$L:$L)</f>
        <v>0</v>
      </c>
      <c r="P311" s="192" t="n">
        <f aca="false">M311+N311-O311</f>
        <v>3605799114</v>
      </c>
      <c r="Q311" s="195" t="n">
        <f aca="false">IFERROR(VLOOKUP(VALUE($D311),BSPL2026!$B:$Q,16,FALSE()),0)</f>
        <v>4038906063</v>
      </c>
      <c r="R311" s="196" t="s">
        <v>449</v>
      </c>
      <c r="S311" s="172" t="str">
        <f aca="false">IFERROR(VLOOKUP(VALUE($D311),BSPL2026!$B:$M,12,FALSE()),"")</f>
        <v>상품매출원가</v>
      </c>
      <c r="T311" s="172" t="str">
        <f aca="false">IF(OR(S311="",S311=0,LEFT(S311,5)="(원본오류"),"",IF(S311=H311,"","매핑차이"))</f>
        <v/>
      </c>
    </row>
    <row r="312" customFormat="false" ht="16.5" hidden="false" customHeight="false" outlineLevel="0" collapsed="false">
      <c r="D312" s="186" t="s">
        <v>1107</v>
      </c>
      <c r="E312" s="187" t="s">
        <v>1108</v>
      </c>
      <c r="F312" s="188" t="s">
        <v>791</v>
      </c>
      <c r="G312" s="189" t="s">
        <v>862</v>
      </c>
      <c r="H312" s="190" t="s">
        <v>319</v>
      </c>
      <c r="I312" s="191" t="s">
        <v>1108</v>
      </c>
      <c r="J312" s="192" t="n">
        <f aca="false">IFERROR(VLOOKUP(VALUE($D312),BSPL2026!$B:$Z,25,FALSE()),0)</f>
        <v>618790933</v>
      </c>
      <c r="K312" s="193"/>
      <c r="L312" s="194"/>
      <c r="M312" s="192" t="n">
        <f aca="false">J312+K312-L312</f>
        <v>618790933</v>
      </c>
      <c r="N312" s="193" t="n">
        <f aca="false">SUMIF('statutory adj_2026 조정분개'!$S:$S,$D312,'statutory adj_2026 조정분개'!$K:$K)</f>
        <v>0</v>
      </c>
      <c r="O312" s="194" t="n">
        <f aca="false">SUMIF('statutory adj_2026 조정분개'!$S:$S,$D312,'statutory adj_2026 조정분개'!$L:$L)</f>
        <v>0</v>
      </c>
      <c r="P312" s="192" t="n">
        <f aca="false">M312+N312-O312</f>
        <v>618790933</v>
      </c>
      <c r="Q312" s="195" t="n">
        <f aca="false">IFERROR(VLOOKUP(VALUE($D312),BSPL2026!$B:$Q,16,FALSE()),0)</f>
        <v>712226358</v>
      </c>
      <c r="R312" s="196" t="s">
        <v>449</v>
      </c>
      <c r="S312" s="172" t="str">
        <f aca="false">IFERROR(VLOOKUP(VALUE($D312),BSPL2026!$B:$M,12,FALSE()),"")</f>
        <v>급여</v>
      </c>
      <c r="T312" s="172" t="str">
        <f aca="false">IF(OR(S312="",S312=0,LEFT(S312,5)="(원본오류"),"",IF(S312=H312,"","매핑차이"))</f>
        <v/>
      </c>
    </row>
    <row r="313" customFormat="false" ht="16.5" hidden="false" customHeight="false" outlineLevel="0" collapsed="false">
      <c r="D313" s="186" t="s">
        <v>1109</v>
      </c>
      <c r="E313" s="187" t="s">
        <v>1110</v>
      </c>
      <c r="F313" s="188" t="s">
        <v>791</v>
      </c>
      <c r="G313" s="189" t="s">
        <v>862</v>
      </c>
      <c r="H313" s="190" t="s">
        <v>344</v>
      </c>
      <c r="I313" s="191" t="s">
        <v>1110</v>
      </c>
      <c r="J313" s="192" t="n">
        <f aca="false">IFERROR(VLOOKUP(VALUE($D313),BSPL2026!$B:$Z,25,FALSE()),0)</f>
        <v>151777885</v>
      </c>
      <c r="K313" s="193"/>
      <c r="L313" s="194"/>
      <c r="M313" s="192" t="n">
        <f aca="false">J313+K313-L313</f>
        <v>151777885</v>
      </c>
      <c r="N313" s="193" t="n">
        <f aca="false">SUMIF('statutory adj_2026 조정분개'!$S:$S,$D313,'statutory adj_2026 조정분개'!$K:$K)</f>
        <v>0</v>
      </c>
      <c r="O313" s="194" t="n">
        <f aca="false">SUMIF('statutory adj_2026 조정분개'!$S:$S,$D313,'statutory adj_2026 조정분개'!$L:$L)</f>
        <v>0</v>
      </c>
      <c r="P313" s="192" t="n">
        <f aca="false">M313+N313-O313</f>
        <v>151777885</v>
      </c>
      <c r="Q313" s="195" t="n">
        <f aca="false">IFERROR(VLOOKUP(VALUE($D313),BSPL2026!$B:$Q,16,FALSE()),0)</f>
        <v>0</v>
      </c>
      <c r="R313" s="196" t="s">
        <v>449</v>
      </c>
      <c r="S313" s="172" t="str">
        <f aca="false">IFERROR(VLOOKUP(VALUE($D313),BSPL2026!$B:$M,12,FALSE()),"")</f>
        <v>지급수수료</v>
      </c>
      <c r="T313" s="172" t="str">
        <f aca="false">IF(OR(S313="",S313=0,LEFT(S313,5)="(원본오류"),"",IF(S313=H313,"","매핑차이"))</f>
        <v/>
      </c>
    </row>
    <row r="314" customFormat="false" ht="16.5" hidden="false" customHeight="false" outlineLevel="0" collapsed="false">
      <c r="D314" s="186" t="s">
        <v>1111</v>
      </c>
      <c r="E314" s="187" t="s">
        <v>1112</v>
      </c>
      <c r="F314" s="188" t="s">
        <v>791</v>
      </c>
      <c r="G314" s="189" t="s">
        <v>862</v>
      </c>
      <c r="H314" s="190" t="s">
        <v>361</v>
      </c>
      <c r="I314" s="191" t="s">
        <v>1112</v>
      </c>
      <c r="J314" s="192" t="n">
        <f aca="false">IFERROR(VLOOKUP(VALUE($D314),BSPL2026!$B:$Z,25,FALSE()),0)</f>
        <v>514428539</v>
      </c>
      <c r="K314" s="193"/>
      <c r="L314" s="194"/>
      <c r="M314" s="192" t="n">
        <f aca="false">J314+K314-L314</f>
        <v>514428539</v>
      </c>
      <c r="N314" s="193" t="n">
        <f aca="false">SUMIF('statutory adj_2026 조정분개'!$S:$S,$D314,'statutory adj_2026 조정분개'!$K:$K)</f>
        <v>0</v>
      </c>
      <c r="O314" s="194" t="n">
        <f aca="false">SUMIF('statutory adj_2026 조정분개'!$S:$S,$D314,'statutory adj_2026 조정분개'!$L:$L)</f>
        <v>0</v>
      </c>
      <c r="P314" s="192" t="n">
        <f aca="false">M314+N314-O314</f>
        <v>514428539</v>
      </c>
      <c r="Q314" s="195" t="n">
        <f aca="false">IFERROR(VLOOKUP(VALUE($D314),BSPL2026!$B:$Q,16,FALSE()),0)</f>
        <v>847881416</v>
      </c>
      <c r="R314" s="196" t="s">
        <v>449</v>
      </c>
      <c r="S314" s="172" t="str">
        <f aca="false">IFERROR(VLOOKUP(VALUE($D314),BSPL2026!$B:$M,12,FALSE()),"")</f>
        <v>보험료</v>
      </c>
      <c r="T314" s="172" t="str">
        <f aca="false">IF(OR(S314="",S314=0,LEFT(S314,5)="(원본오류"),"",IF(S314=H314,"","매핑차이"))</f>
        <v/>
      </c>
    </row>
    <row r="315" customFormat="false" ht="16.5" hidden="false" customHeight="false" outlineLevel="0" collapsed="false">
      <c r="D315" s="186" t="s">
        <v>1113</v>
      </c>
      <c r="E315" s="187" t="s">
        <v>1114</v>
      </c>
      <c r="F315" s="188" t="s">
        <v>791</v>
      </c>
      <c r="G315" s="189" t="s">
        <v>862</v>
      </c>
      <c r="H315" s="190" t="s">
        <v>330</v>
      </c>
      <c r="I315" s="191" t="s">
        <v>1114</v>
      </c>
      <c r="J315" s="192" t="n">
        <f aca="false">IFERROR(VLOOKUP(VALUE($D315),BSPL2026!$B:$Z,25,FALSE()),0)</f>
        <v>0</v>
      </c>
      <c r="K315" s="193"/>
      <c r="L315" s="194"/>
      <c r="M315" s="192" t="n">
        <f aca="false">J315+K315-L315</f>
        <v>0</v>
      </c>
      <c r="N315" s="193" t="n">
        <f aca="false">SUMIF('statutory adj_2026 조정분개'!$S:$S,$D315,'statutory adj_2026 조정분개'!$K:$K)</f>
        <v>0</v>
      </c>
      <c r="O315" s="194" t="n">
        <f aca="false">SUMIF('statutory adj_2026 조정분개'!$S:$S,$D315,'statutory adj_2026 조정분개'!$L:$L)</f>
        <v>0</v>
      </c>
      <c r="P315" s="192" t="n">
        <f aca="false">M315+N315-O315</f>
        <v>0</v>
      </c>
      <c r="Q315" s="195" t="n">
        <f aca="false">IFERROR(VLOOKUP(VALUE($D315),BSPL2026!$B:$Q,16,FALSE()),0)</f>
        <v>58248434</v>
      </c>
      <c r="R315" s="196" t="s">
        <v>449</v>
      </c>
      <c r="S315" s="172" t="str">
        <f aca="false">IFERROR(VLOOKUP(VALUE($D315),BSPL2026!$B:$M,12,FALSE()),"")</f>
        <v>복리후생비</v>
      </c>
      <c r="T315" s="172" t="str">
        <f aca="false">IF(OR(S315="",S315=0,LEFT(S315,5)="(원본오류"),"",IF(S315=H315,"","매핑차이"))</f>
        <v/>
      </c>
    </row>
    <row r="316" customFormat="false" ht="16.5" hidden="false" customHeight="false" outlineLevel="0" collapsed="false">
      <c r="D316" s="186" t="s">
        <v>1115</v>
      </c>
      <c r="E316" s="187" t="s">
        <v>1116</v>
      </c>
      <c r="F316" s="188" t="s">
        <v>791</v>
      </c>
      <c r="G316" s="189" t="s">
        <v>862</v>
      </c>
      <c r="H316" s="190" t="s">
        <v>332</v>
      </c>
      <c r="I316" s="191" t="s">
        <v>1116</v>
      </c>
      <c r="J316" s="192" t="n">
        <f aca="false">IFERROR(VLOOKUP(VALUE($D316),BSPL2026!$B:$Z,25,FALSE()),0)</f>
        <v>556899000</v>
      </c>
      <c r="K316" s="193"/>
      <c r="L316" s="194"/>
      <c r="M316" s="192" t="n">
        <f aca="false">J316+K316-L316</f>
        <v>556899000</v>
      </c>
      <c r="N316" s="193" t="n">
        <f aca="false">SUMIF('statutory adj_2026 조정분개'!$S:$S,$D316,'statutory adj_2026 조정분개'!$K:$K)</f>
        <v>0</v>
      </c>
      <c r="O316" s="194" t="n">
        <f aca="false">SUMIF('statutory adj_2026 조정분개'!$S:$S,$D316,'statutory adj_2026 조정분개'!$L:$L)</f>
        <v>0</v>
      </c>
      <c r="P316" s="192" t="n">
        <f aca="false">M316+N316-O316</f>
        <v>556899000</v>
      </c>
      <c r="Q316" s="195" t="n">
        <f aca="false">IFERROR(VLOOKUP(VALUE($D316),BSPL2026!$B:$Q,16,FALSE()),0)</f>
        <v>781400436</v>
      </c>
      <c r="R316" s="196" t="s">
        <v>449</v>
      </c>
      <c r="S316" s="172" t="str">
        <f aca="false">IFERROR(VLOOKUP(VALUE($D316),BSPL2026!$B:$M,12,FALSE()),"")</f>
        <v>여비교통비</v>
      </c>
      <c r="T316" s="172" t="str">
        <f aca="false">IF(OR(S316="",S316=0,LEFT(S316,5)="(원본오류"),"",IF(S316=H316,"","매핑차이"))</f>
        <v/>
      </c>
    </row>
    <row r="317" customFormat="false" ht="16.5" hidden="false" customHeight="false" outlineLevel="0" collapsed="false">
      <c r="D317" s="186" t="s">
        <v>1117</v>
      </c>
      <c r="E317" s="187" t="s">
        <v>1118</v>
      </c>
      <c r="F317" s="188" t="s">
        <v>791</v>
      </c>
      <c r="G317" s="189" t="s">
        <v>862</v>
      </c>
      <c r="H317" s="190" t="s">
        <v>344</v>
      </c>
      <c r="I317" s="191" t="s">
        <v>1118</v>
      </c>
      <c r="J317" s="192" t="n">
        <f aca="false">IFERROR(VLOOKUP(VALUE($D317),BSPL2026!$B:$Z,25,FALSE()),0)</f>
        <v>41496005</v>
      </c>
      <c r="K317" s="193"/>
      <c r="L317" s="194"/>
      <c r="M317" s="192" t="n">
        <f aca="false">J317+K317-L317</f>
        <v>41496005</v>
      </c>
      <c r="N317" s="193" t="n">
        <f aca="false">SUMIF('statutory adj_2026 조정분개'!$S:$S,$D317,'statutory adj_2026 조정분개'!$K:$K)</f>
        <v>0</v>
      </c>
      <c r="O317" s="194" t="n">
        <f aca="false">SUMIF('statutory adj_2026 조정분개'!$S:$S,$D317,'statutory adj_2026 조정분개'!$L:$L)</f>
        <v>0</v>
      </c>
      <c r="P317" s="192" t="n">
        <f aca="false">M317+N317-O317</f>
        <v>41496005</v>
      </c>
      <c r="Q317" s="195" t="n">
        <f aca="false">IFERROR(VLOOKUP(VALUE($D317),BSPL2026!$B:$Q,16,FALSE()),0)</f>
        <v>41848355</v>
      </c>
      <c r="R317" s="196" t="s">
        <v>449</v>
      </c>
      <c r="S317" s="172" t="str">
        <f aca="false">IFERROR(VLOOKUP(VALUE($D317),BSPL2026!$B:$M,12,FALSE()),"")</f>
        <v>지급수수료</v>
      </c>
      <c r="T317" s="172" t="str">
        <f aca="false">IF(OR(S317="",S317=0,LEFT(S317,5)="(원본오류"),"",IF(S317=H317,"","매핑차이"))</f>
        <v/>
      </c>
    </row>
    <row r="318" customFormat="false" ht="16.5" hidden="false" customHeight="false" outlineLevel="0" collapsed="false">
      <c r="D318" s="186" t="s">
        <v>1119</v>
      </c>
      <c r="E318" s="187" t="s">
        <v>1120</v>
      </c>
      <c r="F318" s="188" t="s">
        <v>791</v>
      </c>
      <c r="G318" s="189" t="s">
        <v>862</v>
      </c>
      <c r="H318" s="190" t="s">
        <v>344</v>
      </c>
      <c r="I318" s="191" t="s">
        <v>1120</v>
      </c>
      <c r="J318" s="192" t="n">
        <f aca="false">IFERROR(VLOOKUP(VALUE($D318),BSPL2026!$B:$Z,25,FALSE()),0)</f>
        <v>10500000</v>
      </c>
      <c r="K318" s="193"/>
      <c r="L318" s="194"/>
      <c r="M318" s="192" t="n">
        <f aca="false">J318+K318-L318</f>
        <v>10500000</v>
      </c>
      <c r="N318" s="193" t="n">
        <f aca="false">SUMIF('statutory adj_2026 조정분개'!$S:$S,$D318,'statutory adj_2026 조정분개'!$K:$K)</f>
        <v>0</v>
      </c>
      <c r="O318" s="194" t="n">
        <f aca="false">SUMIF('statutory adj_2026 조정분개'!$S:$S,$D318,'statutory adj_2026 조정분개'!$L:$L)</f>
        <v>0</v>
      </c>
      <c r="P318" s="192" t="n">
        <f aca="false">M318+N318-O318</f>
        <v>10500000</v>
      </c>
      <c r="Q318" s="195" t="n">
        <f aca="false">IFERROR(VLOOKUP(VALUE($D318),BSPL2026!$B:$Q,16,FALSE()),0)</f>
        <v>3500000</v>
      </c>
      <c r="R318" s="196" t="s">
        <v>449</v>
      </c>
      <c r="S318" s="172" t="str">
        <f aca="false">IFERROR(VLOOKUP(VALUE($D318),BSPL2026!$B:$M,12,FALSE()),"")</f>
        <v>지급수수료</v>
      </c>
      <c r="T318" s="172" t="str">
        <f aca="false">IF(OR(S318="",S318=0,LEFT(S318,5)="(원본오류"),"",IF(S318=H318,"","매핑차이"))</f>
        <v/>
      </c>
    </row>
    <row r="319" customFormat="false" ht="16.5" hidden="false" customHeight="false" outlineLevel="0" collapsed="false">
      <c r="D319" s="186" t="s">
        <v>1121</v>
      </c>
      <c r="E319" s="187" t="s">
        <v>1122</v>
      </c>
      <c r="F319" s="188" t="s">
        <v>791</v>
      </c>
      <c r="G319" s="189" t="s">
        <v>862</v>
      </c>
      <c r="H319" s="190" t="s">
        <v>344</v>
      </c>
      <c r="I319" s="191" t="s">
        <v>1122</v>
      </c>
      <c r="J319" s="192" t="n">
        <f aca="false">IFERROR(VLOOKUP(VALUE($D319),BSPL2026!$B:$Z,25,FALSE()),0)</f>
        <v>4675766018</v>
      </c>
      <c r="K319" s="193"/>
      <c r="L319" s="194"/>
      <c r="M319" s="192" t="n">
        <f aca="false">J319+K319-L319</f>
        <v>4675766018</v>
      </c>
      <c r="N319" s="193" t="n">
        <f aca="false">SUMIF('statutory adj_2026 조정분개'!$S:$S,$D319,'statutory adj_2026 조정분개'!$K:$K)</f>
        <v>0</v>
      </c>
      <c r="O319" s="194" t="n">
        <f aca="false">SUMIF('statutory adj_2026 조정분개'!$S:$S,$D319,'statutory adj_2026 조정분개'!$L:$L)</f>
        <v>0</v>
      </c>
      <c r="P319" s="192" t="n">
        <f aca="false">M319+N319-O319</f>
        <v>4675766018</v>
      </c>
      <c r="Q319" s="195" t="n">
        <f aca="false">IFERROR(VLOOKUP(VALUE($D319),BSPL2026!$B:$Q,16,FALSE()),0)</f>
        <v>6734076454</v>
      </c>
      <c r="R319" s="196" t="s">
        <v>449</v>
      </c>
      <c r="S319" s="172" t="str">
        <f aca="false">IFERROR(VLOOKUP(VALUE($D319),BSPL2026!$B:$M,12,FALSE()),"")</f>
        <v>지급수수료</v>
      </c>
      <c r="T319" s="172" t="str">
        <f aca="false">IF(OR(S319="",S319=0,LEFT(S319,5)="(원본오류"),"",IF(S319=H319,"","매핑차이"))</f>
        <v/>
      </c>
    </row>
    <row r="320" customFormat="false" ht="16.5" hidden="false" customHeight="false" outlineLevel="0" collapsed="false">
      <c r="D320" s="186" t="s">
        <v>1123</v>
      </c>
      <c r="E320" s="187" t="s">
        <v>1038</v>
      </c>
      <c r="F320" s="188" t="s">
        <v>791</v>
      </c>
      <c r="G320" s="189" t="s">
        <v>862</v>
      </c>
      <c r="H320" s="190" t="s">
        <v>338</v>
      </c>
      <c r="I320" s="191" t="s">
        <v>1038</v>
      </c>
      <c r="J320" s="192" t="n">
        <f aca="false">IFERROR(VLOOKUP(VALUE($D320),BSPL2026!$B:$Z,25,FALSE()),0)</f>
        <v>16200000</v>
      </c>
      <c r="K320" s="193"/>
      <c r="L320" s="194"/>
      <c r="M320" s="192" t="n">
        <f aca="false">J320+K320-L320</f>
        <v>16200000</v>
      </c>
      <c r="N320" s="193" t="n">
        <f aca="false">SUMIF('statutory adj_2026 조정분개'!$S:$S,$D320,'statutory adj_2026 조정분개'!$K:$K)</f>
        <v>0</v>
      </c>
      <c r="O320" s="194" t="n">
        <f aca="false">SUMIF('statutory adj_2026 조정분개'!$S:$S,$D320,'statutory adj_2026 조정분개'!$L:$L)</f>
        <v>0</v>
      </c>
      <c r="P320" s="192" t="n">
        <f aca="false">M320+N320-O320</f>
        <v>16200000</v>
      </c>
      <c r="Q320" s="195" t="n">
        <f aca="false">IFERROR(VLOOKUP(VALUE($D320),BSPL2026!$B:$Q,16,FALSE()),0)</f>
        <v>125289400</v>
      </c>
      <c r="R320" s="196" t="s">
        <v>449</v>
      </c>
      <c r="S320" s="172" t="str">
        <f aca="false">IFERROR(VLOOKUP(VALUE($D320),BSPL2026!$B:$M,12,FALSE()),"")</f>
        <v>임차료</v>
      </c>
      <c r="T320" s="172" t="str">
        <f aca="false">IF(OR(S320="",S320=0,LEFT(S320,5)="(원본오류"),"",IF(S320=H320,"","매핑차이"))</f>
        <v/>
      </c>
    </row>
    <row r="321" customFormat="false" ht="16.5" hidden="false" customHeight="false" outlineLevel="0" collapsed="false">
      <c r="D321" s="186" t="s">
        <v>1124</v>
      </c>
      <c r="E321" s="187" t="s">
        <v>1125</v>
      </c>
      <c r="F321" s="188" t="s">
        <v>791</v>
      </c>
      <c r="G321" s="189" t="s">
        <v>862</v>
      </c>
      <c r="H321" s="190" t="s">
        <v>358</v>
      </c>
      <c r="I321" s="191" t="s">
        <v>1125</v>
      </c>
      <c r="J321" s="192" t="n">
        <f aca="false">IFERROR(VLOOKUP(VALUE($D321),BSPL2026!$B:$Z,25,FALSE()),0)</f>
        <v>58145311</v>
      </c>
      <c r="K321" s="193"/>
      <c r="L321" s="194"/>
      <c r="M321" s="192" t="n">
        <f aca="false">J321+K321-L321</f>
        <v>58145311</v>
      </c>
      <c r="N321" s="193" t="n">
        <f aca="false">SUMIF('statutory adj_2026 조정분개'!$S:$S,$D321,'statutory adj_2026 조정분개'!$K:$K)</f>
        <v>0</v>
      </c>
      <c r="O321" s="194" t="n">
        <f aca="false">SUMIF('statutory adj_2026 조정분개'!$S:$S,$D321,'statutory adj_2026 조정분개'!$L:$L)</f>
        <v>0</v>
      </c>
      <c r="P321" s="192" t="n">
        <f aca="false">M321+N321-O321</f>
        <v>58145311</v>
      </c>
      <c r="Q321" s="195" t="n">
        <f aca="false">IFERROR(VLOOKUP(VALUE($D321),BSPL2026!$B:$Q,16,FALSE()),0)</f>
        <v>77527081</v>
      </c>
      <c r="R321" s="196" t="s">
        <v>449</v>
      </c>
      <c r="S321" s="172" t="str">
        <f aca="false">IFERROR(VLOOKUP(VALUE($D321),BSPL2026!$B:$M,12,FALSE()),"")</f>
        <v>감가상각비</v>
      </c>
      <c r="T321" s="172" t="str">
        <f aca="false">IF(OR(S321="",S321=0,LEFT(S321,5)="(원본오류"),"",IF(S321=H321,"","매핑차이"))</f>
        <v/>
      </c>
    </row>
    <row r="322" customFormat="false" ht="16.5" hidden="false" customHeight="false" outlineLevel="0" collapsed="false">
      <c r="D322" s="186" t="s">
        <v>1126</v>
      </c>
      <c r="E322" s="187" t="s">
        <v>1127</v>
      </c>
      <c r="F322" s="188" t="s">
        <v>791</v>
      </c>
      <c r="G322" s="189" t="s">
        <v>862</v>
      </c>
      <c r="H322" s="190" t="s">
        <v>358</v>
      </c>
      <c r="I322" s="191" t="s">
        <v>1127</v>
      </c>
      <c r="J322" s="192" t="n">
        <f aca="false">IFERROR(VLOOKUP(VALUE($D322),BSPL2026!$B:$Z,25,FALSE()),0)</f>
        <v>39636593</v>
      </c>
      <c r="K322" s="193"/>
      <c r="L322" s="194"/>
      <c r="M322" s="192" t="n">
        <f aca="false">J322+K322-L322</f>
        <v>39636593</v>
      </c>
      <c r="N322" s="193" t="n">
        <f aca="false">SUMIF('statutory adj_2026 조정분개'!$S:$S,$D322,'statutory adj_2026 조정분개'!$K:$K)</f>
        <v>0</v>
      </c>
      <c r="O322" s="194" t="n">
        <f aca="false">SUMIF('statutory adj_2026 조정분개'!$S:$S,$D322,'statutory adj_2026 조정분개'!$L:$L)</f>
        <v>0</v>
      </c>
      <c r="P322" s="192" t="n">
        <f aca="false">M322+N322-O322</f>
        <v>39636593</v>
      </c>
      <c r="Q322" s="195" t="n">
        <f aca="false">IFERROR(VLOOKUP(VALUE($D322),BSPL2026!$B:$Q,16,FALSE()),0)</f>
        <v>59767139</v>
      </c>
      <c r="R322" s="196" t="s">
        <v>449</v>
      </c>
      <c r="S322" s="172" t="str">
        <f aca="false">IFERROR(VLOOKUP(VALUE($D322),BSPL2026!$B:$M,12,FALSE()),"")</f>
        <v>감가상각비</v>
      </c>
      <c r="T322" s="172" t="str">
        <f aca="false">IF(OR(S322="",S322=0,LEFT(S322,5)="(원본오류"),"",IF(S322=H322,"","매핑차이"))</f>
        <v/>
      </c>
    </row>
    <row r="323" customFormat="false" ht="16.5" hidden="false" customHeight="false" outlineLevel="0" collapsed="false">
      <c r="D323" s="186" t="s">
        <v>1128</v>
      </c>
      <c r="E323" s="187" t="s">
        <v>1129</v>
      </c>
      <c r="F323" s="188" t="s">
        <v>791</v>
      </c>
      <c r="G323" s="189" t="s">
        <v>862</v>
      </c>
      <c r="H323" s="190" t="s">
        <v>358</v>
      </c>
      <c r="I323" s="191" t="s">
        <v>1129</v>
      </c>
      <c r="J323" s="192" t="n">
        <f aca="false">IFERROR(VLOOKUP(VALUE($D323),BSPL2026!$B:$Z,25,FALSE()),0)</f>
        <v>77866274</v>
      </c>
      <c r="K323" s="193"/>
      <c r="L323" s="194"/>
      <c r="M323" s="192" t="n">
        <f aca="false">J323+K323-L323</f>
        <v>77866274</v>
      </c>
      <c r="N323" s="193" t="n">
        <f aca="false">SUMIF('statutory adj_2026 조정분개'!$S:$S,$D323,'statutory adj_2026 조정분개'!$K:$K)</f>
        <v>0</v>
      </c>
      <c r="O323" s="194" t="n">
        <f aca="false">SUMIF('statutory adj_2026 조정분개'!$S:$S,$D323,'statutory adj_2026 조정분개'!$L:$L)</f>
        <v>0</v>
      </c>
      <c r="P323" s="192" t="n">
        <f aca="false">M323+N323-O323</f>
        <v>77866274</v>
      </c>
      <c r="Q323" s="195" t="n">
        <f aca="false">IFERROR(VLOOKUP(VALUE($D323),BSPL2026!$B:$Q,16,FALSE()),0)</f>
        <v>107649104</v>
      </c>
      <c r="R323" s="196" t="s">
        <v>449</v>
      </c>
      <c r="S323" s="172" t="str">
        <f aca="false">IFERROR(VLOOKUP(VALUE($D323),BSPL2026!$B:$M,12,FALSE()),"")</f>
        <v>감가상각비</v>
      </c>
      <c r="T323" s="172" t="str">
        <f aca="false">IF(OR(S323="",S323=0,LEFT(S323,5)="(원본오류"),"",IF(S323=H323,"","매핑차이"))</f>
        <v/>
      </c>
    </row>
    <row r="324" customFormat="false" ht="16.5" hidden="false" customHeight="false" outlineLevel="0" collapsed="false">
      <c r="D324" s="186" t="s">
        <v>1130</v>
      </c>
      <c r="E324" s="187" t="s">
        <v>1131</v>
      </c>
      <c r="F324" s="188" t="s">
        <v>791</v>
      </c>
      <c r="G324" s="189" t="s">
        <v>862</v>
      </c>
      <c r="H324" s="190" t="s">
        <v>358</v>
      </c>
      <c r="I324" s="191" t="s">
        <v>1131</v>
      </c>
      <c r="J324" s="192" t="n">
        <f aca="false">IFERROR(VLOOKUP(VALUE($D324),BSPL2026!$B:$Z,25,FALSE()),0)</f>
        <v>10893752</v>
      </c>
      <c r="K324" s="193"/>
      <c r="L324" s="194"/>
      <c r="M324" s="192" t="n">
        <f aca="false">J324+K324-L324</f>
        <v>10893752</v>
      </c>
      <c r="N324" s="193" t="n">
        <f aca="false">SUMIF('statutory adj_2026 조정분개'!$S:$S,$D324,'statutory adj_2026 조정분개'!$K:$K)</f>
        <v>0</v>
      </c>
      <c r="O324" s="194" t="n">
        <f aca="false">SUMIF('statutory adj_2026 조정분개'!$S:$S,$D324,'statutory adj_2026 조정분개'!$L:$L)</f>
        <v>0</v>
      </c>
      <c r="P324" s="192" t="n">
        <f aca="false">M324+N324-O324</f>
        <v>10893752</v>
      </c>
      <c r="Q324" s="195" t="n">
        <f aca="false">IFERROR(VLOOKUP(VALUE($D324),BSPL2026!$B:$Q,16,FALSE()),0)</f>
        <v>58351890</v>
      </c>
      <c r="R324" s="196" t="s">
        <v>449</v>
      </c>
      <c r="S324" s="172" t="str">
        <f aca="false">IFERROR(VLOOKUP(VALUE($D324),BSPL2026!$B:$M,12,FALSE()),"")</f>
        <v>감가상각비</v>
      </c>
      <c r="T324" s="172" t="str">
        <f aca="false">IF(OR(S324="",S324=0,LEFT(S324,5)="(원본오류"),"",IF(S324=H324,"","매핑차이"))</f>
        <v/>
      </c>
    </row>
    <row r="325" customFormat="false" ht="16.5" hidden="false" customHeight="false" outlineLevel="0" collapsed="false">
      <c r="D325" s="186" t="s">
        <v>1132</v>
      </c>
      <c r="E325" s="187" t="s">
        <v>1133</v>
      </c>
      <c r="F325" s="188" t="s">
        <v>791</v>
      </c>
      <c r="G325" s="189" t="s">
        <v>862</v>
      </c>
      <c r="H325" s="190" t="s">
        <v>358</v>
      </c>
      <c r="I325" s="191" t="s">
        <v>1133</v>
      </c>
      <c r="J325" s="192" t="n">
        <f aca="false">IFERROR(VLOOKUP(VALUE($D325),BSPL2026!$B:$Z,25,FALSE()),0)</f>
        <v>977201082</v>
      </c>
      <c r="K325" s="193"/>
      <c r="L325" s="194"/>
      <c r="M325" s="192" t="n">
        <f aca="false">J325+K325-L325</f>
        <v>977201082</v>
      </c>
      <c r="N325" s="193" t="n">
        <f aca="false">SUMIF('statutory adj_2026 조정분개'!$S:$S,$D325,'statutory adj_2026 조정분개'!$K:$K)</f>
        <v>0</v>
      </c>
      <c r="O325" s="194" t="n">
        <f aca="false">SUMIF('statutory adj_2026 조정분개'!$S:$S,$D325,'statutory adj_2026 조정분개'!$L:$L)</f>
        <v>0</v>
      </c>
      <c r="P325" s="192" t="n">
        <f aca="false">M325+N325-O325</f>
        <v>977201082</v>
      </c>
      <c r="Q325" s="195" t="n">
        <f aca="false">IFERROR(VLOOKUP(VALUE($D325),BSPL2026!$B:$Q,16,FALSE()),0)</f>
        <v>1302934776</v>
      </c>
      <c r="R325" s="196" t="s">
        <v>449</v>
      </c>
      <c r="S325" s="172" t="str">
        <f aca="false">IFERROR(VLOOKUP(VALUE($D325),BSPL2026!$B:$M,12,FALSE()),"")</f>
        <v>감가상각비</v>
      </c>
      <c r="T325" s="172" t="str">
        <f aca="false">IF(OR(S325="",S325=0,LEFT(S325,5)="(원본오류"),"",IF(S325=H325,"","매핑차이"))</f>
        <v/>
      </c>
    </row>
    <row r="326" customFormat="false" ht="16.5" hidden="false" customHeight="false" outlineLevel="0" collapsed="false">
      <c r="D326" s="186" t="s">
        <v>1134</v>
      </c>
      <c r="E326" s="187" t="s">
        <v>1135</v>
      </c>
      <c r="F326" s="188" t="s">
        <v>791</v>
      </c>
      <c r="G326" s="189" t="s">
        <v>862</v>
      </c>
      <c r="H326" s="190" t="s">
        <v>335</v>
      </c>
      <c r="I326" s="191" t="s">
        <v>1135</v>
      </c>
      <c r="J326" s="192" t="n">
        <f aca="false">IFERROR(VLOOKUP(VALUE($D326),BSPL2026!$B:$Z,25,FALSE()),0)</f>
        <v>0</v>
      </c>
      <c r="K326" s="193"/>
      <c r="L326" s="194"/>
      <c r="M326" s="192" t="n">
        <f aca="false">J326+K326-L326</f>
        <v>0</v>
      </c>
      <c r="N326" s="193" t="n">
        <f aca="false">SUMIF('statutory adj_2026 조정분개'!$S:$S,$D326,'statutory adj_2026 조정분개'!$K:$K)</f>
        <v>0</v>
      </c>
      <c r="O326" s="194" t="n">
        <f aca="false">SUMIF('statutory adj_2026 조정분개'!$S:$S,$D326,'statutory adj_2026 조정분개'!$L:$L)</f>
        <v>0</v>
      </c>
      <c r="P326" s="192" t="n">
        <f aca="false">M326+N326-O326</f>
        <v>0</v>
      </c>
      <c r="Q326" s="195" t="n">
        <f aca="false">IFERROR(VLOOKUP(VALUE($D326),BSPL2026!$B:$Q,16,FALSE()),0)</f>
        <v>170869</v>
      </c>
      <c r="R326" s="196" t="s">
        <v>449</v>
      </c>
      <c r="S326" s="172" t="str">
        <f aca="false">IFERROR(VLOOKUP(VALUE($D326),BSPL2026!$B:$M,12,FALSE()),"")</f>
        <v>소모품비</v>
      </c>
      <c r="T326" s="172" t="str">
        <f aca="false">IF(OR(S326="",S326=0,LEFT(S326,5)="(원본오류"),"",IF(S326=H326,"","매핑차이"))</f>
        <v/>
      </c>
    </row>
    <row r="327" customFormat="false" ht="16.5" hidden="false" customHeight="false" outlineLevel="0" collapsed="false">
      <c r="D327" s="186" t="s">
        <v>1136</v>
      </c>
      <c r="E327" s="187" t="s">
        <v>1137</v>
      </c>
      <c r="F327" s="188" t="s">
        <v>791</v>
      </c>
      <c r="G327" s="189" t="s">
        <v>862</v>
      </c>
      <c r="H327" s="190" t="s">
        <v>346</v>
      </c>
      <c r="I327" s="191" t="s">
        <v>1137</v>
      </c>
      <c r="J327" s="192" t="n">
        <f aca="false">IFERROR(VLOOKUP(VALUE($D327),BSPL2026!$B:$Z,25,FALSE()),0)</f>
        <v>175762055</v>
      </c>
      <c r="K327" s="193"/>
      <c r="L327" s="194"/>
      <c r="M327" s="192" t="n">
        <f aca="false">J327+K327-L327</f>
        <v>175762055</v>
      </c>
      <c r="N327" s="193" t="n">
        <f aca="false">SUMIF('statutory adj_2026 조정분개'!$S:$S,$D327,'statutory adj_2026 조정분개'!$K:$K)</f>
        <v>0</v>
      </c>
      <c r="O327" s="194" t="n">
        <f aca="false">SUMIF('statutory adj_2026 조정분개'!$S:$S,$D327,'statutory adj_2026 조정분개'!$L:$L)</f>
        <v>0</v>
      </c>
      <c r="P327" s="192" t="n">
        <f aca="false">M327+N327-O327</f>
        <v>175762055</v>
      </c>
      <c r="Q327" s="195" t="n">
        <f aca="false">IFERROR(VLOOKUP(VALUE($D327),BSPL2026!$B:$Q,16,FALSE()),0)</f>
        <v>231061550</v>
      </c>
      <c r="R327" s="196" t="s">
        <v>449</v>
      </c>
      <c r="S327" s="172" t="str">
        <f aca="false">IFERROR(VLOOKUP(VALUE($D327),BSPL2026!$B:$M,12,FALSE()),"")</f>
        <v>제세공과</v>
      </c>
      <c r="T327" s="172" t="str">
        <f aca="false">IF(OR(S327="",S327=0,LEFT(S327,5)="(원본오류"),"",IF(S327=H327,"","매핑차이"))</f>
        <v/>
      </c>
    </row>
    <row r="328" customFormat="false" ht="16.5" hidden="false" customHeight="false" outlineLevel="0" collapsed="false">
      <c r="D328" s="186" t="s">
        <v>1138</v>
      </c>
      <c r="E328" s="187" t="s">
        <v>1139</v>
      </c>
      <c r="F328" s="188" t="s">
        <v>791</v>
      </c>
      <c r="G328" s="189" t="s">
        <v>862</v>
      </c>
      <c r="H328" s="190" t="s">
        <v>346</v>
      </c>
      <c r="I328" s="191" t="s">
        <v>1139</v>
      </c>
      <c r="J328" s="192" t="n">
        <f aca="false">IFERROR(VLOOKUP(VALUE($D328),BSPL2026!$B:$Z,25,FALSE()),0)</f>
        <v>107562882</v>
      </c>
      <c r="K328" s="193"/>
      <c r="L328" s="194"/>
      <c r="M328" s="192" t="n">
        <f aca="false">J328+K328-L328</f>
        <v>107562882</v>
      </c>
      <c r="N328" s="193" t="n">
        <f aca="false">SUMIF('statutory adj_2026 조정분개'!$S:$S,$D328,'statutory adj_2026 조정분개'!$K:$K)</f>
        <v>0</v>
      </c>
      <c r="O328" s="194" t="n">
        <f aca="false">SUMIF('statutory adj_2026 조정분개'!$S:$S,$D328,'statutory adj_2026 조정분개'!$L:$L)</f>
        <v>0</v>
      </c>
      <c r="P328" s="192" t="n">
        <f aca="false">M328+N328-O328</f>
        <v>107562882</v>
      </c>
      <c r="Q328" s="195" t="n">
        <f aca="false">IFERROR(VLOOKUP(VALUE($D328),BSPL2026!$B:$Q,16,FALSE()),0)</f>
        <v>743728051</v>
      </c>
      <c r="R328" s="196" t="s">
        <v>449</v>
      </c>
      <c r="S328" s="172" t="str">
        <f aca="false">IFERROR(VLOOKUP(VALUE($D328),BSPL2026!$B:$M,12,FALSE()),"")</f>
        <v>제세공과</v>
      </c>
      <c r="T328" s="172" t="str">
        <f aca="false">IF(OR(S328="",S328=0,LEFT(S328,5)="(원본오류"),"",IF(S328=H328,"","매핑차이"))</f>
        <v/>
      </c>
    </row>
    <row r="329" customFormat="false" ht="16.5" hidden="false" customHeight="false" outlineLevel="0" collapsed="false">
      <c r="D329" s="186" t="s">
        <v>1140</v>
      </c>
      <c r="E329" s="187" t="s">
        <v>1141</v>
      </c>
      <c r="F329" s="188" t="s">
        <v>791</v>
      </c>
      <c r="G329" s="189" t="s">
        <v>862</v>
      </c>
      <c r="H329" s="190" t="s">
        <v>344</v>
      </c>
      <c r="I329" s="191" t="s">
        <v>1141</v>
      </c>
      <c r="J329" s="192" t="n">
        <f aca="false">IFERROR(VLOOKUP(VALUE($D329),BSPL2026!$B:$Z,25,FALSE()),0)</f>
        <v>0</v>
      </c>
      <c r="K329" s="193"/>
      <c r="L329" s="194"/>
      <c r="M329" s="192" t="n">
        <f aca="false">J329+K329-L329</f>
        <v>0</v>
      </c>
      <c r="N329" s="193" t="n">
        <f aca="false">SUMIF('statutory adj_2026 조정분개'!$S:$S,$D329,'statutory adj_2026 조정분개'!$K:$K)</f>
        <v>0</v>
      </c>
      <c r="O329" s="194" t="n">
        <f aca="false">SUMIF('statutory adj_2026 조정분개'!$S:$S,$D329,'statutory adj_2026 조정분개'!$L:$L)</f>
        <v>0</v>
      </c>
      <c r="P329" s="192" t="n">
        <f aca="false">M329+N329-O329</f>
        <v>0</v>
      </c>
      <c r="Q329" s="195" t="n">
        <f aca="false">IFERROR(VLOOKUP(VALUE($D329),BSPL2026!$B:$Q,16,FALSE()),0)</f>
        <v>21010805</v>
      </c>
      <c r="R329" s="196" t="s">
        <v>449</v>
      </c>
      <c r="S329" s="172" t="str">
        <f aca="false">IFERROR(VLOOKUP(VALUE($D329),BSPL2026!$B:$M,12,FALSE()),"")</f>
        <v>지급수수료</v>
      </c>
      <c r="T329" s="172" t="str">
        <f aca="false">IF(OR(S329="",S329=0,LEFT(S329,5)="(원본오류"),"",IF(S329=H329,"","매핑차이"))</f>
        <v/>
      </c>
    </row>
    <row r="330" customFormat="false" ht="16.5" hidden="false" customHeight="false" outlineLevel="0" collapsed="false">
      <c r="D330" s="186" t="s">
        <v>1142</v>
      </c>
      <c r="E330" s="187" t="s">
        <v>1143</v>
      </c>
      <c r="F330" s="188" t="s">
        <v>791</v>
      </c>
      <c r="G330" s="189" t="s">
        <v>862</v>
      </c>
      <c r="H330" s="190" t="s">
        <v>344</v>
      </c>
      <c r="I330" s="191" t="s">
        <v>1143</v>
      </c>
      <c r="J330" s="192" t="n">
        <f aca="false">IFERROR(VLOOKUP(VALUE($D330),BSPL2026!$B:$Z,25,FALSE()),0)</f>
        <v>163477826</v>
      </c>
      <c r="K330" s="193"/>
      <c r="L330" s="194"/>
      <c r="M330" s="192" t="n">
        <f aca="false">J330+K330-L330</f>
        <v>163477826</v>
      </c>
      <c r="N330" s="193" t="n">
        <f aca="false">SUMIF('statutory adj_2026 조정분개'!$S:$S,$D330,'statutory adj_2026 조정분개'!$K:$K)</f>
        <v>0</v>
      </c>
      <c r="O330" s="194" t="n">
        <f aca="false">SUMIF('statutory adj_2026 조정분개'!$S:$S,$D330,'statutory adj_2026 조정분개'!$L:$L)</f>
        <v>0</v>
      </c>
      <c r="P330" s="192" t="n">
        <f aca="false">M330+N330-O330</f>
        <v>163477826</v>
      </c>
      <c r="Q330" s="195" t="n">
        <f aca="false">IFERROR(VLOOKUP(VALUE($D330),BSPL2026!$B:$Q,16,FALSE()),0)</f>
        <v>293613717</v>
      </c>
      <c r="R330" s="196" t="s">
        <v>449</v>
      </c>
      <c r="S330" s="172" t="str">
        <f aca="false">IFERROR(VLOOKUP(VALUE($D330),BSPL2026!$B:$M,12,FALSE()),"")</f>
        <v>지급수수료</v>
      </c>
      <c r="T330" s="172" t="str">
        <f aca="false">IF(OR(S330="",S330=0,LEFT(S330,5)="(원본오류"),"",IF(S330=H330,"","매핑차이"))</f>
        <v/>
      </c>
    </row>
    <row r="331" customFormat="false" ht="16.5" hidden="false" customHeight="false" outlineLevel="0" collapsed="false">
      <c r="D331" s="186" t="s">
        <v>1144</v>
      </c>
      <c r="E331" s="187" t="s">
        <v>1145</v>
      </c>
      <c r="F331" s="188" t="s">
        <v>791</v>
      </c>
      <c r="G331" s="189" t="s">
        <v>862</v>
      </c>
      <c r="H331" s="190" t="s">
        <v>315</v>
      </c>
      <c r="I331" s="191" t="s">
        <v>1145</v>
      </c>
      <c r="J331" s="192" t="n">
        <f aca="false">IFERROR(VLOOKUP(VALUE($D331),BSPL2026!$B:$Z,25,FALSE()),0)</f>
        <v>5349677</v>
      </c>
      <c r="K331" s="193"/>
      <c r="L331" s="194"/>
      <c r="M331" s="192" t="n">
        <f aca="false">J331+K331-L331</f>
        <v>5349677</v>
      </c>
      <c r="N331" s="193" t="n">
        <f aca="false">SUMIF('statutory adj_2026 조정분개'!$S:$S,$D331,'statutory adj_2026 조정분개'!$K:$K)</f>
        <v>0</v>
      </c>
      <c r="O331" s="194" t="n">
        <f aca="false">SUMIF('statutory adj_2026 조정분개'!$S:$S,$D331,'statutory adj_2026 조정분개'!$L:$L)</f>
        <v>0</v>
      </c>
      <c r="P331" s="192" t="n">
        <f aca="false">M331+N331-O331</f>
        <v>5349677</v>
      </c>
      <c r="Q331" s="195" t="n">
        <f aca="false">IFERROR(VLOOKUP(VALUE($D331),BSPL2026!$B:$Q,16,FALSE()),0)</f>
        <v>41876887</v>
      </c>
      <c r="R331" s="196" t="s">
        <v>449</v>
      </c>
      <c r="S331" s="172" t="str">
        <f aca="false">IFERROR(VLOOKUP(VALUE($D331),BSPL2026!$B:$M,12,FALSE()),"")</f>
        <v>광고선전비</v>
      </c>
      <c r="T331" s="172" t="str">
        <f aca="false">IF(OR(S331="",S331=0,LEFT(S331,5)="(원본오류"),"",IF(S331=H331,"","매핑차이"))</f>
        <v/>
      </c>
    </row>
    <row r="332" customFormat="false" ht="16.5" hidden="false" customHeight="false" outlineLevel="0" collapsed="false">
      <c r="D332" s="186" t="s">
        <v>1146</v>
      </c>
      <c r="E332" s="187" t="s">
        <v>1147</v>
      </c>
      <c r="F332" s="188" t="s">
        <v>791</v>
      </c>
      <c r="G332" s="189" t="s">
        <v>862</v>
      </c>
      <c r="H332" s="190" t="s">
        <v>315</v>
      </c>
      <c r="I332" s="191" t="s">
        <v>1147</v>
      </c>
      <c r="J332" s="192" t="n">
        <f aca="false">IFERROR(VLOOKUP(VALUE($D332),BSPL2026!$B:$Z,25,FALSE()),0)</f>
        <v>27017806</v>
      </c>
      <c r="K332" s="193"/>
      <c r="L332" s="194"/>
      <c r="M332" s="192" t="n">
        <f aca="false">J332+K332-L332</f>
        <v>27017806</v>
      </c>
      <c r="N332" s="193" t="n">
        <f aca="false">SUMIF('statutory adj_2026 조정분개'!$S:$S,$D332,'statutory adj_2026 조정분개'!$K:$K)</f>
        <v>0</v>
      </c>
      <c r="O332" s="194" t="n">
        <f aca="false">SUMIF('statutory adj_2026 조정분개'!$S:$S,$D332,'statutory adj_2026 조정분개'!$L:$L)</f>
        <v>0</v>
      </c>
      <c r="P332" s="192" t="n">
        <f aca="false">M332+N332-O332</f>
        <v>27017806</v>
      </c>
      <c r="Q332" s="195" t="n">
        <f aca="false">IFERROR(VLOOKUP(VALUE($D332),BSPL2026!$B:$Q,16,FALSE()),0)</f>
        <v>256179360</v>
      </c>
      <c r="R332" s="196" t="s">
        <v>449</v>
      </c>
      <c r="S332" s="172" t="str">
        <f aca="false">IFERROR(VLOOKUP(VALUE($D332),BSPL2026!$B:$M,12,FALSE()),"")</f>
        <v>광고선전비</v>
      </c>
      <c r="T332" s="172" t="str">
        <f aca="false">IF(OR(S332="",S332=0,LEFT(S332,5)="(원본오류"),"",IF(S332=H332,"","매핑차이"))</f>
        <v/>
      </c>
    </row>
    <row r="333" customFormat="false" ht="16.5" hidden="false" customHeight="false" outlineLevel="0" collapsed="false">
      <c r="D333" s="186" t="s">
        <v>1148</v>
      </c>
      <c r="E333" s="187" t="s">
        <v>1149</v>
      </c>
      <c r="F333" s="188" t="s">
        <v>791</v>
      </c>
      <c r="G333" s="189" t="s">
        <v>862</v>
      </c>
      <c r="H333" s="190" t="s">
        <v>330</v>
      </c>
      <c r="I333" s="191" t="s">
        <v>1149</v>
      </c>
      <c r="J333" s="192" t="n">
        <f aca="false">IFERROR(VLOOKUP(VALUE($D333),BSPL2026!$B:$Z,25,FALSE()),0)</f>
        <v>60000000</v>
      </c>
      <c r="K333" s="193"/>
      <c r="L333" s="194"/>
      <c r="M333" s="192" t="n">
        <f aca="false">J333+K333-L333</f>
        <v>60000000</v>
      </c>
      <c r="N333" s="193" t="n">
        <f aca="false">SUMIF('statutory adj_2026 조정분개'!$S:$S,$D333,'statutory adj_2026 조정분개'!$K:$K)</f>
        <v>0</v>
      </c>
      <c r="O333" s="194" t="n">
        <f aca="false">SUMIF('statutory adj_2026 조정분개'!$S:$S,$D333,'statutory adj_2026 조정분개'!$L:$L)</f>
        <v>0</v>
      </c>
      <c r="P333" s="192" t="n">
        <f aca="false">M333+N333-O333</f>
        <v>60000000</v>
      </c>
      <c r="Q333" s="195" t="n">
        <f aca="false">IFERROR(VLOOKUP(VALUE($D333),BSPL2026!$B:$Q,16,FALSE()),0)</f>
        <v>0</v>
      </c>
      <c r="R333" s="196" t="s">
        <v>449</v>
      </c>
      <c r="S333" s="172" t="str">
        <f aca="false">IFERROR(VLOOKUP(VALUE($D333),BSPL2026!$B:$M,12,FALSE()),"")</f>
        <v>복리후생비</v>
      </c>
      <c r="T333" s="172" t="str">
        <f aca="false">IF(OR(S333="",S333=0,LEFT(S333,5)="(원본오류"),"",IF(S333=H333,"","매핑차이"))</f>
        <v/>
      </c>
    </row>
    <row r="334" customFormat="false" ht="16.5" hidden="false" customHeight="false" outlineLevel="0" collapsed="false">
      <c r="D334" s="186" t="s">
        <v>1150</v>
      </c>
      <c r="E334" s="187" t="s">
        <v>1151</v>
      </c>
      <c r="F334" s="188" t="s">
        <v>791</v>
      </c>
      <c r="G334" s="189" t="s">
        <v>862</v>
      </c>
      <c r="H334" s="190" t="s">
        <v>1152</v>
      </c>
      <c r="I334" s="191" t="s">
        <v>1151</v>
      </c>
      <c r="J334" s="192" t="n">
        <f aca="false">IFERROR(VLOOKUP(VALUE($D334),BSPL2026!$B:$Z,25,FALSE()),0)</f>
        <v>0</v>
      </c>
      <c r="K334" s="193"/>
      <c r="L334" s="194"/>
      <c r="M334" s="192" t="n">
        <f aca="false">J334+K334-L334</f>
        <v>0</v>
      </c>
      <c r="N334" s="193" t="n">
        <f aca="false">SUMIF('statutory adj_2026 조정분개'!$S:$S,$D334,'statutory adj_2026 조정분개'!$K:$K)</f>
        <v>0</v>
      </c>
      <c r="O334" s="194" t="n">
        <f aca="false">SUMIF('statutory adj_2026 조정분개'!$S:$S,$D334,'statutory adj_2026 조정분개'!$L:$L)</f>
        <v>0</v>
      </c>
      <c r="P334" s="192" t="n">
        <f aca="false">M334+N334-O334</f>
        <v>0</v>
      </c>
      <c r="Q334" s="195" t="n">
        <f aca="false">IFERROR(VLOOKUP(VALUE($D334),BSPL2026!$B:$Q,16,FALSE()),0)</f>
        <v>-1</v>
      </c>
      <c r="R334" s="196" t="s">
        <v>449</v>
      </c>
      <c r="S334" s="172" t="str">
        <f aca="false">IFERROR(VLOOKUP(VALUE($D334),BSPL2026!$B:$M,12,FALSE()),"")</f>
        <v>판매 및 일반관리비 대체</v>
      </c>
      <c r="T334" s="172" t="str">
        <f aca="false">IF(OR(S334="",S334=0,LEFT(S334,5)="(원본오류"),"",IF(S334=H334,"","매핑차이"))</f>
        <v/>
      </c>
    </row>
    <row r="335" customFormat="false" ht="16.5" hidden="false" customHeight="false" outlineLevel="0" collapsed="false">
      <c r="D335" s="186" t="s">
        <v>1153</v>
      </c>
      <c r="E335" s="187" t="s">
        <v>1154</v>
      </c>
      <c r="F335" s="188" t="s">
        <v>791</v>
      </c>
      <c r="G335" s="189" t="s">
        <v>862</v>
      </c>
      <c r="H335" s="190" t="s">
        <v>374</v>
      </c>
      <c r="I335" s="191" t="s">
        <v>1154</v>
      </c>
      <c r="J335" s="192" t="n">
        <f aca="false">IFERROR(VLOOKUP(VALUE($D335),BSPL2026!$B:$Z,25,FALSE()),0)</f>
        <v>-4124609</v>
      </c>
      <c r="K335" s="193"/>
      <c r="L335" s="194"/>
      <c r="M335" s="192" t="n">
        <f aca="false">J335+K335-L335</f>
        <v>-4124609</v>
      </c>
      <c r="N335" s="193" t="n">
        <f aca="false">SUMIF('statutory adj_2026 조정분개'!$S:$S,$D335,'statutory adj_2026 조정분개'!$K:$K)</f>
        <v>0</v>
      </c>
      <c r="O335" s="194" t="n">
        <f aca="false">SUMIF('statutory adj_2026 조정분개'!$S:$S,$D335,'statutory adj_2026 조정분개'!$L:$L)</f>
        <v>0</v>
      </c>
      <c r="P335" s="192" t="n">
        <f aca="false">M335+N335-O335</f>
        <v>-4124609</v>
      </c>
      <c r="Q335" s="195" t="n">
        <f aca="false">IFERROR(VLOOKUP(VALUE($D335),BSPL2026!$B:$Q,16,FALSE()),0)</f>
        <v>61130717</v>
      </c>
      <c r="R335" s="196" t="s">
        <v>449</v>
      </c>
      <c r="S335" s="172" t="str">
        <f aca="false">IFERROR(VLOOKUP(VALUE($D335),BSPL2026!$B:$M,12,FALSE()),"")</f>
        <v>대손상각비</v>
      </c>
      <c r="T335" s="172" t="str">
        <f aca="false">IF(OR(S335="",S335=0,LEFT(S335,5)="(원본오류"),"",IF(S335=H335,"","매핑차이"))</f>
        <v/>
      </c>
    </row>
    <row r="336" customFormat="false" ht="16.5" hidden="false" customHeight="false" outlineLevel="0" collapsed="false">
      <c r="D336" s="186" t="s">
        <v>1155</v>
      </c>
      <c r="E336" s="187" t="s">
        <v>1156</v>
      </c>
      <c r="F336" s="188" t="s">
        <v>791</v>
      </c>
      <c r="G336" s="189" t="s">
        <v>862</v>
      </c>
      <c r="H336" s="190" t="s">
        <v>319</v>
      </c>
      <c r="I336" s="191" t="s">
        <v>1156</v>
      </c>
      <c r="J336" s="192" t="n">
        <f aca="false">IFERROR(VLOOKUP(VALUE($D336),BSPL2026!$B:$Z,25,FALSE()),0)</f>
        <v>-1371313926</v>
      </c>
      <c r="K336" s="193"/>
      <c r="L336" s="194"/>
      <c r="M336" s="192" t="n">
        <f aca="false">J336+K336-L336</f>
        <v>-1371313926</v>
      </c>
      <c r="N336" s="193" t="n">
        <f aca="false">SUMIF('statutory adj_2026 조정분개'!$S:$S,$D336,'statutory adj_2026 조정분개'!$K:$K)</f>
        <v>0</v>
      </c>
      <c r="O336" s="194" t="n">
        <f aca="false">SUMIF('statutory adj_2026 조정분개'!$S:$S,$D336,'statutory adj_2026 조정분개'!$L:$L)</f>
        <v>0</v>
      </c>
      <c r="P336" s="192" t="n">
        <f aca="false">M336+N336-O336</f>
        <v>-1371313926</v>
      </c>
      <c r="Q336" s="195" t="n">
        <f aca="false">IFERROR(VLOOKUP(VALUE($D336),BSPL2026!$B:$Q,16,FALSE()),0)</f>
        <v>16559672481</v>
      </c>
      <c r="R336" s="196" t="s">
        <v>449</v>
      </c>
      <c r="S336" s="172" t="str">
        <f aca="false">IFERROR(VLOOKUP(VALUE($D336),BSPL2026!$B:$M,12,FALSE()),"")</f>
        <v>급여</v>
      </c>
      <c r="T336" s="172" t="str">
        <f aca="false">IF(OR(S336="",S336=0,LEFT(S336,5)="(원본오류"),"",IF(S336=H336,"","매핑차이"))</f>
        <v/>
      </c>
    </row>
    <row r="337" customFormat="false" ht="16.5" hidden="false" customHeight="false" outlineLevel="0" collapsed="false">
      <c r="D337" s="186" t="s">
        <v>1157</v>
      </c>
      <c r="E337" s="187" t="s">
        <v>1158</v>
      </c>
      <c r="F337" s="188" t="s">
        <v>791</v>
      </c>
      <c r="G337" s="189" t="s">
        <v>1090</v>
      </c>
      <c r="H337" s="190" t="s">
        <v>403</v>
      </c>
      <c r="I337" s="191" t="s">
        <v>1158</v>
      </c>
      <c r="J337" s="192" t="n">
        <f aca="false">IFERROR(VLOOKUP(VALUE($D337),BSPL2026!$B:$Z,25,FALSE()),0)</f>
        <v>-790809571</v>
      </c>
      <c r="K337" s="193"/>
      <c r="L337" s="194"/>
      <c r="M337" s="192" t="n">
        <f aca="false">J337+K337-L337</f>
        <v>-790809571</v>
      </c>
      <c r="N337" s="193" t="n">
        <f aca="false">SUMIF('statutory adj_2026 조정분개'!$S:$S,$D337,'statutory adj_2026 조정분개'!$K:$K)</f>
        <v>0</v>
      </c>
      <c r="O337" s="194" t="n">
        <f aca="false">SUMIF('statutory adj_2026 조정분개'!$S:$S,$D337,'statutory adj_2026 조정분개'!$L:$L)</f>
        <v>0</v>
      </c>
      <c r="P337" s="192" t="n">
        <f aca="false">M337+N337-O337</f>
        <v>-790809571</v>
      </c>
      <c r="Q337" s="195" t="n">
        <f aca="false">IFERROR(VLOOKUP(VALUE($D337),BSPL2026!$B:$Q,16,FALSE()),0)</f>
        <v>-1553195901</v>
      </c>
      <c r="R337" s="196" t="s">
        <v>449</v>
      </c>
      <c r="S337" s="172" t="str">
        <f aca="false">IFERROR(VLOOKUP(VALUE($D337),BSPL2026!$B:$M,12,FALSE()),"")</f>
        <v>외환차손</v>
      </c>
      <c r="T337" s="172" t="str">
        <f aca="false">IF(OR(S337="",S337=0,LEFT(S337,5)="(원본오류"),"",IF(S337=H337,"","매핑차이"))</f>
        <v/>
      </c>
    </row>
    <row r="338" customFormat="false" ht="16.5" hidden="false" customHeight="false" outlineLevel="0" collapsed="false">
      <c r="D338" s="186" t="s">
        <v>1159</v>
      </c>
      <c r="E338" s="187" t="s">
        <v>1160</v>
      </c>
      <c r="F338" s="188" t="s">
        <v>791</v>
      </c>
      <c r="G338" s="189" t="s">
        <v>1090</v>
      </c>
      <c r="H338" s="190" t="s">
        <v>403</v>
      </c>
      <c r="I338" s="191" t="s">
        <v>1160</v>
      </c>
      <c r="J338" s="192" t="n">
        <f aca="false">IFERROR(VLOOKUP(VALUE($D338),BSPL2026!$B:$Z,25,FALSE()),0)</f>
        <v>753374323</v>
      </c>
      <c r="K338" s="193"/>
      <c r="L338" s="194"/>
      <c r="M338" s="192" t="n">
        <f aca="false">J338+K338-L338</f>
        <v>753374323</v>
      </c>
      <c r="N338" s="193" t="n">
        <f aca="false">SUMIF('statutory adj_2026 조정분개'!$S:$S,$D338,'statutory adj_2026 조정분개'!$K:$K)</f>
        <v>0</v>
      </c>
      <c r="O338" s="194" t="n">
        <f aca="false">SUMIF('statutory adj_2026 조정분개'!$S:$S,$D338,'statutory adj_2026 조정분개'!$L:$L)</f>
        <v>0</v>
      </c>
      <c r="P338" s="192" t="n">
        <f aca="false">M338+N338-O338</f>
        <v>753374323</v>
      </c>
      <c r="Q338" s="195" t="n">
        <f aca="false">IFERROR(VLOOKUP(VALUE($D338),BSPL2026!$B:$Q,16,FALSE()),0)</f>
        <v>1586782452</v>
      </c>
      <c r="R338" s="196" t="s">
        <v>449</v>
      </c>
      <c r="S338" s="172" t="str">
        <f aca="false">IFERROR(VLOOKUP(VALUE($D338),BSPL2026!$B:$M,12,FALSE()),"")</f>
        <v>외환차손</v>
      </c>
      <c r="T338" s="172" t="str">
        <f aca="false">IF(OR(S338="",S338=0,LEFT(S338,5)="(원본오류"),"",IF(S338=H338,"","매핑차이"))</f>
        <v/>
      </c>
    </row>
    <row r="339" customFormat="false" ht="16.5" hidden="false" customHeight="false" outlineLevel="0" collapsed="false">
      <c r="D339" s="186" t="s">
        <v>1161</v>
      </c>
      <c r="E339" s="187" t="s">
        <v>1162</v>
      </c>
      <c r="F339" s="188" t="s">
        <v>791</v>
      </c>
      <c r="G339" s="189" t="s">
        <v>870</v>
      </c>
      <c r="H339" s="190" t="s">
        <v>384</v>
      </c>
      <c r="I339" s="191" t="s">
        <v>1162</v>
      </c>
      <c r="J339" s="192" t="n">
        <f aca="false">IFERROR(VLOOKUP(VALUE($D339),BSPL2026!$B:$Z,25,FALSE()),0)</f>
        <v>-123101784</v>
      </c>
      <c r="K339" s="193"/>
      <c r="L339" s="194"/>
      <c r="M339" s="192" t="n">
        <f aca="false">J339+K339-L339</f>
        <v>-123101784</v>
      </c>
      <c r="N339" s="193" t="n">
        <f aca="false">SUMIF('statutory adj_2026 조정분개'!$S:$S,$D339,'statutory adj_2026 조정분개'!$K:$K)</f>
        <v>0</v>
      </c>
      <c r="O339" s="194" t="n">
        <f aca="false">SUMIF('statutory adj_2026 조정분개'!$S:$S,$D339,'statutory adj_2026 조정분개'!$L:$L)</f>
        <v>0</v>
      </c>
      <c r="P339" s="192" t="n">
        <f aca="false">M339+N339-O339</f>
        <v>-123101784</v>
      </c>
      <c r="Q339" s="195" t="n">
        <f aca="false">IFERROR(VLOOKUP(VALUE($D339),BSPL2026!$B:$Q,16,FALSE()),0)</f>
        <v>-857198</v>
      </c>
      <c r="R339" s="196" t="s">
        <v>449</v>
      </c>
      <c r="S339" s="172" t="str">
        <f aca="false">IFERROR(VLOOKUP(VALUE($D339),BSPL2026!$B:$M,12,FALSE()),"")</f>
        <v>외화환산이익</v>
      </c>
      <c r="T339" s="172" t="str">
        <f aca="false">IF(OR(S339="",S339=0,LEFT(S339,5)="(원본오류"),"",IF(S339=H339,"","매핑차이"))</f>
        <v/>
      </c>
    </row>
    <row r="340" customFormat="false" ht="16.5" hidden="false" customHeight="false" outlineLevel="0" collapsed="false">
      <c r="D340" s="186" t="s">
        <v>1163</v>
      </c>
      <c r="E340" s="187" t="s">
        <v>1164</v>
      </c>
      <c r="F340" s="188" t="s">
        <v>791</v>
      </c>
      <c r="G340" s="189" t="s">
        <v>870</v>
      </c>
      <c r="H340" s="190" t="s">
        <v>384</v>
      </c>
      <c r="I340" s="191" t="s">
        <v>1164</v>
      </c>
      <c r="J340" s="192" t="n">
        <f aca="false">IFERROR(VLOOKUP(VALUE($D340),BSPL2026!$B:$Z,25,FALSE()),0)</f>
        <v>-679352</v>
      </c>
      <c r="K340" s="193"/>
      <c r="L340" s="194"/>
      <c r="M340" s="192" t="n">
        <f aca="false">J340+K340-L340</f>
        <v>-679352</v>
      </c>
      <c r="N340" s="193" t="n">
        <f aca="false">SUMIF('statutory adj_2026 조정분개'!$S:$S,$D340,'statutory adj_2026 조정분개'!$K:$K)</f>
        <v>0</v>
      </c>
      <c r="O340" s="194" t="n">
        <f aca="false">SUMIF('statutory adj_2026 조정분개'!$S:$S,$D340,'statutory adj_2026 조정분개'!$L:$L)</f>
        <v>0</v>
      </c>
      <c r="P340" s="192" t="n">
        <f aca="false">M340+N340-O340</f>
        <v>-679352</v>
      </c>
      <c r="Q340" s="195" t="n">
        <f aca="false">IFERROR(VLOOKUP(VALUE($D340),BSPL2026!$B:$Q,16,FALSE()),0)</f>
        <v>-23624342</v>
      </c>
      <c r="R340" s="196" t="s">
        <v>449</v>
      </c>
      <c r="S340" s="172" t="str">
        <f aca="false">IFERROR(VLOOKUP(VALUE($D340),BSPL2026!$B:$M,12,FALSE()),"")</f>
        <v>외화환산이익</v>
      </c>
      <c r="T340" s="172" t="str">
        <f aca="false">IF(OR(S340="",S340=0,LEFT(S340,5)="(원본오류"),"",IF(S340=H340,"","매핑차이"))</f>
        <v/>
      </c>
    </row>
    <row r="341" customFormat="false" ht="16.5" hidden="false" customHeight="false" outlineLevel="0" collapsed="false">
      <c r="D341" s="186" t="s">
        <v>1165</v>
      </c>
      <c r="E341" s="187" t="s">
        <v>1166</v>
      </c>
      <c r="F341" s="188" t="s">
        <v>791</v>
      </c>
      <c r="G341" s="189" t="s">
        <v>870</v>
      </c>
      <c r="H341" s="190" t="s">
        <v>393</v>
      </c>
      <c r="I341" s="191" t="s">
        <v>1166</v>
      </c>
      <c r="J341" s="192" t="n">
        <f aca="false">IFERROR(VLOOKUP(VALUE($D341),BSPL2026!$B:$Z,25,FALSE()),0)</f>
        <v>-26447153</v>
      </c>
      <c r="K341" s="193"/>
      <c r="L341" s="194"/>
      <c r="M341" s="192" t="n">
        <f aca="false">J341+K341-L341</f>
        <v>-26447153</v>
      </c>
      <c r="N341" s="193" t="n">
        <f aca="false">SUMIF('statutory adj_2026 조정분개'!$S:$S,$D341,'statutory adj_2026 조정분개'!$K:$K)</f>
        <v>0</v>
      </c>
      <c r="O341" s="194" t="n">
        <f aca="false">SUMIF('statutory adj_2026 조정분개'!$S:$S,$D341,'statutory adj_2026 조정분개'!$L:$L)</f>
        <v>0</v>
      </c>
      <c r="P341" s="192" t="n">
        <f aca="false">M341+N341-O341</f>
        <v>-26447153</v>
      </c>
      <c r="Q341" s="195" t="n">
        <f aca="false">IFERROR(VLOOKUP(VALUE($D341),BSPL2026!$B:$Q,16,FALSE()),0)</f>
        <v>-24103072</v>
      </c>
      <c r="R341" s="196" t="s">
        <v>449</v>
      </c>
      <c r="S341" s="172" t="str">
        <f aca="false">IFERROR(VLOOKUP(VALUE($D341),BSPL2026!$B:$M,12,FALSE()),"")</f>
        <v>잡이익</v>
      </c>
      <c r="T341" s="172" t="str">
        <f aca="false">IF(OR(S341="",S341=0,LEFT(S341,5)="(원본오류"),"",IF(S341=H341,"","매핑차이"))</f>
        <v/>
      </c>
    </row>
    <row r="342" customFormat="false" ht="16.5" hidden="false" customHeight="false" outlineLevel="0" collapsed="false">
      <c r="D342" s="186" t="s">
        <v>1167</v>
      </c>
      <c r="E342" s="187" t="s">
        <v>1168</v>
      </c>
      <c r="F342" s="188" t="s">
        <v>791</v>
      </c>
      <c r="G342" s="189" t="s">
        <v>870</v>
      </c>
      <c r="H342" s="190" t="s">
        <v>393</v>
      </c>
      <c r="I342" s="191" t="s">
        <v>1168</v>
      </c>
      <c r="J342" s="192" t="n">
        <f aca="false">IFERROR(VLOOKUP(VALUE($D342),BSPL2026!$B:$Z,25,FALSE()),0)</f>
        <v>-23051800562</v>
      </c>
      <c r="K342" s="193"/>
      <c r="L342" s="194"/>
      <c r="M342" s="192" t="n">
        <f aca="false">J342+K342-L342</f>
        <v>-23051800562</v>
      </c>
      <c r="N342" s="193" t="n">
        <f aca="false">SUMIF('statutory adj_2026 조정분개'!$S:$S,$D342,'statutory adj_2026 조정분개'!$K:$K)</f>
        <v>20794942446</v>
      </c>
      <c r="O342" s="194" t="n">
        <f aca="false">SUMIF('statutory adj_2026 조정분개'!$S:$S,$D342,'statutory adj_2026 조정분개'!$L:$L)</f>
        <v>0</v>
      </c>
      <c r="P342" s="192" t="n">
        <f aca="false">M342+N342-O342</f>
        <v>-2256858116</v>
      </c>
      <c r="Q342" s="195" t="n">
        <f aca="false">IFERROR(VLOOKUP(VALUE($D342),BSPL2026!$B:$Q,16,FALSE()),0)</f>
        <v>-21567260515</v>
      </c>
      <c r="R342" s="196" t="s">
        <v>449</v>
      </c>
      <c r="S342" s="172" t="str">
        <f aca="false">IFERROR(VLOOKUP(VALUE($D342),BSPL2026!$B:$M,12,FALSE()),"")</f>
        <v>잡이익</v>
      </c>
      <c r="T342" s="172" t="str">
        <f aca="false">IF(OR(S342="",S342=0,LEFT(S342,5)="(원본오류"),"",IF(S342=H342,"","매핑차이"))</f>
        <v/>
      </c>
    </row>
    <row r="343" customFormat="false" ht="16.5" hidden="false" customHeight="false" outlineLevel="0" collapsed="false">
      <c r="D343" s="186" t="s">
        <v>1169</v>
      </c>
      <c r="E343" s="187" t="s">
        <v>1170</v>
      </c>
      <c r="F343" s="188" t="s">
        <v>791</v>
      </c>
      <c r="G343" s="189" t="s">
        <v>870</v>
      </c>
      <c r="H343" s="190" t="s">
        <v>393</v>
      </c>
      <c r="I343" s="191" t="s">
        <v>1170</v>
      </c>
      <c r="J343" s="192" t="n">
        <f aca="false">IFERROR(VLOOKUP(VALUE($D343),BSPL2026!$B:$Z,25,FALSE()),0)</f>
        <v>-1087765</v>
      </c>
      <c r="K343" s="193"/>
      <c r="L343" s="194"/>
      <c r="M343" s="192" t="n">
        <f aca="false">J343+K343-L343</f>
        <v>-1087765</v>
      </c>
      <c r="N343" s="193" t="n">
        <f aca="false">SUMIF('statutory adj_2026 조정분개'!$S:$S,$D343,'statutory adj_2026 조정분개'!$K:$K)</f>
        <v>0</v>
      </c>
      <c r="O343" s="194" t="n">
        <f aca="false">SUMIF('statutory adj_2026 조정분개'!$S:$S,$D343,'statutory adj_2026 조정분개'!$L:$L)</f>
        <v>0</v>
      </c>
      <c r="P343" s="192" t="n">
        <f aca="false">M343+N343-O343</f>
        <v>-1087765</v>
      </c>
      <c r="Q343" s="195" t="n">
        <f aca="false">IFERROR(VLOOKUP(VALUE($D343),BSPL2026!$B:$Q,16,FALSE()),0)</f>
        <v>-8894303668</v>
      </c>
      <c r="R343" s="196" t="s">
        <v>449</v>
      </c>
      <c r="S343" s="172" t="str">
        <f aca="false">IFERROR(VLOOKUP(VALUE($D343),BSPL2026!$B:$M,12,FALSE()),"")</f>
        <v>잡이익</v>
      </c>
      <c r="T343" s="172" t="str">
        <f aca="false">IF(OR(S343="",S343=0,LEFT(S343,5)="(원본오류"),"",IF(S343=H343,"","매핑차이"))</f>
        <v/>
      </c>
    </row>
    <row r="344" customFormat="false" ht="16.5" hidden="false" customHeight="false" outlineLevel="0" collapsed="false">
      <c r="D344" s="186" t="s">
        <v>1171</v>
      </c>
      <c r="E344" s="187" t="s">
        <v>1172</v>
      </c>
      <c r="F344" s="188" t="s">
        <v>791</v>
      </c>
      <c r="G344" s="189" t="s">
        <v>1090</v>
      </c>
      <c r="H344" s="190" t="s">
        <v>419</v>
      </c>
      <c r="I344" s="191" t="s">
        <v>1172</v>
      </c>
      <c r="J344" s="192" t="n">
        <f aca="false">IFERROR(VLOOKUP(VALUE($D344),BSPL2026!$B:$Z,25,FALSE()),0)</f>
        <v>30208</v>
      </c>
      <c r="K344" s="193"/>
      <c r="L344" s="194"/>
      <c r="M344" s="192" t="n">
        <f aca="false">J344+K344-L344</f>
        <v>30208</v>
      </c>
      <c r="N344" s="193" t="n">
        <f aca="false">SUMIF('statutory adj_2026 조정분개'!$S:$S,$D344,'statutory adj_2026 조정분개'!$K:$K)</f>
        <v>0</v>
      </c>
      <c r="O344" s="194" t="n">
        <f aca="false">SUMIF('statutory adj_2026 조정분개'!$S:$S,$D344,'statutory adj_2026 조정분개'!$L:$L)</f>
        <v>0</v>
      </c>
      <c r="P344" s="192" t="n">
        <f aca="false">M344+N344-O344</f>
        <v>30208</v>
      </c>
      <c r="Q344" s="195" t="n">
        <f aca="false">IFERROR(VLOOKUP(VALUE($D344),BSPL2026!$B:$Q,16,FALSE()),0)</f>
        <v>11910</v>
      </c>
      <c r="R344" s="196" t="s">
        <v>449</v>
      </c>
      <c r="S344" s="172" t="str">
        <f aca="false">IFERROR(VLOOKUP(VALUE($D344),BSPL2026!$B:$M,12,FALSE()),"")</f>
        <v>잡손실</v>
      </c>
      <c r="T344" s="172" t="str">
        <f aca="false">IF(OR(S344="",S344=0,LEFT(S344,5)="(원본오류"),"",IF(S344=H344,"","매핑차이"))</f>
        <v/>
      </c>
    </row>
    <row r="345" customFormat="false" ht="16.5" hidden="false" customHeight="false" outlineLevel="0" collapsed="false">
      <c r="D345" s="186" t="s">
        <v>1173</v>
      </c>
      <c r="E345" s="187" t="s">
        <v>1174</v>
      </c>
      <c r="F345" s="188" t="s">
        <v>791</v>
      </c>
      <c r="G345" s="189" t="s">
        <v>862</v>
      </c>
      <c r="H345" s="190" t="s">
        <v>344</v>
      </c>
      <c r="I345" s="191" t="s">
        <v>1174</v>
      </c>
      <c r="J345" s="192" t="n">
        <f aca="false">IFERROR(VLOOKUP(VALUE($D345),BSPL2026!$B:$Z,25,FALSE()),0)</f>
        <v>992515326</v>
      </c>
      <c r="K345" s="193"/>
      <c r="L345" s="194"/>
      <c r="M345" s="192" t="n">
        <f aca="false">J345+K345-L345</f>
        <v>992515326</v>
      </c>
      <c r="N345" s="193" t="n">
        <f aca="false">SUMIF('statutory adj_2026 조정분개'!$S:$S,$D345,'statutory adj_2026 조정분개'!$K:$K)</f>
        <v>0</v>
      </c>
      <c r="O345" s="194" t="n">
        <f aca="false">SUMIF('statutory adj_2026 조정분개'!$S:$S,$D345,'statutory adj_2026 조정분개'!$L:$L)</f>
        <v>0</v>
      </c>
      <c r="P345" s="192" t="n">
        <f aca="false">M345+N345-O345</f>
        <v>992515326</v>
      </c>
      <c r="Q345" s="195" t="n">
        <f aca="false">IFERROR(VLOOKUP(VALUE($D345),BSPL2026!$B:$Q,16,FALSE()),0)</f>
        <v>692328511</v>
      </c>
      <c r="R345" s="196" t="s">
        <v>449</v>
      </c>
      <c r="S345" s="172" t="str">
        <f aca="false">IFERROR(VLOOKUP(VALUE($D345),BSPL2026!$B:$M,12,FALSE()),"")</f>
        <v>지급수수료</v>
      </c>
      <c r="T345" s="172" t="str">
        <f aca="false">IF(OR(S345="",S345=0,LEFT(S345,5)="(원본오류"),"",IF(S345=H345,"","매핑차이"))</f>
        <v/>
      </c>
    </row>
    <row r="346" customFormat="false" ht="16.5" hidden="false" customHeight="false" outlineLevel="0" collapsed="false">
      <c r="D346" s="186" t="s">
        <v>1175</v>
      </c>
      <c r="E346" s="187" t="s">
        <v>1176</v>
      </c>
      <c r="F346" s="188" t="s">
        <v>791</v>
      </c>
      <c r="G346" s="189" t="s">
        <v>1090</v>
      </c>
      <c r="H346" s="190" t="s">
        <v>419</v>
      </c>
      <c r="I346" s="191" t="s">
        <v>1176</v>
      </c>
      <c r="J346" s="192" t="n">
        <f aca="false">IFERROR(VLOOKUP(VALUE($D346),BSPL2026!$B:$Z,25,FALSE()),0)</f>
        <v>0</v>
      </c>
      <c r="K346" s="193"/>
      <c r="L346" s="194"/>
      <c r="M346" s="192" t="n">
        <f aca="false">J346+K346-L346</f>
        <v>0</v>
      </c>
      <c r="N346" s="193" t="n">
        <f aca="false">SUMIF('statutory adj_2026 조정분개'!$S:$S,$D346,'statutory adj_2026 조정분개'!$K:$K)</f>
        <v>0</v>
      </c>
      <c r="O346" s="194" t="n">
        <f aca="false">SUMIF('statutory adj_2026 조정분개'!$S:$S,$D346,'statutory adj_2026 조정분개'!$L:$L)</f>
        <v>0</v>
      </c>
      <c r="P346" s="192" t="n">
        <f aca="false">M346+N346-O346</f>
        <v>0</v>
      </c>
      <c r="Q346" s="195" t="n">
        <f aca="false">IFERROR(VLOOKUP(VALUE($D346),BSPL2026!$B:$Q,16,FALSE()),0)</f>
        <v>0</v>
      </c>
      <c r="R346" s="196" t="s">
        <v>449</v>
      </c>
      <c r="S346" s="172" t="str">
        <f aca="false">IFERROR(VLOOKUP(VALUE($D346),BSPL2026!$B:$M,12,FALSE()),"")</f>
        <v>잡손실</v>
      </c>
      <c r="T346" s="172" t="str">
        <f aca="false">IF(OR(S346="",S346=0,LEFT(S346,5)="(원본오류"),"",IF(S346=H346,"","매핑차이"))</f>
        <v/>
      </c>
    </row>
    <row r="347" customFormat="false" ht="16.5" hidden="false" customHeight="false" outlineLevel="0" collapsed="false">
      <c r="D347" s="186" t="s">
        <v>1177</v>
      </c>
      <c r="E347" s="187" t="s">
        <v>1178</v>
      </c>
      <c r="F347" s="188" t="s">
        <v>791</v>
      </c>
      <c r="G347" s="189" t="s">
        <v>1090</v>
      </c>
      <c r="H347" s="190" t="s">
        <v>419</v>
      </c>
      <c r="I347" s="191" t="s">
        <v>1178</v>
      </c>
      <c r="J347" s="192" t="n">
        <f aca="false">IFERROR(VLOOKUP(VALUE($D347),BSPL2026!$B:$Z,25,FALSE()),0)</f>
        <v>-2615663000</v>
      </c>
      <c r="K347" s="193"/>
      <c r="L347" s="194"/>
      <c r="M347" s="192" t="n">
        <f aca="false">J347+K347-L347</f>
        <v>-2615663000</v>
      </c>
      <c r="N347" s="193" t="n">
        <f aca="false">SUMIF('statutory adj_2026 조정분개'!$S:$S,$D347,'statutory adj_2026 조정분개'!$K:$K)</f>
        <v>0</v>
      </c>
      <c r="O347" s="194" t="n">
        <f aca="false">SUMIF('statutory adj_2026 조정분개'!$S:$S,$D347,'statutory adj_2026 조정분개'!$L:$L)</f>
        <v>0</v>
      </c>
      <c r="P347" s="192" t="n">
        <f aca="false">M347+N347-O347</f>
        <v>-2615663000</v>
      </c>
      <c r="Q347" s="195" t="n">
        <f aca="false">IFERROR(VLOOKUP(VALUE($D347),BSPL2026!$B:$Q,16,FALSE()),0)</f>
        <v>0</v>
      </c>
      <c r="R347" s="196" t="s">
        <v>449</v>
      </c>
      <c r="S347" s="172" t="str">
        <f aca="false">IFERROR(VLOOKUP(VALUE($D347),BSPL2026!$B:$M,12,FALSE()),"")</f>
        <v>잡손실</v>
      </c>
      <c r="T347" s="172" t="str">
        <f aca="false">IF(OR(S347="",S347=0,LEFT(S347,5)="(원본오류"),"",IF(S347=H347,"","매핑차이"))</f>
        <v/>
      </c>
    </row>
    <row r="348" customFormat="false" ht="16.5" hidden="false" customHeight="false" outlineLevel="0" collapsed="false">
      <c r="D348" s="186" t="s">
        <v>1179</v>
      </c>
      <c r="E348" s="187" t="s">
        <v>1180</v>
      </c>
      <c r="F348" s="188" t="s">
        <v>791</v>
      </c>
      <c r="G348" s="189" t="s">
        <v>1090</v>
      </c>
      <c r="H348" s="190" t="s">
        <v>419</v>
      </c>
      <c r="I348" s="191" t="s">
        <v>1181</v>
      </c>
      <c r="J348" s="192" t="n">
        <f aca="false">IFERROR(VLOOKUP(VALUE($D348),BSPL2026!$B:$Z,25,FALSE()),0)</f>
        <v>3023706000</v>
      </c>
      <c r="K348" s="193"/>
      <c r="L348" s="194"/>
      <c r="M348" s="192" t="n">
        <f aca="false">J348+K348-L348</f>
        <v>3023706000</v>
      </c>
      <c r="N348" s="193" t="n">
        <f aca="false">SUMIF('statutory adj_2026 조정분개'!$S:$S,$D348,'statutory adj_2026 조정분개'!$K:$K)</f>
        <v>0</v>
      </c>
      <c r="O348" s="194" t="n">
        <f aca="false">SUMIF('statutory adj_2026 조정분개'!$S:$S,$D348,'statutory adj_2026 조정분개'!$L:$L)</f>
        <v>0</v>
      </c>
      <c r="P348" s="192" t="n">
        <f aca="false">M348+N348-O348</f>
        <v>3023706000</v>
      </c>
      <c r="Q348" s="195" t="n">
        <f aca="false">IFERROR(VLOOKUP(VALUE($D348),BSPL2026!$B:$Q,16,FALSE()),0)</f>
        <v>-2207843000</v>
      </c>
      <c r="R348" s="196" t="s">
        <v>449</v>
      </c>
      <c r="S348" s="172" t="str">
        <f aca="false">IFERROR(VLOOKUP(VALUE($D348),BSPL2026!$B:$M,12,FALSE()),"")</f>
        <v>잡손실</v>
      </c>
      <c r="T348" s="172" t="str">
        <f aca="false">IF(OR(S348="",S348=0,LEFT(S348,5)="(원본오류"),"",IF(S348=H348,"","매핑차이"))</f>
        <v/>
      </c>
    </row>
    <row r="349" customFormat="false" ht="16.5" hidden="false" customHeight="false" outlineLevel="0" collapsed="false">
      <c r="D349" s="186" t="s">
        <v>1182</v>
      </c>
      <c r="E349" s="187" t="s">
        <v>1183</v>
      </c>
      <c r="F349" s="188" t="s">
        <v>791</v>
      </c>
      <c r="G349" s="189" t="s">
        <v>862</v>
      </c>
      <c r="H349" s="190" t="s">
        <v>344</v>
      </c>
      <c r="I349" s="191" t="s">
        <v>1183</v>
      </c>
      <c r="J349" s="192" t="n">
        <f aca="false">IFERROR(VLOOKUP(VALUE($D349),BSPL2026!$B:$Z,25,FALSE()),0)</f>
        <v>1443862856</v>
      </c>
      <c r="K349" s="193"/>
      <c r="L349" s="194"/>
      <c r="M349" s="192" t="n">
        <f aca="false">J349+K349-L349</f>
        <v>1443862856</v>
      </c>
      <c r="N349" s="193" t="n">
        <f aca="false">SUMIF('statutory adj_2026 조정분개'!$S:$S,$D349,'statutory adj_2026 조정분개'!$K:$K)</f>
        <v>0</v>
      </c>
      <c r="O349" s="194" t="n">
        <f aca="false">SUMIF('statutory adj_2026 조정분개'!$S:$S,$D349,'statutory adj_2026 조정분개'!$L:$L)</f>
        <v>0</v>
      </c>
      <c r="P349" s="192" t="n">
        <f aca="false">M349+N349-O349</f>
        <v>1443862856</v>
      </c>
      <c r="Q349" s="195" t="n">
        <f aca="false">IFERROR(VLOOKUP(VALUE($D349),BSPL2026!$B:$Q,16,FALSE()),0)</f>
        <v>2686373320</v>
      </c>
      <c r="R349" s="196" t="s">
        <v>449</v>
      </c>
      <c r="S349" s="172" t="str">
        <f aca="false">IFERROR(VLOOKUP(VALUE($D349),BSPL2026!$B:$M,12,FALSE()),"")</f>
        <v>지급수수료</v>
      </c>
      <c r="T349" s="172" t="str">
        <f aca="false">IF(OR(S349="",S349=0,LEFT(S349,5)="(원본오류"),"",IF(S349=H349,"","매핑차이"))</f>
        <v/>
      </c>
    </row>
    <row r="350" customFormat="false" ht="16.5" hidden="false" customHeight="false" outlineLevel="0" collapsed="false">
      <c r="D350" s="186" t="s">
        <v>1184</v>
      </c>
      <c r="E350" s="187" t="s">
        <v>1185</v>
      </c>
      <c r="F350" s="188" t="s">
        <v>791</v>
      </c>
      <c r="G350" s="189" t="s">
        <v>1090</v>
      </c>
      <c r="H350" s="190" t="s">
        <v>400</v>
      </c>
      <c r="I350" s="191" t="s">
        <v>1185</v>
      </c>
      <c r="J350" s="192" t="n">
        <f aca="false">IFERROR(VLOOKUP(VALUE($D350),BSPL2026!$B:$Z,25,FALSE()),0)</f>
        <v>143028569</v>
      </c>
      <c r="K350" s="193"/>
      <c r="L350" s="194"/>
      <c r="M350" s="192" t="n">
        <f aca="false">J350+K350-L350</f>
        <v>143028569</v>
      </c>
      <c r="N350" s="193" t="n">
        <f aca="false">SUMIF('statutory adj_2026 조정분개'!$S:$S,$D350,'statutory adj_2026 조정분개'!$K:$K)</f>
        <v>0</v>
      </c>
      <c r="O350" s="194" t="n">
        <f aca="false">SUMIF('statutory adj_2026 조정분개'!$S:$S,$D350,'statutory adj_2026 조정분개'!$L:$L)</f>
        <v>0</v>
      </c>
      <c r="P350" s="192" t="n">
        <f aca="false">M350+N350-O350</f>
        <v>143028569</v>
      </c>
      <c r="Q350" s="195" t="n">
        <f aca="false">IFERROR(VLOOKUP(VALUE($D350),BSPL2026!$B:$Q,16,FALSE()),0)</f>
        <v>78151752</v>
      </c>
      <c r="R350" s="196" t="s">
        <v>449</v>
      </c>
      <c r="S350" s="172" t="str">
        <f aca="false">IFERROR(VLOOKUP(VALUE($D350),BSPL2026!$B:$M,12,FALSE()),"")</f>
        <v>이자비용</v>
      </c>
      <c r="T350" s="172" t="str">
        <f aca="false">IF(OR(S350="",S350=0,LEFT(S350,5)="(원본오류"),"",IF(S350=H350,"","매핑차이"))</f>
        <v/>
      </c>
    </row>
    <row r="351" customFormat="false" ht="16.5" hidden="false" customHeight="false" outlineLevel="0" collapsed="false">
      <c r="D351" s="186" t="s">
        <v>1186</v>
      </c>
      <c r="E351" s="187" t="s">
        <v>1187</v>
      </c>
      <c r="F351" s="188" t="s">
        <v>791</v>
      </c>
      <c r="G351" s="189" t="s">
        <v>1090</v>
      </c>
      <c r="H351" s="190" t="s">
        <v>400</v>
      </c>
      <c r="I351" s="191" t="s">
        <v>1187</v>
      </c>
      <c r="J351" s="192" t="n">
        <f aca="false">IFERROR(VLOOKUP(VALUE($D351),BSPL2026!$B:$Z,25,FALSE()),0)</f>
        <v>11146331</v>
      </c>
      <c r="K351" s="193"/>
      <c r="L351" s="194"/>
      <c r="M351" s="192" t="n">
        <f aca="false">J351+K351-L351</f>
        <v>11146331</v>
      </c>
      <c r="N351" s="193" t="n">
        <f aca="false">SUMIF('statutory adj_2026 조정분개'!$S:$S,$D351,'statutory adj_2026 조정분개'!$K:$K)</f>
        <v>0</v>
      </c>
      <c r="O351" s="194" t="n">
        <f aca="false">SUMIF('statutory adj_2026 조정분개'!$S:$S,$D351,'statutory adj_2026 조정분개'!$L:$L)</f>
        <v>0</v>
      </c>
      <c r="P351" s="192" t="n">
        <f aca="false">M351+N351-O351</f>
        <v>11146331</v>
      </c>
      <c r="Q351" s="195" t="n">
        <f aca="false">IFERROR(VLOOKUP(VALUE($D351),BSPL2026!$B:$Q,16,FALSE()),0)</f>
        <v>14650247</v>
      </c>
      <c r="R351" s="196" t="s">
        <v>449</v>
      </c>
      <c r="S351" s="172" t="str">
        <f aca="false">IFERROR(VLOOKUP(VALUE($D351),BSPL2026!$B:$M,12,FALSE()),"")</f>
        <v>이자비용</v>
      </c>
      <c r="T351" s="172" t="str">
        <f aca="false">IF(OR(S351="",S351=0,LEFT(S351,5)="(원본오류"),"",IF(S351=H351,"","매핑차이"))</f>
        <v/>
      </c>
    </row>
    <row r="352" customFormat="false" ht="16.5" hidden="false" customHeight="false" outlineLevel="0" collapsed="false">
      <c r="D352" s="186" t="s">
        <v>1188</v>
      </c>
      <c r="E352" s="187" t="s">
        <v>1189</v>
      </c>
      <c r="F352" s="188" t="s">
        <v>791</v>
      </c>
      <c r="G352" s="189" t="s">
        <v>1090</v>
      </c>
      <c r="H352" s="190" t="s">
        <v>400</v>
      </c>
      <c r="I352" s="191" t="s">
        <v>1190</v>
      </c>
      <c r="J352" s="192" t="n">
        <f aca="false">IFERROR(VLOOKUP(VALUE($D352),BSPL2026!$B:$Z,25,FALSE()),0)</f>
        <v>8416637</v>
      </c>
      <c r="K352" s="193"/>
      <c r="L352" s="194"/>
      <c r="M352" s="192" t="n">
        <f aca="false">J352+K352-L352</f>
        <v>8416637</v>
      </c>
      <c r="N352" s="193" t="n">
        <f aca="false">SUMIF('statutory adj_2026 조정분개'!$S:$S,$D352,'statutory adj_2026 조정분개'!$K:$K)</f>
        <v>0</v>
      </c>
      <c r="O352" s="194" t="n">
        <f aca="false">SUMIF('statutory adj_2026 조정분개'!$S:$S,$D352,'statutory adj_2026 조정분개'!$L:$L)</f>
        <v>0</v>
      </c>
      <c r="P352" s="192" t="n">
        <f aca="false">M352+N352-O352</f>
        <v>8416637</v>
      </c>
      <c r="Q352" s="195" t="n">
        <f aca="false">IFERROR(VLOOKUP(VALUE($D352),BSPL2026!$B:$Q,16,FALSE()),0)</f>
        <v>27709972</v>
      </c>
      <c r="R352" s="196" t="s">
        <v>449</v>
      </c>
      <c r="S352" s="172" t="str">
        <f aca="false">IFERROR(VLOOKUP(VALUE($D352),BSPL2026!$B:$M,12,FALSE()),"")</f>
        <v>이자비용</v>
      </c>
      <c r="T352" s="172" t="str">
        <f aca="false">IF(OR(S352="",S352=0,LEFT(S352,5)="(원본오류"),"",IF(S352=H352,"","매핑차이"))</f>
        <v/>
      </c>
    </row>
    <row r="353" customFormat="false" ht="16.5" hidden="false" customHeight="false" outlineLevel="0" collapsed="false">
      <c r="D353" s="186" t="s">
        <v>1191</v>
      </c>
      <c r="E353" s="187" t="s">
        <v>1192</v>
      </c>
      <c r="F353" s="188" t="s">
        <v>791</v>
      </c>
      <c r="G353" s="189" t="s">
        <v>870</v>
      </c>
      <c r="H353" s="190" t="s">
        <v>382</v>
      </c>
      <c r="I353" s="191" t="s">
        <v>1192</v>
      </c>
      <c r="J353" s="192" t="n">
        <f aca="false">IFERROR(VLOOKUP(VALUE($D353),BSPL2026!$B:$Z,25,FALSE()),0)</f>
        <v>-191454870</v>
      </c>
      <c r="K353" s="193"/>
      <c r="L353" s="194"/>
      <c r="M353" s="192" t="n">
        <f aca="false">J353+K353-L353</f>
        <v>-191454870</v>
      </c>
      <c r="N353" s="193" t="n">
        <f aca="false">SUMIF('statutory adj_2026 조정분개'!$S:$S,$D353,'statutory adj_2026 조정분개'!$K:$K)</f>
        <v>0</v>
      </c>
      <c r="O353" s="194" t="n">
        <f aca="false">SUMIF('statutory adj_2026 조정분개'!$S:$S,$D353,'statutory adj_2026 조정분개'!$L:$L)</f>
        <v>0</v>
      </c>
      <c r="P353" s="192" t="n">
        <f aca="false">M353+N353-O353</f>
        <v>-191454870</v>
      </c>
      <c r="Q353" s="195" t="n">
        <f aca="false">IFERROR(VLOOKUP(VALUE($D353),BSPL2026!$B:$Q,16,FALSE()),0)</f>
        <v>-219671928</v>
      </c>
      <c r="R353" s="196" t="s">
        <v>449</v>
      </c>
      <c r="S353" s="172" t="str">
        <f aca="false">IFERROR(VLOOKUP(VALUE($D353),BSPL2026!$B:$M,12,FALSE()),"")</f>
        <v>이자수익</v>
      </c>
      <c r="T353" s="172" t="str">
        <f aca="false">IF(OR(S353="",S353=0,LEFT(S353,5)="(원본오류"),"",IF(S353=H353,"","매핑차이"))</f>
        <v/>
      </c>
    </row>
    <row r="354" customFormat="false" ht="16.5" hidden="false" customHeight="false" outlineLevel="0" collapsed="false">
      <c r="D354" s="186" t="s">
        <v>1193</v>
      </c>
      <c r="E354" s="187" t="s">
        <v>1194</v>
      </c>
      <c r="F354" s="188" t="s">
        <v>791</v>
      </c>
      <c r="G354" s="189" t="s">
        <v>870</v>
      </c>
      <c r="H354" s="190" t="s">
        <v>382</v>
      </c>
      <c r="I354" s="191" t="s">
        <v>1194</v>
      </c>
      <c r="J354" s="192" t="n">
        <f aca="false">IFERROR(VLOOKUP(VALUE($D354),BSPL2026!$B:$Z,25,FALSE()),0)</f>
        <v>-9771588</v>
      </c>
      <c r="K354" s="193"/>
      <c r="L354" s="194"/>
      <c r="M354" s="192" t="n">
        <f aca="false">J354+K354-L354</f>
        <v>-9771588</v>
      </c>
      <c r="N354" s="193" t="n">
        <f aca="false">SUMIF('statutory adj_2026 조정분개'!$S:$S,$D354,'statutory adj_2026 조정분개'!$K:$K)</f>
        <v>0</v>
      </c>
      <c r="O354" s="194" t="n">
        <f aca="false">SUMIF('statutory adj_2026 조정분개'!$S:$S,$D354,'statutory adj_2026 조정분개'!$L:$L)</f>
        <v>0</v>
      </c>
      <c r="P354" s="192" t="n">
        <f aca="false">M354+N354-O354</f>
        <v>-9771588</v>
      </c>
      <c r="Q354" s="195" t="n">
        <f aca="false">IFERROR(VLOOKUP(VALUE($D354),BSPL2026!$B:$Q,16,FALSE()),0)</f>
        <v>-18769094</v>
      </c>
      <c r="R354" s="196" t="s">
        <v>449</v>
      </c>
      <c r="S354" s="172" t="str">
        <f aca="false">IFERROR(VLOOKUP(VALUE($D354),BSPL2026!$B:$M,12,FALSE()),"")</f>
        <v>이자수익</v>
      </c>
      <c r="T354" s="172" t="str">
        <f aca="false">IF(OR(S354="",S354=0,LEFT(S354,5)="(원본오류"),"",IF(S354=H354,"","매핑차이"))</f>
        <v/>
      </c>
    </row>
    <row r="355" customFormat="false" ht="16.5" hidden="false" customHeight="false" outlineLevel="0" collapsed="false">
      <c r="D355" s="186" t="s">
        <v>1195</v>
      </c>
      <c r="E355" s="187" t="s">
        <v>1196</v>
      </c>
      <c r="F355" s="188" t="s">
        <v>791</v>
      </c>
      <c r="G355" s="189" t="s">
        <v>870</v>
      </c>
      <c r="H355" s="190" t="s">
        <v>386</v>
      </c>
      <c r="I355" s="191" t="s">
        <v>1196</v>
      </c>
      <c r="J355" s="192" t="n">
        <f aca="false">IFERROR(VLOOKUP(VALUE($D355),BSPL2026!$B:$Z,25,FALSE()),0)</f>
        <v>0</v>
      </c>
      <c r="K355" s="193"/>
      <c r="L355" s="194"/>
      <c r="M355" s="192" t="n">
        <f aca="false">J355+K355-L355</f>
        <v>0</v>
      </c>
      <c r="N355" s="193" t="n">
        <f aca="false">SUMIF('statutory adj_2026 조정분개'!$S:$S,$D355,'statutory adj_2026 조정분개'!$K:$K)</f>
        <v>0</v>
      </c>
      <c r="O355" s="194" t="n">
        <f aca="false">SUMIF('statutory adj_2026 조정분개'!$S:$S,$D355,'statutory adj_2026 조정분개'!$L:$L)</f>
        <v>0</v>
      </c>
      <c r="P355" s="192" t="n">
        <f aca="false">M355+N355-O355</f>
        <v>0</v>
      </c>
      <c r="Q355" s="195" t="n">
        <f aca="false">IFERROR(VLOOKUP(VALUE($D355),BSPL2026!$B:$Q,16,FALSE()),0)</f>
        <v>-7432120758</v>
      </c>
      <c r="R355" s="196" t="s">
        <v>449</v>
      </c>
      <c r="S355" s="172" t="str">
        <f aca="false">IFERROR(VLOOKUP(VALUE($D355),BSPL2026!$B:$M,12,FALSE()),"")</f>
        <v>투자자산처분이익</v>
      </c>
      <c r="T355" s="172" t="str">
        <f aca="false">IF(OR(S355="",S355=0,LEFT(S355,5)="(원본오류"),"",IF(S355=H355,"","매핑차이"))</f>
        <v/>
      </c>
    </row>
    <row r="356" customFormat="false" ht="16.5" hidden="false" customHeight="false" outlineLevel="0" collapsed="false">
      <c r="D356" s="186" t="s">
        <v>1197</v>
      </c>
      <c r="E356" s="187" t="s">
        <v>1198</v>
      </c>
      <c r="F356" s="188" t="s">
        <v>791</v>
      </c>
      <c r="G356" s="189" t="s">
        <v>862</v>
      </c>
      <c r="H356" s="190" t="s">
        <v>346</v>
      </c>
      <c r="I356" s="191" t="s">
        <v>1198</v>
      </c>
      <c r="J356" s="192" t="n">
        <f aca="false">IFERROR(VLOOKUP(VALUE($D356),BSPL2026!$B:$Z,25,FALSE()),0)</f>
        <v>131374060</v>
      </c>
      <c r="K356" s="193"/>
      <c r="L356" s="194"/>
      <c r="M356" s="192" t="n">
        <f aca="false">J356+K356-L356</f>
        <v>131374060</v>
      </c>
      <c r="N356" s="193" t="n">
        <f aca="false">SUMIF('statutory adj_2026 조정분개'!$S:$S,$D356,'statutory adj_2026 조정분개'!$K:$K)</f>
        <v>0</v>
      </c>
      <c r="O356" s="194" t="n">
        <f aca="false">SUMIF('statutory adj_2026 조정분개'!$S:$S,$D356,'statutory adj_2026 조정분개'!$L:$L)</f>
        <v>0</v>
      </c>
      <c r="P356" s="192" t="n">
        <f aca="false">M356+N356-O356</f>
        <v>131374060</v>
      </c>
      <c r="Q356" s="195" t="n">
        <f aca="false">IFERROR(VLOOKUP(VALUE($D356),BSPL2026!$B:$Q,16,FALSE()),0)</f>
        <v>0</v>
      </c>
      <c r="R356" s="196" t="s">
        <v>449</v>
      </c>
      <c r="S356" s="172" t="str">
        <f aca="false">IFERROR(VLOOKUP(VALUE($D356),BSPL2026!$B:$M,12,FALSE()),"")</f>
        <v>제세공과</v>
      </c>
      <c r="T356" s="172" t="str">
        <f aca="false">IF(OR(S356="",S356=0,LEFT(S356,5)="(원본오류"),"",IF(S356=H356,"","매핑차이"))</f>
        <v/>
      </c>
    </row>
    <row r="357" customFormat="false" ht="16.5" hidden="false" customHeight="false" outlineLevel="0" collapsed="false">
      <c r="D357" s="186" t="s">
        <v>1199</v>
      </c>
      <c r="E357" s="187" t="s">
        <v>1200</v>
      </c>
      <c r="F357" s="188" t="s">
        <v>791</v>
      </c>
      <c r="G357" s="189" t="s">
        <v>428</v>
      </c>
      <c r="H357" s="190" t="s">
        <v>428</v>
      </c>
      <c r="I357" s="191" t="s">
        <v>1200</v>
      </c>
      <c r="J357" s="192" t="n">
        <f aca="false">IFERROR(VLOOKUP(VALUE($D357),BSPL2026!$B:$Z,25,FALSE()),0)</f>
        <v>8845776907</v>
      </c>
      <c r="K357" s="193"/>
      <c r="L357" s="194"/>
      <c r="M357" s="192" t="n">
        <f aca="false">J357+K357-L357</f>
        <v>8845776907</v>
      </c>
      <c r="N357" s="193" t="n">
        <f aca="false">SUMIF('statutory adj_2026 조정분개'!$S:$S,$D357,'statutory adj_2026 조정분개'!$K:$K)</f>
        <v>0</v>
      </c>
      <c r="O357" s="194" t="n">
        <f aca="false">SUMIF('statutory adj_2026 조정분개'!$S:$S,$D357,'statutory adj_2026 조정분개'!$L:$L)</f>
        <v>0</v>
      </c>
      <c r="P357" s="192" t="n">
        <f aca="false">M357+N357-O357</f>
        <v>8845776907</v>
      </c>
      <c r="Q357" s="195" t="n">
        <f aca="false">IFERROR(VLOOKUP(VALUE($D357),BSPL2026!$B:$Q,16,FALSE()),0)</f>
        <v>11006749505</v>
      </c>
      <c r="R357" s="196" t="s">
        <v>449</v>
      </c>
      <c r="S357" s="172" t="str">
        <f aca="false">IFERROR(VLOOKUP(VALUE($D357),BSPL2026!$B:$M,12,FALSE()),"")</f>
        <v>법인세비용</v>
      </c>
      <c r="T357" s="172" t="str">
        <f aca="false">IF(OR(S357="",S357=0,LEFT(S357,5)="(원본오류"),"",IF(S357=H357,"","매핑차이"))</f>
        <v/>
      </c>
    </row>
    <row r="358" customFormat="false" ht="16.5" hidden="false" customHeight="false" outlineLevel="0" collapsed="false">
      <c r="D358" s="186" t="s">
        <v>1201</v>
      </c>
      <c r="E358" s="187" t="s">
        <v>1202</v>
      </c>
      <c r="F358" s="188" t="s">
        <v>791</v>
      </c>
      <c r="G358" s="189" t="s">
        <v>428</v>
      </c>
      <c r="H358" s="190" t="s">
        <v>428</v>
      </c>
      <c r="I358" s="191" t="s">
        <v>1202</v>
      </c>
      <c r="J358" s="192" t="n">
        <f aca="false">IFERROR(VLOOKUP(VALUE($D358),BSPL2026!$B:$Z,25,FALSE()),0)</f>
        <v>-332114429</v>
      </c>
      <c r="K358" s="193"/>
      <c r="L358" s="194"/>
      <c r="M358" s="192" t="n">
        <f aca="false">J358+K358-L358</f>
        <v>-332114429</v>
      </c>
      <c r="N358" s="193" t="n">
        <f aca="false">SUMIF('statutory adj_2026 조정분개'!$S:$S,$D358,'statutory adj_2026 조정분개'!$K:$K)</f>
        <v>0</v>
      </c>
      <c r="O358" s="194" t="n">
        <f aca="false">SUMIF('statutory adj_2026 조정분개'!$S:$S,$D358,'statutory adj_2026 조정분개'!$L:$L)</f>
        <v>0</v>
      </c>
      <c r="P358" s="192" t="n">
        <f aca="false">M358+N358-O358</f>
        <v>-332114429</v>
      </c>
      <c r="Q358" s="195" t="n">
        <f aca="false">IFERROR(VLOOKUP(VALUE($D358),BSPL2026!$B:$Q,16,FALSE()),0)</f>
        <v>0</v>
      </c>
      <c r="R358" s="196" t="s">
        <v>449</v>
      </c>
      <c r="S358" s="172" t="str">
        <f aca="false">IFERROR(VLOOKUP(VALUE($D358),BSPL2026!$B:$M,12,FALSE()),"")</f>
        <v>법인세비용</v>
      </c>
      <c r="T358" s="172" t="str">
        <f aca="false">IF(OR(S358="",S358=0,LEFT(S358,5)="(원본오류"),"",IF(S358=H358,"","매핑차이"))</f>
        <v/>
      </c>
    </row>
    <row r="359" customFormat="false" ht="16.5" hidden="false" customHeight="false" outlineLevel="0" collapsed="false">
      <c r="D359" s="186" t="s">
        <v>1203</v>
      </c>
      <c r="E359" s="187" t="s">
        <v>1204</v>
      </c>
      <c r="F359" s="188" t="s">
        <v>791</v>
      </c>
      <c r="G359" s="189" t="s">
        <v>428</v>
      </c>
      <c r="H359" s="190" t="s">
        <v>428</v>
      </c>
      <c r="I359" s="191" t="s">
        <v>1205</v>
      </c>
      <c r="J359" s="192" t="n">
        <f aca="false">IFERROR(VLOOKUP(VALUE($D359),BSPL2026!$B:$Z,25,FALSE()),0)</f>
        <v>0</v>
      </c>
      <c r="K359" s="193"/>
      <c r="L359" s="194"/>
      <c r="M359" s="192" t="n">
        <f aca="false">J359+K359-L359</f>
        <v>0</v>
      </c>
      <c r="N359" s="193" t="n">
        <f aca="false">SUMIF('statutory adj_2026 조정분개'!$S:$S,$D359,'statutory adj_2026 조정분개'!$K:$K)</f>
        <v>0</v>
      </c>
      <c r="O359" s="194" t="n">
        <f aca="false">SUMIF('statutory adj_2026 조정분개'!$S:$S,$D359,'statutory adj_2026 조정분개'!$L:$L)</f>
        <v>0</v>
      </c>
      <c r="P359" s="192" t="n">
        <f aca="false">M359+N359-O359</f>
        <v>0</v>
      </c>
      <c r="Q359" s="195" t="n">
        <f aca="false">IFERROR(VLOOKUP(VALUE($D359),BSPL2026!$B:$Q,16,FALSE()),0)</f>
        <v>-31</v>
      </c>
      <c r="R359" s="196" t="s">
        <v>449</v>
      </c>
      <c r="S359" s="172" t="str">
        <f aca="false">IFERROR(VLOOKUP(VALUE($D359),BSPL2026!$B:$M,12,FALSE()),"")</f>
        <v>법인세비용</v>
      </c>
      <c r="T359" s="172" t="str">
        <f aca="false">IF(OR(S359="",S359=0,LEFT(S359,5)="(원본오류"),"",IF(S359=H359,"","매핑차이"))</f>
        <v/>
      </c>
    </row>
    <row r="360" customFormat="false" ht="16.5" hidden="false" customHeight="false" outlineLevel="0" collapsed="false">
      <c r="D360" s="186" t="s">
        <v>1206</v>
      </c>
      <c r="E360" s="187" t="s">
        <v>1207</v>
      </c>
      <c r="F360" s="188" t="s">
        <v>791</v>
      </c>
      <c r="G360" s="189" t="s">
        <v>428</v>
      </c>
      <c r="H360" s="190" t="s">
        <v>428</v>
      </c>
      <c r="I360" s="191" t="s">
        <v>1207</v>
      </c>
      <c r="J360" s="192" t="n">
        <f aca="false">IFERROR(VLOOKUP(VALUE($D360),BSPL2026!$B:$Z,25,FALSE()),0)</f>
        <v>4628694078</v>
      </c>
      <c r="K360" s="193"/>
      <c r="L360" s="194"/>
      <c r="M360" s="192" t="n">
        <f aca="false">J360+K360-L360</f>
        <v>4628694078</v>
      </c>
      <c r="N360" s="193" t="n">
        <f aca="false">SUMIF('statutory adj_2026 조정분개'!$S:$S,$D360,'statutory adj_2026 조정분개'!$K:$K)</f>
        <v>0</v>
      </c>
      <c r="O360" s="194" t="n">
        <f aca="false">SUMIF('statutory adj_2026 조정분개'!$S:$S,$D360,'statutory adj_2026 조정분개'!$L:$L)</f>
        <v>0</v>
      </c>
      <c r="P360" s="192" t="n">
        <f aca="false">M360+N360-O360</f>
        <v>4628694078</v>
      </c>
      <c r="Q360" s="195" t="n">
        <f aca="false">IFERROR(VLOOKUP(VALUE($D360),BSPL2026!$B:$Q,16,FALSE()),0)</f>
        <v>-2709185174</v>
      </c>
      <c r="R360" s="196" t="s">
        <v>449</v>
      </c>
      <c r="S360" s="172" t="str">
        <f aca="false">IFERROR(VLOOKUP(VALUE($D360),BSPL2026!$B:$M,12,FALSE()),"")</f>
        <v>법인세비용</v>
      </c>
      <c r="T360" s="172" t="str">
        <f aca="false">IF(OR(S360="",S360=0,LEFT(S360,5)="(원본오류"),"",IF(S360=H360,"","매핑차이"))</f>
        <v/>
      </c>
    </row>
    <row r="361" customFormat="false" ht="16.5" hidden="false" customHeight="false" outlineLevel="0" collapsed="false">
      <c r="D361" s="186" t="s">
        <v>1208</v>
      </c>
      <c r="E361" s="187" t="s">
        <v>1209</v>
      </c>
      <c r="F361" s="188" t="s">
        <v>791</v>
      </c>
      <c r="G361" s="189" t="s">
        <v>428</v>
      </c>
      <c r="H361" s="190" t="s">
        <v>428</v>
      </c>
      <c r="I361" s="191" t="s">
        <v>1209</v>
      </c>
      <c r="J361" s="192" t="n">
        <f aca="false">IFERROR(VLOOKUP(VALUE($D361),BSPL2026!$B:$Z,25,FALSE()),0)</f>
        <v>-39664165</v>
      </c>
      <c r="K361" s="193"/>
      <c r="L361" s="194"/>
      <c r="M361" s="192" t="n">
        <f aca="false">J361+K361-L361</f>
        <v>-39664165</v>
      </c>
      <c r="N361" s="193" t="n">
        <f aca="false">SUMIF('statutory adj_2026 조정분개'!$S:$S,$D361,'statutory adj_2026 조정분개'!$K:$K)</f>
        <v>0</v>
      </c>
      <c r="O361" s="194" t="n">
        <f aca="false">SUMIF('statutory adj_2026 조정분개'!$S:$S,$D361,'statutory adj_2026 조정분개'!$L:$L)</f>
        <v>0</v>
      </c>
      <c r="P361" s="192" t="n">
        <f aca="false">M361+N361-O361</f>
        <v>-39664165</v>
      </c>
      <c r="Q361" s="195" t="n">
        <f aca="false">IFERROR(VLOOKUP(VALUE($D361),BSPL2026!$B:$Q,16,FALSE()),0)</f>
        <v>451069375</v>
      </c>
      <c r="R361" s="196" t="s">
        <v>449</v>
      </c>
      <c r="S361" s="172" t="str">
        <f aca="false">IFERROR(VLOOKUP(VALUE($D361),BSPL2026!$B:$M,12,FALSE()),"")</f>
        <v>법인세비용</v>
      </c>
      <c r="T361" s="172" t="str">
        <f aca="false">IF(OR(S361="",S361=0,LEFT(S361,5)="(원본오류"),"",IF(S361=H361,"","매핑차이"))</f>
        <v/>
      </c>
    </row>
    <row r="362" customFormat="false" ht="16.5" hidden="false" customHeight="false" outlineLevel="0" collapsed="false">
      <c r="D362" s="186" t="s">
        <v>1210</v>
      </c>
      <c r="E362" s="187" t="s">
        <v>1211</v>
      </c>
      <c r="F362" s="188" t="s">
        <v>791</v>
      </c>
      <c r="G362" s="189" t="s">
        <v>862</v>
      </c>
      <c r="H362" s="190" t="s">
        <v>344</v>
      </c>
      <c r="I362" s="191" t="s">
        <v>1211</v>
      </c>
      <c r="J362" s="192" t="n">
        <f aca="false">IFERROR(VLOOKUP(VALUE($D362),BSPL2026!$B:$Z,25,FALSE()),0)</f>
        <v>4549248</v>
      </c>
      <c r="K362" s="193"/>
      <c r="L362" s="194"/>
      <c r="M362" s="192" t="n">
        <f aca="false">J362+K362-L362</f>
        <v>4549248</v>
      </c>
      <c r="N362" s="193" t="n">
        <f aca="false">SUMIF('statutory adj_2026 조정분개'!$S:$S,$D362,'statutory adj_2026 조정분개'!$K:$K)</f>
        <v>0</v>
      </c>
      <c r="O362" s="194" t="n">
        <f aca="false">SUMIF('statutory adj_2026 조정분개'!$S:$S,$D362,'statutory adj_2026 조정분개'!$L:$L)</f>
        <v>0</v>
      </c>
      <c r="P362" s="192" t="n">
        <f aca="false">M362+N362-O362</f>
        <v>4549248</v>
      </c>
      <c r="Q362" s="195" t="n">
        <f aca="false">IFERROR(VLOOKUP(VALUE($D362),BSPL2026!$B:$Q,16,FALSE()),0)</f>
        <v>603131607</v>
      </c>
      <c r="R362" s="196" t="s">
        <v>449</v>
      </c>
      <c r="S362" s="172" t="str">
        <f aca="false">IFERROR(VLOOKUP(VALUE($D362),BSPL2026!$B:$M,12,FALSE()),"")</f>
        <v>지급수수료</v>
      </c>
      <c r="T362" s="172" t="str">
        <f aca="false">IF(OR(S362="",S362=0,LEFT(S362,5)="(원본오류"),"",IF(S362=H362,"","매핑차이"))</f>
        <v/>
      </c>
    </row>
    <row r="363" customFormat="false" ht="16.5" hidden="false" customHeight="false" outlineLevel="0" collapsed="false">
      <c r="D363" s="186" t="s">
        <v>1212</v>
      </c>
      <c r="E363" s="187" t="s">
        <v>1213</v>
      </c>
      <c r="F363" s="188" t="s">
        <v>791</v>
      </c>
      <c r="G363" s="189" t="s">
        <v>1090</v>
      </c>
      <c r="H363" s="190" t="s">
        <v>409</v>
      </c>
      <c r="I363" s="191" t="s">
        <v>1213</v>
      </c>
      <c r="J363" s="192" t="n">
        <f aca="false">IFERROR(VLOOKUP(VALUE($D363),BSPL2026!$B:$Z,25,FALSE()),0)</f>
        <v>-1874497219</v>
      </c>
      <c r="K363" s="193"/>
      <c r="L363" s="194"/>
      <c r="M363" s="192" t="n">
        <f aca="false">J363+K363-L363</f>
        <v>-1874497219</v>
      </c>
      <c r="N363" s="193" t="n">
        <f aca="false">SUMIF('statutory adj_2026 조정분개'!$S:$S,$D363,'statutory adj_2026 조정분개'!$K:$K)</f>
        <v>0</v>
      </c>
      <c r="O363" s="194" t="n">
        <f aca="false">SUMIF('statutory adj_2026 조정분개'!$S:$S,$D363,'statutory adj_2026 조정분개'!$L:$L)</f>
        <v>0</v>
      </c>
      <c r="P363" s="192" t="n">
        <f aca="false">M363+N363-O363</f>
        <v>-1874497219</v>
      </c>
      <c r="Q363" s="195" t="n">
        <f aca="false">IFERROR(VLOOKUP(VALUE($D363),BSPL2026!$B:$Q,16,FALSE()),0)</f>
        <v>0</v>
      </c>
      <c r="R363" s="196" t="s">
        <v>449</v>
      </c>
      <c r="S363" s="172" t="str">
        <f aca="false">IFERROR(VLOOKUP(VALUE($D363),BSPL2026!$B:$M,12,FALSE()),"")</f>
        <v>투자자산처분손실</v>
      </c>
      <c r="T363" s="172" t="str">
        <f aca="false">IF(OR(S363="",S363=0,LEFT(S363,5)="(원본오류"),"",IF(S363=H363,"","매핑차이"))</f>
        <v/>
      </c>
    </row>
    <row r="364" customFormat="false" ht="16.5" hidden="false" customHeight="false" outlineLevel="0" collapsed="false">
      <c r="D364" s="186" t="s">
        <v>1214</v>
      </c>
      <c r="E364" s="187" t="s">
        <v>1215</v>
      </c>
      <c r="F364" s="188" t="s">
        <v>791</v>
      </c>
      <c r="G364" s="189" t="s">
        <v>1090</v>
      </c>
      <c r="H364" s="190" t="s">
        <v>409</v>
      </c>
      <c r="I364" s="191" t="s">
        <v>1215</v>
      </c>
      <c r="J364" s="192" t="n">
        <f aca="false">IFERROR(VLOOKUP(VALUE($D364),BSPL2026!$B:$Z,25,FALSE()),0)</f>
        <v>3246854862</v>
      </c>
      <c r="K364" s="193"/>
      <c r="L364" s="194"/>
      <c r="M364" s="192" t="n">
        <f aca="false">J364+K364-L364</f>
        <v>3246854862</v>
      </c>
      <c r="N364" s="193" t="n">
        <f aca="false">SUMIF('statutory adj_2026 조정분개'!$S:$S,$D364,'statutory adj_2026 조정분개'!$K:$K)</f>
        <v>0</v>
      </c>
      <c r="O364" s="194" t="n">
        <f aca="false">SUMIF('statutory adj_2026 조정분개'!$S:$S,$D364,'statutory adj_2026 조정분개'!$L:$L)</f>
        <v>0</v>
      </c>
      <c r="P364" s="192" t="n">
        <f aca="false">M364+N364-O364</f>
        <v>3246854862</v>
      </c>
      <c r="Q364" s="195" t="n">
        <f aca="false">IFERROR(VLOOKUP(VALUE($D364),BSPL2026!$B:$Q,16,FALSE()),0)</f>
        <v>0</v>
      </c>
      <c r="R364" s="196" t="s">
        <v>449</v>
      </c>
      <c r="S364" s="172" t="str">
        <f aca="false">IFERROR(VLOOKUP(VALUE($D364),BSPL2026!$B:$M,12,FALSE()),"")</f>
        <v>투자자산처분손실</v>
      </c>
      <c r="T364" s="172" t="str">
        <f aca="false">IF(OR(S364="",S364=0,LEFT(S364,5)="(원본오류"),"",IF(S364=H364,"","매핑차이"))</f>
        <v/>
      </c>
    </row>
    <row r="365" customFormat="false" ht="16.5" hidden="false" customHeight="false" outlineLevel="0" collapsed="false">
      <c r="D365" s="186" t="s">
        <v>1216</v>
      </c>
      <c r="E365" s="187" t="s">
        <v>1217</v>
      </c>
      <c r="F365" s="188" t="s">
        <v>446</v>
      </c>
      <c r="G365" s="189" t="s">
        <v>447</v>
      </c>
      <c r="H365" s="190" t="s">
        <v>151</v>
      </c>
      <c r="I365" s="191" t="s">
        <v>1217</v>
      </c>
      <c r="J365" s="192" t="n">
        <f aca="false">IFERROR(VLOOKUP(VALUE($D365),BSPL2026!$B:$Z,25,FALSE()),0)</f>
        <v>0</v>
      </c>
      <c r="K365" s="193"/>
      <c r="L365" s="194"/>
      <c r="M365" s="192" t="n">
        <f aca="false">J365+K365-L365</f>
        <v>0</v>
      </c>
      <c r="N365" s="193" t="n">
        <f aca="false">SUMIF('statutory adj_2026 조정분개'!$S:$S,$D365,'statutory adj_2026 조정분개'!$K:$K)</f>
        <v>0</v>
      </c>
      <c r="O365" s="194" t="n">
        <f aca="false">SUMIF('statutory adj_2026 조정분개'!$S:$S,$D365,'statutory adj_2026 조정분개'!$L:$L)</f>
        <v>0</v>
      </c>
      <c r="P365" s="192" t="n">
        <f aca="false">M365+N365-O365</f>
        <v>0</v>
      </c>
      <c r="Q365" s="195" t="n">
        <f aca="false">IFERROR(VLOOKUP(VALUE($D365),BSPL2026!$B:$Q,16,FALSE()),0)</f>
        <v>0</v>
      </c>
      <c r="R365" s="196" t="s">
        <v>449</v>
      </c>
      <c r="S365" s="172" t="n">
        <f aca="false">IFERROR(VLOOKUP(VALUE($D365),BSPL2026!$B:$M,12,FALSE()),"")</f>
        <v>0</v>
      </c>
      <c r="T365" s="172" t="str">
        <f aca="false">IF(OR(S365="",S365=0,LEFT(S365,5)="(원본오류"),"",IF(S365=H365,"","매핑차이"))</f>
        <v/>
      </c>
    </row>
    <row r="366" customFormat="false" ht="16.5" hidden="false" customHeight="false" outlineLevel="0" collapsed="false">
      <c r="D366" s="186" t="s">
        <v>1218</v>
      </c>
      <c r="E366" s="187" t="s">
        <v>1219</v>
      </c>
      <c r="F366" s="188" t="s">
        <v>446</v>
      </c>
      <c r="G366" s="189" t="s">
        <v>447</v>
      </c>
      <c r="H366" s="190" t="s">
        <v>78</v>
      </c>
      <c r="I366" s="191" t="s">
        <v>1219</v>
      </c>
      <c r="J366" s="192" t="n">
        <f aca="false">IFERROR(VLOOKUP(VALUE($D366),BSPL2026!$B:$Z,25,FALSE()),0)</f>
        <v>-49640922</v>
      </c>
      <c r="K366" s="193"/>
      <c r="L366" s="194"/>
      <c r="M366" s="192" t="n">
        <f aca="false">J366+K366-L366</f>
        <v>-49640922</v>
      </c>
      <c r="N366" s="193" t="n">
        <f aca="false">SUMIF('statutory adj_2026 조정분개'!$S:$S,$D366,'statutory adj_2026 조정분개'!$K:$K)</f>
        <v>0</v>
      </c>
      <c r="O366" s="194" t="n">
        <f aca="false">SUMIF('statutory adj_2026 조정분개'!$S:$S,$D366,'statutory adj_2026 조정분개'!$L:$L)</f>
        <v>0</v>
      </c>
      <c r="P366" s="192" t="n">
        <f aca="false">M366+N366-O366</f>
        <v>-49640922</v>
      </c>
      <c r="Q366" s="195" t="n">
        <f aca="false">IFERROR(VLOOKUP(VALUE($D366),BSPL2026!$B:$Q,16,FALSE()),0)</f>
        <v>-53280567</v>
      </c>
      <c r="R366" s="196" t="s">
        <v>449</v>
      </c>
      <c r="S366" s="172" t="str">
        <f aca="false">IFERROR(VLOOKUP(VALUE($D366),BSPL2026!$B:$M,12,FALSE()),"")</f>
        <v>평가충당금-상품</v>
      </c>
      <c r="T366" s="172" t="str">
        <f aca="false">IF(OR(S366="",S366=0,LEFT(S366,5)="(원본오류"),"",IF(S366=H366,"","매핑차이"))</f>
        <v/>
      </c>
    </row>
    <row r="367" customFormat="false" ht="16.5" hidden="false" customHeight="false" outlineLevel="0" collapsed="false">
      <c r="D367" s="186" t="s">
        <v>1220</v>
      </c>
      <c r="E367" s="187" t="s">
        <v>1221</v>
      </c>
      <c r="F367" s="188" t="s">
        <v>446</v>
      </c>
      <c r="G367" s="189" t="s">
        <v>447</v>
      </c>
      <c r="H367" s="190" t="s">
        <v>46</v>
      </c>
      <c r="I367" s="191" t="s">
        <v>1221</v>
      </c>
      <c r="J367" s="192" t="n">
        <f aca="false">IFERROR(VLOOKUP(VALUE($D367),BSPL2026!$B:$Z,25,FALSE()),0)</f>
        <v>0</v>
      </c>
      <c r="K367" s="193"/>
      <c r="L367" s="194"/>
      <c r="M367" s="192" t="n">
        <f aca="false">J367+K367-L367</f>
        <v>0</v>
      </c>
      <c r="N367" s="193" t="n">
        <f aca="false">SUMIF('statutory adj_2026 조정분개'!$S:$S,$D367,'statutory adj_2026 조정분개'!$K:$K)</f>
        <v>0</v>
      </c>
      <c r="O367" s="194" t="n">
        <f aca="false">SUMIF('statutory adj_2026 조정분개'!$S:$S,$D367,'statutory adj_2026 조정분개'!$L:$L)</f>
        <v>0</v>
      </c>
      <c r="P367" s="192" t="n">
        <f aca="false">M367+N367-O367</f>
        <v>0</v>
      </c>
      <c r="Q367" s="195" t="n">
        <f aca="false">IFERROR(VLOOKUP(VALUE($D367),BSPL2026!$B:$Q,16,FALSE()),0)</f>
        <v>0</v>
      </c>
      <c r="R367" s="196" t="s">
        <v>449</v>
      </c>
      <c r="S367" s="172" t="n">
        <f aca="false">IFERROR(VLOOKUP(VALUE($D367),BSPL2026!$B:$M,12,FALSE()),"")</f>
        <v>0</v>
      </c>
      <c r="T367" s="172" t="str">
        <f aca="false">IF(OR(S367="",S367=0,LEFT(S367,5)="(원본오류"),"",IF(S367=H367,"","매핑차이"))</f>
        <v/>
      </c>
    </row>
    <row r="368" customFormat="false" ht="16.5" hidden="false" customHeight="false" outlineLevel="0" collapsed="false">
      <c r="D368" s="186" t="s">
        <v>1222</v>
      </c>
      <c r="E368" s="187" t="s">
        <v>1223</v>
      </c>
      <c r="F368" s="188" t="s">
        <v>446</v>
      </c>
      <c r="G368" s="189" t="s">
        <v>173</v>
      </c>
      <c r="H368" s="190" t="s">
        <v>191</v>
      </c>
      <c r="I368" s="191" t="s">
        <v>1223</v>
      </c>
      <c r="J368" s="192" t="n">
        <f aca="false">IFERROR(VLOOKUP(VALUE($D368),BSPL2026!$B:$Z,25,FALSE()),0)</f>
        <v>0</v>
      </c>
      <c r="K368" s="193"/>
      <c r="L368" s="194"/>
      <c r="M368" s="192" t="n">
        <f aca="false">J368+K368-L368</f>
        <v>0</v>
      </c>
      <c r="N368" s="193" t="n">
        <f aca="false">SUMIF('statutory adj_2026 조정분개'!$S:$S,$D368,'statutory adj_2026 조정분개'!$K:$K)</f>
        <v>0</v>
      </c>
      <c r="O368" s="194" t="n">
        <f aca="false">SUMIF('statutory adj_2026 조정분개'!$S:$S,$D368,'statutory adj_2026 조정분개'!$L:$L)</f>
        <v>0</v>
      </c>
      <c r="P368" s="192" t="n">
        <f aca="false">M368+N368-O368</f>
        <v>0</v>
      </c>
      <c r="Q368" s="195" t="n">
        <f aca="false">IFERROR(VLOOKUP(VALUE($D368),BSPL2026!$B:$Q,16,FALSE()),0)</f>
        <v>0</v>
      </c>
      <c r="R368" s="196" t="s">
        <v>449</v>
      </c>
      <c r="S368" s="172" t="n">
        <f aca="false">IFERROR(VLOOKUP(VALUE($D368),BSPL2026!$B:$M,12,FALSE()),"")</f>
        <v>0</v>
      </c>
      <c r="T368" s="172" t="str">
        <f aca="false">IF(OR(S368="",S368=0,LEFT(S368,5)="(원본오류"),"",IF(S368=H368,"","매핑차이"))</f>
        <v/>
      </c>
    </row>
    <row r="369" customFormat="false" ht="16.5" hidden="false" customHeight="false" outlineLevel="0" collapsed="false">
      <c r="D369" s="186" t="s">
        <v>1224</v>
      </c>
      <c r="E369" s="187" t="s">
        <v>1225</v>
      </c>
      <c r="F369" s="188" t="s">
        <v>446</v>
      </c>
      <c r="G369" s="189" t="s">
        <v>173</v>
      </c>
      <c r="H369" s="190" t="s">
        <v>197</v>
      </c>
      <c r="I369" s="191" t="s">
        <v>1225</v>
      </c>
      <c r="J369" s="192" t="n">
        <f aca="false">IFERROR(VLOOKUP(VALUE($D369),BSPL2026!$B:$Z,25,FALSE()),0)</f>
        <v>784609459</v>
      </c>
      <c r="K369" s="193"/>
      <c r="L369" s="194"/>
      <c r="M369" s="192" t="n">
        <f aca="false">J369+K369-L369</f>
        <v>784609459</v>
      </c>
      <c r="N369" s="193" t="n">
        <f aca="false">SUMIF('statutory adj_2026 조정분개'!$S:$S,$D369,'statutory adj_2026 조정분개'!$K:$K)</f>
        <v>0</v>
      </c>
      <c r="O369" s="194" t="n">
        <f aca="false">SUMIF('statutory adj_2026 조정분개'!$S:$S,$D369,'statutory adj_2026 조정분개'!$L:$L)</f>
        <v>0</v>
      </c>
      <c r="P369" s="192" t="n">
        <f aca="false">M369+N369-O369</f>
        <v>784609459</v>
      </c>
      <c r="Q369" s="195" t="n">
        <f aca="false">IFERROR(VLOOKUP(VALUE($D369),BSPL2026!$B:$Q,16,FALSE()),0)</f>
        <v>784609459</v>
      </c>
      <c r="R369" s="196" t="s">
        <v>449</v>
      </c>
      <c r="S369" s="172" t="str">
        <f aca="false">IFERROR(VLOOKUP(VALUE($D369),BSPL2026!$B:$M,12,FALSE()),"")</f>
        <v>미지급법인세</v>
      </c>
      <c r="T369" s="172" t="str">
        <f aca="false">IF(OR(S369="",S369=0,LEFT(S369,5)="(원본오류"),"",IF(S369=H369,"","매핑차이"))</f>
        <v/>
      </c>
    </row>
    <row r="370" customFormat="false" ht="16.5" hidden="false" customHeight="false" outlineLevel="0" collapsed="false">
      <c r="D370" s="186" t="s">
        <v>1226</v>
      </c>
      <c r="E370" s="187" t="s">
        <v>1227</v>
      </c>
      <c r="F370" s="188" t="s">
        <v>446</v>
      </c>
      <c r="G370" s="189" t="s">
        <v>447</v>
      </c>
      <c r="H370" s="190" t="s">
        <v>116</v>
      </c>
      <c r="I370" s="191" t="s">
        <v>1227</v>
      </c>
      <c r="J370" s="192" t="n">
        <f aca="false">IFERROR(VLOOKUP(VALUE($D370),BSPL2026!$B:$Z,25,FALSE()),0)</f>
        <v>-11215999121</v>
      </c>
      <c r="K370" s="193"/>
      <c r="L370" s="194"/>
      <c r="M370" s="192" t="n">
        <f aca="false">J370+K370-L370</f>
        <v>-11215999121</v>
      </c>
      <c r="N370" s="193" t="n">
        <f aca="false">SUMIF('statutory adj_2026 조정분개'!$S:$S,$D370,'statutory adj_2026 조정분개'!$K:$K)</f>
        <v>0</v>
      </c>
      <c r="O370" s="194" t="n">
        <f aca="false">SUMIF('statutory adj_2026 조정분개'!$S:$S,$D370,'statutory adj_2026 조정분개'!$L:$L)</f>
        <v>0</v>
      </c>
      <c r="P370" s="192" t="n">
        <f aca="false">M370+N370-O370</f>
        <v>-11215999121</v>
      </c>
      <c r="Q370" s="195" t="n">
        <f aca="false">IFERROR(VLOOKUP(VALUE($D370),BSPL2026!$B:$Q,16,FALSE()),0)</f>
        <v>-11215999121</v>
      </c>
      <c r="R370" s="196" t="s">
        <v>449</v>
      </c>
      <c r="S370" s="172" t="str">
        <f aca="false">IFERROR(VLOOKUP(VALUE($D370),BSPL2026!$B:$M,12,FALSE()),"")</f>
        <v>구축물</v>
      </c>
      <c r="T370" s="172" t="str">
        <f aca="false">IF(OR(S370="",S370=0,LEFT(S370,5)="(원본오류"),"",IF(S370=H370,"","매핑차이"))</f>
        <v/>
      </c>
    </row>
    <row r="371" customFormat="false" ht="16.5" hidden="false" customHeight="false" outlineLevel="0" collapsed="false">
      <c r="D371" s="186" t="s">
        <v>1228</v>
      </c>
      <c r="E371" s="187" t="s">
        <v>1229</v>
      </c>
      <c r="F371" s="188" t="s">
        <v>446</v>
      </c>
      <c r="G371" s="189" t="s">
        <v>447</v>
      </c>
      <c r="H371" s="190" t="s">
        <v>118</v>
      </c>
      <c r="I371" s="191" t="s">
        <v>1229</v>
      </c>
      <c r="J371" s="192" t="n">
        <f aca="false">IFERROR(VLOOKUP(VALUE($D371),BSPL2026!$B:$Z,25,FALSE()),0)</f>
        <v>11310270634</v>
      </c>
      <c r="K371" s="193"/>
      <c r="L371" s="194"/>
      <c r="M371" s="192" t="n">
        <f aca="false">J371+K371-L371</f>
        <v>11310270634</v>
      </c>
      <c r="N371" s="193" t="n">
        <f aca="false">SUMIF('statutory adj_2026 조정분개'!$S:$S,$D371,'statutory adj_2026 조정분개'!$K:$K)</f>
        <v>0</v>
      </c>
      <c r="O371" s="194" t="n">
        <f aca="false">SUMIF('statutory adj_2026 조정분개'!$S:$S,$D371,'statutory adj_2026 조정분개'!$L:$L)</f>
        <v>0</v>
      </c>
      <c r="P371" s="192" t="n">
        <f aca="false">M371+N371-O371</f>
        <v>11310270634</v>
      </c>
      <c r="Q371" s="195" t="n">
        <f aca="false">IFERROR(VLOOKUP(VALUE($D371),BSPL2026!$B:$Q,16,FALSE()),0)</f>
        <v>10179012274</v>
      </c>
      <c r="R371" s="196" t="s">
        <v>449</v>
      </c>
      <c r="S371" s="172" t="str">
        <f aca="false">IFERROR(VLOOKUP(VALUE($D371),BSPL2026!$B:$M,12,FALSE()),"")</f>
        <v>감가상각누계액-구축물</v>
      </c>
      <c r="T371" s="172" t="str">
        <f aca="false">IF(OR(S371="",S371=0,LEFT(S371,5)="(원본오류"),"",IF(S371=H371,"","매핑차이"))</f>
        <v/>
      </c>
    </row>
    <row r="372" customFormat="false" ht="16.5" hidden="false" customHeight="false" outlineLevel="0" collapsed="false">
      <c r="D372" s="186" t="s">
        <v>1230</v>
      </c>
      <c r="E372" s="187" t="s">
        <v>1231</v>
      </c>
      <c r="F372" s="188" t="s">
        <v>446</v>
      </c>
      <c r="G372" s="189" t="s">
        <v>447</v>
      </c>
      <c r="H372" s="190" t="s">
        <v>112</v>
      </c>
      <c r="I372" s="191" t="s">
        <v>454</v>
      </c>
      <c r="J372" s="192" t="n">
        <f aca="false">IFERROR(VLOOKUP(VALUE($D372),BSPL2026!$B:$Z,25,FALSE()),0)</f>
        <v>0</v>
      </c>
      <c r="K372" s="193"/>
      <c r="L372" s="194"/>
      <c r="M372" s="192" t="n">
        <f aca="false">J372+K372-L372</f>
        <v>0</v>
      </c>
      <c r="N372" s="193" t="n">
        <f aca="false">SUMIF('statutory adj_2026 조정분개'!$S:$S,$D372,'statutory adj_2026 조정분개'!$K:$K)</f>
        <v>0</v>
      </c>
      <c r="O372" s="194" t="n">
        <f aca="false">SUMIF('statutory adj_2026 조정분개'!$S:$S,$D372,'statutory adj_2026 조정분개'!$L:$L)</f>
        <v>0</v>
      </c>
      <c r="P372" s="192" t="n">
        <f aca="false">M372+N372-O372</f>
        <v>0</v>
      </c>
      <c r="Q372" s="195" t="n">
        <f aca="false">IFERROR(VLOOKUP(VALUE($D372),BSPL2026!$B:$Q,16,FALSE()),0)</f>
        <v>0</v>
      </c>
      <c r="R372" s="196" t="s">
        <v>449</v>
      </c>
      <c r="S372" s="172" t="n">
        <f aca="false">IFERROR(VLOOKUP(VALUE($D372),BSPL2026!$B:$M,12,FALSE()),"")</f>
        <v>0</v>
      </c>
      <c r="T372" s="172" t="str">
        <f aca="false">IF(OR(S372="",S372=0,LEFT(S372,5)="(원본오류"),"",IF(S372=H372,"","매핑차이"))</f>
        <v/>
      </c>
    </row>
    <row r="373" customFormat="false" ht="16.5" hidden="false" customHeight="false" outlineLevel="0" collapsed="false">
      <c r="D373" s="186" t="s">
        <v>1232</v>
      </c>
      <c r="E373" s="187" t="s">
        <v>1233</v>
      </c>
      <c r="F373" s="188" t="s">
        <v>446</v>
      </c>
      <c r="G373" s="189" t="s">
        <v>447</v>
      </c>
      <c r="H373" s="190" t="s">
        <v>116</v>
      </c>
      <c r="I373" s="191" t="s">
        <v>454</v>
      </c>
      <c r="J373" s="192" t="n">
        <f aca="false">IFERROR(VLOOKUP(VALUE($D373),BSPL2026!$B:$Z,25,FALSE()),0)</f>
        <v>0</v>
      </c>
      <c r="K373" s="193"/>
      <c r="L373" s="194"/>
      <c r="M373" s="192" t="n">
        <f aca="false">J373+K373-L373</f>
        <v>0</v>
      </c>
      <c r="N373" s="193" t="n">
        <f aca="false">SUMIF('statutory adj_2026 조정분개'!$S:$S,$D373,'statutory adj_2026 조정분개'!$K:$K)</f>
        <v>0</v>
      </c>
      <c r="O373" s="194" t="n">
        <f aca="false">SUMIF('statutory adj_2026 조정분개'!$S:$S,$D373,'statutory adj_2026 조정분개'!$L:$L)</f>
        <v>0</v>
      </c>
      <c r="P373" s="192" t="n">
        <f aca="false">M373+N373-O373</f>
        <v>0</v>
      </c>
      <c r="Q373" s="195" t="n">
        <f aca="false">IFERROR(VLOOKUP(VALUE($D373),BSPL2026!$B:$Q,16,FALSE()),0)</f>
        <v>0</v>
      </c>
      <c r="R373" s="196" t="s">
        <v>449</v>
      </c>
      <c r="S373" s="172" t="n">
        <f aca="false">IFERROR(VLOOKUP(VALUE($D373),BSPL2026!$B:$M,12,FALSE()),"")</f>
        <v>0</v>
      </c>
      <c r="T373" s="172" t="str">
        <f aca="false">IF(OR(S373="",S373=0,LEFT(S373,5)="(원본오류"),"",IF(S373=H373,"","매핑차이"))</f>
        <v/>
      </c>
    </row>
    <row r="374" customFormat="false" ht="16.5" hidden="false" customHeight="false" outlineLevel="0" collapsed="false">
      <c r="D374" s="186" t="s">
        <v>1234</v>
      </c>
      <c r="E374" s="187" t="s">
        <v>1235</v>
      </c>
      <c r="F374" s="188" t="s">
        <v>446</v>
      </c>
      <c r="G374" s="189" t="s">
        <v>447</v>
      </c>
      <c r="H374" s="190" t="s">
        <v>120</v>
      </c>
      <c r="I374" s="191" t="s">
        <v>460</v>
      </c>
      <c r="J374" s="192" t="n">
        <f aca="false">IFERROR(VLOOKUP(VALUE($D374),BSPL2026!$B:$Z,25,FALSE()),0)</f>
        <v>0</v>
      </c>
      <c r="K374" s="193"/>
      <c r="L374" s="194"/>
      <c r="M374" s="192" t="n">
        <f aca="false">J374+K374-L374</f>
        <v>0</v>
      </c>
      <c r="N374" s="193" t="n">
        <f aca="false">SUMIF('statutory adj_2026 조정분개'!$S:$S,$D374,'statutory adj_2026 조정분개'!$K:$K)</f>
        <v>0</v>
      </c>
      <c r="O374" s="194" t="n">
        <f aca="false">SUMIF('statutory adj_2026 조정분개'!$S:$S,$D374,'statutory adj_2026 조정분개'!$L:$L)</f>
        <v>0</v>
      </c>
      <c r="P374" s="192" t="n">
        <f aca="false">M374+N374-O374</f>
        <v>0</v>
      </c>
      <c r="Q374" s="195" t="n">
        <f aca="false">IFERROR(VLOOKUP(VALUE($D374),BSPL2026!$B:$Q,16,FALSE()),0)</f>
        <v>0</v>
      </c>
      <c r="R374" s="196" t="s">
        <v>449</v>
      </c>
      <c r="S374" s="172" t="n">
        <f aca="false">IFERROR(VLOOKUP(VALUE($D374),BSPL2026!$B:$M,12,FALSE()),"")</f>
        <v>0</v>
      </c>
      <c r="T374" s="172" t="str">
        <f aca="false">IF(OR(S374="",S374=0,LEFT(S374,5)="(원본오류"),"",IF(S374=H374,"","매핑차이"))</f>
        <v/>
      </c>
    </row>
    <row r="375" customFormat="false" ht="16.5" hidden="false" customHeight="false" outlineLevel="0" collapsed="false">
      <c r="D375" s="186" t="s">
        <v>1236</v>
      </c>
      <c r="E375" s="187" t="s">
        <v>1237</v>
      </c>
      <c r="F375" s="188" t="s">
        <v>446</v>
      </c>
      <c r="G375" s="189" t="s">
        <v>447</v>
      </c>
      <c r="H375" s="190" t="s">
        <v>128</v>
      </c>
      <c r="I375" s="191" t="s">
        <v>468</v>
      </c>
      <c r="J375" s="192" t="n">
        <f aca="false">IFERROR(VLOOKUP(VALUE($D375),BSPL2026!$B:$Z,25,FALSE()),0)</f>
        <v>0</v>
      </c>
      <c r="K375" s="193"/>
      <c r="L375" s="194"/>
      <c r="M375" s="192" t="n">
        <f aca="false">J375+K375-L375</f>
        <v>0</v>
      </c>
      <c r="N375" s="193" t="n">
        <f aca="false">SUMIF('statutory adj_2026 조정분개'!$S:$S,$D375,'statutory adj_2026 조정분개'!$K:$K)</f>
        <v>0</v>
      </c>
      <c r="O375" s="194" t="n">
        <f aca="false">SUMIF('statutory adj_2026 조정분개'!$S:$S,$D375,'statutory adj_2026 조정분개'!$L:$L)</f>
        <v>0</v>
      </c>
      <c r="P375" s="192" t="n">
        <f aca="false">M375+N375-O375</f>
        <v>0</v>
      </c>
      <c r="Q375" s="195" t="n">
        <f aca="false">IFERROR(VLOOKUP(VALUE($D375),BSPL2026!$B:$Q,16,FALSE()),0)</f>
        <v>0</v>
      </c>
      <c r="R375" s="196" t="s">
        <v>449</v>
      </c>
      <c r="S375" s="172" t="n">
        <f aca="false">IFERROR(VLOOKUP(VALUE($D375),BSPL2026!$B:$M,12,FALSE()),"")</f>
        <v>0</v>
      </c>
      <c r="T375" s="172" t="str">
        <f aca="false">IF(OR(S375="",S375=0,LEFT(S375,5)="(원본오류"),"",IF(S375=H375,"","매핑차이"))</f>
        <v/>
      </c>
    </row>
    <row r="376" customFormat="false" ht="16.5" hidden="false" customHeight="false" outlineLevel="0" collapsed="false">
      <c r="D376" s="186" t="s">
        <v>1238</v>
      </c>
      <c r="E376" s="187" t="s">
        <v>1239</v>
      </c>
      <c r="F376" s="188" t="s">
        <v>446</v>
      </c>
      <c r="G376" s="189" t="s">
        <v>447</v>
      </c>
      <c r="H376" s="190" t="s">
        <v>114</v>
      </c>
      <c r="I376" s="191" t="s">
        <v>481</v>
      </c>
      <c r="J376" s="192" t="n">
        <f aca="false">IFERROR(VLOOKUP(VALUE($D376),BSPL2026!$B:$Z,25,FALSE()),0)</f>
        <v>0</v>
      </c>
      <c r="K376" s="193"/>
      <c r="L376" s="194"/>
      <c r="M376" s="192" t="n">
        <f aca="false">J376+K376-L376</f>
        <v>0</v>
      </c>
      <c r="N376" s="193" t="n">
        <f aca="false">SUMIF('statutory adj_2026 조정분개'!$S:$S,$D376,'statutory adj_2026 조정분개'!$K:$K)</f>
        <v>0</v>
      </c>
      <c r="O376" s="194" t="n">
        <f aca="false">SUMIF('statutory adj_2026 조정분개'!$S:$S,$D376,'statutory adj_2026 조정분개'!$L:$L)</f>
        <v>0</v>
      </c>
      <c r="P376" s="192" t="n">
        <f aca="false">M376+N376-O376</f>
        <v>0</v>
      </c>
      <c r="Q376" s="195" t="n">
        <f aca="false">IFERROR(VLOOKUP(VALUE($D376),BSPL2026!$B:$Q,16,FALSE()),0)</f>
        <v>0</v>
      </c>
      <c r="R376" s="196" t="s">
        <v>449</v>
      </c>
      <c r="S376" s="172" t="n">
        <f aca="false">IFERROR(VLOOKUP(VALUE($D376),BSPL2026!$B:$M,12,FALSE()),"")</f>
        <v>0</v>
      </c>
      <c r="T376" s="172" t="str">
        <f aca="false">IF(OR(S376="",S376=0,LEFT(S376,5)="(원본오류"),"",IF(S376=H376,"","매핑차이"))</f>
        <v/>
      </c>
    </row>
    <row r="377" customFormat="false" ht="16.5" hidden="false" customHeight="false" outlineLevel="0" collapsed="false">
      <c r="D377" s="186" t="s">
        <v>1240</v>
      </c>
      <c r="E377" s="187" t="s">
        <v>1241</v>
      </c>
      <c r="F377" s="188" t="s">
        <v>446</v>
      </c>
      <c r="G377" s="189" t="s">
        <v>447</v>
      </c>
      <c r="H377" s="190" t="s">
        <v>118</v>
      </c>
      <c r="I377" s="191" t="s">
        <v>481</v>
      </c>
      <c r="J377" s="192" t="n">
        <f aca="false">IFERROR(VLOOKUP(VALUE($D377),BSPL2026!$B:$Z,25,FALSE()),0)</f>
        <v>0</v>
      </c>
      <c r="K377" s="193"/>
      <c r="L377" s="194"/>
      <c r="M377" s="192" t="n">
        <f aca="false">J377+K377-L377</f>
        <v>0</v>
      </c>
      <c r="N377" s="193" t="n">
        <f aca="false">SUMIF('statutory adj_2026 조정분개'!$S:$S,$D377,'statutory adj_2026 조정분개'!$K:$K)</f>
        <v>0</v>
      </c>
      <c r="O377" s="194" t="n">
        <f aca="false">SUMIF('statutory adj_2026 조정분개'!$S:$S,$D377,'statutory adj_2026 조정분개'!$L:$L)</f>
        <v>0</v>
      </c>
      <c r="P377" s="192" t="n">
        <f aca="false">M377+N377-O377</f>
        <v>0</v>
      </c>
      <c r="Q377" s="195" t="n">
        <f aca="false">IFERROR(VLOOKUP(VALUE($D377),BSPL2026!$B:$Q,16,FALSE()),0)</f>
        <v>0</v>
      </c>
      <c r="R377" s="196" t="s">
        <v>449</v>
      </c>
      <c r="S377" s="172" t="n">
        <f aca="false">IFERROR(VLOOKUP(VALUE($D377),BSPL2026!$B:$M,12,FALSE()),"")</f>
        <v>0</v>
      </c>
      <c r="T377" s="172" t="str">
        <f aca="false">IF(OR(S377="",S377=0,LEFT(S377,5)="(원본오류"),"",IF(S377=H377,"","매핑차이"))</f>
        <v/>
      </c>
    </row>
    <row r="378" customFormat="false" ht="16.5" hidden="false" customHeight="false" outlineLevel="0" collapsed="false">
      <c r="D378" s="186" t="s">
        <v>1242</v>
      </c>
      <c r="E378" s="187" t="s">
        <v>1243</v>
      </c>
      <c r="F378" s="188" t="s">
        <v>446</v>
      </c>
      <c r="G378" s="189" t="s">
        <v>447</v>
      </c>
      <c r="H378" s="190" t="s">
        <v>130</v>
      </c>
      <c r="I378" s="191" t="s">
        <v>491</v>
      </c>
      <c r="J378" s="192" t="n">
        <f aca="false">IFERROR(VLOOKUP(VALUE($D378),BSPL2026!$B:$Z,25,FALSE()),0)</f>
        <v>0</v>
      </c>
      <c r="K378" s="193"/>
      <c r="L378" s="194"/>
      <c r="M378" s="192" t="n">
        <f aca="false">J378+K378-L378</f>
        <v>0</v>
      </c>
      <c r="N378" s="193" t="n">
        <f aca="false">SUMIF('statutory adj_2026 조정분개'!$S:$S,$D378,'statutory adj_2026 조정분개'!$K:$K)</f>
        <v>0</v>
      </c>
      <c r="O378" s="194" t="n">
        <f aca="false">SUMIF('statutory adj_2026 조정분개'!$S:$S,$D378,'statutory adj_2026 조정분개'!$L:$L)</f>
        <v>0</v>
      </c>
      <c r="P378" s="192" t="n">
        <f aca="false">M378+N378-O378</f>
        <v>0</v>
      </c>
      <c r="Q378" s="195" t="n">
        <f aca="false">IFERROR(VLOOKUP(VALUE($D378),BSPL2026!$B:$Q,16,FALSE()),0)</f>
        <v>0</v>
      </c>
      <c r="R378" s="196" t="s">
        <v>449</v>
      </c>
      <c r="S378" s="172" t="n">
        <f aca="false">IFERROR(VLOOKUP(VALUE($D378),BSPL2026!$B:$M,12,FALSE()),"")</f>
        <v>0</v>
      </c>
      <c r="T378" s="172" t="str">
        <f aca="false">IF(OR(S378="",S378=0,LEFT(S378,5)="(원본오류"),"",IF(S378=H378,"","매핑차이"))</f>
        <v/>
      </c>
    </row>
    <row r="379" customFormat="false" ht="16.5" hidden="false" customHeight="false" outlineLevel="0" collapsed="false">
      <c r="D379" s="186" t="s">
        <v>1244</v>
      </c>
      <c r="E379" s="187" t="s">
        <v>1245</v>
      </c>
      <c r="F379" s="188" t="s">
        <v>446</v>
      </c>
      <c r="G379" s="189" t="s">
        <v>447</v>
      </c>
      <c r="H379" s="190" t="s">
        <v>122</v>
      </c>
      <c r="I379" s="191" t="s">
        <v>485</v>
      </c>
      <c r="J379" s="192" t="n">
        <f aca="false">IFERROR(VLOOKUP(VALUE($D379),BSPL2026!$B:$Z,25,FALSE()),0)</f>
        <v>0</v>
      </c>
      <c r="K379" s="193"/>
      <c r="L379" s="194"/>
      <c r="M379" s="192" t="n">
        <f aca="false">J379+K379-L379</f>
        <v>0</v>
      </c>
      <c r="N379" s="193" t="n">
        <f aca="false">SUMIF('statutory adj_2026 조정분개'!$S:$S,$D379,'statutory adj_2026 조정분개'!$K:$K)</f>
        <v>0</v>
      </c>
      <c r="O379" s="194" t="n">
        <f aca="false">SUMIF('statutory adj_2026 조정분개'!$S:$S,$D379,'statutory adj_2026 조정분개'!$L:$L)</f>
        <v>0</v>
      </c>
      <c r="P379" s="192" t="n">
        <f aca="false">M379+N379-O379</f>
        <v>0</v>
      </c>
      <c r="Q379" s="195" t="n">
        <f aca="false">IFERROR(VLOOKUP(VALUE($D379),BSPL2026!$B:$Q,16,FALSE()),0)</f>
        <v>0</v>
      </c>
      <c r="R379" s="196" t="s">
        <v>449</v>
      </c>
      <c r="S379" s="172" t="n">
        <f aca="false">IFERROR(VLOOKUP(VALUE($D379),BSPL2026!$B:$M,12,FALSE()),"")</f>
        <v>0</v>
      </c>
      <c r="T379" s="172" t="str">
        <f aca="false">IF(OR(S379="",S379=0,LEFT(S379,5)="(원본오류"),"",IF(S379=H379,"","매핑차이"))</f>
        <v/>
      </c>
    </row>
    <row r="380" customFormat="false" ht="16.5" hidden="false" customHeight="false" outlineLevel="0" collapsed="false">
      <c r="D380" s="186" t="s">
        <v>1246</v>
      </c>
      <c r="E380" s="187" t="s">
        <v>1247</v>
      </c>
      <c r="F380" s="188" t="s">
        <v>446</v>
      </c>
      <c r="G380" s="189" t="s">
        <v>447</v>
      </c>
      <c r="H380" s="190" t="s">
        <v>102</v>
      </c>
      <c r="I380" s="191" t="s">
        <v>1248</v>
      </c>
      <c r="J380" s="192" t="n">
        <f aca="false">IFERROR(VLOOKUP(VALUE($D380),BSPL2026!$B:$Z,25,FALSE()),0)</f>
        <v>0</v>
      </c>
      <c r="K380" s="193"/>
      <c r="L380" s="194"/>
      <c r="M380" s="192" t="n">
        <f aca="false">J380+K380-L380</f>
        <v>0</v>
      </c>
      <c r="N380" s="193" t="n">
        <f aca="false">SUMIF('statutory adj_2026 조정분개'!$S:$S,$D380,'statutory adj_2026 조정분개'!$K:$K)</f>
        <v>0</v>
      </c>
      <c r="O380" s="194" t="n">
        <f aca="false">SUMIF('statutory adj_2026 조정분개'!$S:$S,$D380,'statutory adj_2026 조정분개'!$L:$L)</f>
        <v>0</v>
      </c>
      <c r="P380" s="192" t="n">
        <f aca="false">M380+N380-O380</f>
        <v>0</v>
      </c>
      <c r="Q380" s="195" t="n">
        <f aca="false">IFERROR(VLOOKUP(VALUE($D380),BSPL2026!$B:$Q,16,FALSE()),0)</f>
        <v>0</v>
      </c>
      <c r="R380" s="196" t="s">
        <v>449</v>
      </c>
      <c r="S380" s="172" t="str">
        <f aca="false">IFERROR(VLOOKUP(VALUE($D380),BSPL2026!$B:$M,12,FALSE()),"")</f>
        <v>지분법적용투자주식</v>
      </c>
      <c r="T380" s="172" t="str">
        <f aca="false">IF(OR(S380="",S380=0,LEFT(S380,5)="(원본오류"),"",IF(S380=H380,"","매핑차이"))</f>
        <v/>
      </c>
    </row>
    <row r="381" customFormat="false" ht="16.5" hidden="false" customHeight="false" outlineLevel="0" collapsed="false">
      <c r="D381" s="186" t="s">
        <v>1249</v>
      </c>
      <c r="E381" s="187" t="s">
        <v>1250</v>
      </c>
      <c r="F381" s="188" t="s">
        <v>446</v>
      </c>
      <c r="G381" s="189" t="s">
        <v>447</v>
      </c>
      <c r="H381" s="190" t="s">
        <v>104</v>
      </c>
      <c r="I381" s="191" t="s">
        <v>1251</v>
      </c>
      <c r="J381" s="192" t="n">
        <f aca="false">IFERROR(VLOOKUP(VALUE($D381),BSPL2026!$B:$Z,25,FALSE()),0)</f>
        <v>0</v>
      </c>
      <c r="K381" s="193"/>
      <c r="L381" s="194"/>
      <c r="M381" s="192" t="n">
        <f aca="false">J381+K381-L381</f>
        <v>0</v>
      </c>
      <c r="N381" s="193" t="n">
        <f aca="false">SUMIF('statutory adj_2026 조정분개'!$S:$S,$D381,'statutory adj_2026 조정분개'!$K:$K)</f>
        <v>30000000</v>
      </c>
      <c r="O381" s="194" t="n">
        <f aca="false">SUMIF('statutory adj_2026 조정분개'!$S:$S,$D381,'statutory adj_2026 조정분개'!$L:$L)</f>
        <v>0</v>
      </c>
      <c r="P381" s="192" t="n">
        <f aca="false">M381+N381-O381</f>
        <v>30000000</v>
      </c>
      <c r="Q381" s="195" t="n">
        <f aca="false">IFERROR(VLOOKUP(VALUE($D381),BSPL2026!$B:$Q,16,FALSE()),0)</f>
        <v>0</v>
      </c>
      <c r="R381" s="196" t="s">
        <v>449</v>
      </c>
      <c r="S381" s="172" t="n">
        <f aca="false">IFERROR(VLOOKUP(VALUE($D381),BSPL2026!$B:$M,12,FALSE()),"")</f>
        <v>0</v>
      </c>
      <c r="T381" s="172" t="str">
        <f aca="false">IF(OR(S381="",S381=0,LEFT(S381,5)="(원본오류"),"",IF(S381=H381,"","매핑차이"))</f>
        <v/>
      </c>
    </row>
    <row r="382" customFormat="false" ht="16.5" hidden="false" customHeight="false" outlineLevel="0" collapsed="false">
      <c r="D382" s="186" t="s">
        <v>1252</v>
      </c>
      <c r="E382" s="187" t="s">
        <v>1253</v>
      </c>
      <c r="F382" s="188" t="s">
        <v>446</v>
      </c>
      <c r="G382" s="189" t="s">
        <v>227</v>
      </c>
      <c r="H382" s="190" t="s">
        <v>239</v>
      </c>
      <c r="I382" s="191" t="s">
        <v>1254</v>
      </c>
      <c r="J382" s="192" t="n">
        <f aca="false">IFERROR(VLOOKUP(VALUE($D382),BSPL2026!$B:$Z,25,FALSE()),0)</f>
        <v>0</v>
      </c>
      <c r="K382" s="193"/>
      <c r="L382" s="194"/>
      <c r="M382" s="192" t="n">
        <f aca="false">J382+K382-L382</f>
        <v>0</v>
      </c>
      <c r="N382" s="193" t="n">
        <f aca="false">SUMIF('statutory adj_2026 조정분개'!$S:$S,$D382,'statutory adj_2026 조정분개'!$K:$K)</f>
        <v>0</v>
      </c>
      <c r="O382" s="194" t="n">
        <f aca="false">SUMIF('statutory adj_2026 조정분개'!$S:$S,$D382,'statutory adj_2026 조정분개'!$L:$L)</f>
        <v>0</v>
      </c>
      <c r="P382" s="192" t="n">
        <f aca="false">M382+N382-O382</f>
        <v>0</v>
      </c>
      <c r="Q382" s="195" t="n">
        <f aca="false">IFERROR(VLOOKUP(VALUE($D382),BSPL2026!$B:$Q,16,FALSE()),0)</f>
        <v>0</v>
      </c>
      <c r="R382" s="196" t="s">
        <v>449</v>
      </c>
      <c r="S382" s="172" t="n">
        <f aca="false">IFERROR(VLOOKUP(VALUE($D382),BSPL2026!$B:$M,12,FALSE()),"")</f>
        <v>0</v>
      </c>
      <c r="T382" s="172" t="str">
        <f aca="false">IF(OR(S382="",S382=0,LEFT(S382,5)="(원본오류"),"",IF(S382=H382,"","매핑차이"))</f>
        <v/>
      </c>
    </row>
    <row r="383" customFormat="false" ht="16.5" hidden="false" customHeight="false" outlineLevel="0" collapsed="false">
      <c r="D383" s="186" t="s">
        <v>1255</v>
      </c>
      <c r="E383" s="187" t="s">
        <v>1256</v>
      </c>
      <c r="F383" s="188" t="s">
        <v>446</v>
      </c>
      <c r="G383" s="189" t="s">
        <v>173</v>
      </c>
      <c r="H383" s="190" t="s">
        <v>191</v>
      </c>
      <c r="I383" s="191" t="s">
        <v>1256</v>
      </c>
      <c r="J383" s="192" t="n">
        <f aca="false">IFERROR(VLOOKUP(VALUE($D383),BSPL2026!$B:$Z,25,FALSE()),0)</f>
        <v>-231643035</v>
      </c>
      <c r="K383" s="193"/>
      <c r="L383" s="194"/>
      <c r="M383" s="192" t="n">
        <f aca="false">J383+K383-L383</f>
        <v>-231643035</v>
      </c>
      <c r="N383" s="193" t="n">
        <f aca="false">SUMIF('statutory adj_2026 조정분개'!$S:$S,$D383,'statutory adj_2026 조정분개'!$K:$K)</f>
        <v>0</v>
      </c>
      <c r="O383" s="194" t="n">
        <f aca="false">SUMIF('statutory adj_2026 조정분개'!$S:$S,$D383,'statutory adj_2026 조정분개'!$L:$L)</f>
        <v>0</v>
      </c>
      <c r="P383" s="192" t="n">
        <f aca="false">M383+N383-O383</f>
        <v>-231643035</v>
      </c>
      <c r="Q383" s="195" t="n">
        <f aca="false">IFERROR(VLOOKUP(VALUE($D383),BSPL2026!$B:$Q,16,FALSE()),0)</f>
        <v>0</v>
      </c>
      <c r="R383" s="196" t="s">
        <v>449</v>
      </c>
      <c r="S383" s="172" t="str">
        <f aca="false">IFERROR(VLOOKUP(VALUE($D383),BSPL2026!$B:$M,12,FALSE()),"")</f>
        <v>미지급비용</v>
      </c>
      <c r="T383" s="172" t="str">
        <f aca="false">IF(OR(S383="",S383=0,LEFT(S383,5)="(원본오류"),"",IF(S383=H383,"","매핑차이"))</f>
        <v/>
      </c>
    </row>
    <row r="384" customFormat="false" ht="16.5" hidden="false" customHeight="false" outlineLevel="0" collapsed="false">
      <c r="D384" s="186" t="s">
        <v>1257</v>
      </c>
      <c r="E384" s="187" t="s">
        <v>1258</v>
      </c>
      <c r="F384" s="188" t="s">
        <v>446</v>
      </c>
      <c r="G384" s="189" t="s">
        <v>447</v>
      </c>
      <c r="H384" s="190" t="s">
        <v>31</v>
      </c>
      <c r="I384" s="191" t="s">
        <v>540</v>
      </c>
      <c r="J384" s="192" t="n">
        <f aca="false">IFERROR(VLOOKUP(VALUE($D384),BSPL2026!$B:$Z,25,FALSE()),0)</f>
        <v>0</v>
      </c>
      <c r="K384" s="193"/>
      <c r="L384" s="194"/>
      <c r="M384" s="192" t="n">
        <f aca="false">J384+K384-L384</f>
        <v>0</v>
      </c>
      <c r="N384" s="193" t="n">
        <f aca="false">SUMIF('statutory adj_2026 조정분개'!$S:$S,$D384,'statutory adj_2026 조정분개'!$K:$K)</f>
        <v>0</v>
      </c>
      <c r="O384" s="194" t="n">
        <f aca="false">SUMIF('statutory adj_2026 조정분개'!$S:$S,$D384,'statutory adj_2026 조정분개'!$L:$L)</f>
        <v>0</v>
      </c>
      <c r="P384" s="192" t="n">
        <f aca="false">M384+N384-O384</f>
        <v>0</v>
      </c>
      <c r="Q384" s="195" t="n">
        <f aca="false">IFERROR(VLOOKUP(VALUE($D384),BSPL2026!$B:$Q,16,FALSE()),0)</f>
        <v>0</v>
      </c>
      <c r="R384" s="196" t="s">
        <v>449</v>
      </c>
      <c r="S384" s="172" t="str">
        <f aca="false">IFERROR(VLOOKUP(VALUE($D384),BSPL2026!$B:$M,12,FALSE()),"")</f>
        <v>매출채권</v>
      </c>
      <c r="T384" s="172" t="str">
        <f aca="false">IF(OR(S384="",S384=0,LEFT(S384,5)="(원본오류"),"",IF(S384=H384,"","매핑차이"))</f>
        <v/>
      </c>
    </row>
    <row r="385" customFormat="false" ht="16.5" hidden="false" customHeight="false" outlineLevel="0" collapsed="false">
      <c r="D385" s="186" t="s">
        <v>1259</v>
      </c>
      <c r="E385" s="187" t="s">
        <v>1260</v>
      </c>
      <c r="F385" s="188" t="s">
        <v>446</v>
      </c>
      <c r="G385" s="189" t="s">
        <v>447</v>
      </c>
      <c r="H385" s="190" t="s">
        <v>46</v>
      </c>
      <c r="I385" s="191" t="s">
        <v>561</v>
      </c>
      <c r="J385" s="192" t="n">
        <f aca="false">IFERROR(VLOOKUP(VALUE($D385),BSPL2026!$B:$Z,25,FALSE()),0)</f>
        <v>0</v>
      </c>
      <c r="K385" s="193"/>
      <c r="L385" s="194"/>
      <c r="M385" s="192" t="n">
        <f aca="false">J385+K385-L385</f>
        <v>0</v>
      </c>
      <c r="N385" s="193" t="n">
        <f aca="false">SUMIF('statutory adj_2026 조정분개'!$S:$S,$D385,'statutory adj_2026 조정분개'!$K:$K)</f>
        <v>0</v>
      </c>
      <c r="O385" s="194" t="n">
        <f aca="false">SUMIF('statutory adj_2026 조정분개'!$S:$S,$D385,'statutory adj_2026 조정분개'!$L:$L)</f>
        <v>0</v>
      </c>
      <c r="P385" s="192" t="n">
        <f aca="false">M385+N385-O385</f>
        <v>0</v>
      </c>
      <c r="Q385" s="195" t="n">
        <f aca="false">IFERROR(VLOOKUP(VALUE($D385),BSPL2026!$B:$Q,16,FALSE()),0)</f>
        <v>0</v>
      </c>
      <c r="R385" s="196" t="s">
        <v>449</v>
      </c>
      <c r="S385" s="172" t="n">
        <f aca="false">IFERROR(VLOOKUP(VALUE($D385),BSPL2026!$B:$M,12,FALSE()),"")</f>
        <v>0</v>
      </c>
      <c r="T385" s="172" t="str">
        <f aca="false">IF(OR(S385="",S385=0,LEFT(S385,5)="(원본오류"),"",IF(S385=H385,"","매핑차이"))</f>
        <v/>
      </c>
    </row>
    <row r="386" customFormat="false" ht="16.5" hidden="false" customHeight="false" outlineLevel="0" collapsed="false">
      <c r="D386" s="186" t="s">
        <v>1261</v>
      </c>
      <c r="E386" s="187" t="s">
        <v>1262</v>
      </c>
      <c r="F386" s="188" t="s">
        <v>446</v>
      </c>
      <c r="G386" s="189" t="s">
        <v>447</v>
      </c>
      <c r="H386" s="190" t="s">
        <v>50</v>
      </c>
      <c r="I386" s="191" t="s">
        <v>567</v>
      </c>
      <c r="J386" s="192" t="n">
        <f aca="false">IFERROR(VLOOKUP(VALUE($D386),BSPL2026!$B:$Z,25,FALSE()),0)</f>
        <v>0</v>
      </c>
      <c r="K386" s="193"/>
      <c r="L386" s="194"/>
      <c r="M386" s="192" t="n">
        <f aca="false">J386+K386-L386</f>
        <v>0</v>
      </c>
      <c r="N386" s="193" t="n">
        <f aca="false">SUMIF('statutory adj_2026 조정분개'!$S:$S,$D386,'statutory adj_2026 조정분개'!$K:$K)</f>
        <v>0</v>
      </c>
      <c r="O386" s="194" t="n">
        <f aca="false">SUMIF('statutory adj_2026 조정분개'!$S:$S,$D386,'statutory adj_2026 조정분개'!$L:$L)</f>
        <v>0</v>
      </c>
      <c r="P386" s="192" t="n">
        <f aca="false">M386+N386-O386</f>
        <v>0</v>
      </c>
      <c r="Q386" s="195" t="n">
        <f aca="false">IFERROR(VLOOKUP(VALUE($D386),BSPL2026!$B:$Q,16,FALSE()),0)</f>
        <v>0</v>
      </c>
      <c r="R386" s="196" t="s">
        <v>449</v>
      </c>
      <c r="S386" s="172" t="str">
        <f aca="false">IFERROR(VLOOKUP(VALUE($D386),BSPL2026!$B:$M,12,FALSE()),"")</f>
        <v>선급금</v>
      </c>
      <c r="T386" s="172" t="str">
        <f aca="false">IF(OR(S386="",S386=0,LEFT(S386,5)="(원본오류"),"",IF(S386=H386,"","매핑차이"))</f>
        <v/>
      </c>
    </row>
    <row r="387" customFormat="false" ht="16.5" hidden="false" customHeight="false" outlineLevel="0" collapsed="false">
      <c r="D387" s="186" t="s">
        <v>1263</v>
      </c>
      <c r="E387" s="187" t="s">
        <v>1264</v>
      </c>
      <c r="F387" s="188" t="s">
        <v>446</v>
      </c>
      <c r="G387" s="189" t="s">
        <v>447</v>
      </c>
      <c r="H387" s="190" t="s">
        <v>39</v>
      </c>
      <c r="I387" s="191" t="s">
        <v>563</v>
      </c>
      <c r="J387" s="192" t="n">
        <f aca="false">IFERROR(VLOOKUP(VALUE($D387),BSPL2026!$B:$Z,25,FALSE()),0)</f>
        <v>0</v>
      </c>
      <c r="K387" s="193"/>
      <c r="L387" s="194"/>
      <c r="M387" s="192" t="n">
        <f aca="false">J387+K387-L387</f>
        <v>0</v>
      </c>
      <c r="N387" s="193" t="n">
        <f aca="false">SUMIF('statutory adj_2026 조정분개'!$S:$S,$D387,'statutory adj_2026 조정분개'!$K:$K)</f>
        <v>0</v>
      </c>
      <c r="O387" s="194" t="n">
        <f aca="false">SUMIF('statutory adj_2026 조정분개'!$S:$S,$D387,'statutory adj_2026 조정분개'!$L:$L)</f>
        <v>0</v>
      </c>
      <c r="P387" s="192" t="n">
        <f aca="false">M387+N387-O387</f>
        <v>0</v>
      </c>
      <c r="Q387" s="195" t="n">
        <f aca="false">IFERROR(VLOOKUP(VALUE($D387),BSPL2026!$B:$Q,16,FALSE()),0)</f>
        <v>2256858116</v>
      </c>
      <c r="R387" s="196" t="s">
        <v>449</v>
      </c>
      <c r="S387" s="172" t="str">
        <f aca="false">IFERROR(VLOOKUP(VALUE($D387),BSPL2026!$B:$M,12,FALSE()),"")</f>
        <v>미수금</v>
      </c>
      <c r="T387" s="172" t="str">
        <f aca="false">IF(OR(S387="",S387=0,LEFT(S387,5)="(원본오류"),"",IF(S387=H387,"","매핑차이"))</f>
        <v/>
      </c>
    </row>
    <row r="388" customFormat="false" ht="16.5" hidden="false" customHeight="false" outlineLevel="0" collapsed="false">
      <c r="D388" s="186" t="s">
        <v>1265</v>
      </c>
      <c r="E388" s="187" t="s">
        <v>1266</v>
      </c>
      <c r="F388" s="188" t="s">
        <v>446</v>
      </c>
      <c r="G388" s="189" t="s">
        <v>173</v>
      </c>
      <c r="H388" s="190" t="s">
        <v>194</v>
      </c>
      <c r="I388" s="191" t="s">
        <v>577</v>
      </c>
      <c r="J388" s="192" t="n">
        <f aca="false">IFERROR(VLOOKUP(VALUE($D388),BSPL2026!$B:$Z,25,FALSE()),0)</f>
        <v>0</v>
      </c>
      <c r="K388" s="193"/>
      <c r="L388" s="194"/>
      <c r="M388" s="192" t="n">
        <f aca="false">J388+K388-L388</f>
        <v>0</v>
      </c>
      <c r="N388" s="193" t="n">
        <f aca="false">SUMIF('statutory adj_2026 조정분개'!$S:$S,$D388,'statutory adj_2026 조정분개'!$K:$K)</f>
        <v>0</v>
      </c>
      <c r="O388" s="194" t="n">
        <f aca="false">SUMIF('statutory adj_2026 조정분개'!$S:$S,$D388,'statutory adj_2026 조정분개'!$L:$L)</f>
        <v>0</v>
      </c>
      <c r="P388" s="192" t="n">
        <f aca="false">M388+N388-O388</f>
        <v>0</v>
      </c>
      <c r="Q388" s="195" t="n">
        <f aca="false">IFERROR(VLOOKUP(VALUE($D388),BSPL2026!$B:$Q,16,FALSE()),0)</f>
        <v>0</v>
      </c>
      <c r="R388" s="196" t="s">
        <v>449</v>
      </c>
      <c r="S388" s="172" t="n">
        <f aca="false">IFERROR(VLOOKUP(VALUE($D388),BSPL2026!$B:$M,12,FALSE()),"")</f>
        <v>0</v>
      </c>
      <c r="T388" s="172" t="str">
        <f aca="false">IF(OR(S388="",S388=0,LEFT(S388,5)="(원본오류"),"",IF(S388=H388,"","매핑차이"))</f>
        <v/>
      </c>
    </row>
    <row r="389" customFormat="false" ht="16.5" hidden="false" customHeight="false" outlineLevel="0" collapsed="false">
      <c r="D389" s="186" t="s">
        <v>1267</v>
      </c>
      <c r="E389" s="187" t="s">
        <v>1268</v>
      </c>
      <c r="F389" s="188" t="s">
        <v>446</v>
      </c>
      <c r="G389" s="189" t="s">
        <v>447</v>
      </c>
      <c r="H389" s="190" t="s">
        <v>162</v>
      </c>
      <c r="I389" s="191" t="s">
        <v>772</v>
      </c>
      <c r="J389" s="192" t="n">
        <f aca="false">IFERROR(VLOOKUP(VALUE($D389),BSPL2026!$B:$Z,25,FALSE()),0)</f>
        <v>0</v>
      </c>
      <c r="K389" s="193"/>
      <c r="L389" s="194"/>
      <c r="M389" s="192" t="n">
        <f aca="false">J389+K389-L389</f>
        <v>0</v>
      </c>
      <c r="N389" s="193" t="n">
        <f aca="false">SUMIF('statutory adj_2026 조정분개'!$S:$S,$D389,'statutory adj_2026 조정분개'!$K:$K)</f>
        <v>0</v>
      </c>
      <c r="O389" s="194" t="n">
        <f aca="false">SUMIF('statutory adj_2026 조정분개'!$S:$S,$D389,'statutory adj_2026 조정분개'!$L:$L)</f>
        <v>0</v>
      </c>
      <c r="P389" s="192" t="n">
        <f aca="false">M389+N389-O389</f>
        <v>0</v>
      </c>
      <c r="Q389" s="195" t="n">
        <f aca="false">IFERROR(VLOOKUP(VALUE($D389),BSPL2026!$B:$Q,16,FALSE()),0)</f>
        <v>-4470720940</v>
      </c>
      <c r="R389" s="196" t="s">
        <v>449</v>
      </c>
      <c r="S389" s="172" t="str">
        <f aca="false">IFERROR(VLOOKUP(VALUE($D389),BSPL2026!$B:$M,12,FALSE()),"")</f>
        <v>선급법인세</v>
      </c>
      <c r="T389" s="172" t="str">
        <f aca="false">IF(OR(S389="",S389=0,LEFT(S389,5)="(원본오류"),"",IF(S389=H389,"","매핑차이"))</f>
        <v/>
      </c>
    </row>
    <row r="390" customFormat="false" ht="16.5" hidden="false" customHeight="false" outlineLevel="0" collapsed="false">
      <c r="D390" s="186" t="s">
        <v>1269</v>
      </c>
      <c r="E390" s="187" t="s">
        <v>1270</v>
      </c>
      <c r="F390" s="188" t="s">
        <v>446</v>
      </c>
      <c r="G390" s="189" t="s">
        <v>447</v>
      </c>
      <c r="H390" s="190" t="s">
        <v>43</v>
      </c>
      <c r="I390" s="191" t="s">
        <v>595</v>
      </c>
      <c r="J390" s="192" t="n">
        <f aca="false">IFERROR(VLOOKUP(VALUE($D390),BSPL2026!$B:$Z,25,FALSE()),0)</f>
        <v>0</v>
      </c>
      <c r="K390" s="193"/>
      <c r="L390" s="194"/>
      <c r="M390" s="192" t="n">
        <f aca="false">J390+K390-L390</f>
        <v>0</v>
      </c>
      <c r="N390" s="193" t="n">
        <f aca="false">SUMIF('statutory adj_2026 조정분개'!$S:$S,$D390,'statutory adj_2026 조정분개'!$K:$K)</f>
        <v>0</v>
      </c>
      <c r="O390" s="194" t="n">
        <f aca="false">SUMIF('statutory adj_2026 조정분개'!$S:$S,$D390,'statutory adj_2026 조정분개'!$L:$L)</f>
        <v>0</v>
      </c>
      <c r="P390" s="192" t="n">
        <f aca="false">M390+N390-O390</f>
        <v>0</v>
      </c>
      <c r="Q390" s="195" t="n">
        <f aca="false">IFERROR(VLOOKUP(VALUE($D390),BSPL2026!$B:$Q,16,FALSE()),0)</f>
        <v>0</v>
      </c>
      <c r="R390" s="196" t="s">
        <v>449</v>
      </c>
      <c r="S390" s="172" t="n">
        <f aca="false">IFERROR(VLOOKUP(VALUE($D390),BSPL2026!$B:$M,12,FALSE()),"")</f>
        <v>0</v>
      </c>
      <c r="T390" s="172" t="str">
        <f aca="false">IF(OR(S390="",S390=0,LEFT(S390,5)="(원본오류"),"",IF(S390=H390,"","매핑차이"))</f>
        <v/>
      </c>
    </row>
    <row r="391" customFormat="false" ht="16.5" hidden="false" customHeight="false" outlineLevel="0" collapsed="false">
      <c r="D391" s="186" t="s">
        <v>1271</v>
      </c>
      <c r="E391" s="187" t="s">
        <v>1272</v>
      </c>
      <c r="F391" s="188" t="s">
        <v>446</v>
      </c>
      <c r="G391" s="189" t="s">
        <v>447</v>
      </c>
      <c r="H391" s="190" t="s">
        <v>64</v>
      </c>
      <c r="I391" s="191" t="s">
        <v>615</v>
      </c>
      <c r="J391" s="192" t="n">
        <f aca="false">IFERROR(VLOOKUP(VALUE($D391),BSPL2026!$B:$Z,25,FALSE()),0)</f>
        <v>-317032050</v>
      </c>
      <c r="K391" s="193"/>
      <c r="L391" s="194"/>
      <c r="M391" s="192" t="n">
        <f aca="false">J391+K391-L391</f>
        <v>-317032050</v>
      </c>
      <c r="N391" s="193" t="n">
        <f aca="false">SUMIF('statutory adj_2026 조정분개'!$S:$S,$D391,'statutory adj_2026 조정분개'!$K:$K)</f>
        <v>0</v>
      </c>
      <c r="O391" s="194" t="n">
        <f aca="false">SUMIF('statutory adj_2026 조정분개'!$S:$S,$D391,'statutory adj_2026 조정분개'!$L:$L)</f>
        <v>0</v>
      </c>
      <c r="P391" s="192" t="n">
        <f aca="false">M391+N391-O391</f>
        <v>-317032050</v>
      </c>
      <c r="Q391" s="195" t="n">
        <f aca="false">IFERROR(VLOOKUP(VALUE($D391),BSPL2026!$B:$Q,16,FALSE()),0)</f>
        <v>-218849080</v>
      </c>
      <c r="R391" s="196" t="s">
        <v>449</v>
      </c>
      <c r="S391" s="172" t="str">
        <f aca="false">IFERROR(VLOOKUP(VALUE($D391),BSPL2026!$B:$M,12,FALSE()),"")</f>
        <v>유동성이연법인세자산</v>
      </c>
      <c r="T391" s="172" t="str">
        <f aca="false">IF(OR(S391="",S391=0,LEFT(S391,5)="(원본오류"),"",IF(S391=H391,"","매핑차이"))</f>
        <v/>
      </c>
    </row>
    <row r="392" customFormat="false" ht="16.5" hidden="false" customHeight="false" outlineLevel="0" collapsed="false">
      <c r="D392" s="186" t="s">
        <v>1273</v>
      </c>
      <c r="E392" s="187" t="s">
        <v>1274</v>
      </c>
      <c r="F392" s="188" t="s">
        <v>446</v>
      </c>
      <c r="G392" s="189" t="s">
        <v>447</v>
      </c>
      <c r="H392" s="190" t="s">
        <v>160</v>
      </c>
      <c r="I392" s="191" t="s">
        <v>617</v>
      </c>
      <c r="J392" s="192" t="n">
        <f aca="false">IFERROR(VLOOKUP(VALUE($D392),BSPL2026!$B:$Z,25,FALSE()),0)</f>
        <v>422237592</v>
      </c>
      <c r="K392" s="193"/>
      <c r="L392" s="194"/>
      <c r="M392" s="192" t="n">
        <f aca="false">J392+K392-L392</f>
        <v>422237592</v>
      </c>
      <c r="N392" s="193" t="n">
        <f aca="false">SUMIF('statutory adj_2026 조정분개'!$S:$S,$D392,'statutory adj_2026 조정분개'!$K:$K)</f>
        <v>0</v>
      </c>
      <c r="O392" s="194" t="n">
        <f aca="false">SUMIF('statutory adj_2026 조정분개'!$S:$S,$D392,'statutory adj_2026 조정분개'!$L:$L)</f>
        <v>0</v>
      </c>
      <c r="P392" s="192" t="n">
        <f aca="false">M392+N392-O392</f>
        <v>422237592</v>
      </c>
      <c r="Q392" s="195" t="n">
        <f aca="false">IFERROR(VLOOKUP(VALUE($D392),BSPL2026!$B:$Q,16,FALSE()),0)</f>
        <v>422237592</v>
      </c>
      <c r="R392" s="196" t="s">
        <v>449</v>
      </c>
      <c r="S392" s="172" t="str">
        <f aca="false">IFERROR(VLOOKUP(VALUE($D392),BSPL2026!$B:$M,12,FALSE()),"")</f>
        <v>이연법인세자산</v>
      </c>
      <c r="T392" s="172" t="str">
        <f aca="false">IF(OR(S392="",S392=0,LEFT(S392,5)="(원본오류"),"",IF(S392=H392,"","매핑차이"))</f>
        <v/>
      </c>
    </row>
    <row r="393" customFormat="false" ht="16.5" hidden="false" customHeight="false" outlineLevel="0" collapsed="false">
      <c r="D393" s="186" t="s">
        <v>1275</v>
      </c>
      <c r="E393" s="187" t="s">
        <v>1276</v>
      </c>
      <c r="F393" s="188" t="s">
        <v>446</v>
      </c>
      <c r="G393" s="189" t="s">
        <v>227</v>
      </c>
      <c r="H393" s="190" t="s">
        <v>235</v>
      </c>
      <c r="I393" s="191" t="s">
        <v>621</v>
      </c>
      <c r="J393" s="192" t="n">
        <f aca="false">IFERROR(VLOOKUP(VALUE($D393),BSPL2026!$B:$Z,25,FALSE()),0)</f>
        <v>-30019790582</v>
      </c>
      <c r="K393" s="193"/>
      <c r="L393" s="194"/>
      <c r="M393" s="192" t="n">
        <f aca="false">J393+K393-L393</f>
        <v>-30019790582</v>
      </c>
      <c r="N393" s="193" t="n">
        <f aca="false">SUMIF('statutory adj_2026 조정분개'!$S:$S,$D393,'statutory adj_2026 조정분개'!$K:$K)</f>
        <v>0</v>
      </c>
      <c r="O393" s="194" t="n">
        <f aca="false">SUMIF('statutory adj_2026 조정분개'!$S:$S,$D393,'statutory adj_2026 조정분개'!$L:$L)</f>
        <v>0</v>
      </c>
      <c r="P393" s="192" t="n">
        <f aca="false">M393+N393-O393</f>
        <v>-30019790582</v>
      </c>
      <c r="Q393" s="195" t="n">
        <f aca="false">IFERROR(VLOOKUP(VALUE($D393),BSPL2026!$B:$Q,16,FALSE()),0)</f>
        <v>-30019790582</v>
      </c>
      <c r="R393" s="196" t="s">
        <v>449</v>
      </c>
      <c r="S393" s="172" t="str">
        <f aca="false">IFERROR(VLOOKUP(VALUE($D393),BSPL2026!$B:$M,12,FALSE()),"")</f>
        <v>주식발행초과금</v>
      </c>
      <c r="T393" s="172" t="str">
        <f aca="false">IF(OR(S393="",S393=0,LEFT(S393,5)="(원본오류"),"",IF(S393=H393,"","매핑차이"))</f>
        <v/>
      </c>
    </row>
    <row r="394" customFormat="false" ht="16.5" hidden="false" customHeight="false" outlineLevel="0" collapsed="false">
      <c r="D394" s="186" t="s">
        <v>1277</v>
      </c>
      <c r="E394" s="187" t="s">
        <v>1278</v>
      </c>
      <c r="F394" s="188" t="s">
        <v>446</v>
      </c>
      <c r="G394" s="189" t="s">
        <v>227</v>
      </c>
      <c r="H394" s="190" t="s">
        <v>237</v>
      </c>
      <c r="I394" s="191" t="s">
        <v>623</v>
      </c>
      <c r="J394" s="192" t="n">
        <f aca="false">IFERROR(VLOOKUP(VALUE($D394),BSPL2026!$B:$Z,25,FALSE()),0)</f>
        <v>-3154816366</v>
      </c>
      <c r="K394" s="193"/>
      <c r="L394" s="194"/>
      <c r="M394" s="192" t="n">
        <f aca="false">J394+K394-L394</f>
        <v>-3154816366</v>
      </c>
      <c r="N394" s="193" t="n">
        <f aca="false">SUMIF('statutory adj_2026 조정분개'!$S:$S,$D394,'statutory adj_2026 조정분개'!$K:$K)</f>
        <v>0</v>
      </c>
      <c r="O394" s="194" t="n">
        <f aca="false">SUMIF('statutory adj_2026 조정분개'!$S:$S,$D394,'statutory adj_2026 조정분개'!$L:$L)</f>
        <v>0</v>
      </c>
      <c r="P394" s="192" t="n">
        <f aca="false">M394+N394-O394</f>
        <v>-3154816366</v>
      </c>
      <c r="Q394" s="195" t="n">
        <f aca="false">IFERROR(VLOOKUP(VALUE($D394),BSPL2026!$B:$Q,16,FALSE()),0)</f>
        <v>-3154816366</v>
      </c>
      <c r="R394" s="196" t="s">
        <v>449</v>
      </c>
      <c r="S394" s="172" t="str">
        <f aca="false">IFERROR(VLOOKUP(VALUE($D394),BSPL2026!$B:$M,12,FALSE()),"")</f>
        <v>기타자본잉여금</v>
      </c>
      <c r="T394" s="172" t="str">
        <f aca="false">IF(OR(S394="",S394=0,LEFT(S394,5)="(원본오류"),"",IF(S394=H394,"","매핑차이"))</f>
        <v/>
      </c>
    </row>
    <row r="395" customFormat="false" ht="16.5" hidden="false" customHeight="false" outlineLevel="0" collapsed="false">
      <c r="D395" s="186" t="s">
        <v>1279</v>
      </c>
      <c r="E395" s="187" t="s">
        <v>1280</v>
      </c>
      <c r="F395" s="188" t="s">
        <v>446</v>
      </c>
      <c r="G395" s="189" t="s">
        <v>227</v>
      </c>
      <c r="H395" s="190" t="s">
        <v>248</v>
      </c>
      <c r="I395" s="191" t="s">
        <v>1281</v>
      </c>
      <c r="J395" s="192" t="n">
        <f aca="false">IFERROR(VLOOKUP(VALUE($D395),BSPL2026!$B:$Z,25,FALSE()),0)</f>
        <v>52281765109</v>
      </c>
      <c r="K395" s="193"/>
      <c r="L395" s="194"/>
      <c r="M395" s="192" t="n">
        <f aca="false">J395+K395-L395</f>
        <v>52281765109</v>
      </c>
      <c r="N395" s="193" t="n">
        <f aca="false">SUMIF('statutory adj_2026 조정분개'!$S:$S,$D395,'statutory adj_2026 조정분개'!$K:$K)</f>
        <v>0</v>
      </c>
      <c r="O395" s="194" t="n">
        <f aca="false">SUMIF('statutory adj_2026 조정분개'!$S:$S,$D395,'statutory adj_2026 조정분개'!$L:$L)</f>
        <v>0</v>
      </c>
      <c r="P395" s="192" t="n">
        <f aca="false">M395+N395-O395</f>
        <v>52281765109</v>
      </c>
      <c r="Q395" s="195" t="n">
        <f aca="false">IFERROR(VLOOKUP(VALUE($D395),BSPL2026!$B:$Q,16,FALSE()),0)</f>
        <v>51148825200</v>
      </c>
      <c r="R395" s="196" t="s">
        <v>449</v>
      </c>
      <c r="S395" s="172" t="str">
        <f aca="false">IFERROR(VLOOKUP(VALUE($D395),BSPL2026!$B:$M,12,FALSE()),"")</f>
        <v>이익잉여금</v>
      </c>
      <c r="T395" s="172" t="str">
        <f aca="false">IF(OR(S395="",S395=0,LEFT(S395,5)="(원본오류"),"",IF(S395=H395,"","매핑차이"))</f>
        <v/>
      </c>
    </row>
    <row r="396" customFormat="false" ht="16.5" hidden="false" customHeight="false" outlineLevel="0" collapsed="false">
      <c r="D396" s="186" t="s">
        <v>1282</v>
      </c>
      <c r="E396" s="187" t="s">
        <v>1283</v>
      </c>
      <c r="F396" s="188" t="s">
        <v>446</v>
      </c>
      <c r="G396" s="189" t="s">
        <v>227</v>
      </c>
      <c r="H396" s="190" t="s">
        <v>243</v>
      </c>
      <c r="I396" s="191" t="s">
        <v>632</v>
      </c>
      <c r="J396" s="192" t="n">
        <f aca="false">IFERROR(VLOOKUP(VALUE($D396),BSPL2026!$B:$Z,25,FALSE()),0)</f>
        <v>25000000</v>
      </c>
      <c r="K396" s="193"/>
      <c r="L396" s="194"/>
      <c r="M396" s="192" t="n">
        <f aca="false">J396+K396-L396</f>
        <v>25000000</v>
      </c>
      <c r="N396" s="193" t="n">
        <f aca="false">SUMIF('statutory adj_2026 조정분개'!$S:$S,$D396,'statutory adj_2026 조정분개'!$K:$K)</f>
        <v>0</v>
      </c>
      <c r="O396" s="194" t="n">
        <f aca="false">SUMIF('statutory adj_2026 조정분개'!$S:$S,$D396,'statutory adj_2026 조정분개'!$L:$L)</f>
        <v>0</v>
      </c>
      <c r="P396" s="192" t="n">
        <f aca="false">M396+N396-O396</f>
        <v>25000000</v>
      </c>
      <c r="Q396" s="195" t="n">
        <f aca="false">IFERROR(VLOOKUP(VALUE($D396),BSPL2026!$B:$Q,16,FALSE()),0)</f>
        <v>25000000</v>
      </c>
      <c r="R396" s="196" t="s">
        <v>449</v>
      </c>
      <c r="S396" s="172" t="str">
        <f aca="false">IFERROR(VLOOKUP(VALUE($D396),BSPL2026!$B:$M,12,FALSE()),"")</f>
        <v>이익준비금</v>
      </c>
      <c r="T396" s="172" t="str">
        <f aca="false">IF(OR(S396="",S396=0,LEFT(S396,5)="(원본오류"),"",IF(S396=H396,"","매핑차이"))</f>
        <v/>
      </c>
    </row>
    <row r="397" customFormat="false" ht="16.5" hidden="false" customHeight="false" outlineLevel="0" collapsed="false">
      <c r="D397" s="186" t="s">
        <v>1284</v>
      </c>
      <c r="E397" s="187" t="s">
        <v>1285</v>
      </c>
      <c r="F397" s="188" t="s">
        <v>446</v>
      </c>
      <c r="G397" s="189" t="s">
        <v>227</v>
      </c>
      <c r="H397" s="190" t="s">
        <v>248</v>
      </c>
      <c r="I397" s="191" t="s">
        <v>636</v>
      </c>
      <c r="J397" s="192" t="n">
        <f aca="false">IFERROR(VLOOKUP(VALUE($D397),BSPL2026!$B:$Z,25,FALSE()),0)</f>
        <v>0</v>
      </c>
      <c r="K397" s="193"/>
      <c r="L397" s="194"/>
      <c r="M397" s="192" t="n">
        <f aca="false">J397+K397-L397</f>
        <v>0</v>
      </c>
      <c r="N397" s="193" t="n">
        <f aca="false">SUMIF('statutory adj_2026 조정분개'!$S:$S,$D397,'statutory adj_2026 조정분개'!$K:$K)</f>
        <v>0</v>
      </c>
      <c r="O397" s="194" t="n">
        <f aca="false">SUMIF('statutory adj_2026 조정분개'!$S:$S,$D397,'statutory adj_2026 조정분개'!$L:$L)</f>
        <v>0</v>
      </c>
      <c r="P397" s="192" t="n">
        <f aca="false">M397+N397-O397</f>
        <v>0</v>
      </c>
      <c r="Q397" s="195" t="n">
        <f aca="false">IFERROR(VLOOKUP(VALUE($D397),BSPL2026!$B:$Q,16,FALSE()),0)</f>
        <v>0</v>
      </c>
      <c r="R397" s="196" t="s">
        <v>449</v>
      </c>
      <c r="S397" s="172" t="str">
        <f aca="false">IFERROR(VLOOKUP(VALUE($D397),BSPL2026!$B:$M,12,FALSE()),"")</f>
        <v>이익잉여금</v>
      </c>
      <c r="T397" s="172" t="str">
        <f aca="false">IF(OR(S397="",S397=0,LEFT(S397,5)="(원본오류"),"",IF(S397=H397,"","매핑차이"))</f>
        <v/>
      </c>
    </row>
    <row r="398" customFormat="false" ht="16.5" hidden="false" customHeight="false" outlineLevel="0" collapsed="false">
      <c r="D398" s="186" t="s">
        <v>1286</v>
      </c>
      <c r="E398" s="187" t="s">
        <v>1287</v>
      </c>
      <c r="F398" s="188" t="s">
        <v>446</v>
      </c>
      <c r="G398" s="189" t="s">
        <v>227</v>
      </c>
      <c r="H398" s="190" t="s">
        <v>248</v>
      </c>
      <c r="I398" s="191" t="s">
        <v>634</v>
      </c>
      <c r="J398" s="192" t="n">
        <f aca="false">IFERROR(VLOOKUP(VALUE($D398),BSPL2026!$B:$Z,25,FALSE()),0)</f>
        <v>0</v>
      </c>
      <c r="K398" s="193"/>
      <c r="L398" s="194"/>
      <c r="M398" s="192" t="n">
        <f aca="false">J398+K398-L398</f>
        <v>0</v>
      </c>
      <c r="N398" s="193" t="n">
        <f aca="false">SUMIF('statutory adj_2026 조정분개'!$S:$S,$D398,'statutory adj_2026 조정분개'!$K:$K)</f>
        <v>0</v>
      </c>
      <c r="O398" s="194" t="n">
        <f aca="false">SUMIF('statutory adj_2026 조정분개'!$S:$S,$D398,'statutory adj_2026 조정분개'!$L:$L)</f>
        <v>0</v>
      </c>
      <c r="P398" s="192" t="n">
        <f aca="false">M398+N398-O398</f>
        <v>0</v>
      </c>
      <c r="Q398" s="195" t="n">
        <f aca="false">IFERROR(VLOOKUP(VALUE($D398),BSPL2026!$B:$Q,16,FALSE()),0)</f>
        <v>0</v>
      </c>
      <c r="R398" s="196" t="s">
        <v>449</v>
      </c>
      <c r="S398" s="172" t="str">
        <f aca="false">IFERROR(VLOOKUP(VALUE($D398),BSPL2026!$B:$M,12,FALSE()),"")</f>
        <v>이익잉여금</v>
      </c>
      <c r="T398" s="172" t="str">
        <f aca="false">IF(OR(S398="",S398=0,LEFT(S398,5)="(원본오류"),"",IF(S398=H398,"","매핑차이"))</f>
        <v/>
      </c>
    </row>
    <row r="399" customFormat="false" ht="16.5" hidden="false" customHeight="false" outlineLevel="0" collapsed="false">
      <c r="D399" s="186" t="s">
        <v>1288</v>
      </c>
      <c r="E399" s="187" t="s">
        <v>1289</v>
      </c>
      <c r="F399" s="188" t="s">
        <v>446</v>
      </c>
      <c r="G399" s="189" t="s">
        <v>173</v>
      </c>
      <c r="H399" s="190" t="s">
        <v>191</v>
      </c>
      <c r="I399" s="191" t="s">
        <v>713</v>
      </c>
      <c r="J399" s="192" t="n">
        <f aca="false">IFERROR(VLOOKUP(VALUE($D399),BSPL2026!$B:$Z,25,FALSE()),0)</f>
        <v>0</v>
      </c>
      <c r="K399" s="193"/>
      <c r="L399" s="194"/>
      <c r="M399" s="192" t="n">
        <f aca="false">J399+K399-L399</f>
        <v>0</v>
      </c>
      <c r="N399" s="193" t="n">
        <f aca="false">SUMIF('statutory adj_2026 조정분개'!$S:$S,$D399,'statutory adj_2026 조정분개'!$K:$K)</f>
        <v>0</v>
      </c>
      <c r="O399" s="194" t="n">
        <f aca="false">SUMIF('statutory adj_2026 조정분개'!$S:$S,$D399,'statutory adj_2026 조정분개'!$L:$L)</f>
        <v>0</v>
      </c>
      <c r="P399" s="192" t="n">
        <f aca="false">M399+N399-O399</f>
        <v>0</v>
      </c>
      <c r="Q399" s="195" t="n">
        <f aca="false">IFERROR(VLOOKUP(VALUE($D399),BSPL2026!$B:$Q,16,FALSE()),0)</f>
        <v>0</v>
      </c>
      <c r="R399" s="196" t="s">
        <v>449</v>
      </c>
      <c r="S399" s="172" t="n">
        <f aca="false">IFERROR(VLOOKUP(VALUE($D399),BSPL2026!$B:$M,12,FALSE()),"")</f>
        <v>0</v>
      </c>
      <c r="T399" s="172" t="str">
        <f aca="false">IF(OR(S399="",S399=0,LEFT(S399,5)="(원본오류"),"",IF(S399=H399,"","매핑차이"))</f>
        <v/>
      </c>
    </row>
    <row r="400" customFormat="false" ht="16.5" hidden="false" customHeight="false" outlineLevel="0" collapsed="false">
      <c r="D400" s="186" t="s">
        <v>1290</v>
      </c>
      <c r="E400" s="187" t="s">
        <v>1291</v>
      </c>
      <c r="F400" s="188" t="s">
        <v>446</v>
      </c>
      <c r="G400" s="189" t="s">
        <v>173</v>
      </c>
      <c r="H400" s="190" t="s">
        <v>188</v>
      </c>
      <c r="I400" s="191" t="s">
        <v>734</v>
      </c>
      <c r="J400" s="192" t="n">
        <f aca="false">IFERROR(VLOOKUP(VALUE($D400),BSPL2026!$B:$Z,25,FALSE()),0)</f>
        <v>0</v>
      </c>
      <c r="K400" s="193"/>
      <c r="L400" s="194"/>
      <c r="M400" s="192" t="n">
        <f aca="false">J400+K400-L400</f>
        <v>0</v>
      </c>
      <c r="N400" s="193" t="n">
        <f aca="false">SUMIF('statutory adj_2026 조정분개'!$S:$S,$D400,'statutory adj_2026 조정분개'!$K:$K)</f>
        <v>0</v>
      </c>
      <c r="O400" s="194" t="n">
        <f aca="false">SUMIF('statutory adj_2026 조정분개'!$S:$S,$D400,'statutory adj_2026 조정분개'!$L:$L)</f>
        <v>0</v>
      </c>
      <c r="P400" s="192" t="n">
        <f aca="false">M400+N400-O400</f>
        <v>0</v>
      </c>
      <c r="Q400" s="195" t="n">
        <f aca="false">IFERROR(VLOOKUP(VALUE($D400),BSPL2026!$B:$Q,16,FALSE()),0)</f>
        <v>0</v>
      </c>
      <c r="R400" s="196" t="s">
        <v>449</v>
      </c>
      <c r="S400" s="172" t="n">
        <f aca="false">IFERROR(VLOOKUP(VALUE($D400),BSPL2026!$B:$M,12,FALSE()),"")</f>
        <v>0</v>
      </c>
      <c r="T400" s="172" t="str">
        <f aca="false">IF(OR(S400="",S400=0,LEFT(S400,5)="(원본오류"),"",IF(S400=H400,"","매핑차이"))</f>
        <v/>
      </c>
    </row>
    <row r="401" customFormat="false" ht="16.5" hidden="false" customHeight="false" outlineLevel="0" collapsed="false">
      <c r="D401" s="186" t="s">
        <v>1292</v>
      </c>
      <c r="E401" s="187" t="s">
        <v>1293</v>
      </c>
      <c r="F401" s="188" t="s">
        <v>446</v>
      </c>
      <c r="G401" s="189" t="s">
        <v>173</v>
      </c>
      <c r="H401" s="190" t="s">
        <v>178</v>
      </c>
      <c r="I401" s="191" t="s">
        <v>651</v>
      </c>
      <c r="J401" s="192" t="n">
        <f aca="false">IFERROR(VLOOKUP(VALUE($D401),BSPL2026!$B:$Z,25,FALSE()),0)</f>
        <v>0</v>
      </c>
      <c r="K401" s="193"/>
      <c r="L401" s="194"/>
      <c r="M401" s="192" t="n">
        <f aca="false">J401+K401-L401</f>
        <v>0</v>
      </c>
      <c r="N401" s="193" t="n">
        <f aca="false">SUMIF('statutory adj_2026 조정분개'!$S:$S,$D401,'statutory adj_2026 조정분개'!$K:$K)</f>
        <v>0</v>
      </c>
      <c r="O401" s="194" t="n">
        <f aca="false">SUMIF('statutory adj_2026 조정분개'!$S:$S,$D401,'statutory adj_2026 조정분개'!$L:$L)</f>
        <v>0</v>
      </c>
      <c r="P401" s="192" t="n">
        <f aca="false">M401+N401-O401</f>
        <v>0</v>
      </c>
      <c r="Q401" s="195" t="n">
        <f aca="false">IFERROR(VLOOKUP(VALUE($D401),BSPL2026!$B:$Q,16,FALSE()),0)</f>
        <v>-154705481</v>
      </c>
      <c r="R401" s="196" t="s">
        <v>449</v>
      </c>
      <c r="S401" s="172" t="str">
        <f aca="false">IFERROR(VLOOKUP(VALUE($D401),BSPL2026!$B:$M,12,FALSE()),"")</f>
        <v>매입채무</v>
      </c>
      <c r="T401" s="172" t="str">
        <f aca="false">IF(OR(S401="",S401=0,LEFT(S401,5)="(원본오류"),"",IF(S401=H401,"","매핑차이"))</f>
        <v/>
      </c>
    </row>
    <row r="402" customFormat="false" ht="16.5" hidden="false" customHeight="false" outlineLevel="0" collapsed="false">
      <c r="D402" s="186" t="s">
        <v>1294</v>
      </c>
      <c r="E402" s="187" t="s">
        <v>1295</v>
      </c>
      <c r="F402" s="188" t="s">
        <v>446</v>
      </c>
      <c r="G402" s="189" t="s">
        <v>173</v>
      </c>
      <c r="H402" s="190" t="s">
        <v>191</v>
      </c>
      <c r="I402" s="191" t="s">
        <v>748</v>
      </c>
      <c r="J402" s="192" t="n">
        <f aca="false">IFERROR(VLOOKUP(VALUE($D402),BSPL2026!$B:$Z,25,FALSE()),0)</f>
        <v>0</v>
      </c>
      <c r="K402" s="193"/>
      <c r="L402" s="194"/>
      <c r="M402" s="192" t="n">
        <f aca="false">J402+K402-L402</f>
        <v>0</v>
      </c>
      <c r="N402" s="193" t="n">
        <f aca="false">SUMIF('statutory adj_2026 조정분개'!$S:$S,$D402,'statutory adj_2026 조정분개'!$K:$K)</f>
        <v>0</v>
      </c>
      <c r="O402" s="194" t="n">
        <f aca="false">SUMIF('statutory adj_2026 조정분개'!$S:$S,$D402,'statutory adj_2026 조정분개'!$L:$L)</f>
        <v>0</v>
      </c>
      <c r="P402" s="192" t="n">
        <f aca="false">M402+N402-O402</f>
        <v>0</v>
      </c>
      <c r="Q402" s="195" t="n">
        <f aca="false">IFERROR(VLOOKUP(VALUE($D402),BSPL2026!$B:$Q,16,FALSE()),0)</f>
        <v>0</v>
      </c>
      <c r="R402" s="196" t="s">
        <v>449</v>
      </c>
      <c r="S402" s="172" t="n">
        <f aca="false">IFERROR(VLOOKUP(VALUE($D402),BSPL2026!$B:$M,12,FALSE()),"")</f>
        <v>0</v>
      </c>
      <c r="T402" s="172" t="str">
        <f aca="false">IF(OR(S402="",S402=0,LEFT(S402,5)="(원본오류"),"",IF(S402=H402,"","매핑차이"))</f>
        <v/>
      </c>
    </row>
    <row r="403" customFormat="false" ht="16.5" hidden="false" customHeight="false" outlineLevel="0" collapsed="false">
      <c r="D403" s="186" t="s">
        <v>1296</v>
      </c>
      <c r="E403" s="187" t="s">
        <v>1297</v>
      </c>
      <c r="F403" s="188" t="s">
        <v>446</v>
      </c>
      <c r="G403" s="189" t="s">
        <v>173</v>
      </c>
      <c r="H403" s="190" t="s">
        <v>194</v>
      </c>
      <c r="I403" s="191" t="s">
        <v>766</v>
      </c>
      <c r="J403" s="192" t="n">
        <f aca="false">IFERROR(VLOOKUP(VALUE($D403),BSPL2026!$B:$Z,25,FALSE()),0)</f>
        <v>0</v>
      </c>
      <c r="K403" s="193"/>
      <c r="L403" s="194"/>
      <c r="M403" s="192" t="n">
        <f aca="false">J403+K403-L403</f>
        <v>0</v>
      </c>
      <c r="N403" s="193" t="n">
        <f aca="false">SUMIF('statutory adj_2026 조정분개'!$S:$S,$D403,'statutory adj_2026 조정분개'!$K:$K)</f>
        <v>0</v>
      </c>
      <c r="O403" s="194" t="n">
        <f aca="false">SUMIF('statutory adj_2026 조정분개'!$S:$S,$D403,'statutory adj_2026 조정분개'!$L:$L)</f>
        <v>0</v>
      </c>
      <c r="P403" s="192" t="n">
        <f aca="false">M403+N403-O403</f>
        <v>0</v>
      </c>
      <c r="Q403" s="195" t="n">
        <f aca="false">IFERROR(VLOOKUP(VALUE($D403),BSPL2026!$B:$Q,16,FALSE()),0)</f>
        <v>0</v>
      </c>
      <c r="R403" s="196" t="s">
        <v>449</v>
      </c>
      <c r="S403" s="172" t="n">
        <f aca="false">IFERROR(VLOOKUP(VALUE($D403),BSPL2026!$B:$M,12,FALSE()),"")</f>
        <v>0</v>
      </c>
      <c r="T403" s="172" t="str">
        <f aca="false">IF(OR(S403="",S403=0,LEFT(S403,5)="(원본오류"),"",IF(S403=H403,"","매핑차이"))</f>
        <v/>
      </c>
    </row>
    <row r="404" customFormat="false" ht="16.5" hidden="false" customHeight="false" outlineLevel="0" collapsed="false">
      <c r="D404" s="186" t="s">
        <v>1298</v>
      </c>
      <c r="E404" s="187" t="s">
        <v>1299</v>
      </c>
      <c r="F404" s="188" t="s">
        <v>446</v>
      </c>
      <c r="G404" s="189" t="s">
        <v>173</v>
      </c>
      <c r="H404" s="190" t="s">
        <v>197</v>
      </c>
      <c r="I404" s="191" t="s">
        <v>768</v>
      </c>
      <c r="J404" s="192" t="n">
        <f aca="false">IFERROR(VLOOKUP(VALUE($D404),BSPL2026!$B:$Z,25,FALSE()),0)</f>
        <v>0</v>
      </c>
      <c r="K404" s="193"/>
      <c r="L404" s="194"/>
      <c r="M404" s="192" t="n">
        <f aca="false">J404+K404-L404</f>
        <v>0</v>
      </c>
      <c r="N404" s="193" t="n">
        <f aca="false">SUMIF('statutory adj_2026 조정분개'!$S:$S,$D404,'statutory adj_2026 조정분개'!$K:$K)</f>
        <v>1132939917</v>
      </c>
      <c r="O404" s="194" t="n">
        <f aca="false">SUMIF('statutory adj_2026 조정분개'!$S:$S,$D404,'statutory adj_2026 조정분개'!$L:$L)</f>
        <v>0</v>
      </c>
      <c r="P404" s="192" t="n">
        <f aca="false">M404+N404-O404</f>
        <v>1132939917</v>
      </c>
      <c r="Q404" s="195" t="n">
        <f aca="false">IFERROR(VLOOKUP(VALUE($D404),BSPL2026!$B:$Q,16,FALSE()),0)</f>
        <v>3589508933</v>
      </c>
      <c r="R404" s="196" t="s">
        <v>449</v>
      </c>
      <c r="S404" s="172" t="str">
        <f aca="false">IFERROR(VLOOKUP(VALUE($D404),BSPL2026!$B:$M,12,FALSE()),"")</f>
        <v>미지급법인세</v>
      </c>
      <c r="T404" s="172" t="str">
        <f aca="false">IF(OR(S404="",S404=0,LEFT(S404,5)="(원본오류"),"",IF(S404=H404,"","매핑차이"))</f>
        <v/>
      </c>
    </row>
    <row r="405" customFormat="false" ht="16.5" hidden="false" customHeight="false" outlineLevel="0" collapsed="false">
      <c r="D405" s="186" t="s">
        <v>1300</v>
      </c>
      <c r="E405" s="187" t="s">
        <v>1301</v>
      </c>
      <c r="F405" s="188" t="s">
        <v>446</v>
      </c>
      <c r="G405" s="189" t="s">
        <v>173</v>
      </c>
      <c r="H405" s="190" t="s">
        <v>221</v>
      </c>
      <c r="I405" s="191" t="s">
        <v>1302</v>
      </c>
      <c r="J405" s="192" t="n">
        <f aca="false">IFERROR(VLOOKUP(VALUE($D405),BSPL2026!$B:$Z,25,FALSE()),0)</f>
        <v>0</v>
      </c>
      <c r="K405" s="193"/>
      <c r="L405" s="194"/>
      <c r="M405" s="192" t="n">
        <f aca="false">J405+K405-L405</f>
        <v>0</v>
      </c>
      <c r="N405" s="193" t="n">
        <f aca="false">SUMIF('statutory adj_2026 조정분개'!$S:$S,$D405,'statutory adj_2026 조정분개'!$K:$K)</f>
        <v>0</v>
      </c>
      <c r="O405" s="194" t="n">
        <f aca="false">SUMIF('statutory adj_2026 조정분개'!$S:$S,$D405,'statutory adj_2026 조정분개'!$L:$L)</f>
        <v>0</v>
      </c>
      <c r="P405" s="192" t="n">
        <f aca="false">M405+N405-O405</f>
        <v>0</v>
      </c>
      <c r="Q405" s="195" t="n">
        <f aca="false">IFERROR(VLOOKUP(VALUE($D405),BSPL2026!$B:$Q,16,FALSE()),0)</f>
        <v>0</v>
      </c>
      <c r="R405" s="196" t="s">
        <v>449</v>
      </c>
      <c r="S405" s="172" t="n">
        <f aca="false">IFERROR(VLOOKUP(VALUE($D405),BSPL2026!$B:$M,12,FALSE()),"")</f>
        <v>0</v>
      </c>
      <c r="T405" s="172" t="str">
        <f aca="false">IF(OR(S405="",S405=0,LEFT(S405,5)="(원본오류"),"",IF(S405=H405,"","매핑차이"))</f>
        <v/>
      </c>
    </row>
    <row r="406" customFormat="false" ht="16.5" hidden="false" customHeight="false" outlineLevel="0" collapsed="false">
      <c r="D406" s="186" t="s">
        <v>1303</v>
      </c>
      <c r="E406" s="187" t="s">
        <v>1304</v>
      </c>
      <c r="F406" s="188" t="s">
        <v>446</v>
      </c>
      <c r="G406" s="189" t="s">
        <v>173</v>
      </c>
      <c r="H406" s="190" t="s">
        <v>186</v>
      </c>
      <c r="I406" s="191" t="s">
        <v>760</v>
      </c>
      <c r="J406" s="192" t="n">
        <f aca="false">IFERROR(VLOOKUP(VALUE($D406),BSPL2026!$B:$Z,25,FALSE()),0)</f>
        <v>0</v>
      </c>
      <c r="K406" s="193"/>
      <c r="L406" s="194"/>
      <c r="M406" s="192" t="n">
        <f aca="false">J406+K406-L406</f>
        <v>0</v>
      </c>
      <c r="N406" s="193" t="n">
        <f aca="false">SUMIF('statutory adj_2026 조정분개'!$S:$S,$D406,'statutory adj_2026 조정분개'!$K:$K)</f>
        <v>0</v>
      </c>
      <c r="O406" s="194" t="n">
        <f aca="false">SUMIF('statutory adj_2026 조정분개'!$S:$S,$D406,'statutory adj_2026 조정분개'!$L:$L)</f>
        <v>0</v>
      </c>
      <c r="P406" s="192" t="n">
        <f aca="false">M406+N406-O406</f>
        <v>0</v>
      </c>
      <c r="Q406" s="195" t="n">
        <f aca="false">IFERROR(VLOOKUP(VALUE($D406),BSPL2026!$B:$Q,16,FALSE()),0)</f>
        <v>0</v>
      </c>
      <c r="R406" s="196" t="s">
        <v>449</v>
      </c>
      <c r="S406" s="172" t="n">
        <f aca="false">IFERROR(VLOOKUP(VALUE($D406),BSPL2026!$B:$M,12,FALSE()),"")</f>
        <v>0</v>
      </c>
      <c r="T406" s="172" t="str">
        <f aca="false">IF(OR(S406="",S406=0,LEFT(S406,5)="(원본오류"),"",IF(S406=H406,"","매핑차이"))</f>
        <v/>
      </c>
    </row>
    <row r="407" customFormat="false" ht="16.5" hidden="false" customHeight="false" outlineLevel="0" collapsed="false">
      <c r="D407" s="186" t="s">
        <v>1305</v>
      </c>
      <c r="E407" s="187" t="s">
        <v>762</v>
      </c>
      <c r="F407" s="188" t="s">
        <v>446</v>
      </c>
      <c r="G407" s="189" t="s">
        <v>173</v>
      </c>
      <c r="H407" s="190" t="s">
        <v>191</v>
      </c>
      <c r="I407" s="191" t="s">
        <v>762</v>
      </c>
      <c r="J407" s="192" t="n">
        <f aca="false">IFERROR(VLOOKUP(VALUE($D407),BSPL2026!$B:$Z,25,FALSE()),0)</f>
        <v>130609871</v>
      </c>
      <c r="K407" s="193"/>
      <c r="L407" s="194"/>
      <c r="M407" s="192" t="n">
        <f aca="false">J407+K407-L407</f>
        <v>130609871</v>
      </c>
      <c r="N407" s="193" t="n">
        <f aca="false">SUMIF('statutory adj_2026 조정분개'!$S:$S,$D407,'statutory adj_2026 조정분개'!$K:$K)</f>
        <v>0</v>
      </c>
      <c r="O407" s="194" t="n">
        <f aca="false">SUMIF('statutory adj_2026 조정분개'!$S:$S,$D407,'statutory adj_2026 조정분개'!$L:$L)</f>
        <v>0</v>
      </c>
      <c r="P407" s="192" t="n">
        <f aca="false">M407+N407-O407</f>
        <v>130609871</v>
      </c>
      <c r="Q407" s="195" t="n">
        <f aca="false">IFERROR(VLOOKUP(VALUE($D407),BSPL2026!$B:$Q,16,FALSE()),0)</f>
        <v>1034568702</v>
      </c>
      <c r="R407" s="196" t="s">
        <v>449</v>
      </c>
      <c r="S407" s="172" t="str">
        <f aca="false">IFERROR(VLOOKUP(VALUE($D407),BSPL2026!$B:$M,12,FALSE()),"")</f>
        <v>미지급비용</v>
      </c>
      <c r="T407" s="172" t="str">
        <f aca="false">IF(OR(S407="",S407=0,LEFT(S407,5)="(원본오류"),"",IF(S407=H407,"","매핑차이"))</f>
        <v/>
      </c>
    </row>
    <row r="408" customFormat="false" ht="16.5" hidden="false" customHeight="false" outlineLevel="0" collapsed="false">
      <c r="D408" s="186" t="s">
        <v>1306</v>
      </c>
      <c r="E408" s="187" t="s">
        <v>764</v>
      </c>
      <c r="F408" s="188" t="s">
        <v>446</v>
      </c>
      <c r="G408" s="189" t="s">
        <v>173</v>
      </c>
      <c r="H408" s="190" t="s">
        <v>191</v>
      </c>
      <c r="I408" s="191" t="s">
        <v>764</v>
      </c>
      <c r="J408" s="192" t="n">
        <f aca="false">IFERROR(VLOOKUP(VALUE($D408),BSPL2026!$B:$Z,25,FALSE()),0)</f>
        <v>-144523</v>
      </c>
      <c r="K408" s="193"/>
      <c r="L408" s="194"/>
      <c r="M408" s="192" t="n">
        <f aca="false">J408+K408-L408</f>
        <v>-144523</v>
      </c>
      <c r="N408" s="193" t="n">
        <f aca="false">SUMIF('statutory adj_2026 조정분개'!$S:$S,$D408,'statutory adj_2026 조정분개'!$K:$K)</f>
        <v>0</v>
      </c>
      <c r="O408" s="194" t="n">
        <f aca="false">SUMIF('statutory adj_2026 조정분개'!$S:$S,$D408,'statutory adj_2026 조정분개'!$L:$L)</f>
        <v>0</v>
      </c>
      <c r="P408" s="192" t="n">
        <f aca="false">M408+N408-O408</f>
        <v>-144523</v>
      </c>
      <c r="Q408" s="195" t="n">
        <f aca="false">IFERROR(VLOOKUP(VALUE($D408),BSPL2026!$B:$Q,16,FALSE()),0)</f>
        <v>1479860</v>
      </c>
      <c r="R408" s="196" t="s">
        <v>449</v>
      </c>
      <c r="S408" s="172" t="str">
        <f aca="false">IFERROR(VLOOKUP(VALUE($D408),BSPL2026!$B:$M,12,FALSE()),"")</f>
        <v>미지급비용</v>
      </c>
      <c r="T408" s="172" t="str">
        <f aca="false">IF(OR(S408="",S408=0,LEFT(S408,5)="(원본오류"),"",IF(S408=H408,"","매핑차이"))</f>
        <v/>
      </c>
    </row>
    <row r="409" customFormat="false" ht="16.5" hidden="false" customHeight="false" outlineLevel="0" collapsed="false">
      <c r="D409" s="186" t="s">
        <v>1307</v>
      </c>
      <c r="E409" s="187" t="s">
        <v>1308</v>
      </c>
      <c r="F409" s="188" t="s">
        <v>446</v>
      </c>
      <c r="G409" s="189" t="s">
        <v>227</v>
      </c>
      <c r="H409" s="190" t="s">
        <v>248</v>
      </c>
      <c r="I409" s="191" t="s">
        <v>1308</v>
      </c>
      <c r="J409" s="192" t="n">
        <f aca="false">IFERROR(VLOOKUP(VALUE($D409),BSPL2026!$B:$Z,25,FALSE()),0)</f>
        <v>-20153937997</v>
      </c>
      <c r="K409" s="193"/>
      <c r="L409" s="194"/>
      <c r="M409" s="192" t="n">
        <f aca="false">J409+K409-L409</f>
        <v>-20153937997</v>
      </c>
      <c r="N409" s="193" t="n">
        <f aca="false">SUMIF('statutory adj_2026 조정분개'!$S:$S,$D409,'statutory adj_2026 조정분개'!$K:$K)</f>
        <v>0</v>
      </c>
      <c r="O409" s="194" t="n">
        <f aca="false">SUMIF('statutory adj_2026 조정분개'!$S:$S,$D409,'statutory adj_2026 조정분개'!$L:$L)</f>
        <v>0</v>
      </c>
      <c r="P409" s="192" t="n">
        <f aca="false">M409+N409-O409</f>
        <v>-20153937997</v>
      </c>
      <c r="Q409" s="195" t="n">
        <f aca="false">IFERROR(VLOOKUP(VALUE($D409),BSPL2026!$B:$Q,16,FALSE()),0)</f>
        <v>-22053341135</v>
      </c>
      <c r="R409" s="196" t="s">
        <v>449</v>
      </c>
      <c r="S409" s="172" t="str">
        <f aca="false">IFERROR(VLOOKUP(VALUE($D409),BSPL2026!$B:$M,12,FALSE()),"")</f>
        <v>이익잉여금</v>
      </c>
      <c r="T409" s="172" t="str">
        <f aca="false">IF(OR(S409="",S409=0,LEFT(S409,5)="(원본오류"),"",IF(S409=H409,"","매핑차이"))</f>
        <v/>
      </c>
    </row>
    <row r="410" customFormat="false" ht="16.5" hidden="false" customHeight="false" outlineLevel="0" collapsed="false">
      <c r="D410" s="186" t="s">
        <v>1309</v>
      </c>
      <c r="E410" s="187" t="s">
        <v>1310</v>
      </c>
      <c r="F410" s="188" t="s">
        <v>791</v>
      </c>
      <c r="G410" s="189" t="s">
        <v>428</v>
      </c>
      <c r="H410" s="190" t="s">
        <v>428</v>
      </c>
      <c r="I410" s="191" t="s">
        <v>1200</v>
      </c>
      <c r="J410" s="192" t="n">
        <f aca="false">IFERROR(VLOOKUP(VALUE($D410),BSPL2026!$B:$Z,25,FALSE()),0)</f>
        <v>-2014151916</v>
      </c>
      <c r="K410" s="193"/>
      <c r="L410" s="194"/>
      <c r="M410" s="192" t="n">
        <f aca="false">J410+K410-L410</f>
        <v>-2014151916</v>
      </c>
      <c r="N410" s="193" t="n">
        <f aca="false">SUMIF('statutory adj_2026 조정분개'!$S:$S,$D410,'statutory adj_2026 조정분개'!$K:$K)</f>
        <v>0</v>
      </c>
      <c r="O410" s="194" t="n">
        <f aca="false">SUMIF('statutory adj_2026 조정분개'!$S:$S,$D410,'statutory adj_2026 조정분개'!$L:$L)</f>
        <v>0</v>
      </c>
      <c r="P410" s="192" t="n">
        <f aca="false">M410+N410-O410</f>
        <v>-2014151916</v>
      </c>
      <c r="Q410" s="195" t="n">
        <f aca="false">IFERROR(VLOOKUP(VALUE($D410),BSPL2026!$B:$Q,16,FALSE()),0)</f>
        <v>-824172698</v>
      </c>
      <c r="R410" s="196" t="s">
        <v>449</v>
      </c>
      <c r="S410" s="172" t="str">
        <f aca="false">IFERROR(VLOOKUP(VALUE($D410),BSPL2026!$B:$M,12,FALSE()),"")</f>
        <v>법인세비용</v>
      </c>
      <c r="T410" s="172" t="str">
        <f aca="false">IF(OR(S410="",S410=0,LEFT(S410,5)="(원본오류"),"",IF(S410=H410,"","매핑차이"))</f>
        <v/>
      </c>
    </row>
    <row r="411" customFormat="false" ht="16.5" hidden="false" customHeight="false" outlineLevel="0" collapsed="false">
      <c r="D411" s="186" t="s">
        <v>1311</v>
      </c>
      <c r="E411" s="187" t="s">
        <v>1312</v>
      </c>
      <c r="F411" s="188" t="s">
        <v>791</v>
      </c>
      <c r="G411" s="189" t="s">
        <v>428</v>
      </c>
      <c r="H411" s="190" t="s">
        <v>428</v>
      </c>
      <c r="I411" s="191" t="s">
        <v>1313</v>
      </c>
      <c r="J411" s="192" t="n">
        <f aca="false">IFERROR(VLOOKUP(VALUE($D411),BSPL2026!$B:$Z,25,FALSE()),0)</f>
        <v>0</v>
      </c>
      <c r="K411" s="193"/>
      <c r="L411" s="194"/>
      <c r="M411" s="192" t="n">
        <f aca="false">J411+K411-L411</f>
        <v>0</v>
      </c>
      <c r="N411" s="193" t="n">
        <f aca="false">SUMIF('statutory adj_2026 조정분개'!$S:$S,$D411,'statutory adj_2026 조정분개'!$K:$K)</f>
        <v>0</v>
      </c>
      <c r="O411" s="194" t="n">
        <f aca="false">SUMIF('statutory adj_2026 조정분개'!$S:$S,$D411,'statutory adj_2026 조정분개'!$L:$L)</f>
        <v>0</v>
      </c>
      <c r="P411" s="192" t="n">
        <f aca="false">M411+N411-O411</f>
        <v>0</v>
      </c>
      <c r="Q411" s="195" t="n">
        <f aca="false">IFERROR(VLOOKUP(VALUE($D411),BSPL2026!$B:$Q,16,FALSE()),0)</f>
        <v>0</v>
      </c>
      <c r="R411" s="196" t="s">
        <v>449</v>
      </c>
      <c r="S411" s="172" t="n">
        <f aca="false">IFERROR(VLOOKUP(VALUE($D411),BSPL2026!$B:$M,12,FALSE()),"")</f>
        <v>0</v>
      </c>
      <c r="T411" s="172" t="str">
        <f aca="false">IF(OR(S411="",S411=0,LEFT(S411,5)="(원본오류"),"",IF(S411=H411,"","매핑차이"))</f>
        <v/>
      </c>
    </row>
    <row r="412" customFormat="false" ht="16.5" hidden="false" customHeight="false" outlineLevel="0" collapsed="false">
      <c r="D412" s="186" t="s">
        <v>1314</v>
      </c>
      <c r="E412" s="187" t="s">
        <v>1315</v>
      </c>
      <c r="F412" s="188" t="s">
        <v>791</v>
      </c>
      <c r="G412" s="189" t="s">
        <v>862</v>
      </c>
      <c r="H412" s="190" t="s">
        <v>330</v>
      </c>
      <c r="I412" s="191" t="s">
        <v>1316</v>
      </c>
      <c r="J412" s="192" t="n">
        <f aca="false">IFERROR(VLOOKUP(VALUE($D412),BSPL2026!$B:$Z,25,FALSE()),0)</f>
        <v>0</v>
      </c>
      <c r="K412" s="193"/>
      <c r="L412" s="194"/>
      <c r="M412" s="192" t="n">
        <f aca="false">J412+K412-L412</f>
        <v>0</v>
      </c>
      <c r="N412" s="193" t="n">
        <f aca="false">SUMIF('statutory adj_2026 조정분개'!$S:$S,$D412,'statutory adj_2026 조정분개'!$K:$K)</f>
        <v>0</v>
      </c>
      <c r="O412" s="194" t="n">
        <f aca="false">SUMIF('statutory adj_2026 조정분개'!$S:$S,$D412,'statutory adj_2026 조정분개'!$L:$L)</f>
        <v>155357637</v>
      </c>
      <c r="P412" s="192" t="n">
        <f aca="false">M412+N412-O412</f>
        <v>-155357637</v>
      </c>
      <c r="Q412" s="195" t="n">
        <f aca="false">IFERROR(VLOOKUP(VALUE($D412),BSPL2026!$B:$Q,16,FALSE()),0)</f>
        <v>0</v>
      </c>
      <c r="R412" s="196" t="s">
        <v>449</v>
      </c>
      <c r="S412" s="172" t="n">
        <f aca="false">IFERROR(VLOOKUP(VALUE($D412),BSPL2026!$B:$M,12,FALSE()),"")</f>
        <v>0</v>
      </c>
      <c r="T412" s="172" t="str">
        <f aca="false">IF(OR(S412="",S412=0,LEFT(S412,5)="(원본오류"),"",IF(S412=H412,"","매핑차이"))</f>
        <v/>
      </c>
    </row>
    <row r="413" customFormat="false" ht="16.5" hidden="false" customHeight="false" outlineLevel="0" collapsed="false">
      <c r="D413" s="186" t="s">
        <v>1317</v>
      </c>
      <c r="E413" s="187" t="s">
        <v>1318</v>
      </c>
      <c r="F413" s="188" t="s">
        <v>791</v>
      </c>
      <c r="G413" s="189" t="s">
        <v>862</v>
      </c>
      <c r="H413" s="190" t="s">
        <v>332</v>
      </c>
      <c r="I413" s="191" t="s">
        <v>944</v>
      </c>
      <c r="J413" s="192" t="n">
        <f aca="false">IFERROR(VLOOKUP(VALUE($D413),BSPL2026!$B:$Z,25,FALSE()),0)</f>
        <v>0</v>
      </c>
      <c r="K413" s="193"/>
      <c r="L413" s="194"/>
      <c r="M413" s="192" t="n">
        <f aca="false">J413+K413-L413</f>
        <v>0</v>
      </c>
      <c r="N413" s="193" t="n">
        <f aca="false">SUMIF('statutory adj_2026 조정분개'!$S:$S,$D413,'statutory adj_2026 조정분개'!$K:$K)</f>
        <v>0</v>
      </c>
      <c r="O413" s="194" t="n">
        <f aca="false">SUMIF('statutory adj_2026 조정분개'!$S:$S,$D413,'statutory adj_2026 조정분개'!$L:$L)</f>
        <v>128225390</v>
      </c>
      <c r="P413" s="192" t="n">
        <f aca="false">M413+N413-O413</f>
        <v>-128225390</v>
      </c>
      <c r="Q413" s="195" t="n">
        <f aca="false">IFERROR(VLOOKUP(VALUE($D413),BSPL2026!$B:$Q,16,FALSE()),0)</f>
        <v>0</v>
      </c>
      <c r="R413" s="196" t="s">
        <v>449</v>
      </c>
      <c r="S413" s="172" t="n">
        <f aca="false">IFERROR(VLOOKUP(VALUE($D413),BSPL2026!$B:$M,12,FALSE()),"")</f>
        <v>0</v>
      </c>
      <c r="T413" s="172" t="str">
        <f aca="false">IF(OR(S413="",S413=0,LEFT(S413,5)="(원본오류"),"",IF(S413=H413,"","매핑차이"))</f>
        <v/>
      </c>
    </row>
    <row r="414" customFormat="false" ht="16.5" hidden="false" customHeight="false" outlineLevel="0" collapsed="false">
      <c r="D414" s="186" t="s">
        <v>1319</v>
      </c>
      <c r="E414" s="187" t="s">
        <v>1320</v>
      </c>
      <c r="F414" s="188" t="s">
        <v>791</v>
      </c>
      <c r="G414" s="189" t="s">
        <v>862</v>
      </c>
      <c r="H414" s="190" t="s">
        <v>319</v>
      </c>
      <c r="I414" s="191" t="s">
        <v>885</v>
      </c>
      <c r="J414" s="192" t="n">
        <f aca="false">IFERROR(VLOOKUP(VALUE($D414),BSPL2026!$B:$Z,25,FALSE()),0)</f>
        <v>0</v>
      </c>
      <c r="K414" s="193"/>
      <c r="L414" s="194"/>
      <c r="M414" s="192" t="n">
        <f aca="false">J414+K414-L414</f>
        <v>0</v>
      </c>
      <c r="N414" s="193" t="n">
        <f aca="false">SUMIF('statutory adj_2026 조정분개'!$S:$S,$D414,'statutory adj_2026 조정분개'!$K:$K)</f>
        <v>0</v>
      </c>
      <c r="O414" s="194" t="n">
        <f aca="false">SUMIF('statutory adj_2026 조정분개'!$S:$S,$D414,'statutory adj_2026 조정분개'!$L:$L)</f>
        <v>2369648232</v>
      </c>
      <c r="P414" s="192" t="n">
        <f aca="false">M414+N414-O414</f>
        <v>-2369648232</v>
      </c>
      <c r="Q414" s="195" t="n">
        <f aca="false">IFERROR(VLOOKUP(VALUE($D414),BSPL2026!$B:$Q,16,FALSE()),0)</f>
        <v>433482852</v>
      </c>
      <c r="R414" s="196" t="s">
        <v>449</v>
      </c>
      <c r="S414" s="172" t="str">
        <f aca="false">IFERROR(VLOOKUP(VALUE($D414),BSPL2026!$B:$M,12,FALSE()),"")</f>
        <v>급여</v>
      </c>
      <c r="T414" s="172" t="str">
        <f aca="false">IF(OR(S414="",S414=0,LEFT(S414,5)="(원본오류"),"",IF(S414=H414,"","매핑차이"))</f>
        <v/>
      </c>
    </row>
    <row r="415" customFormat="false" ht="16.5" hidden="false" customHeight="false" outlineLevel="0" collapsed="false">
      <c r="D415" s="186" t="s">
        <v>1321</v>
      </c>
      <c r="E415" s="187" t="s">
        <v>1322</v>
      </c>
      <c r="F415" s="188" t="s">
        <v>791</v>
      </c>
      <c r="G415" s="189" t="s">
        <v>862</v>
      </c>
      <c r="H415" s="190" t="s">
        <v>364</v>
      </c>
      <c r="I415" s="191" t="s">
        <v>872</v>
      </c>
      <c r="J415" s="192" t="n">
        <f aca="false">IFERROR(VLOOKUP(VALUE($D415),BSPL2026!$B:$Z,25,FALSE()),0)</f>
        <v>0</v>
      </c>
      <c r="K415" s="193"/>
      <c r="L415" s="194"/>
      <c r="M415" s="192" t="n">
        <f aca="false">J415+K415-L415</f>
        <v>0</v>
      </c>
      <c r="N415" s="193" t="n">
        <f aca="false">SUMIF('statutory adj_2026 조정분개'!$S:$S,$D415,'statutory adj_2026 조정분개'!$K:$K)</f>
        <v>0</v>
      </c>
      <c r="O415" s="194" t="n">
        <f aca="false">SUMIF('statutory adj_2026 조정분개'!$S:$S,$D415,'statutory adj_2026 조정분개'!$L:$L)</f>
        <v>6474004</v>
      </c>
      <c r="P415" s="192" t="n">
        <f aca="false">M415+N415-O415</f>
        <v>-6474004</v>
      </c>
      <c r="Q415" s="195" t="n">
        <f aca="false">IFERROR(VLOOKUP(VALUE($D415),BSPL2026!$B:$Q,16,FALSE()),0)</f>
        <v>0</v>
      </c>
      <c r="R415" s="196" t="s">
        <v>449</v>
      </c>
      <c r="S415" s="172" t="n">
        <f aca="false">IFERROR(VLOOKUP(VALUE($D415),BSPL2026!$B:$M,12,FALSE()),"")</f>
        <v>0</v>
      </c>
      <c r="T415" s="172" t="str">
        <f aca="false">IF(OR(S415="",S415=0,LEFT(S415,5)="(원본오류"),"",IF(S415=H415,"","매핑차이"))</f>
        <v/>
      </c>
    </row>
    <row r="416" customFormat="false" ht="16.5" hidden="false" customHeight="false" outlineLevel="0" collapsed="false">
      <c r="D416" s="186" t="s">
        <v>1323</v>
      </c>
      <c r="E416" s="187" t="s">
        <v>1324</v>
      </c>
      <c r="F416" s="188" t="s">
        <v>791</v>
      </c>
      <c r="G416" s="189" t="s">
        <v>824</v>
      </c>
      <c r="H416" s="190" t="s">
        <v>269</v>
      </c>
      <c r="I416" s="191" t="s">
        <v>1324</v>
      </c>
      <c r="J416" s="192" t="n">
        <f aca="false">IFERROR(VLOOKUP(VALUE($D416),BSPL2026!$B:$Z,25,FALSE()),0)</f>
        <v>-408043000</v>
      </c>
      <c r="K416" s="193"/>
      <c r="L416" s="194"/>
      <c r="M416" s="192" t="n">
        <f aca="false">J416+K416-L416</f>
        <v>-408043000</v>
      </c>
      <c r="N416" s="193" t="n">
        <f aca="false">SUMIF('statutory adj_2026 조정분개'!$S:$S,$D416,'statutory adj_2026 조정분개'!$K:$K)</f>
        <v>0</v>
      </c>
      <c r="O416" s="194" t="n">
        <f aca="false">SUMIF('statutory adj_2026 조정분개'!$S:$S,$D416,'statutory adj_2026 조정분개'!$L:$L)</f>
        <v>0</v>
      </c>
      <c r="P416" s="192" t="n">
        <f aca="false">M416+N416-O416</f>
        <v>-408043000</v>
      </c>
      <c r="Q416" s="195" t="n">
        <f aca="false">IFERROR(VLOOKUP(VALUE($D416),BSPL2026!$B:$Q,16,FALSE()),0)</f>
        <v>408043000</v>
      </c>
      <c r="R416" s="196" t="s">
        <v>449</v>
      </c>
      <c r="S416" s="172" t="str">
        <f aca="false">IFERROR(VLOOKUP(VALUE($D416),BSPL2026!$B:$M,12,FALSE()),"")</f>
        <v>상품매출원가</v>
      </c>
      <c r="T416" s="172" t="str">
        <f aca="false">IF(OR(S416="",S416=0,LEFT(S416,5)="(원본오류"),"",IF(S416=H416,"","매핑차이"))</f>
        <v/>
      </c>
    </row>
    <row r="417" customFormat="false" ht="16.5" hidden="false" customHeight="false" outlineLevel="0" collapsed="false">
      <c r="D417" s="186" t="s">
        <v>1325</v>
      </c>
      <c r="E417" s="187" t="s">
        <v>1326</v>
      </c>
      <c r="F417" s="188" t="s">
        <v>791</v>
      </c>
      <c r="G417" s="189" t="s">
        <v>428</v>
      </c>
      <c r="H417" s="190" t="s">
        <v>428</v>
      </c>
      <c r="I417" s="191" t="s">
        <v>1209</v>
      </c>
      <c r="J417" s="192" t="n">
        <f aca="false">IFERROR(VLOOKUP(VALUE($D417),BSPL2026!$B:$Z,25,FALSE()),0)</f>
        <v>0</v>
      </c>
      <c r="K417" s="193"/>
      <c r="L417" s="194"/>
      <c r="M417" s="192" t="n">
        <f aca="false">J417+K417-L417</f>
        <v>0</v>
      </c>
      <c r="N417" s="193" t="n">
        <f aca="false">SUMIF('statutory adj_2026 조정분개'!$S:$S,$D417,'statutory adj_2026 조정분개'!$K:$K)</f>
        <v>0</v>
      </c>
      <c r="O417" s="194" t="n">
        <f aca="false">SUMIF('statutory adj_2026 조정분개'!$S:$S,$D417,'statutory adj_2026 조정분개'!$L:$L)</f>
        <v>0</v>
      </c>
      <c r="P417" s="192" t="n">
        <f aca="false">M417+N417-O417</f>
        <v>0</v>
      </c>
      <c r="Q417" s="195" t="n">
        <f aca="false">IFERROR(VLOOKUP(VALUE($D417),BSPL2026!$B:$Q,16,FALSE()),0)</f>
        <v>2165556320</v>
      </c>
      <c r="R417" s="196" t="s">
        <v>449</v>
      </c>
      <c r="S417" s="172" t="str">
        <f aca="false">IFERROR(VLOOKUP(VALUE($D417),BSPL2026!$B:$M,12,FALSE()),"")</f>
        <v>법인세비용</v>
      </c>
      <c r="T417" s="172" t="str">
        <f aca="false">IF(OR(S417="",S417=0,LEFT(S417,5)="(원본오류"),"",IF(S417=H417,"","매핑차이"))</f>
        <v/>
      </c>
    </row>
    <row r="418" customFormat="false" ht="16.5" hidden="false" customHeight="false" outlineLevel="0" collapsed="false">
      <c r="D418" s="186" t="s">
        <v>1327</v>
      </c>
      <c r="E418" s="187" t="s">
        <v>1328</v>
      </c>
      <c r="F418" s="188" t="s">
        <v>791</v>
      </c>
      <c r="G418" s="189" t="s">
        <v>862</v>
      </c>
      <c r="H418" s="190" t="s">
        <v>355</v>
      </c>
      <c r="I418" s="191" t="s">
        <v>1328</v>
      </c>
      <c r="J418" s="192" t="n">
        <f aca="false">IFERROR(VLOOKUP(VALUE($D418),BSPL2026!$B:$Z,25,FALSE()),0)</f>
        <v>0</v>
      </c>
      <c r="K418" s="193"/>
      <c r="L418" s="194"/>
      <c r="M418" s="192" t="n">
        <f aca="false">J418+K418-L418</f>
        <v>0</v>
      </c>
      <c r="N418" s="193" t="n">
        <f aca="false">SUMIF('statutory adj_2026 조정분개'!$S:$S,$D418,'statutory adj_2026 조정분개'!$K:$K)</f>
        <v>0</v>
      </c>
      <c r="O418" s="194" t="n">
        <f aca="false">SUMIF('statutory adj_2026 조정분개'!$S:$S,$D418,'statutory adj_2026 조정분개'!$L:$L)</f>
        <v>13314198758</v>
      </c>
      <c r="P418" s="192" t="n">
        <f aca="false">M418+N418-O418</f>
        <v>-13314198758</v>
      </c>
      <c r="Q418" s="195" t="n">
        <f aca="false">IFERROR(VLOOKUP(VALUE($D418),BSPL2026!$B:$Q,16,FALSE()),0)</f>
        <v>0</v>
      </c>
      <c r="R418" s="196" t="s">
        <v>449</v>
      </c>
      <c r="S418" s="172" t="n">
        <f aca="false">IFERROR(VLOOKUP(VALUE($D418),BSPL2026!$B:$M,12,FALSE()),"")</f>
        <v>0</v>
      </c>
      <c r="T418" s="172" t="str">
        <f aca="false">IF(OR(S418="",S418=0,LEFT(S418,5)="(원본오류"),"",IF(S418=H418,"","매핑차이"))</f>
        <v/>
      </c>
    </row>
    <row r="419" customFormat="false" ht="16.5" hidden="false" customHeight="false" outlineLevel="0" collapsed="false">
      <c r="D419" s="186" t="s">
        <v>1329</v>
      </c>
      <c r="E419" s="187" t="s">
        <v>1330</v>
      </c>
      <c r="F419" s="188" t="s">
        <v>791</v>
      </c>
      <c r="G419" s="189" t="s">
        <v>862</v>
      </c>
      <c r="H419" s="190" t="s">
        <v>325</v>
      </c>
      <c r="I419" s="191" t="s">
        <v>902</v>
      </c>
      <c r="J419" s="192" t="n">
        <f aca="false">IFERROR(VLOOKUP(VALUE($D419),BSPL2026!$B:$Z,25,FALSE()),0)</f>
        <v>0</v>
      </c>
      <c r="K419" s="193"/>
      <c r="L419" s="194"/>
      <c r="M419" s="192" t="n">
        <f aca="false">J419+K419-L419</f>
        <v>0</v>
      </c>
      <c r="N419" s="193" t="n">
        <f aca="false">SUMIF('statutory adj_2026 조정분개'!$S:$S,$D419,'statutory adj_2026 조정분개'!$K:$K)</f>
        <v>0</v>
      </c>
      <c r="O419" s="194" t="n">
        <f aca="false">SUMIF('statutory adj_2026 조정분개'!$S:$S,$D419,'statutory adj_2026 조정분개'!$L:$L)</f>
        <v>349405261</v>
      </c>
      <c r="P419" s="192" t="n">
        <f aca="false">M419+N419-O419</f>
        <v>-349405261</v>
      </c>
      <c r="Q419" s="195" t="n">
        <f aca="false">IFERROR(VLOOKUP(VALUE($D419),BSPL2026!$B:$Q,16,FALSE()),0)</f>
        <v>0</v>
      </c>
      <c r="R419" s="196" t="s">
        <v>449</v>
      </c>
      <c r="S419" s="172" t="n">
        <f aca="false">IFERROR(VLOOKUP(VALUE($D419),BSPL2026!$B:$M,12,FALSE()),"")</f>
        <v>0</v>
      </c>
      <c r="T419" s="172" t="str">
        <f aca="false">IF(OR(S419="",S419=0,LEFT(S419,5)="(원본오류"),"",IF(S419=H419,"","매핑차이"))</f>
        <v/>
      </c>
    </row>
    <row r="420" customFormat="false" ht="16.5" hidden="false" customHeight="false" outlineLevel="0" collapsed="false">
      <c r="D420" s="186" t="s">
        <v>1331</v>
      </c>
      <c r="E420" s="187" t="s">
        <v>1332</v>
      </c>
      <c r="F420" s="188" t="s">
        <v>791</v>
      </c>
      <c r="G420" s="189" t="s">
        <v>862</v>
      </c>
      <c r="H420" s="190" t="s">
        <v>361</v>
      </c>
      <c r="I420" s="191" t="s">
        <v>1112</v>
      </c>
      <c r="J420" s="192" t="n">
        <f aca="false">IFERROR(VLOOKUP(VALUE($D420),BSPL2026!$B:$Z,25,FALSE()),0)</f>
        <v>0</v>
      </c>
      <c r="K420" s="193"/>
      <c r="L420" s="194"/>
      <c r="M420" s="192" t="n">
        <f aca="false">J420+K420-L420</f>
        <v>0</v>
      </c>
      <c r="N420" s="193" t="n">
        <f aca="false">SUMIF('statutory adj_2026 조정분개'!$S:$S,$D420,'statutory adj_2026 조정분개'!$K:$K)</f>
        <v>0</v>
      </c>
      <c r="O420" s="194" t="n">
        <f aca="false">SUMIF('statutory adj_2026 조정분개'!$S:$S,$D420,'statutory adj_2026 조정분개'!$L:$L)</f>
        <v>3977948983</v>
      </c>
      <c r="P420" s="192" t="n">
        <f aca="false">M420+N420-O420</f>
        <v>-3977948983</v>
      </c>
      <c r="Q420" s="195" t="n">
        <f aca="false">IFERROR(VLOOKUP(VALUE($D420),BSPL2026!$B:$Q,16,FALSE()),0)</f>
        <v>0</v>
      </c>
      <c r="R420" s="196" t="s">
        <v>449</v>
      </c>
      <c r="S420" s="172" t="n">
        <f aca="false">IFERROR(VLOOKUP(VALUE($D420),BSPL2026!$B:$M,12,FALSE()),"")</f>
        <v>0</v>
      </c>
      <c r="T420" s="172" t="str">
        <f aca="false">IF(OR(S420="",S420=0,LEFT(S420,5)="(원본오류"),"",IF(S420=H420,"","매핑차이"))</f>
        <v/>
      </c>
    </row>
    <row r="421" customFormat="false" ht="16.5" hidden="false" customHeight="false" outlineLevel="0" collapsed="false">
      <c r="D421" s="186" t="s">
        <v>1333</v>
      </c>
      <c r="E421" s="187" t="s">
        <v>1334</v>
      </c>
      <c r="F421" s="188" t="s">
        <v>791</v>
      </c>
      <c r="G421" s="189" t="s">
        <v>862</v>
      </c>
      <c r="H421" s="190" t="s">
        <v>338</v>
      </c>
      <c r="I421" s="191" t="s">
        <v>1334</v>
      </c>
      <c r="J421" s="192" t="n">
        <f aca="false">IFERROR(VLOOKUP(VALUE($D421),BSPL2026!$B:$Z,25,FALSE()),0)</f>
        <v>1150558794</v>
      </c>
      <c r="K421" s="193"/>
      <c r="L421" s="194"/>
      <c r="M421" s="192" t="n">
        <f aca="false">J421+K421-L421</f>
        <v>1150558794</v>
      </c>
      <c r="N421" s="193" t="n">
        <f aca="false">SUMIF('statutory adj_2026 조정분개'!$S:$S,$D421,'statutory adj_2026 조정분개'!$K:$K)</f>
        <v>0</v>
      </c>
      <c r="O421" s="194" t="n">
        <f aca="false">SUMIF('statutory adj_2026 조정분개'!$S:$S,$D421,'statutory adj_2026 조정분개'!$L:$L)</f>
        <v>0</v>
      </c>
      <c r="P421" s="192" t="n">
        <f aca="false">M421+N421-O421</f>
        <v>1150558794</v>
      </c>
      <c r="Q421" s="195" t="n">
        <f aca="false">IFERROR(VLOOKUP(VALUE($D421),BSPL2026!$B:$Q,16,FALSE()),0)</f>
        <v>1126894020</v>
      </c>
      <c r="R421" s="196" t="s">
        <v>449</v>
      </c>
      <c r="S421" s="172" t="str">
        <f aca="false">IFERROR(VLOOKUP(VALUE($D421),BSPL2026!$B:$M,12,FALSE()),"")</f>
        <v>임차료</v>
      </c>
      <c r="T421" s="172" t="str">
        <f aca="false">IF(OR(S421="",S421=0,LEFT(S421,5)="(원본오류"),"",IF(S421=H421,"","매핑차이"))</f>
        <v/>
      </c>
    </row>
    <row r="422" customFormat="false" ht="16.5" hidden="false" customHeight="false" outlineLevel="0" collapsed="false">
      <c r="D422" s="186" t="s">
        <v>1335</v>
      </c>
      <c r="E422" s="187" t="s">
        <v>1336</v>
      </c>
      <c r="F422" s="188" t="s">
        <v>791</v>
      </c>
      <c r="G422" s="189" t="s">
        <v>862</v>
      </c>
      <c r="H422" s="190" t="s">
        <v>358</v>
      </c>
      <c r="I422" s="191" t="s">
        <v>1336</v>
      </c>
      <c r="J422" s="192" t="n">
        <f aca="false">IFERROR(VLOOKUP(VALUE($D422),BSPL2026!$B:$Z,25,FALSE()),0)</f>
        <v>-1131258360</v>
      </c>
      <c r="K422" s="193"/>
      <c r="L422" s="194"/>
      <c r="M422" s="192" t="n">
        <f aca="false">J422+K422-L422</f>
        <v>-1131258360</v>
      </c>
      <c r="N422" s="193" t="n">
        <f aca="false">SUMIF('statutory adj_2026 조정분개'!$S:$S,$D422,'statutory adj_2026 조정분개'!$K:$K)</f>
        <v>0</v>
      </c>
      <c r="O422" s="194" t="n">
        <f aca="false">SUMIF('statutory adj_2026 조정분개'!$S:$S,$D422,'statutory adj_2026 조정분개'!$L:$L)</f>
        <v>0</v>
      </c>
      <c r="P422" s="192" t="n">
        <f aca="false">M422+N422-O422</f>
        <v>-1131258360</v>
      </c>
      <c r="Q422" s="195" t="n">
        <f aca="false">IFERROR(VLOOKUP(VALUE($D422),BSPL2026!$B:$Q,16,FALSE()),0)</f>
        <v>-1131258360</v>
      </c>
      <c r="R422" s="196" t="s">
        <v>449</v>
      </c>
      <c r="S422" s="172" t="str">
        <f aca="false">IFERROR(VLOOKUP(VALUE($D422),BSPL2026!$B:$M,12,FALSE()),"")</f>
        <v>감가상각비</v>
      </c>
      <c r="T422" s="172" t="str">
        <f aca="false">IF(OR(S422="",S422=0,LEFT(S422,5)="(원본오류"),"",IF(S422=H422,"","매핑차이"))</f>
        <v/>
      </c>
    </row>
    <row r="423" customFormat="false" ht="16.5" hidden="false" customHeight="false" outlineLevel="0" collapsed="false">
      <c r="D423" s="186" t="s">
        <v>1337</v>
      </c>
      <c r="E423" s="187" t="s">
        <v>1338</v>
      </c>
      <c r="F423" s="188" t="s">
        <v>446</v>
      </c>
      <c r="G423" s="189" t="s">
        <v>447</v>
      </c>
      <c r="H423" s="190" t="s">
        <v>102</v>
      </c>
      <c r="I423" s="191" t="s">
        <v>1248</v>
      </c>
      <c r="J423" s="192" t="n">
        <f aca="false">IFERROR(VLOOKUP(VALUE($D423),BSPL2026!$B:$Z,25,FALSE()),0)</f>
        <v>0</v>
      </c>
      <c r="K423" s="193"/>
      <c r="L423" s="194"/>
      <c r="M423" s="192" t="n">
        <f aca="false">J423+K423-L423</f>
        <v>0</v>
      </c>
      <c r="N423" s="193" t="n">
        <f aca="false">SUMIF('statutory adj_2026 조정분개'!$S:$S,$D423,'statutory adj_2026 조정분개'!$K:$K)</f>
        <v>0</v>
      </c>
      <c r="O423" s="194" t="n">
        <f aca="false">SUMIF('statutory adj_2026 조정분개'!$S:$S,$D423,'statutory adj_2026 조정분개'!$L:$L)</f>
        <v>0</v>
      </c>
      <c r="P423" s="192" t="n">
        <f aca="false">M423+N423-O423</f>
        <v>0</v>
      </c>
      <c r="Q423" s="195" t="n">
        <f aca="false">IFERROR(VLOOKUP(VALUE($D423),BSPL2026!$B:$Q,16,FALSE()),0)</f>
        <v>0</v>
      </c>
      <c r="R423" s="196" t="s">
        <v>449</v>
      </c>
      <c r="S423" s="172" t="n">
        <f aca="false">IFERROR(VLOOKUP(VALUE($D423),BSPL2026!$B:$M,12,FALSE()),"")</f>
        <v>0</v>
      </c>
      <c r="T423" s="172" t="str">
        <f aca="false">IF(OR(S423="",S423=0,LEFT(S423,5)="(원본오류"),"",IF(S423=H423,"","매핑차이"))</f>
        <v/>
      </c>
    </row>
    <row r="424" customFormat="false" ht="16.5" hidden="false" customHeight="false" outlineLevel="0" collapsed="false">
      <c r="D424" s="186" t="s">
        <v>1339</v>
      </c>
      <c r="E424" s="187" t="s">
        <v>1166</v>
      </c>
      <c r="F424" s="188" t="s">
        <v>791</v>
      </c>
      <c r="G424" s="189" t="s">
        <v>870</v>
      </c>
      <c r="H424" s="190" t="s">
        <v>395</v>
      </c>
      <c r="I424" s="191" t="s">
        <v>1340</v>
      </c>
      <c r="J424" s="192" t="n">
        <f aca="false">IFERROR(VLOOKUP(VALUE($D424),BSPL2026!$B:$Z,25,FALSE()),0)</f>
        <v>0</v>
      </c>
      <c r="K424" s="193"/>
      <c r="L424" s="194"/>
      <c r="M424" s="192" t="n">
        <f aca="false">J424+K424-L424</f>
        <v>0</v>
      </c>
      <c r="N424" s="193" t="n">
        <f aca="false">SUMIF('statutory adj_2026 조정분개'!$S:$S,$D424,'statutory adj_2026 조정분개'!$K:$K)</f>
        <v>0</v>
      </c>
      <c r="O424" s="194" t="n">
        <f aca="false">SUMIF('statutory adj_2026 조정분개'!$S:$S,$D424,'statutory adj_2026 조정분개'!$L:$L)</f>
        <v>0</v>
      </c>
      <c r="P424" s="192" t="n">
        <f aca="false">M424+N424-O424</f>
        <v>0</v>
      </c>
      <c r="Q424" s="195" t="n">
        <f aca="false">IFERROR(VLOOKUP(VALUE($D424),BSPL2026!$B:$Q,16,FALSE()),0)</f>
        <v>0</v>
      </c>
      <c r="R424" s="196" t="s">
        <v>449</v>
      </c>
      <c r="S424" s="172" t="n">
        <f aca="false">IFERROR(VLOOKUP(VALUE($D424),BSPL2026!$B:$M,12,FALSE()),"")</f>
        <v>0</v>
      </c>
      <c r="T424" s="172" t="str">
        <f aca="false">IF(OR(S424="",S424=0,LEFT(S424,5)="(원본오류"),"",IF(S424=H424,"","매핑차이"))</f>
        <v/>
      </c>
    </row>
    <row r="425" customFormat="false" ht="16.5" hidden="false" customHeight="false" outlineLevel="0" collapsed="false">
      <c r="D425" s="186" t="s">
        <v>1341</v>
      </c>
      <c r="E425" s="187" t="s">
        <v>1342</v>
      </c>
      <c r="F425" s="188" t="s">
        <v>791</v>
      </c>
      <c r="G425" s="189" t="s">
        <v>870</v>
      </c>
      <c r="H425" s="190" t="s">
        <v>393</v>
      </c>
      <c r="I425" s="191" t="s">
        <v>1343</v>
      </c>
      <c r="J425" s="192" t="n">
        <f aca="false">IFERROR(VLOOKUP(VALUE($D425),BSPL2026!$B:$Z,25,FALSE()),0)</f>
        <v>2510195635</v>
      </c>
      <c r="K425" s="193"/>
      <c r="L425" s="194"/>
      <c r="M425" s="192" t="n">
        <f aca="false">J425+K425-L425</f>
        <v>2510195635</v>
      </c>
      <c r="N425" s="193" t="n">
        <f aca="false">SUMIF('statutory adj_2026 조정분개'!$S:$S,$D425,'statutory adj_2026 조정분개'!$K:$K)</f>
        <v>0</v>
      </c>
      <c r="O425" s="194" t="n">
        <f aca="false">SUMIF('statutory adj_2026 조정분개'!$S:$S,$D425,'statutory adj_2026 조정분개'!$L:$L)</f>
        <v>50606130</v>
      </c>
      <c r="P425" s="192" t="n">
        <f aca="false">M425+N425-O425</f>
        <v>2459589505</v>
      </c>
      <c r="Q425" s="195" t="n">
        <f aca="false">IFERROR(VLOOKUP(VALUE($D425),BSPL2026!$B:$Q,16,FALSE()),0)</f>
        <v>-2278070394</v>
      </c>
      <c r="R425" s="196" t="s">
        <v>449</v>
      </c>
      <c r="S425" s="172" t="str">
        <f aca="false">IFERROR(VLOOKUP(VALUE($D425),BSPL2026!$B:$M,12,FALSE()),"")</f>
        <v>잡이익</v>
      </c>
      <c r="T425" s="172" t="str">
        <f aca="false">IF(OR(S425="",S425=0,LEFT(S425,5)="(원본오류"),"",IF(S425=H425,"","매핑차이"))</f>
        <v/>
      </c>
    </row>
    <row r="426" customFormat="false" ht="16.5" hidden="false" customHeight="false" outlineLevel="0" collapsed="false">
      <c r="D426" s="186" t="s">
        <v>1344</v>
      </c>
      <c r="E426" s="187" t="s">
        <v>1345</v>
      </c>
      <c r="F426" s="188" t="s">
        <v>791</v>
      </c>
      <c r="G426" s="189" t="s">
        <v>862</v>
      </c>
      <c r="H426" s="190" t="s">
        <v>309</v>
      </c>
      <c r="I426" s="191" t="s">
        <v>1345</v>
      </c>
      <c r="J426" s="192" t="n">
        <f aca="false">IFERROR(VLOOKUP(VALUE($D426),BSPL2026!$B:$Z,25,FALSE()),0)</f>
        <v>0</v>
      </c>
      <c r="K426" s="193"/>
      <c r="L426" s="194"/>
      <c r="M426" s="192" t="n">
        <f aca="false">J426+K426-L426</f>
        <v>0</v>
      </c>
      <c r="N426" s="193" t="n">
        <f aca="false">SUMIF('statutory adj_2026 조정분개'!$S:$S,$D426,'statutory adj_2026 조정분개'!$K:$K)</f>
        <v>0</v>
      </c>
      <c r="O426" s="194" t="n">
        <f aca="false">SUMIF('statutory adj_2026 조정분개'!$S:$S,$D426,'statutory adj_2026 조정분개'!$L:$L)</f>
        <v>0</v>
      </c>
      <c r="P426" s="192" t="n">
        <f aca="false">M426+N426-O426</f>
        <v>0</v>
      </c>
      <c r="Q426" s="195" t="n">
        <f aca="false">IFERROR(VLOOKUP(VALUE($D426),BSPL2026!$B:$Q,16,FALSE()),0)</f>
        <v>0</v>
      </c>
      <c r="R426" s="196" t="s">
        <v>449</v>
      </c>
      <c r="S426" s="172" t="n">
        <f aca="false">IFERROR(VLOOKUP(VALUE($D426),BSPL2026!$B:$M,12,FALSE()),"")</f>
        <v>0</v>
      </c>
      <c r="T426" s="172" t="str">
        <f aca="false">IF(OR(S426="",S426=0,LEFT(S426,5)="(원본오류"),"",IF(S426=H426,"","매핑차이"))</f>
        <v/>
      </c>
    </row>
    <row r="427" customFormat="false" ht="16.5" hidden="false" customHeight="false" outlineLevel="0" collapsed="false">
      <c r="D427" s="186" t="s">
        <v>1346</v>
      </c>
      <c r="E427" s="187" t="s">
        <v>1347</v>
      </c>
      <c r="F427" s="188" t="s">
        <v>791</v>
      </c>
      <c r="G427" s="189" t="s">
        <v>870</v>
      </c>
      <c r="H427" s="190" t="s">
        <v>393</v>
      </c>
      <c r="I427" s="191" t="s">
        <v>1347</v>
      </c>
      <c r="J427" s="192" t="n">
        <f aca="false">IFERROR(VLOOKUP(VALUE($D427),BSPL2026!$B:$Z,25,FALSE()),0)</f>
        <v>0</v>
      </c>
      <c r="K427" s="193"/>
      <c r="L427" s="194"/>
      <c r="M427" s="192" t="n">
        <f aca="false">J427+K427-L427</f>
        <v>0</v>
      </c>
      <c r="N427" s="193" t="n">
        <f aca="false">SUMIF('statutory adj_2026 조정분개'!$S:$S,$D427,'statutory adj_2026 조정분개'!$K:$K)</f>
        <v>0</v>
      </c>
      <c r="O427" s="194" t="n">
        <f aca="false">SUMIF('statutory adj_2026 조정분개'!$S:$S,$D427,'statutory adj_2026 조정분개'!$L:$L)</f>
        <v>0</v>
      </c>
      <c r="P427" s="192" t="n">
        <f aca="false">M427+N427-O427</f>
        <v>0</v>
      </c>
      <c r="Q427" s="195" t="n">
        <f aca="false">IFERROR(VLOOKUP(VALUE($D427),BSPL2026!$B:$Q,16,FALSE()),0)</f>
        <v>0</v>
      </c>
      <c r="R427" s="196" t="s">
        <v>449</v>
      </c>
      <c r="S427" s="172" t="n">
        <f aca="false">IFERROR(VLOOKUP(VALUE($D427),BSPL2026!$B:$M,12,FALSE()),"")</f>
        <v>0</v>
      </c>
      <c r="T427" s="172" t="str">
        <f aca="false">IF(OR(S427="",S427=0,LEFT(S427,5)="(원본오류"),"",IF(S427=H427,"","매핑차이"))</f>
        <v/>
      </c>
    </row>
    <row r="428" customFormat="false" ht="16.5" hidden="false" customHeight="false" outlineLevel="0" collapsed="false">
      <c r="D428" s="186" t="s">
        <v>1348</v>
      </c>
      <c r="E428" s="187" t="s">
        <v>1349</v>
      </c>
      <c r="F428" s="188" t="s">
        <v>791</v>
      </c>
      <c r="G428" s="189" t="s">
        <v>1090</v>
      </c>
      <c r="H428" s="190" t="s">
        <v>400</v>
      </c>
      <c r="I428" s="191" t="s">
        <v>1349</v>
      </c>
      <c r="J428" s="192" t="n">
        <f aca="false">IFERROR(VLOOKUP(VALUE($D428),BSPL2026!$B:$Z,25,FALSE()),0)</f>
        <v>-13332549</v>
      </c>
      <c r="K428" s="193"/>
      <c r="L428" s="194"/>
      <c r="M428" s="192" t="n">
        <f aca="false">J428+K428-L428</f>
        <v>-13332549</v>
      </c>
      <c r="N428" s="193" t="n">
        <f aca="false">SUMIF('statutory adj_2026 조정분개'!$S:$S,$D428,'statutory adj_2026 조정분개'!$K:$K)</f>
        <v>0</v>
      </c>
      <c r="O428" s="194" t="n">
        <f aca="false">SUMIF('statutory adj_2026 조정분개'!$S:$S,$D428,'statutory adj_2026 조정분개'!$L:$L)</f>
        <v>0</v>
      </c>
      <c r="P428" s="192" t="n">
        <f aca="false">M428+N428-O428</f>
        <v>-13332549</v>
      </c>
      <c r="Q428" s="195" t="n">
        <f aca="false">IFERROR(VLOOKUP(VALUE($D428),BSPL2026!$B:$Q,16,FALSE()),0)</f>
        <v>-27709972</v>
      </c>
      <c r="R428" s="196" t="s">
        <v>449</v>
      </c>
      <c r="S428" s="172" t="str">
        <f aca="false">IFERROR(VLOOKUP(VALUE($D428),BSPL2026!$B:$M,12,FALSE()),"")</f>
        <v>이자비용</v>
      </c>
      <c r="T428" s="172" t="str">
        <f aca="false">IF(OR(S428="",S428=0,LEFT(S428,5)="(원본오류"),"",IF(S428=H428,"","매핑차이"))</f>
        <v/>
      </c>
    </row>
    <row r="429" customFormat="false" ht="16.5" hidden="false" customHeight="false" outlineLevel="0" collapsed="false">
      <c r="D429" s="186" t="s">
        <v>1350</v>
      </c>
      <c r="E429" s="187" t="s">
        <v>1351</v>
      </c>
      <c r="F429" s="188" t="s">
        <v>791</v>
      </c>
      <c r="G429" s="189" t="s">
        <v>824</v>
      </c>
      <c r="H429" s="190" t="s">
        <v>305</v>
      </c>
      <c r="I429" s="191" t="s">
        <v>1351</v>
      </c>
      <c r="J429" s="192" t="n">
        <f aca="false">IFERROR(VLOOKUP(VALUE($D429),BSPL2026!$B:$Z,25,FALSE()),0)</f>
        <v>0</v>
      </c>
      <c r="K429" s="193"/>
      <c r="L429" s="194"/>
      <c r="M429" s="192" t="n">
        <f aca="false">J429+K429-L429</f>
        <v>0</v>
      </c>
      <c r="N429" s="193" t="n">
        <f aca="false">SUMIF('statutory adj_2026 조정분개'!$S:$S,$D429,'statutory adj_2026 조정분개'!$K:$K)</f>
        <v>0</v>
      </c>
      <c r="O429" s="194" t="n">
        <f aca="false">SUMIF('statutory adj_2026 조정분개'!$S:$S,$D429,'statutory adj_2026 조정분개'!$L:$L)</f>
        <v>0</v>
      </c>
      <c r="P429" s="192" t="n">
        <f aca="false">M429+N429-O429</f>
        <v>0</v>
      </c>
      <c r="Q429" s="195" t="n">
        <f aca="false">IFERROR(VLOOKUP(VALUE($D429),BSPL2026!$B:$Q,16,FALSE()),0)</f>
        <v>0</v>
      </c>
      <c r="R429" s="196" t="s">
        <v>449</v>
      </c>
      <c r="S429" s="172" t="n">
        <f aca="false">IFERROR(VLOOKUP(VALUE($D429),BSPL2026!$B:$M,12,FALSE()),"")</f>
        <v>0</v>
      </c>
      <c r="T429" s="172" t="str">
        <f aca="false">IF(OR(S429="",S429=0,LEFT(S429,5)="(원본오류"),"",IF(S429=H429,"","매핑차이"))</f>
        <v/>
      </c>
    </row>
    <row r="430" customFormat="false" ht="16.5" hidden="false" customHeight="false" outlineLevel="0" collapsed="false">
      <c r="D430" s="186" t="s">
        <v>1352</v>
      </c>
      <c r="E430" s="187" t="s">
        <v>1353</v>
      </c>
      <c r="F430" s="188" t="s">
        <v>791</v>
      </c>
      <c r="G430" s="189" t="s">
        <v>1090</v>
      </c>
      <c r="H430" s="190" t="s">
        <v>419</v>
      </c>
      <c r="I430" s="191" t="s">
        <v>1180</v>
      </c>
      <c r="J430" s="192" t="n">
        <f aca="false">IFERROR(VLOOKUP(VALUE($D430),BSPL2026!$B:$Z,25,FALSE()),0)</f>
        <v>0</v>
      </c>
      <c r="K430" s="193"/>
      <c r="L430" s="194"/>
      <c r="M430" s="192" t="n">
        <f aca="false">J430+K430-L430</f>
        <v>0</v>
      </c>
      <c r="N430" s="193" t="n">
        <f aca="false">SUMIF('statutory adj_2026 조정분개'!$S:$S,$D430,'statutory adj_2026 조정분개'!$K:$K)</f>
        <v>0</v>
      </c>
      <c r="O430" s="194" t="n">
        <f aca="false">SUMIF('statutory adj_2026 조정분개'!$S:$S,$D430,'statutory adj_2026 조정분개'!$L:$L)</f>
        <v>0</v>
      </c>
      <c r="P430" s="192" t="n">
        <f aca="false">M430+N430-O430</f>
        <v>0</v>
      </c>
      <c r="Q430" s="195" t="n">
        <f aca="false">IFERROR(VLOOKUP(VALUE($D430),BSPL2026!$B:$Q,16,FALSE()),0)</f>
        <v>2207843185</v>
      </c>
      <c r="R430" s="196" t="s">
        <v>449</v>
      </c>
      <c r="S430" s="172" t="str">
        <f aca="false">IFERROR(VLOOKUP(VALUE($D430),BSPL2026!$B:$M,12,FALSE()),"")</f>
        <v>잡손실</v>
      </c>
      <c r="T430" s="172" t="str">
        <f aca="false">IF(OR(S430="",S430=0,LEFT(S430,5)="(원본오류"),"",IF(S430=H430,"","매핑차이"))</f>
        <v/>
      </c>
    </row>
    <row r="431" customFormat="false" ht="16.5" hidden="false" customHeight="false" outlineLevel="0" collapsed="false">
      <c r="D431" s="186" t="s">
        <v>1354</v>
      </c>
      <c r="E431" s="187" t="s">
        <v>1355</v>
      </c>
      <c r="F431" s="188" t="s">
        <v>791</v>
      </c>
      <c r="G431" s="189" t="s">
        <v>862</v>
      </c>
      <c r="H431" s="190" t="s">
        <v>344</v>
      </c>
      <c r="I431" s="191" t="s">
        <v>965</v>
      </c>
      <c r="J431" s="192" t="n">
        <f aca="false">IFERROR(VLOOKUP(VALUE($D431),BSPL2026!$B:$Z,25,FALSE()),0)</f>
        <v>0</v>
      </c>
      <c r="K431" s="193"/>
      <c r="L431" s="194"/>
      <c r="M431" s="192" t="n">
        <f aca="false">J431+K431-L431</f>
        <v>0</v>
      </c>
      <c r="N431" s="193" t="n">
        <f aca="false">SUMIF('statutory adj_2026 조정분개'!$S:$S,$D431,'statutory adj_2026 조정분개'!$K:$K)</f>
        <v>0</v>
      </c>
      <c r="O431" s="194" t="n">
        <f aca="false">SUMIF('statutory adj_2026 조정분개'!$S:$S,$D431,'statutory adj_2026 조정분개'!$L:$L)</f>
        <v>61682684</v>
      </c>
      <c r="P431" s="192" t="n">
        <f aca="false">M431+N431-O431</f>
        <v>-61682684</v>
      </c>
      <c r="Q431" s="195" t="n">
        <f aca="false">IFERROR(VLOOKUP(VALUE($D431),BSPL2026!$B:$Q,16,FALSE()),0)</f>
        <v>-348460250</v>
      </c>
      <c r="R431" s="196" t="s">
        <v>449</v>
      </c>
      <c r="S431" s="172" t="str">
        <f aca="false">IFERROR(VLOOKUP(VALUE($D431),BSPL2026!$B:$M,12,FALSE()),"")</f>
        <v>하조및운임</v>
      </c>
      <c r="T431" s="172" t="str">
        <f aca="false">IF(OR(S431="",S431=0,LEFT(S431,5)="(원본오류"),"",IF(S431=H431,"","매핑차이"))</f>
        <v>매핑차이</v>
      </c>
    </row>
    <row r="432" customFormat="false" ht="16.5" hidden="false" customHeight="false" outlineLevel="0" collapsed="false">
      <c r="D432" s="186" t="s">
        <v>1356</v>
      </c>
      <c r="E432" s="187" t="s">
        <v>1357</v>
      </c>
      <c r="F432" s="188" t="s">
        <v>791</v>
      </c>
      <c r="G432" s="189" t="s">
        <v>862</v>
      </c>
      <c r="H432" s="190" t="s">
        <v>344</v>
      </c>
      <c r="I432" s="191" t="s">
        <v>969</v>
      </c>
      <c r="J432" s="192" t="n">
        <f aca="false">IFERROR(VLOOKUP(VALUE($D432),BSPL2026!$B:$Z,25,FALSE()),0)</f>
        <v>0</v>
      </c>
      <c r="K432" s="193"/>
      <c r="L432" s="194"/>
      <c r="M432" s="192" t="n">
        <f aca="false">J432+K432-L432</f>
        <v>0</v>
      </c>
      <c r="N432" s="193" t="n">
        <f aca="false">SUMIF('statutory adj_2026 조정분개'!$S:$S,$D432,'statutory adj_2026 조정분개'!$K:$K)</f>
        <v>0</v>
      </c>
      <c r="O432" s="194" t="n">
        <f aca="false">SUMIF('statutory adj_2026 조정분개'!$S:$S,$D432,'statutory adj_2026 조정분개'!$L:$L)</f>
        <v>0</v>
      </c>
      <c r="P432" s="192" t="n">
        <f aca="false">M432+N432-O432</f>
        <v>0</v>
      </c>
      <c r="Q432" s="195" t="n">
        <f aca="false">IFERROR(VLOOKUP(VALUE($D432),BSPL2026!$B:$Q,16,FALSE()),0)</f>
        <v>0</v>
      </c>
      <c r="R432" s="196" t="s">
        <v>449</v>
      </c>
      <c r="S432" s="172" t="n">
        <f aca="false">IFERROR(VLOOKUP(VALUE($D432),BSPL2026!$B:$M,12,FALSE()),"")</f>
        <v>0</v>
      </c>
      <c r="T432" s="172" t="str">
        <f aca="false">IF(OR(S432="",S432=0,LEFT(S432,5)="(원본오류"),"",IF(S432=H432,"","매핑차이"))</f>
        <v/>
      </c>
    </row>
    <row r="433" customFormat="false" ht="16.5" hidden="false" customHeight="false" outlineLevel="0" collapsed="false">
      <c r="D433" s="186" t="s">
        <v>1358</v>
      </c>
      <c r="E433" s="187" t="s">
        <v>1359</v>
      </c>
      <c r="F433" s="188" t="s">
        <v>791</v>
      </c>
      <c r="G433" s="189" t="s">
        <v>862</v>
      </c>
      <c r="H433" s="190" t="s">
        <v>335</v>
      </c>
      <c r="I433" s="191" t="s">
        <v>1048</v>
      </c>
      <c r="J433" s="192" t="n">
        <f aca="false">IFERROR(VLOOKUP(VALUE($D433),BSPL2026!$B:$Z,25,FALSE()),0)</f>
        <v>0</v>
      </c>
      <c r="K433" s="193"/>
      <c r="L433" s="194"/>
      <c r="M433" s="192" t="n">
        <f aca="false">J433+K433-L433</f>
        <v>0</v>
      </c>
      <c r="N433" s="193" t="n">
        <f aca="false">SUMIF('statutory adj_2026 조정분개'!$S:$S,$D433,'statutory adj_2026 조정분개'!$K:$K)</f>
        <v>0</v>
      </c>
      <c r="O433" s="194" t="n">
        <f aca="false">SUMIF('statutory adj_2026 조정분개'!$S:$S,$D433,'statutory adj_2026 조정분개'!$L:$L)</f>
        <v>17966376</v>
      </c>
      <c r="P433" s="192" t="n">
        <f aca="false">M433+N433-O433</f>
        <v>-17966376</v>
      </c>
      <c r="Q433" s="195" t="n">
        <f aca="false">IFERROR(VLOOKUP(VALUE($D433),BSPL2026!$B:$Q,16,FALSE()),0)</f>
        <v>0</v>
      </c>
      <c r="R433" s="196" t="s">
        <v>449</v>
      </c>
      <c r="S433" s="172" t="n">
        <f aca="false">IFERROR(VLOOKUP(VALUE($D433),BSPL2026!$B:$M,12,FALSE()),"")</f>
        <v>0</v>
      </c>
      <c r="T433" s="172" t="str">
        <f aca="false">IF(OR(S433="",S433=0,LEFT(S433,5)="(원본오류"),"",IF(S433=H433,"","매핑차이"))</f>
        <v/>
      </c>
    </row>
    <row r="434" customFormat="false" ht="16.5" hidden="false" customHeight="false" outlineLevel="0" collapsed="false">
      <c r="D434" s="186" t="s">
        <v>1360</v>
      </c>
      <c r="E434" s="187" t="s">
        <v>1361</v>
      </c>
      <c r="F434" s="188" t="s">
        <v>791</v>
      </c>
      <c r="G434" s="189" t="s">
        <v>870</v>
      </c>
      <c r="H434" s="190" t="s">
        <v>382</v>
      </c>
      <c r="I434" s="191" t="s">
        <v>1361</v>
      </c>
      <c r="J434" s="192" t="n">
        <f aca="false">IFERROR(VLOOKUP(VALUE($D434),BSPL2026!$B:$Z,25,FALSE()),0)</f>
        <v>0</v>
      </c>
      <c r="K434" s="193"/>
      <c r="L434" s="194"/>
      <c r="M434" s="192" t="n">
        <f aca="false">J434+K434-L434</f>
        <v>0</v>
      </c>
      <c r="N434" s="193" t="n">
        <f aca="false">SUMIF('statutory adj_2026 조정분개'!$S:$S,$D434,'statutory adj_2026 조정분개'!$K:$K)</f>
        <v>0</v>
      </c>
      <c r="O434" s="194" t="n">
        <f aca="false">SUMIF('statutory adj_2026 조정분개'!$S:$S,$D434,'statutory adj_2026 조정분개'!$L:$L)</f>
        <v>0</v>
      </c>
      <c r="P434" s="192" t="n">
        <f aca="false">M434+N434-O434</f>
        <v>0</v>
      </c>
      <c r="Q434" s="195" t="n">
        <f aca="false">IFERROR(VLOOKUP(VALUE($D434),BSPL2026!$B:$Q,16,FALSE()),0)</f>
        <v>0</v>
      </c>
      <c r="R434" s="196" t="s">
        <v>449</v>
      </c>
      <c r="S434" s="172" t="n">
        <f aca="false">IFERROR(VLOOKUP(VALUE($D434),BSPL2026!$B:$M,12,FALSE()),"")</f>
        <v>0</v>
      </c>
      <c r="T434" s="172" t="str">
        <f aca="false">IF(OR(S434="",S434=0,LEFT(S434,5)="(원본오류"),"",IF(S434=H434,"","매핑차이"))</f>
        <v/>
      </c>
    </row>
    <row r="435" customFormat="false" ht="16.5" hidden="false" customHeight="false" outlineLevel="0" collapsed="false">
      <c r="D435" s="186" t="s">
        <v>1362</v>
      </c>
      <c r="E435" s="187" t="s">
        <v>1363</v>
      </c>
      <c r="F435" s="188" t="s">
        <v>791</v>
      </c>
      <c r="G435" s="189" t="s">
        <v>862</v>
      </c>
      <c r="H435" s="190" t="s">
        <v>323</v>
      </c>
      <c r="I435" s="191" t="s">
        <v>914</v>
      </c>
      <c r="J435" s="192" t="n">
        <f aca="false">IFERROR(VLOOKUP(VALUE($D435),BSPL2026!$B:$Z,25,FALSE()),0)</f>
        <v>0</v>
      </c>
      <c r="K435" s="193"/>
      <c r="L435" s="194"/>
      <c r="M435" s="192" t="n">
        <f aca="false">J435+K435-L435</f>
        <v>0</v>
      </c>
      <c r="N435" s="193" t="n">
        <f aca="false">SUMIF('statutory adj_2026 조정분개'!$S:$S,$D435,'statutory adj_2026 조정분개'!$K:$K)</f>
        <v>0</v>
      </c>
      <c r="O435" s="194" t="n">
        <f aca="false">SUMIF('statutory adj_2026 조정분개'!$S:$S,$D435,'statutory adj_2026 조정분개'!$L:$L)</f>
        <v>333409964</v>
      </c>
      <c r="P435" s="192" t="n">
        <f aca="false">M435+N435-O435</f>
        <v>-333409964</v>
      </c>
      <c r="Q435" s="195" t="n">
        <f aca="false">IFERROR(VLOOKUP(VALUE($D435),BSPL2026!$B:$Q,16,FALSE()),0)</f>
        <v>0</v>
      </c>
      <c r="R435" s="196" t="s">
        <v>449</v>
      </c>
      <c r="S435" s="172" t="n">
        <f aca="false">IFERROR(VLOOKUP(VALUE($D435),BSPL2026!$B:$M,12,FALSE()),"")</f>
        <v>0</v>
      </c>
      <c r="T435" s="172" t="str">
        <f aca="false">IF(OR(S435="",S435=0,LEFT(S435,5)="(원본오류"),"",IF(S435=H435,"","매핑차이"))</f>
        <v/>
      </c>
    </row>
    <row r="436" customFormat="false" ht="16.5" hidden="false" customHeight="false" outlineLevel="0" collapsed="false">
      <c r="D436" s="186" t="s">
        <v>1364</v>
      </c>
      <c r="E436" s="187" t="s">
        <v>1365</v>
      </c>
      <c r="F436" s="188" t="s">
        <v>791</v>
      </c>
      <c r="G436" s="189" t="s">
        <v>862</v>
      </c>
      <c r="H436" s="190" t="s">
        <v>315</v>
      </c>
      <c r="I436" s="191" t="s">
        <v>973</v>
      </c>
      <c r="J436" s="192" t="n">
        <f aca="false">IFERROR(VLOOKUP(VALUE($D436),BSPL2026!$B:$Z,25,FALSE()),0)</f>
        <v>0</v>
      </c>
      <c r="K436" s="193"/>
      <c r="L436" s="194"/>
      <c r="M436" s="192" t="n">
        <f aca="false">J436+K436-L436</f>
        <v>0</v>
      </c>
      <c r="N436" s="193" t="n">
        <f aca="false">SUMIF('statutory adj_2026 조정분개'!$S:$S,$D436,'statutory adj_2026 조정분개'!$K:$K)</f>
        <v>0</v>
      </c>
      <c r="O436" s="194" t="n">
        <f aca="false">SUMIF('statutory adj_2026 조정분개'!$S:$S,$D436,'statutory adj_2026 조정분개'!$L:$L)</f>
        <v>7481129</v>
      </c>
      <c r="P436" s="192" t="n">
        <f aca="false">M436+N436-O436</f>
        <v>-7481129</v>
      </c>
      <c r="Q436" s="195" t="n">
        <f aca="false">IFERROR(VLOOKUP(VALUE($D436),BSPL2026!$B:$Q,16,FALSE()),0)</f>
        <v>0</v>
      </c>
      <c r="R436" s="196" t="s">
        <v>449</v>
      </c>
      <c r="S436" s="172" t="n">
        <f aca="false">IFERROR(VLOOKUP(VALUE($D436),BSPL2026!$B:$M,12,FALSE()),"")</f>
        <v>0</v>
      </c>
      <c r="T436" s="172" t="str">
        <f aca="false">IF(OR(S436="",S436=0,LEFT(S436,5)="(원본오류"),"",IF(S436=H436,"","매핑차이"))</f>
        <v/>
      </c>
    </row>
    <row r="437" customFormat="false" ht="16.5" hidden="false" customHeight="false" outlineLevel="0" collapsed="false">
      <c r="D437" s="186" t="s">
        <v>1366</v>
      </c>
      <c r="E437" s="187" t="s">
        <v>1367</v>
      </c>
      <c r="F437" s="188" t="s">
        <v>791</v>
      </c>
      <c r="G437" s="189" t="s">
        <v>862</v>
      </c>
      <c r="H437" s="190" t="s">
        <v>336</v>
      </c>
      <c r="I437" s="191" t="s">
        <v>989</v>
      </c>
      <c r="J437" s="192" t="n">
        <f aca="false">IFERROR(VLOOKUP(VALUE($D437),BSPL2026!$B:$Z,25,FALSE()),0)</f>
        <v>0</v>
      </c>
      <c r="K437" s="193"/>
      <c r="L437" s="194"/>
      <c r="M437" s="192" t="n">
        <f aca="false">J437+K437-L437</f>
        <v>0</v>
      </c>
      <c r="N437" s="193" t="n">
        <f aca="false">SUMIF('statutory adj_2026 조정분개'!$S:$S,$D437,'statutory adj_2026 조정분개'!$K:$K)</f>
        <v>0</v>
      </c>
      <c r="O437" s="194" t="n">
        <f aca="false">SUMIF('statutory adj_2026 조정분개'!$S:$S,$D437,'statutory adj_2026 조정분개'!$L:$L)</f>
        <v>473087</v>
      </c>
      <c r="P437" s="192" t="n">
        <f aca="false">M437+N437-O437</f>
        <v>-473087</v>
      </c>
      <c r="Q437" s="195" t="n">
        <f aca="false">IFERROR(VLOOKUP(VALUE($D437),BSPL2026!$B:$Q,16,FALSE()),0)</f>
        <v>0</v>
      </c>
      <c r="R437" s="196" t="s">
        <v>449</v>
      </c>
      <c r="S437" s="172" t="n">
        <f aca="false">IFERROR(VLOOKUP(VALUE($D437),BSPL2026!$B:$M,12,FALSE()),"")</f>
        <v>0</v>
      </c>
      <c r="T437" s="172" t="str">
        <f aca="false">IF(OR(S437="",S437=0,LEFT(S437,5)="(원본오류"),"",IF(S437=H437,"","매핑차이"))</f>
        <v/>
      </c>
    </row>
    <row r="438" customFormat="false" ht="16.5" hidden="false" customHeight="false" outlineLevel="0" collapsed="false">
      <c r="D438" s="186" t="s">
        <v>1368</v>
      </c>
      <c r="E438" s="187" t="s">
        <v>1369</v>
      </c>
      <c r="F438" s="188" t="s">
        <v>791</v>
      </c>
      <c r="G438" s="189" t="s">
        <v>862</v>
      </c>
      <c r="H438" s="190" t="s">
        <v>348</v>
      </c>
      <c r="I438" s="191" t="s">
        <v>940</v>
      </c>
      <c r="J438" s="192" t="n">
        <f aca="false">IFERROR(VLOOKUP(VALUE($D438),BSPL2026!$B:$Z,25,FALSE()),0)</f>
        <v>0</v>
      </c>
      <c r="K438" s="193"/>
      <c r="L438" s="194"/>
      <c r="M438" s="192" t="n">
        <f aca="false">J438+K438-L438</f>
        <v>0</v>
      </c>
      <c r="N438" s="193" t="n">
        <f aca="false">SUMIF('statutory adj_2026 조정분개'!$S:$S,$D438,'statutory adj_2026 조정분개'!$K:$K)</f>
        <v>0</v>
      </c>
      <c r="O438" s="194" t="n">
        <f aca="false">SUMIF('statutory adj_2026 조정분개'!$S:$S,$D438,'statutory adj_2026 조정분개'!$L:$L)</f>
        <v>7044189</v>
      </c>
      <c r="P438" s="192" t="n">
        <f aca="false">M438+N438-O438</f>
        <v>-7044189</v>
      </c>
      <c r="Q438" s="195" t="n">
        <f aca="false">IFERROR(VLOOKUP(VALUE($D438),BSPL2026!$B:$Q,16,FALSE()),0)</f>
        <v>0</v>
      </c>
      <c r="R438" s="196" t="s">
        <v>449</v>
      </c>
      <c r="S438" s="172" t="n">
        <f aca="false">IFERROR(VLOOKUP(VALUE($D438),BSPL2026!$B:$M,12,FALSE()),"")</f>
        <v>0</v>
      </c>
      <c r="T438" s="172" t="str">
        <f aca="false">IF(OR(S438="",S438=0,LEFT(S438,5)="(원본오류"),"",IF(S438=H438,"","매핑차이"))</f>
        <v/>
      </c>
    </row>
    <row r="439" customFormat="false" ht="16.5" hidden="false" customHeight="false" outlineLevel="0" collapsed="false">
      <c r="D439" s="186" t="s">
        <v>1370</v>
      </c>
      <c r="E439" s="187" t="s">
        <v>1371</v>
      </c>
      <c r="F439" s="188" t="s">
        <v>791</v>
      </c>
      <c r="G439" s="189" t="s">
        <v>862</v>
      </c>
      <c r="H439" s="190" t="s">
        <v>344</v>
      </c>
      <c r="I439" s="191" t="s">
        <v>1058</v>
      </c>
      <c r="J439" s="192" t="n">
        <f aca="false">IFERROR(VLOOKUP(VALUE($D439),BSPL2026!$B:$Z,25,FALSE()),0)</f>
        <v>0</v>
      </c>
      <c r="K439" s="193"/>
      <c r="L439" s="194"/>
      <c r="M439" s="192" t="n">
        <f aca="false">J439+K439-L439</f>
        <v>0</v>
      </c>
      <c r="N439" s="193" t="n">
        <f aca="false">SUMIF('statutory adj_2026 조정분개'!$S:$S,$D439,'statutory adj_2026 조정분개'!$K:$K)</f>
        <v>0</v>
      </c>
      <c r="O439" s="194" t="n">
        <f aca="false">SUMIF('statutory adj_2026 조정분개'!$S:$S,$D439,'statutory adj_2026 조정분개'!$L:$L)</f>
        <v>0</v>
      </c>
      <c r="P439" s="192" t="n">
        <f aca="false">M439+N439-O439</f>
        <v>0</v>
      </c>
      <c r="Q439" s="195" t="n">
        <f aca="false">IFERROR(VLOOKUP(VALUE($D439),BSPL2026!$B:$Q,16,FALSE()),0)</f>
        <v>0</v>
      </c>
      <c r="R439" s="196" t="s">
        <v>449</v>
      </c>
      <c r="S439" s="172" t="n">
        <f aca="false">IFERROR(VLOOKUP(VALUE($D439),BSPL2026!$B:$M,12,FALSE()),"")</f>
        <v>0</v>
      </c>
      <c r="T439" s="172" t="str">
        <f aca="false">IF(OR(S439="",S439=0,LEFT(S439,5)="(원본오류"),"",IF(S439=H439,"","매핑차이"))</f>
        <v/>
      </c>
    </row>
    <row r="440" customFormat="false" ht="16.5" hidden="false" customHeight="false" outlineLevel="0" collapsed="false">
      <c r="D440" s="186" t="s">
        <v>1372</v>
      </c>
      <c r="E440" s="187" t="s">
        <v>1089</v>
      </c>
      <c r="F440" s="188" t="s">
        <v>791</v>
      </c>
      <c r="G440" s="189" t="s">
        <v>862</v>
      </c>
      <c r="H440" s="190" t="s">
        <v>334</v>
      </c>
      <c r="I440" s="191" t="s">
        <v>1019</v>
      </c>
      <c r="J440" s="192" t="n">
        <f aca="false">IFERROR(VLOOKUP(VALUE($D440),BSPL2026!$B:$Z,25,FALSE()),0)</f>
        <v>0</v>
      </c>
      <c r="K440" s="193"/>
      <c r="L440" s="194"/>
      <c r="M440" s="192" t="n">
        <f aca="false">J440+K440-L440</f>
        <v>0</v>
      </c>
      <c r="N440" s="193" t="n">
        <f aca="false">SUMIF('statutory adj_2026 조정분개'!$S:$S,$D440,'statutory adj_2026 조정분개'!$K:$K)</f>
        <v>0</v>
      </c>
      <c r="O440" s="194" t="n">
        <f aca="false">SUMIF('statutory adj_2026 조정분개'!$S:$S,$D440,'statutory adj_2026 조정분개'!$L:$L)</f>
        <v>15020622</v>
      </c>
      <c r="P440" s="192" t="n">
        <f aca="false">M440+N440-O440</f>
        <v>-15020622</v>
      </c>
      <c r="Q440" s="195" t="n">
        <f aca="false">IFERROR(VLOOKUP(VALUE($D440),BSPL2026!$B:$Q,16,FALSE()),0)</f>
        <v>0</v>
      </c>
      <c r="R440" s="196" t="s">
        <v>449</v>
      </c>
      <c r="S440" s="172" t="n">
        <f aca="false">IFERROR(VLOOKUP(VALUE($D440),BSPL2026!$B:$M,12,FALSE()),"")</f>
        <v>0</v>
      </c>
      <c r="T440" s="172" t="str">
        <f aca="false">IF(OR(S440="",S440=0,LEFT(S440,5)="(원본오류"),"",IF(S440=H440,"","매핑차이"))</f>
        <v/>
      </c>
    </row>
    <row r="441" customFormat="false" ht="16.5" hidden="false" customHeight="false" outlineLevel="0" collapsed="false">
      <c r="D441" s="186" t="s">
        <v>1373</v>
      </c>
      <c r="E441" s="187" t="s">
        <v>1374</v>
      </c>
      <c r="F441" s="188" t="s">
        <v>791</v>
      </c>
      <c r="G441" s="189" t="s">
        <v>824</v>
      </c>
      <c r="H441" s="190" t="s">
        <v>269</v>
      </c>
      <c r="I441" s="191" t="s">
        <v>1374</v>
      </c>
      <c r="J441" s="192" t="n">
        <f aca="false">IFERROR(VLOOKUP(VALUE($D441),BSPL2026!$B:$Z,25,FALSE()),0)</f>
        <v>-3639645</v>
      </c>
      <c r="K441" s="193"/>
      <c r="L441" s="194"/>
      <c r="M441" s="192" t="n">
        <f aca="false">J441+K441-L441</f>
        <v>-3639645</v>
      </c>
      <c r="N441" s="193" t="n">
        <f aca="false">SUMIF('statutory adj_2026 조정분개'!$S:$S,$D441,'statutory adj_2026 조정분개'!$K:$K)</f>
        <v>0</v>
      </c>
      <c r="O441" s="194" t="n">
        <f aca="false">SUMIF('statutory adj_2026 조정분개'!$S:$S,$D441,'statutory adj_2026 조정분개'!$L:$L)</f>
        <v>0</v>
      </c>
      <c r="P441" s="192" t="n">
        <f aca="false">M441+N441-O441</f>
        <v>-3639645</v>
      </c>
      <c r="Q441" s="195" t="n">
        <f aca="false">IFERROR(VLOOKUP(VALUE($D441),BSPL2026!$B:$Q,16,FALSE()),0)</f>
        <v>8817720</v>
      </c>
      <c r="R441" s="196" t="s">
        <v>449</v>
      </c>
      <c r="S441" s="172" t="str">
        <f aca="false">IFERROR(VLOOKUP(VALUE($D441),BSPL2026!$B:$M,12,FALSE()),"")</f>
        <v>상품매출원가</v>
      </c>
      <c r="T441" s="172" t="str">
        <f aca="false">IF(OR(S441="",S441=0,LEFT(S441,5)="(원본오류"),"",IF(S441=H441,"","매핑차이"))</f>
        <v/>
      </c>
    </row>
    <row r="442" customFormat="false" ht="16.5" hidden="false" customHeight="false" outlineLevel="0" collapsed="false">
      <c r="D442" s="186" t="s">
        <v>1375</v>
      </c>
      <c r="E442" s="187" t="s">
        <v>1376</v>
      </c>
      <c r="F442" s="188" t="s">
        <v>791</v>
      </c>
      <c r="G442" s="189" t="s">
        <v>862</v>
      </c>
      <c r="H442" s="190" t="s">
        <v>368</v>
      </c>
      <c r="I442" s="191" t="s">
        <v>1376</v>
      </c>
      <c r="J442" s="192" t="n">
        <f aca="false">IFERROR(VLOOKUP(VALUE($D442),BSPL2026!$B:$Z,25,FALSE()),0)</f>
        <v>0</v>
      </c>
      <c r="K442" s="193"/>
      <c r="L442" s="194"/>
      <c r="M442" s="192" t="n">
        <f aca="false">J442+K442-L442</f>
        <v>0</v>
      </c>
      <c r="N442" s="193" t="n">
        <f aca="false">SUMIF('statutory adj_2026 조정분개'!$S:$S,$D442,'statutory adj_2026 조정분개'!$K:$K)</f>
        <v>0</v>
      </c>
      <c r="O442" s="194" t="n">
        <f aca="false">SUMIF('statutory adj_2026 조정분개'!$S:$S,$D442,'statutory adj_2026 조정분개'!$L:$L)</f>
        <v>0</v>
      </c>
      <c r="P442" s="192" t="n">
        <f aca="false">M442+N442-O442</f>
        <v>0</v>
      </c>
      <c r="Q442" s="195" t="n">
        <f aca="false">IFERROR(VLOOKUP(VALUE($D442),BSPL2026!$B:$Q,16,FALSE()),0)</f>
        <v>0</v>
      </c>
      <c r="R442" s="196" t="s">
        <v>449</v>
      </c>
      <c r="S442" s="172" t="n">
        <f aca="false">IFERROR(VLOOKUP(VALUE($D442),BSPL2026!$B:$M,12,FALSE()),"")</f>
        <v>0</v>
      </c>
      <c r="T442" s="172" t="str">
        <f aca="false">IF(OR(S442="",S442=0,LEFT(S442,5)="(원본오류"),"",IF(S442=H442,"","매핑차이"))</f>
        <v/>
      </c>
    </row>
    <row r="443" customFormat="false" ht="16.5" hidden="false" customHeight="false" outlineLevel="0" collapsed="false">
      <c r="D443" s="186" t="s">
        <v>1377</v>
      </c>
      <c r="E443" s="187" t="s">
        <v>1313</v>
      </c>
      <c r="F443" s="188" t="s">
        <v>791</v>
      </c>
      <c r="G443" s="189" t="s">
        <v>428</v>
      </c>
      <c r="H443" s="190" t="s">
        <v>428</v>
      </c>
      <c r="I443" s="191" t="s">
        <v>1313</v>
      </c>
      <c r="J443" s="192" t="n">
        <f aca="false">IFERROR(VLOOKUP(VALUE($D443),BSPL2026!$B:$Z,25,FALSE()),0)</f>
        <v>98182970</v>
      </c>
      <c r="K443" s="193"/>
      <c r="L443" s="194"/>
      <c r="M443" s="192" t="n">
        <f aca="false">J443+K443-L443</f>
        <v>98182970</v>
      </c>
      <c r="N443" s="193" t="n">
        <f aca="false">SUMIF('statutory adj_2026 조정분개'!$S:$S,$D443,'statutory adj_2026 조정분개'!$K:$K)</f>
        <v>0</v>
      </c>
      <c r="O443" s="194" t="n">
        <f aca="false">SUMIF('statutory adj_2026 조정분개'!$S:$S,$D443,'statutory adj_2026 조정분개'!$L:$L)</f>
        <v>0</v>
      </c>
      <c r="P443" s="192" t="n">
        <f aca="false">M443+N443-O443</f>
        <v>98182970</v>
      </c>
      <c r="Q443" s="195" t="n">
        <f aca="false">IFERROR(VLOOKUP(VALUE($D443),BSPL2026!$B:$Q,16,FALSE()),0)</f>
        <v>158437715</v>
      </c>
      <c r="R443" s="196" t="s">
        <v>449</v>
      </c>
      <c r="S443" s="172" t="str">
        <f aca="false">IFERROR(VLOOKUP(VALUE($D443),BSPL2026!$B:$M,12,FALSE()),"")</f>
        <v>법인세비용</v>
      </c>
      <c r="T443" s="172" t="str">
        <f aca="false">IF(OR(S443="",S443=0,LEFT(S443,5)="(원본오류"),"",IF(S443=H443,"","매핑차이"))</f>
        <v/>
      </c>
    </row>
    <row r="444" customFormat="false" ht="16.5" hidden="false" customHeight="false" outlineLevel="0" collapsed="false">
      <c r="D444" s="197" t="s">
        <v>1378</v>
      </c>
      <c r="E444" s="198" t="s">
        <v>1379</v>
      </c>
      <c r="F444" s="188" t="s">
        <v>446</v>
      </c>
      <c r="G444" s="189" t="s">
        <v>173</v>
      </c>
      <c r="H444" s="190" t="s">
        <v>217</v>
      </c>
      <c r="I444" s="191" t="s">
        <v>1380</v>
      </c>
      <c r="J444" s="192" t="n">
        <f aca="false">IFERROR(VLOOKUP(VALUE($D444),BSPL2026!$B:$Z,25,FALSE()),0)</f>
        <v>0</v>
      </c>
      <c r="K444" s="193"/>
      <c r="L444" s="194"/>
      <c r="M444" s="192" t="n">
        <f aca="false">J444+K444-L444</f>
        <v>0</v>
      </c>
      <c r="N444" s="193" t="n">
        <f aca="false">SUMIF('statutory adj_2026 조정분개'!$S:$S,$D444,'statutory adj_2026 조정분개'!$K:$K)</f>
        <v>0</v>
      </c>
      <c r="O444" s="194" t="n">
        <f aca="false">SUMIF('statutory adj_2026 조정분개'!$S:$S,$D444,'statutory adj_2026 조정분개'!$L:$L)</f>
        <v>646256500</v>
      </c>
      <c r="P444" s="192" t="n">
        <f aca="false">M444+N444-O444</f>
        <v>-646256500</v>
      </c>
      <c r="Q444" s="195" t="n">
        <f aca="false">IFERROR(VLOOKUP(VALUE($D444),BSPL2026!$B:$Q,16,FALSE()),0)</f>
        <v>0</v>
      </c>
      <c r="R444" s="196" t="s">
        <v>1381</v>
      </c>
      <c r="S444" s="172" t="str">
        <f aca="false">IFERROR(VLOOKUP(VALUE($D444),BSPL2026!$B:$M,12,FALSE()),"")</f>
        <v/>
      </c>
      <c r="T444" s="172" t="str">
        <f aca="false">IF(OR(S444="",S444=0,LEFT(S444,5)="(원본오류"),"",IF(S444=H444,"","매핑차이"))</f>
        <v/>
      </c>
    </row>
    <row r="445" customFormat="false" ht="16.5" hidden="false" customHeight="false" outlineLevel="0" collapsed="false">
      <c r="D445" s="186" t="s">
        <v>1382</v>
      </c>
      <c r="E445" s="187"/>
      <c r="F445" s="188"/>
      <c r="G445" s="189"/>
      <c r="H445" s="190"/>
      <c r="I445" s="191"/>
      <c r="J445" s="199" t="n">
        <f aca="false">SUM(J3:J444)</f>
        <v>0</v>
      </c>
      <c r="K445" s="200" t="n">
        <f aca="false">SUM(K3:K444)</f>
        <v>0</v>
      </c>
      <c r="L445" s="201" t="n">
        <f aca="false">SUM(L3:L444)</f>
        <v>0</v>
      </c>
      <c r="M445" s="199" t="n">
        <f aca="false">SUM(M3:M444)</f>
        <v>0</v>
      </c>
      <c r="N445" s="200" t="n">
        <f aca="false">SUM(N3:N444)</f>
        <v>36539768561</v>
      </c>
      <c r="O445" s="201" t="n">
        <f aca="false">SUM(O3:O444)</f>
        <v>36539768561</v>
      </c>
      <c r="P445" s="199" t="n">
        <f aca="false">SUM(P3:P444)</f>
        <v>0</v>
      </c>
      <c r="Q445" s="202" t="n">
        <f aca="false">SUM(Q3:Q444)</f>
        <v>4</v>
      </c>
      <c r="R445" s="196"/>
    </row>
    <row r="446" customFormat="false" ht="16.5" hidden="false" customHeight="false" outlineLevel="0" collapsed="false">
      <c r="D446" s="186" t="s">
        <v>1383</v>
      </c>
      <c r="E446" s="187"/>
      <c r="F446" s="188"/>
      <c r="G446" s="189"/>
      <c r="H446" s="190"/>
      <c r="I446" s="191"/>
      <c r="J446" s="203"/>
      <c r="K446" s="193"/>
      <c r="L446" s="194"/>
      <c r="M446" s="192"/>
      <c r="N446" s="204" t="n">
        <f aca="false">N445-SUMPRODUCT(('statutory adj_2026 조정분개'!$S$7:$S$77&lt;&gt;"")*'statutory adj_2026 조정분개'!$K$7:$K$77)</f>
        <v>0</v>
      </c>
      <c r="O446" s="205" t="n">
        <f aca="false">O445-SUMPRODUCT(('statutory adj_2026 조정분개'!$S$7:$S$77&lt;&gt;"")*'statutory adj_2026 조정분개'!$L$7:$L$77)</f>
        <v>0</v>
      </c>
      <c r="P446" s="203"/>
      <c r="Q446" s="195"/>
      <c r="R446" s="196"/>
    </row>
    <row r="447" customFormat="false" ht="16.5" hidden="false" customHeight="false" outlineLevel="0" collapsed="false">
      <c r="D447" s="186" t="s">
        <v>1384</v>
      </c>
      <c r="E447" s="187"/>
      <c r="F447" s="188"/>
      <c r="G447" s="189"/>
      <c r="H447" s="190"/>
      <c r="I447" s="191"/>
      <c r="J447" s="203"/>
      <c r="K447" s="193"/>
      <c r="L447" s="194"/>
      <c r="M447" s="192"/>
      <c r="N447" s="204" t="n">
        <f aca="false">N445-'statutory adj_2026 조정분개'!K78</f>
        <v>-9</v>
      </c>
      <c r="O447" s="205" t="n">
        <f aca="false">O445-'statutory adj_2026 조정분개'!L78</f>
        <v>-9</v>
      </c>
      <c r="P447" s="203"/>
      <c r="Q447" s="195"/>
      <c r="R447" s="196"/>
    </row>
    <row r="448" customFormat="false" ht="16.5" hidden="true" customHeight="false" outlineLevel="0" collapsed="false">
      <c r="D448" s="186"/>
      <c r="E448" s="187"/>
      <c r="F448" s="188"/>
      <c r="G448" s="189"/>
      <c r="H448" s="190"/>
      <c r="I448" s="191"/>
      <c r="J448" s="203"/>
      <c r="K448" s="193"/>
      <c r="L448" s="194"/>
      <c r="M448" s="192"/>
      <c r="N448" s="204"/>
      <c r="O448" s="205"/>
      <c r="P448" s="203"/>
      <c r="Q448" s="195"/>
      <c r="R448" s="196"/>
    </row>
    <row r="449" customFormat="false" ht="16.5" hidden="true" customHeight="false" outlineLevel="0" collapsed="false">
      <c r="D449" s="186"/>
      <c r="E449" s="187"/>
      <c r="F449" s="188"/>
      <c r="G449" s="189"/>
      <c r="H449" s="190"/>
      <c r="I449" s="191" t="s">
        <v>446</v>
      </c>
      <c r="J449" s="203" t="n">
        <f aca="false">SUMIF($F$3:$F$444,I449,$J$3:$J$444)</f>
        <v>49288887022</v>
      </c>
      <c r="K449" s="193"/>
      <c r="L449" s="194"/>
      <c r="M449" s="192"/>
      <c r="N449" s="204"/>
      <c r="O449" s="205" t="s">
        <v>446</v>
      </c>
      <c r="P449" s="203" t="n">
        <f aca="false">SUMIF($F$3:$F$444,O449,$P$3:$P$444)</f>
        <v>49288887022</v>
      </c>
      <c r="Q449" s="195"/>
      <c r="R449" s="196"/>
    </row>
    <row r="450" customFormat="false" ht="16.5" hidden="true" customHeight="false" outlineLevel="0" collapsed="false">
      <c r="D450" s="186"/>
      <c r="E450" s="187"/>
      <c r="F450" s="188"/>
      <c r="G450" s="189"/>
      <c r="H450" s="190"/>
      <c r="I450" s="191" t="s">
        <v>791</v>
      </c>
      <c r="J450" s="203" t="n">
        <f aca="false">SUMIF($F$3:$F$444,I450,$J$3:$J$444)</f>
        <v>-49288887022</v>
      </c>
      <c r="K450" s="193"/>
      <c r="L450" s="194"/>
      <c r="M450" s="192"/>
      <c r="N450" s="204"/>
      <c r="O450" s="205" t="s">
        <v>791</v>
      </c>
      <c r="P450" s="203" t="n">
        <f aca="false">SUMIF($F$3:$F$444,O450,$P$3:$P$444)</f>
        <v>-49288887022</v>
      </c>
      <c r="Q450" s="195"/>
      <c r="R450" s="196"/>
    </row>
    <row r="451" customFormat="false" ht="16.5" hidden="true" customHeight="false" outlineLevel="0" collapsed="false">
      <c r="D451" s="186"/>
      <c r="E451" s="187"/>
      <c r="F451" s="188"/>
      <c r="G451" s="189"/>
      <c r="H451" s="190"/>
      <c r="I451" s="191"/>
      <c r="J451" s="203"/>
      <c r="K451" s="193"/>
      <c r="L451" s="194"/>
      <c r="M451" s="192"/>
      <c r="N451" s="204"/>
      <c r="O451" s="205"/>
      <c r="P451" s="203"/>
      <c r="Q451" s="195"/>
      <c r="R451" s="196"/>
    </row>
    <row r="452" customFormat="false" ht="16.5" hidden="true" customHeight="false" outlineLevel="0" collapsed="false">
      <c r="D452" s="197" t="s">
        <v>1385</v>
      </c>
      <c r="E452" s="187"/>
      <c r="F452" s="188"/>
      <c r="G452" s="189"/>
      <c r="H452" s="190"/>
      <c r="I452" s="191"/>
      <c r="J452" s="203" t="n">
        <f aca="false">COUNTIF($T$3:$T$444,"매핑차이")</f>
        <v>1</v>
      </c>
      <c r="K452" s="193"/>
      <c r="L452" s="194"/>
      <c r="M452" s="192"/>
      <c r="N452" s="204"/>
      <c r="O452" s="205"/>
      <c r="P452" s="203"/>
      <c r="Q452" s="195"/>
      <c r="R452" s="196"/>
    </row>
    <row r="453" customFormat="false" ht="16.5" hidden="true" customHeight="false" outlineLevel="0" collapsed="false">
      <c r="D453" s="197" t="s">
        <v>1386</v>
      </c>
      <c r="E453" s="187"/>
      <c r="F453" s="188"/>
      <c r="G453" s="189"/>
      <c r="H453" s="190"/>
      <c r="I453" s="191"/>
      <c r="J453" s="203" t="n">
        <f aca="false">SUMIF($H$3:$H$444,"가계정",$M$3:$M$444)</f>
        <v>0</v>
      </c>
      <c r="K453" s="193"/>
      <c r="L453" s="194"/>
      <c r="M453" s="192"/>
      <c r="N453" s="204"/>
      <c r="O453" s="205"/>
      <c r="P453" s="203"/>
      <c r="Q453" s="195"/>
      <c r="R453" s="196"/>
    </row>
    <row r="454" customFormat="false" ht="16.5" hidden="true" customHeight="false" outlineLevel="0" collapsed="false">
      <c r="D454" s="186" t="s">
        <v>1387</v>
      </c>
      <c r="E454" s="187"/>
      <c r="F454" s="188"/>
      <c r="G454" s="189"/>
      <c r="H454" s="190"/>
      <c r="I454" s="191"/>
      <c r="J454" s="203" t="n">
        <f aca="false">SUMPRODUCT(--($H$3:$H$444&lt;&gt;"가계정"),--($H$3:$H$444&lt;&gt;"제품매출원가"),--($H$3:$H$444&lt;&gt;"판매 및 일반관리비 대체"),--ISNA(MATCH($H$3:$H$444,BS_KO!$D$1:$D$130,0)),--ISNA(MATCH($H$3:$H$444,'P&amp;L_KO'!$D$1:$D$120,0)))</f>
        <v>0</v>
      </c>
      <c r="K454" s="193"/>
      <c r="L454" s="194"/>
      <c r="M454" s="192"/>
      <c r="N454" s="204"/>
      <c r="O454" s="205"/>
      <c r="P454" s="203"/>
      <c r="Q454" s="195"/>
      <c r="R454" s="196"/>
    </row>
    <row r="455" customFormat="false" ht="16.5" hidden="true" customHeight="false" outlineLevel="0" collapsed="false">
      <c r="D455" s="186"/>
      <c r="E455" s="187"/>
      <c r="F455" s="188"/>
      <c r="G455" s="189"/>
      <c r="H455" s="190"/>
      <c r="I455" s="191"/>
      <c r="J455" s="192"/>
      <c r="K455" s="193"/>
      <c r="L455" s="194"/>
      <c r="M455" s="192"/>
      <c r="N455" s="193"/>
      <c r="O455" s="194"/>
      <c r="P455" s="192"/>
      <c r="Q455" s="195"/>
      <c r="R455" s="196"/>
    </row>
    <row r="456" customFormat="false" ht="16.5" hidden="true" customHeight="false" outlineLevel="0" collapsed="false">
      <c r="D456" s="186"/>
      <c r="E456" s="187"/>
      <c r="F456" s="188"/>
      <c r="G456" s="189"/>
      <c r="H456" s="190"/>
      <c r="I456" s="191"/>
      <c r="J456" s="192"/>
      <c r="K456" s="193"/>
      <c r="L456" s="194"/>
      <c r="M456" s="192"/>
      <c r="N456" s="193"/>
      <c r="O456" s="194"/>
      <c r="P456" s="192"/>
      <c r="Q456" s="195"/>
      <c r="R456" s="196"/>
    </row>
    <row r="457" customFormat="false" ht="16.5" hidden="true" customHeight="false" outlineLevel="0" collapsed="false">
      <c r="D457" s="186"/>
      <c r="E457" s="187"/>
      <c r="F457" s="188"/>
      <c r="G457" s="189"/>
      <c r="H457" s="190"/>
      <c r="I457" s="191"/>
      <c r="J457" s="192"/>
      <c r="K457" s="193"/>
      <c r="L457" s="194"/>
      <c r="M457" s="192"/>
      <c r="N457" s="193"/>
      <c r="O457" s="194"/>
      <c r="P457" s="192"/>
      <c r="Q457" s="195"/>
      <c r="R457" s="196"/>
    </row>
    <row r="458" customFormat="false" ht="16.5" hidden="true" customHeight="false" outlineLevel="0" collapsed="false">
      <c r="D458" s="186"/>
      <c r="E458" s="187"/>
      <c r="F458" s="188"/>
      <c r="G458" s="189"/>
      <c r="H458" s="190"/>
      <c r="I458" s="191"/>
      <c r="J458" s="192"/>
      <c r="K458" s="193"/>
      <c r="L458" s="194"/>
      <c r="M458" s="192"/>
      <c r="N458" s="193"/>
      <c r="O458" s="194"/>
      <c r="P458" s="192"/>
      <c r="Q458" s="195"/>
      <c r="R458" s="196"/>
    </row>
    <row r="459" customFormat="false" ht="16.5" hidden="true" customHeight="false" outlineLevel="0" collapsed="false">
      <c r="D459" s="186"/>
      <c r="E459" s="187"/>
      <c r="F459" s="188"/>
      <c r="G459" s="189"/>
      <c r="H459" s="190"/>
      <c r="I459" s="191"/>
      <c r="J459" s="192"/>
      <c r="K459" s="193"/>
      <c r="L459" s="194"/>
      <c r="M459" s="192"/>
      <c r="N459" s="193"/>
      <c r="O459" s="194"/>
      <c r="P459" s="192"/>
      <c r="Q459" s="195"/>
      <c r="R459" s="196"/>
    </row>
    <row r="460" customFormat="false" ht="16.5" hidden="true" customHeight="false" outlineLevel="0" collapsed="false">
      <c r="D460" s="186"/>
      <c r="E460" s="187"/>
      <c r="F460" s="188"/>
      <c r="G460" s="189"/>
      <c r="H460" s="190"/>
      <c r="I460" s="191"/>
      <c r="J460" s="192"/>
      <c r="K460" s="193"/>
      <c r="L460" s="194"/>
      <c r="M460" s="192"/>
      <c r="N460" s="193"/>
      <c r="O460" s="194"/>
      <c r="P460" s="192"/>
      <c r="Q460" s="195"/>
      <c r="R460" s="196"/>
    </row>
    <row r="461" customFormat="false" ht="16.5" hidden="true" customHeight="false" outlineLevel="0" collapsed="false">
      <c r="D461" s="186"/>
      <c r="E461" s="187"/>
      <c r="F461" s="188"/>
      <c r="G461" s="189"/>
      <c r="H461" s="190"/>
      <c r="I461" s="191"/>
      <c r="J461" s="192"/>
      <c r="K461" s="193"/>
      <c r="L461" s="194"/>
      <c r="M461" s="192"/>
      <c r="N461" s="193"/>
      <c r="O461" s="194"/>
      <c r="P461" s="192"/>
      <c r="Q461" s="195"/>
      <c r="R461" s="196"/>
    </row>
    <row r="462" customFormat="false" ht="16.5" hidden="true" customHeight="false" outlineLevel="0" collapsed="false">
      <c r="D462" s="186"/>
      <c r="E462" s="187"/>
      <c r="F462" s="188"/>
      <c r="G462" s="189"/>
      <c r="H462" s="190"/>
      <c r="I462" s="191"/>
      <c r="J462" s="192"/>
      <c r="K462" s="193"/>
      <c r="L462" s="194"/>
      <c r="M462" s="192"/>
      <c r="N462" s="193"/>
      <c r="O462" s="194"/>
      <c r="P462" s="192"/>
      <c r="Q462" s="195"/>
      <c r="R462" s="196"/>
    </row>
    <row r="463" customFormat="false" ht="16.5" hidden="true" customHeight="false" outlineLevel="0" collapsed="false">
      <c r="D463" s="186"/>
      <c r="E463" s="187"/>
      <c r="F463" s="188"/>
      <c r="G463" s="189"/>
      <c r="H463" s="190"/>
      <c r="I463" s="191"/>
      <c r="J463" s="192"/>
      <c r="K463" s="193"/>
      <c r="L463" s="194"/>
      <c r="M463" s="192"/>
      <c r="N463" s="193"/>
      <c r="O463" s="194"/>
      <c r="P463" s="192"/>
      <c r="Q463" s="195"/>
      <c r="R463" s="196"/>
    </row>
    <row r="464" customFormat="false" ht="16.5" hidden="true" customHeight="false" outlineLevel="0" collapsed="false">
      <c r="D464" s="186"/>
      <c r="E464" s="187"/>
      <c r="F464" s="188"/>
      <c r="G464" s="189"/>
      <c r="H464" s="190"/>
      <c r="I464" s="191"/>
      <c r="J464" s="192"/>
      <c r="K464" s="193"/>
      <c r="L464" s="194"/>
      <c r="M464" s="192"/>
      <c r="N464" s="193"/>
      <c r="O464" s="194"/>
      <c r="P464" s="192"/>
      <c r="Q464" s="195"/>
      <c r="R464" s="196"/>
    </row>
    <row r="465" customFormat="false" ht="16.5" hidden="true" customHeight="false" outlineLevel="0" collapsed="false">
      <c r="D465" s="186"/>
      <c r="E465" s="187"/>
      <c r="F465" s="188"/>
      <c r="G465" s="189"/>
      <c r="H465" s="190"/>
      <c r="I465" s="191"/>
      <c r="J465" s="192"/>
      <c r="K465" s="193"/>
      <c r="L465" s="194"/>
      <c r="M465" s="192"/>
      <c r="N465" s="193"/>
      <c r="O465" s="194"/>
      <c r="P465" s="192"/>
      <c r="Q465" s="195"/>
      <c r="R465" s="196"/>
    </row>
    <row r="466" customFormat="false" ht="16.5" hidden="true" customHeight="false" outlineLevel="0" collapsed="false">
      <c r="D466" s="186"/>
      <c r="E466" s="187"/>
      <c r="F466" s="188"/>
      <c r="G466" s="189"/>
      <c r="H466" s="190"/>
      <c r="I466" s="191"/>
      <c r="J466" s="192"/>
      <c r="K466" s="193"/>
      <c r="L466" s="194"/>
      <c r="M466" s="192"/>
      <c r="N466" s="193"/>
      <c r="O466" s="194"/>
      <c r="P466" s="192"/>
      <c r="Q466" s="195"/>
      <c r="R466" s="196"/>
    </row>
    <row r="467" customFormat="false" ht="16.5" hidden="true" customHeight="false" outlineLevel="0" collapsed="false">
      <c r="D467" s="186"/>
      <c r="E467" s="187"/>
      <c r="F467" s="188"/>
      <c r="G467" s="189"/>
      <c r="H467" s="190"/>
      <c r="I467" s="191"/>
      <c r="J467" s="192"/>
      <c r="K467" s="193"/>
      <c r="L467" s="194"/>
      <c r="M467" s="192"/>
      <c r="N467" s="193"/>
      <c r="O467" s="194"/>
      <c r="P467" s="192"/>
      <c r="Q467" s="195"/>
      <c r="R467" s="196"/>
    </row>
    <row r="468" customFormat="false" ht="16.5" hidden="true" customHeight="false" outlineLevel="0" collapsed="false">
      <c r="D468" s="186"/>
      <c r="E468" s="187"/>
      <c r="F468" s="188"/>
      <c r="G468" s="189"/>
      <c r="H468" s="190"/>
      <c r="I468" s="191"/>
      <c r="J468" s="192"/>
      <c r="K468" s="193"/>
      <c r="L468" s="194"/>
      <c r="M468" s="192"/>
      <c r="N468" s="193"/>
      <c r="O468" s="194"/>
      <c r="P468" s="192"/>
      <c r="Q468" s="195"/>
      <c r="R468" s="196"/>
    </row>
    <row r="469" customFormat="false" ht="16.5" hidden="true" customHeight="false" outlineLevel="0" collapsed="false">
      <c r="D469" s="186"/>
      <c r="E469" s="187"/>
      <c r="F469" s="188"/>
      <c r="G469" s="189"/>
      <c r="H469" s="190"/>
      <c r="I469" s="191"/>
      <c r="J469" s="192"/>
      <c r="K469" s="193"/>
      <c r="L469" s="194"/>
      <c r="M469" s="192"/>
      <c r="N469" s="193"/>
      <c r="O469" s="194"/>
      <c r="P469" s="192"/>
      <c r="Q469" s="195"/>
      <c r="R469" s="196"/>
    </row>
    <row r="470" customFormat="false" ht="16.5" hidden="true" customHeight="false" outlineLevel="0" collapsed="false">
      <c r="D470" s="186"/>
      <c r="E470" s="187"/>
      <c r="F470" s="188"/>
      <c r="G470" s="189"/>
      <c r="H470" s="190"/>
      <c r="I470" s="191"/>
      <c r="J470" s="192"/>
      <c r="K470" s="193"/>
      <c r="L470" s="194"/>
      <c r="M470" s="192"/>
      <c r="N470" s="193"/>
      <c r="O470" s="194"/>
      <c r="P470" s="192"/>
      <c r="Q470" s="195"/>
      <c r="R470" s="196"/>
    </row>
    <row r="471" customFormat="false" ht="16.5" hidden="true" customHeight="false" outlineLevel="0" collapsed="false">
      <c r="D471" s="186"/>
      <c r="E471" s="187"/>
      <c r="F471" s="188"/>
      <c r="G471" s="189"/>
      <c r="H471" s="190"/>
      <c r="I471" s="191"/>
      <c r="J471" s="192"/>
      <c r="K471" s="193"/>
      <c r="L471" s="194"/>
      <c r="M471" s="192"/>
      <c r="N471" s="193"/>
      <c r="O471" s="194"/>
      <c r="P471" s="192"/>
      <c r="Q471" s="195"/>
      <c r="R471" s="196"/>
    </row>
    <row r="472" customFormat="false" ht="16.5" hidden="true" customHeight="false" outlineLevel="0" collapsed="false">
      <c r="D472" s="186"/>
      <c r="E472" s="187"/>
      <c r="F472" s="188"/>
      <c r="G472" s="189"/>
      <c r="H472" s="190"/>
      <c r="I472" s="191"/>
      <c r="J472" s="192"/>
      <c r="K472" s="193"/>
      <c r="L472" s="194"/>
      <c r="M472" s="192"/>
      <c r="N472" s="193"/>
      <c r="O472" s="194"/>
      <c r="P472" s="192"/>
      <c r="Q472" s="195"/>
      <c r="R472" s="196"/>
    </row>
    <row r="473" customFormat="false" ht="16.5" hidden="true" customHeight="false" outlineLevel="0" collapsed="false">
      <c r="D473" s="186"/>
      <c r="E473" s="187"/>
      <c r="F473" s="188"/>
      <c r="G473" s="189"/>
      <c r="H473" s="190"/>
      <c r="I473" s="191"/>
      <c r="J473" s="192"/>
      <c r="K473" s="193"/>
      <c r="L473" s="194"/>
      <c r="M473" s="192"/>
      <c r="N473" s="193"/>
      <c r="O473" s="194"/>
      <c r="P473" s="192"/>
      <c r="Q473" s="195"/>
      <c r="R473" s="196"/>
    </row>
    <row r="474" customFormat="false" ht="16.5" hidden="true" customHeight="false" outlineLevel="0" collapsed="false">
      <c r="D474" s="186"/>
      <c r="E474" s="187"/>
      <c r="F474" s="188"/>
      <c r="G474" s="189"/>
      <c r="H474" s="190"/>
      <c r="I474" s="191"/>
      <c r="J474" s="192"/>
      <c r="K474" s="193"/>
      <c r="L474" s="194"/>
      <c r="M474" s="192"/>
      <c r="N474" s="193"/>
      <c r="O474" s="194"/>
      <c r="P474" s="192"/>
      <c r="Q474" s="195"/>
      <c r="R474" s="196"/>
    </row>
    <row r="475" customFormat="false" ht="16.5" hidden="true" customHeight="false" outlineLevel="0" collapsed="false">
      <c r="D475" s="186"/>
      <c r="E475" s="187"/>
      <c r="F475" s="188"/>
      <c r="G475" s="189"/>
      <c r="H475" s="190"/>
      <c r="I475" s="191"/>
      <c r="J475" s="192"/>
      <c r="K475" s="193"/>
      <c r="L475" s="194"/>
      <c r="M475" s="192"/>
      <c r="N475" s="193"/>
      <c r="O475" s="194"/>
      <c r="P475" s="192"/>
      <c r="Q475" s="195"/>
      <c r="R475" s="196"/>
    </row>
    <row r="476" customFormat="false" ht="16.5" hidden="true" customHeight="false" outlineLevel="0" collapsed="false">
      <c r="D476" s="186"/>
      <c r="E476" s="187"/>
      <c r="F476" s="188"/>
      <c r="G476" s="189"/>
      <c r="H476" s="190"/>
      <c r="I476" s="191"/>
      <c r="J476" s="192"/>
      <c r="K476" s="193"/>
      <c r="L476" s="194"/>
      <c r="M476" s="192"/>
      <c r="N476" s="193"/>
      <c r="O476" s="194"/>
      <c r="P476" s="192"/>
      <c r="Q476" s="195"/>
      <c r="R476" s="196"/>
    </row>
    <row r="477" customFormat="false" ht="16.5" hidden="true" customHeight="false" outlineLevel="0" collapsed="false">
      <c r="D477" s="186"/>
      <c r="E477" s="187"/>
      <c r="F477" s="188"/>
      <c r="G477" s="189"/>
      <c r="H477" s="190"/>
      <c r="I477" s="191"/>
      <c r="J477" s="192"/>
      <c r="K477" s="193"/>
      <c r="L477" s="194"/>
      <c r="M477" s="192"/>
      <c r="N477" s="193"/>
      <c r="O477" s="194"/>
      <c r="P477" s="192"/>
      <c r="Q477" s="195"/>
      <c r="R477" s="196"/>
    </row>
    <row r="478" customFormat="false" ht="16.5" hidden="true" customHeight="false" outlineLevel="0" collapsed="false">
      <c r="D478" s="186"/>
      <c r="E478" s="187"/>
      <c r="F478" s="188"/>
      <c r="G478" s="189"/>
      <c r="H478" s="190"/>
      <c r="I478" s="191"/>
      <c r="J478" s="192"/>
      <c r="K478" s="193"/>
      <c r="L478" s="194"/>
      <c r="M478" s="192"/>
      <c r="N478" s="193"/>
      <c r="O478" s="194"/>
      <c r="P478" s="192"/>
      <c r="Q478" s="195"/>
      <c r="R478" s="196"/>
    </row>
    <row r="479" customFormat="false" ht="16.5" hidden="true" customHeight="false" outlineLevel="0" collapsed="false">
      <c r="D479" s="186"/>
      <c r="E479" s="187"/>
      <c r="F479" s="188"/>
      <c r="G479" s="189"/>
      <c r="H479" s="190"/>
      <c r="I479" s="191"/>
      <c r="J479" s="192"/>
      <c r="K479" s="193"/>
      <c r="L479" s="194"/>
      <c r="M479" s="192"/>
      <c r="N479" s="193"/>
      <c r="O479" s="194"/>
      <c r="P479" s="192"/>
      <c r="Q479" s="195"/>
      <c r="R479" s="196"/>
    </row>
    <row r="480" customFormat="false" ht="16.5" hidden="true" customHeight="false" outlineLevel="0" collapsed="false">
      <c r="D480" s="186"/>
      <c r="E480" s="187"/>
      <c r="F480" s="188"/>
      <c r="G480" s="189"/>
      <c r="H480" s="190"/>
      <c r="I480" s="191"/>
      <c r="J480" s="192"/>
      <c r="K480" s="193"/>
      <c r="L480" s="194"/>
      <c r="M480" s="192"/>
      <c r="N480" s="193"/>
      <c r="O480" s="194"/>
      <c r="P480" s="192"/>
      <c r="Q480" s="195"/>
      <c r="R480" s="196"/>
    </row>
    <row r="481" customFormat="false" ht="16.5" hidden="true" customHeight="false" outlineLevel="0" collapsed="false">
      <c r="D481" s="186"/>
      <c r="E481" s="187"/>
      <c r="F481" s="188"/>
      <c r="G481" s="189"/>
      <c r="H481" s="190"/>
      <c r="I481" s="191"/>
      <c r="J481" s="192"/>
      <c r="K481" s="193"/>
      <c r="L481" s="194"/>
      <c r="M481" s="192"/>
      <c r="N481" s="193"/>
      <c r="O481" s="194"/>
      <c r="P481" s="192"/>
      <c r="Q481" s="195"/>
      <c r="R481" s="196"/>
    </row>
    <row r="482" customFormat="false" ht="16.5" hidden="true" customHeight="false" outlineLevel="0" collapsed="false">
      <c r="D482" s="186"/>
      <c r="E482" s="187"/>
      <c r="F482" s="188"/>
      <c r="G482" s="189"/>
      <c r="H482" s="190"/>
      <c r="I482" s="191"/>
      <c r="J482" s="192"/>
      <c r="K482" s="193"/>
      <c r="L482" s="194"/>
      <c r="M482" s="192"/>
      <c r="N482" s="193"/>
      <c r="O482" s="194"/>
      <c r="P482" s="192"/>
      <c r="Q482" s="195"/>
      <c r="R482" s="196"/>
    </row>
    <row r="483" customFormat="false" ht="16.5" hidden="true" customHeight="false" outlineLevel="0" collapsed="false">
      <c r="D483" s="186"/>
      <c r="E483" s="187"/>
      <c r="F483" s="188"/>
      <c r="G483" s="189"/>
      <c r="H483" s="190"/>
      <c r="I483" s="191"/>
      <c r="J483" s="192"/>
      <c r="K483" s="193"/>
      <c r="L483" s="194"/>
      <c r="M483" s="192"/>
      <c r="N483" s="193"/>
      <c r="O483" s="194"/>
      <c r="P483" s="192"/>
      <c r="Q483" s="195"/>
      <c r="R483" s="196"/>
    </row>
    <row r="484" customFormat="false" ht="16.5" hidden="true" customHeight="false" outlineLevel="0" collapsed="false">
      <c r="D484" s="186"/>
      <c r="E484" s="187"/>
      <c r="F484" s="188"/>
      <c r="G484" s="189"/>
      <c r="H484" s="190"/>
      <c r="I484" s="191"/>
      <c r="J484" s="192"/>
      <c r="K484" s="193"/>
      <c r="L484" s="194"/>
      <c r="M484" s="192"/>
      <c r="N484" s="193"/>
      <c r="O484" s="194"/>
      <c r="P484" s="192"/>
      <c r="Q484" s="195"/>
      <c r="R484" s="196"/>
    </row>
    <row r="485" customFormat="false" ht="16.5" hidden="true" customHeight="false" outlineLevel="0" collapsed="false">
      <c r="D485" s="186"/>
      <c r="E485" s="187"/>
      <c r="F485" s="188"/>
      <c r="G485" s="189"/>
      <c r="H485" s="190"/>
      <c r="I485" s="191"/>
      <c r="J485" s="192"/>
      <c r="K485" s="193"/>
      <c r="L485" s="194"/>
      <c r="M485" s="192"/>
      <c r="N485" s="193"/>
      <c r="O485" s="194"/>
      <c r="P485" s="192"/>
      <c r="Q485" s="195"/>
      <c r="R485" s="196"/>
    </row>
    <row r="486" customFormat="false" ht="16.5" hidden="true" customHeight="false" outlineLevel="0" collapsed="false">
      <c r="D486" s="186"/>
      <c r="E486" s="187"/>
      <c r="F486" s="188"/>
      <c r="G486" s="189"/>
      <c r="H486" s="190"/>
      <c r="I486" s="191"/>
      <c r="J486" s="192"/>
      <c r="K486" s="193"/>
      <c r="L486" s="194"/>
      <c r="M486" s="192"/>
      <c r="N486" s="193"/>
      <c r="O486" s="194"/>
      <c r="P486" s="192"/>
      <c r="Q486" s="195"/>
      <c r="R486" s="196"/>
    </row>
    <row r="487" customFormat="false" ht="16.5" hidden="true" customHeight="false" outlineLevel="0" collapsed="false">
      <c r="D487" s="186"/>
      <c r="E487" s="187"/>
      <c r="F487" s="188"/>
      <c r="G487" s="189"/>
      <c r="H487" s="190"/>
      <c r="I487" s="191"/>
      <c r="J487" s="192"/>
      <c r="K487" s="193"/>
      <c r="L487" s="194"/>
      <c r="M487" s="192"/>
      <c r="N487" s="193"/>
      <c r="O487" s="194"/>
      <c r="P487" s="192"/>
      <c r="Q487" s="195"/>
      <c r="R487" s="196"/>
    </row>
    <row r="488" customFormat="false" ht="16.5" hidden="true" customHeight="false" outlineLevel="0" collapsed="false">
      <c r="D488" s="186"/>
      <c r="E488" s="187"/>
      <c r="F488" s="188"/>
      <c r="G488" s="189"/>
      <c r="H488" s="190"/>
      <c r="I488" s="191"/>
      <c r="J488" s="192"/>
      <c r="K488" s="193"/>
      <c r="L488" s="194"/>
      <c r="M488" s="192"/>
      <c r="N488" s="193"/>
      <c r="O488" s="194"/>
      <c r="P488" s="192"/>
      <c r="Q488" s="195"/>
      <c r="R488" s="196"/>
    </row>
    <row r="489" customFormat="false" ht="16.5" hidden="true" customHeight="false" outlineLevel="0" collapsed="false">
      <c r="D489" s="186"/>
      <c r="E489" s="187"/>
      <c r="F489" s="188"/>
      <c r="G489" s="189"/>
      <c r="H489" s="190"/>
      <c r="I489" s="191"/>
      <c r="J489" s="192"/>
      <c r="K489" s="193"/>
      <c r="L489" s="194"/>
      <c r="M489" s="192"/>
      <c r="N489" s="193"/>
      <c r="O489" s="194"/>
      <c r="P489" s="192"/>
      <c r="Q489" s="195"/>
      <c r="R489" s="196"/>
    </row>
    <row r="490" customFormat="false" ht="16.5" hidden="true" customHeight="false" outlineLevel="0" collapsed="false">
      <c r="D490" s="186"/>
      <c r="E490" s="187"/>
      <c r="F490" s="188"/>
      <c r="G490" s="189"/>
      <c r="H490" s="190"/>
      <c r="I490" s="191"/>
      <c r="J490" s="192"/>
      <c r="K490" s="193"/>
      <c r="L490" s="194"/>
      <c r="M490" s="192"/>
      <c r="N490" s="193"/>
      <c r="O490" s="194"/>
      <c r="P490" s="192"/>
      <c r="Q490" s="195"/>
      <c r="R490" s="196"/>
    </row>
    <row r="491" customFormat="false" ht="16.5" hidden="true" customHeight="false" outlineLevel="0" collapsed="false">
      <c r="D491" s="186"/>
      <c r="E491" s="187"/>
      <c r="F491" s="188"/>
      <c r="G491" s="189"/>
      <c r="H491" s="190"/>
      <c r="I491" s="191"/>
      <c r="J491" s="192"/>
      <c r="K491" s="193"/>
      <c r="L491" s="194"/>
      <c r="M491" s="192"/>
      <c r="N491" s="193"/>
      <c r="O491" s="194"/>
      <c r="P491" s="192"/>
      <c r="Q491" s="195"/>
      <c r="R491" s="196"/>
    </row>
    <row r="492" customFormat="false" ht="16.5" hidden="true" customHeight="false" outlineLevel="0" collapsed="false">
      <c r="D492" s="186"/>
      <c r="E492" s="187"/>
      <c r="F492" s="188"/>
      <c r="G492" s="189"/>
      <c r="H492" s="190"/>
      <c r="I492" s="191"/>
      <c r="J492" s="192"/>
      <c r="K492" s="193"/>
      <c r="L492" s="194"/>
      <c r="M492" s="192"/>
      <c r="N492" s="193"/>
      <c r="O492" s="194"/>
      <c r="P492" s="192"/>
      <c r="Q492" s="195"/>
      <c r="R492" s="196"/>
    </row>
    <row r="493" customFormat="false" ht="16.5" hidden="true" customHeight="false" outlineLevel="0" collapsed="false">
      <c r="D493" s="186"/>
      <c r="E493" s="187"/>
      <c r="F493" s="188"/>
      <c r="G493" s="189"/>
      <c r="H493" s="190"/>
      <c r="I493" s="191"/>
      <c r="J493" s="192"/>
      <c r="K493" s="193"/>
      <c r="L493" s="194"/>
      <c r="M493" s="192"/>
      <c r="N493" s="193"/>
      <c r="O493" s="194"/>
      <c r="P493" s="192"/>
      <c r="Q493" s="195"/>
      <c r="R493" s="196"/>
    </row>
    <row r="494" customFormat="false" ht="16.5" hidden="true" customHeight="false" outlineLevel="0" collapsed="false">
      <c r="D494" s="206"/>
      <c r="E494" s="187"/>
      <c r="F494" s="188"/>
      <c r="G494" s="189"/>
      <c r="H494" s="190"/>
      <c r="I494" s="191"/>
      <c r="J494" s="192"/>
      <c r="K494" s="193"/>
      <c r="L494" s="194"/>
      <c r="M494" s="192"/>
      <c r="N494" s="193"/>
      <c r="O494" s="194"/>
      <c r="P494" s="192"/>
      <c r="Q494" s="195"/>
      <c r="R494" s="196"/>
    </row>
    <row r="495" customFormat="false" ht="16.5" hidden="true" customHeight="false" outlineLevel="0" collapsed="false">
      <c r="D495" s="186"/>
      <c r="E495" s="187"/>
      <c r="F495" s="188"/>
      <c r="G495" s="189"/>
      <c r="H495" s="190"/>
      <c r="I495" s="191"/>
      <c r="J495" s="192"/>
      <c r="K495" s="193"/>
      <c r="L495" s="194"/>
      <c r="M495" s="192"/>
      <c r="N495" s="193"/>
      <c r="O495" s="194"/>
      <c r="P495" s="192"/>
      <c r="Q495" s="195"/>
      <c r="R495" s="196"/>
    </row>
    <row r="496" customFormat="false" ht="16.5" hidden="true" customHeight="false" outlineLevel="0" collapsed="false">
      <c r="D496" s="186"/>
      <c r="E496" s="187"/>
      <c r="F496" s="188"/>
      <c r="G496" s="189"/>
      <c r="H496" s="190"/>
      <c r="I496" s="191"/>
      <c r="J496" s="192"/>
      <c r="K496" s="193"/>
      <c r="L496" s="194"/>
      <c r="M496" s="192"/>
      <c r="N496" s="193"/>
      <c r="O496" s="194"/>
      <c r="P496" s="192"/>
      <c r="Q496" s="195"/>
      <c r="R496" s="196"/>
    </row>
    <row r="497" customFormat="false" ht="16.5" hidden="true" customHeight="false" outlineLevel="0" collapsed="false">
      <c r="D497" s="186"/>
      <c r="E497" s="187"/>
      <c r="F497" s="188"/>
      <c r="G497" s="189"/>
      <c r="H497" s="190"/>
      <c r="I497" s="191"/>
      <c r="J497" s="192"/>
      <c r="K497" s="193"/>
      <c r="L497" s="194"/>
      <c r="M497" s="192"/>
      <c r="N497" s="193"/>
      <c r="O497" s="194"/>
      <c r="P497" s="192"/>
      <c r="Q497" s="195"/>
      <c r="R497" s="196"/>
    </row>
    <row r="498" customFormat="false" ht="16.5" hidden="false" customHeight="false" outlineLevel="0" collapsed="false">
      <c r="D498" s="186"/>
      <c r="E498" s="187"/>
      <c r="F498" s="188"/>
      <c r="G498" s="189"/>
      <c r="H498" s="190"/>
      <c r="I498" s="191"/>
      <c r="J498" s="192"/>
      <c r="K498" s="193"/>
      <c r="L498" s="194"/>
      <c r="M498" s="192"/>
      <c r="N498" s="193"/>
      <c r="O498" s="194"/>
      <c r="P498" s="207"/>
      <c r="Q498" s="195"/>
      <c r="R498" s="196"/>
    </row>
    <row r="499" customFormat="false" ht="16.5" hidden="true" customHeight="false" outlineLevel="0" collapsed="false">
      <c r="D499" s="186"/>
      <c r="E499" s="187"/>
      <c r="F499" s="188"/>
      <c r="G499" s="189"/>
      <c r="H499" s="190"/>
      <c r="I499" s="191"/>
      <c r="J499" s="192"/>
      <c r="K499" s="193"/>
      <c r="L499" s="194"/>
      <c r="M499" s="192"/>
      <c r="N499" s="193"/>
      <c r="O499" s="194"/>
      <c r="P499" s="192"/>
      <c r="Q499" s="195"/>
      <c r="R499" s="196"/>
    </row>
    <row r="500" customFormat="false" ht="16.5" hidden="true" customHeight="false" outlineLevel="0" collapsed="false">
      <c r="D500" s="186"/>
      <c r="E500" s="187"/>
      <c r="F500" s="188"/>
      <c r="G500" s="189"/>
      <c r="H500" s="190"/>
      <c r="I500" s="191"/>
      <c r="J500" s="192"/>
      <c r="K500" s="193"/>
      <c r="L500" s="194"/>
      <c r="M500" s="192"/>
      <c r="N500" s="193"/>
      <c r="O500" s="194"/>
      <c r="P500" s="192"/>
      <c r="Q500" s="195"/>
      <c r="R500" s="196"/>
    </row>
    <row r="501" customFormat="false" ht="16.5" hidden="true" customHeight="false" outlineLevel="0" collapsed="false">
      <c r="D501" s="186"/>
      <c r="E501" s="187"/>
      <c r="F501" s="188"/>
      <c r="G501" s="189"/>
      <c r="H501" s="190"/>
      <c r="I501" s="191"/>
      <c r="J501" s="192"/>
      <c r="K501" s="193"/>
      <c r="L501" s="194"/>
      <c r="M501" s="192"/>
      <c r="N501" s="193"/>
      <c r="O501" s="194"/>
      <c r="P501" s="192"/>
      <c r="Q501" s="195"/>
      <c r="R501" s="196"/>
    </row>
    <row r="502" customFormat="false" ht="16.5" hidden="true" customHeight="false" outlineLevel="0" collapsed="false">
      <c r="D502" s="186"/>
      <c r="E502" s="187"/>
      <c r="F502" s="188"/>
      <c r="G502" s="189"/>
      <c r="H502" s="190"/>
      <c r="I502" s="191"/>
      <c r="J502" s="192"/>
      <c r="K502" s="193"/>
      <c r="L502" s="194"/>
      <c r="M502" s="192"/>
      <c r="N502" s="193"/>
      <c r="O502" s="194"/>
      <c r="P502" s="192"/>
      <c r="Q502" s="195"/>
      <c r="R502" s="196"/>
    </row>
    <row r="503" customFormat="false" ht="16.5" hidden="true" customHeight="false" outlineLevel="0" collapsed="false">
      <c r="D503" s="186"/>
      <c r="E503" s="187"/>
      <c r="F503" s="188"/>
      <c r="G503" s="189"/>
      <c r="H503" s="190"/>
      <c r="I503" s="191"/>
      <c r="J503" s="192"/>
      <c r="K503" s="193"/>
      <c r="L503" s="194"/>
      <c r="M503" s="192"/>
      <c r="N503" s="193"/>
      <c r="O503" s="194"/>
      <c r="P503" s="192"/>
      <c r="Q503" s="195"/>
      <c r="R503" s="196"/>
    </row>
    <row r="504" customFormat="false" ht="16.5" hidden="true" customHeight="false" outlineLevel="0" collapsed="false">
      <c r="D504" s="186"/>
      <c r="E504" s="187"/>
      <c r="F504" s="188"/>
      <c r="G504" s="189"/>
      <c r="H504" s="190"/>
      <c r="I504" s="191"/>
      <c r="J504" s="192"/>
      <c r="K504" s="193"/>
      <c r="L504" s="194"/>
      <c r="M504" s="192"/>
      <c r="N504" s="193"/>
      <c r="O504" s="194"/>
      <c r="P504" s="192"/>
      <c r="Q504" s="195"/>
      <c r="R504" s="196"/>
    </row>
    <row r="505" customFormat="false" ht="16.5" hidden="true" customHeight="false" outlineLevel="0" collapsed="false">
      <c r="D505" s="186"/>
      <c r="E505" s="187"/>
      <c r="F505" s="188"/>
      <c r="G505" s="189"/>
      <c r="H505" s="190"/>
      <c r="I505" s="191"/>
      <c r="J505" s="192"/>
      <c r="K505" s="193"/>
      <c r="L505" s="194"/>
      <c r="M505" s="192"/>
      <c r="N505" s="193"/>
      <c r="O505" s="194"/>
      <c r="P505" s="192"/>
      <c r="Q505" s="195"/>
      <c r="R505" s="196"/>
    </row>
    <row r="506" customFormat="false" ht="16.5" hidden="true" customHeight="false" outlineLevel="0" collapsed="false">
      <c r="D506" s="186"/>
      <c r="E506" s="187"/>
      <c r="F506" s="188"/>
      <c r="G506" s="189"/>
      <c r="H506" s="190"/>
      <c r="I506" s="191"/>
      <c r="J506" s="192"/>
      <c r="K506" s="193"/>
      <c r="L506" s="194"/>
      <c r="M506" s="192"/>
      <c r="N506" s="193"/>
      <c r="O506" s="194"/>
      <c r="P506" s="192"/>
      <c r="Q506" s="195"/>
      <c r="R506" s="196"/>
    </row>
    <row r="507" customFormat="false" ht="16.5" hidden="true" customHeight="false" outlineLevel="0" collapsed="false">
      <c r="D507" s="186"/>
      <c r="E507" s="187"/>
      <c r="F507" s="188"/>
      <c r="G507" s="189"/>
      <c r="H507" s="190"/>
      <c r="I507" s="191"/>
      <c r="J507" s="192"/>
      <c r="K507" s="193"/>
      <c r="L507" s="194"/>
      <c r="M507" s="192"/>
      <c r="N507" s="193"/>
      <c r="O507" s="194"/>
      <c r="P507" s="192"/>
      <c r="Q507" s="195"/>
      <c r="R507" s="196"/>
    </row>
    <row r="508" customFormat="false" ht="16.5" hidden="true" customHeight="false" outlineLevel="0" collapsed="false">
      <c r="D508" s="186"/>
      <c r="E508" s="187"/>
      <c r="F508" s="188"/>
      <c r="G508" s="189"/>
      <c r="H508" s="190"/>
      <c r="I508" s="191"/>
      <c r="J508" s="192"/>
      <c r="K508" s="193"/>
      <c r="L508" s="194"/>
      <c r="M508" s="192"/>
      <c r="N508" s="193"/>
      <c r="O508" s="194"/>
      <c r="P508" s="192"/>
      <c r="Q508" s="195"/>
      <c r="R508" s="196"/>
    </row>
    <row r="509" customFormat="false" ht="16.5" hidden="true" customHeight="false" outlineLevel="0" collapsed="false">
      <c r="D509" s="186"/>
      <c r="E509" s="187"/>
      <c r="F509" s="188"/>
      <c r="G509" s="189"/>
      <c r="H509" s="190"/>
      <c r="I509" s="191"/>
      <c r="J509" s="192"/>
      <c r="K509" s="193"/>
      <c r="L509" s="194"/>
      <c r="M509" s="192"/>
      <c r="N509" s="193"/>
      <c r="O509" s="194"/>
      <c r="P509" s="192"/>
      <c r="Q509" s="195"/>
      <c r="R509" s="196"/>
    </row>
    <row r="510" customFormat="false" ht="16.5" hidden="true" customHeight="false" outlineLevel="0" collapsed="false">
      <c r="D510" s="186"/>
      <c r="E510" s="187"/>
      <c r="F510" s="188"/>
      <c r="G510" s="189"/>
      <c r="H510" s="190"/>
      <c r="I510" s="191"/>
      <c r="J510" s="192"/>
      <c r="K510" s="193"/>
      <c r="L510" s="194"/>
      <c r="M510" s="192"/>
      <c r="N510" s="193"/>
      <c r="O510" s="194"/>
      <c r="P510" s="192"/>
      <c r="Q510" s="195"/>
      <c r="R510" s="196"/>
    </row>
    <row r="511" customFormat="false" ht="16.5" hidden="true" customHeight="false" outlineLevel="0" collapsed="false">
      <c r="D511" s="186"/>
      <c r="E511" s="187"/>
      <c r="F511" s="188"/>
      <c r="G511" s="189"/>
      <c r="H511" s="190"/>
      <c r="I511" s="191"/>
      <c r="J511" s="192"/>
      <c r="K511" s="193"/>
      <c r="L511" s="194"/>
      <c r="M511" s="192"/>
      <c r="N511" s="193"/>
      <c r="O511" s="194"/>
      <c r="P511" s="192"/>
      <c r="Q511" s="195"/>
      <c r="R511" s="196"/>
    </row>
    <row r="512" customFormat="false" ht="16.5" hidden="true" customHeight="false" outlineLevel="0" collapsed="false">
      <c r="D512" s="186"/>
      <c r="E512" s="187"/>
      <c r="F512" s="188"/>
      <c r="G512" s="189"/>
      <c r="H512" s="190"/>
      <c r="I512" s="191"/>
      <c r="J512" s="192"/>
      <c r="K512" s="193"/>
      <c r="L512" s="194"/>
      <c r="M512" s="192"/>
      <c r="N512" s="193"/>
      <c r="O512" s="194"/>
      <c r="P512" s="192"/>
      <c r="Q512" s="195"/>
      <c r="R512" s="196"/>
    </row>
    <row r="513" customFormat="false" ht="16.5" hidden="true" customHeight="false" outlineLevel="0" collapsed="false">
      <c r="D513" s="186"/>
      <c r="E513" s="187"/>
      <c r="F513" s="188"/>
      <c r="G513" s="189"/>
      <c r="H513" s="190"/>
      <c r="I513" s="191"/>
      <c r="J513" s="192"/>
      <c r="K513" s="193"/>
      <c r="L513" s="194"/>
      <c r="M513" s="192"/>
      <c r="N513" s="193"/>
      <c r="O513" s="194"/>
      <c r="P513" s="192"/>
      <c r="Q513" s="195"/>
      <c r="R513" s="196"/>
    </row>
    <row r="514" customFormat="false" ht="16.5" hidden="true" customHeight="false" outlineLevel="0" collapsed="false">
      <c r="D514" s="186"/>
      <c r="E514" s="187"/>
      <c r="F514" s="188"/>
      <c r="G514" s="189"/>
      <c r="H514" s="190"/>
      <c r="I514" s="191"/>
      <c r="J514" s="192"/>
      <c r="K514" s="193"/>
      <c r="L514" s="194"/>
      <c r="M514" s="192"/>
      <c r="N514" s="193"/>
      <c r="O514" s="194"/>
      <c r="P514" s="192"/>
      <c r="Q514" s="195"/>
      <c r="R514" s="196"/>
    </row>
    <row r="515" customFormat="false" ht="16.5" hidden="true" customHeight="false" outlineLevel="0" collapsed="false">
      <c r="D515" s="186"/>
      <c r="E515" s="187"/>
      <c r="F515" s="188"/>
      <c r="G515" s="189"/>
      <c r="H515" s="190"/>
      <c r="I515" s="191"/>
      <c r="J515" s="192"/>
      <c r="K515" s="193"/>
      <c r="L515" s="194"/>
      <c r="M515" s="192"/>
      <c r="N515" s="193"/>
      <c r="O515" s="194"/>
      <c r="P515" s="192"/>
      <c r="Q515" s="195"/>
      <c r="R515" s="196"/>
    </row>
    <row r="516" customFormat="false" ht="16.5" hidden="true" customHeight="false" outlineLevel="0" collapsed="false">
      <c r="D516" s="186"/>
      <c r="E516" s="187"/>
      <c r="F516" s="188"/>
      <c r="G516" s="189"/>
      <c r="H516" s="190"/>
      <c r="I516" s="191"/>
      <c r="J516" s="192"/>
      <c r="K516" s="193"/>
      <c r="L516" s="194"/>
      <c r="M516" s="192"/>
      <c r="N516" s="193"/>
      <c r="O516" s="194"/>
      <c r="P516" s="192"/>
      <c r="Q516" s="195"/>
      <c r="R516" s="196"/>
    </row>
    <row r="517" customFormat="false" ht="16.5" hidden="true" customHeight="false" outlineLevel="0" collapsed="false">
      <c r="D517" s="186"/>
      <c r="E517" s="187"/>
      <c r="F517" s="188"/>
      <c r="G517" s="189"/>
      <c r="H517" s="190"/>
      <c r="I517" s="191"/>
      <c r="J517" s="192"/>
      <c r="K517" s="193"/>
      <c r="L517" s="194"/>
      <c r="M517" s="192"/>
      <c r="N517" s="193"/>
      <c r="O517" s="194"/>
      <c r="P517" s="192"/>
      <c r="Q517" s="195"/>
      <c r="R517" s="196"/>
    </row>
    <row r="518" customFormat="false" ht="16.5" hidden="true" customHeight="false" outlineLevel="0" collapsed="false">
      <c r="D518" s="186"/>
      <c r="E518" s="187"/>
      <c r="F518" s="188"/>
      <c r="G518" s="189"/>
      <c r="H518" s="190"/>
      <c r="I518" s="191"/>
      <c r="J518" s="192"/>
      <c r="K518" s="193"/>
      <c r="L518" s="194"/>
      <c r="M518" s="192"/>
      <c r="N518" s="193"/>
      <c r="O518" s="194"/>
      <c r="P518" s="192"/>
      <c r="Q518" s="195"/>
      <c r="R518" s="196"/>
    </row>
    <row r="519" customFormat="false" ht="16.5" hidden="true" customHeight="false" outlineLevel="0" collapsed="false">
      <c r="D519" s="186"/>
      <c r="E519" s="187"/>
      <c r="F519" s="188"/>
      <c r="G519" s="189"/>
      <c r="H519" s="190"/>
      <c r="I519" s="191"/>
      <c r="J519" s="192"/>
      <c r="K519" s="193"/>
      <c r="L519" s="194"/>
      <c r="M519" s="192"/>
      <c r="N519" s="193"/>
      <c r="O519" s="194"/>
      <c r="P519" s="192"/>
      <c r="Q519" s="195"/>
      <c r="R519" s="196"/>
    </row>
    <row r="520" customFormat="false" ht="16.5" hidden="true" customHeight="false" outlineLevel="0" collapsed="false">
      <c r="D520" s="186"/>
      <c r="E520" s="187"/>
      <c r="F520" s="188"/>
      <c r="G520" s="189"/>
      <c r="H520" s="190"/>
      <c r="I520" s="191"/>
      <c r="J520" s="192"/>
      <c r="K520" s="193"/>
      <c r="L520" s="194"/>
      <c r="M520" s="192"/>
      <c r="N520" s="193"/>
      <c r="O520" s="194"/>
      <c r="P520" s="192"/>
      <c r="Q520" s="195"/>
      <c r="R520" s="196"/>
    </row>
    <row r="521" customFormat="false" ht="16.5" hidden="true" customHeight="false" outlineLevel="0" collapsed="false">
      <c r="D521" s="186"/>
      <c r="E521" s="187"/>
      <c r="F521" s="188"/>
      <c r="G521" s="189"/>
      <c r="H521" s="190"/>
      <c r="I521" s="191"/>
      <c r="J521" s="192"/>
      <c r="K521" s="193"/>
      <c r="L521" s="194"/>
      <c r="M521" s="192"/>
      <c r="N521" s="193"/>
      <c r="O521" s="194"/>
      <c r="P521" s="192"/>
      <c r="Q521" s="195"/>
      <c r="R521" s="196"/>
    </row>
    <row r="522" customFormat="false" ht="16.5" hidden="true" customHeight="false" outlineLevel="0" collapsed="false">
      <c r="D522" s="186"/>
      <c r="E522" s="187"/>
      <c r="F522" s="188"/>
      <c r="G522" s="189"/>
      <c r="H522" s="190"/>
      <c r="I522" s="191"/>
      <c r="J522" s="192"/>
      <c r="K522" s="193"/>
      <c r="L522" s="194"/>
      <c r="M522" s="192"/>
      <c r="N522" s="193"/>
      <c r="O522" s="194"/>
      <c r="P522" s="192"/>
      <c r="Q522" s="195"/>
      <c r="R522" s="196"/>
    </row>
    <row r="523" customFormat="false" ht="16.5" hidden="true" customHeight="false" outlineLevel="0" collapsed="false">
      <c r="D523" s="186"/>
      <c r="E523" s="187"/>
      <c r="F523" s="188"/>
      <c r="G523" s="189"/>
      <c r="H523" s="190"/>
      <c r="I523" s="191"/>
      <c r="J523" s="192"/>
      <c r="K523" s="193"/>
      <c r="L523" s="194"/>
      <c r="M523" s="192"/>
      <c r="N523" s="193"/>
      <c r="O523" s="194"/>
      <c r="P523" s="192"/>
      <c r="Q523" s="195"/>
      <c r="R523" s="196"/>
    </row>
    <row r="524" customFormat="false" ht="16.5" hidden="true" customHeight="false" outlineLevel="0" collapsed="false">
      <c r="D524" s="186"/>
      <c r="E524" s="187"/>
      <c r="F524" s="188"/>
      <c r="G524" s="189"/>
      <c r="H524" s="190"/>
      <c r="I524" s="191"/>
      <c r="J524" s="192"/>
      <c r="K524" s="193"/>
      <c r="L524" s="194"/>
      <c r="M524" s="192"/>
      <c r="N524" s="193"/>
      <c r="O524" s="194"/>
      <c r="P524" s="192"/>
      <c r="Q524" s="195"/>
      <c r="R524" s="196"/>
    </row>
    <row r="525" customFormat="false" ht="16.5" hidden="true" customHeight="false" outlineLevel="0" collapsed="false">
      <c r="D525" s="186"/>
      <c r="E525" s="187"/>
      <c r="F525" s="188"/>
      <c r="G525" s="189"/>
      <c r="H525" s="190"/>
      <c r="I525" s="191"/>
      <c r="J525" s="192"/>
      <c r="K525" s="193"/>
      <c r="L525" s="194"/>
      <c r="M525" s="192"/>
      <c r="N525" s="193"/>
      <c r="O525" s="194"/>
      <c r="P525" s="192"/>
      <c r="Q525" s="195"/>
      <c r="R525" s="196"/>
    </row>
    <row r="526" customFormat="false" ht="16.5" hidden="true" customHeight="false" outlineLevel="0" collapsed="false">
      <c r="D526" s="186"/>
      <c r="E526" s="187"/>
      <c r="F526" s="188"/>
      <c r="G526" s="189"/>
      <c r="H526" s="190"/>
      <c r="I526" s="191"/>
      <c r="J526" s="192"/>
      <c r="K526" s="193"/>
      <c r="L526" s="194"/>
      <c r="M526" s="192"/>
      <c r="N526" s="193"/>
      <c r="O526" s="194"/>
      <c r="P526" s="192"/>
      <c r="Q526" s="195"/>
      <c r="R526" s="196"/>
    </row>
    <row r="527" customFormat="false" ht="16.5" hidden="true" customHeight="false" outlineLevel="0" collapsed="false">
      <c r="D527" s="186"/>
      <c r="E527" s="187"/>
      <c r="F527" s="188"/>
      <c r="G527" s="189"/>
      <c r="H527" s="190"/>
      <c r="I527" s="191"/>
      <c r="J527" s="192"/>
      <c r="K527" s="193"/>
      <c r="L527" s="194"/>
      <c r="M527" s="192"/>
      <c r="N527" s="193"/>
      <c r="O527" s="194"/>
      <c r="P527" s="192"/>
      <c r="Q527" s="195"/>
      <c r="R527" s="196"/>
    </row>
    <row r="528" customFormat="false" ht="16.5" hidden="true" customHeight="false" outlineLevel="0" collapsed="false">
      <c r="D528" s="186"/>
      <c r="E528" s="187"/>
      <c r="F528" s="188"/>
      <c r="G528" s="189"/>
      <c r="H528" s="190"/>
      <c r="I528" s="191"/>
      <c r="J528" s="192"/>
      <c r="K528" s="193"/>
      <c r="L528" s="194"/>
      <c r="M528" s="192"/>
      <c r="N528" s="193"/>
      <c r="O528" s="194"/>
      <c r="P528" s="192"/>
      <c r="Q528" s="195"/>
      <c r="R528" s="196"/>
    </row>
    <row r="529" customFormat="false" ht="16.5" hidden="true" customHeight="false" outlineLevel="0" collapsed="false">
      <c r="D529" s="186"/>
      <c r="E529" s="187"/>
      <c r="F529" s="188"/>
      <c r="G529" s="189"/>
      <c r="H529" s="190"/>
      <c r="I529" s="191"/>
      <c r="J529" s="192"/>
      <c r="K529" s="193"/>
      <c r="L529" s="194"/>
      <c r="M529" s="192"/>
      <c r="N529" s="193"/>
      <c r="O529" s="194"/>
      <c r="P529" s="192"/>
      <c r="Q529" s="195"/>
      <c r="R529" s="196"/>
    </row>
    <row r="530" customFormat="false" ht="16.5" hidden="true" customHeight="false" outlineLevel="0" collapsed="false">
      <c r="D530" s="186"/>
      <c r="E530" s="187"/>
      <c r="F530" s="188"/>
      <c r="G530" s="189"/>
      <c r="H530" s="190"/>
      <c r="I530" s="191"/>
      <c r="J530" s="192"/>
      <c r="K530" s="193"/>
      <c r="L530" s="194"/>
      <c r="M530" s="192"/>
      <c r="N530" s="193"/>
      <c r="O530" s="194"/>
      <c r="P530" s="192"/>
      <c r="Q530" s="195"/>
      <c r="R530" s="196"/>
    </row>
    <row r="531" customFormat="false" ht="16.5" hidden="true" customHeight="false" outlineLevel="0" collapsed="false">
      <c r="D531" s="186"/>
      <c r="E531" s="187"/>
      <c r="F531" s="188"/>
      <c r="G531" s="189"/>
      <c r="H531" s="190"/>
      <c r="I531" s="191"/>
      <c r="J531" s="192"/>
      <c r="K531" s="193"/>
      <c r="L531" s="194"/>
      <c r="M531" s="192"/>
      <c r="N531" s="193"/>
      <c r="O531" s="194"/>
      <c r="P531" s="192"/>
      <c r="Q531" s="195"/>
      <c r="R531" s="196"/>
    </row>
    <row r="532" customFormat="false" ht="16.5" hidden="true" customHeight="false" outlineLevel="0" collapsed="false">
      <c r="D532" s="186"/>
      <c r="E532" s="187"/>
      <c r="F532" s="188"/>
      <c r="G532" s="189"/>
      <c r="H532" s="190"/>
      <c r="I532" s="191"/>
      <c r="J532" s="192"/>
      <c r="K532" s="193"/>
      <c r="L532" s="194"/>
      <c r="M532" s="192"/>
      <c r="N532" s="193"/>
      <c r="O532" s="194"/>
      <c r="P532" s="192"/>
      <c r="Q532" s="195"/>
      <c r="R532" s="196"/>
    </row>
    <row r="533" customFormat="false" ht="16.5" hidden="true" customHeight="false" outlineLevel="0" collapsed="false">
      <c r="D533" s="186"/>
      <c r="E533" s="187"/>
      <c r="F533" s="188"/>
      <c r="G533" s="189"/>
      <c r="H533" s="190"/>
      <c r="I533" s="191"/>
      <c r="J533" s="192"/>
      <c r="K533" s="193"/>
      <c r="L533" s="194"/>
      <c r="M533" s="192"/>
      <c r="N533" s="193"/>
      <c r="O533" s="194"/>
      <c r="P533" s="192"/>
      <c r="Q533" s="195"/>
      <c r="R533" s="196"/>
    </row>
    <row r="534" customFormat="false" ht="16.5" hidden="true" customHeight="false" outlineLevel="0" collapsed="false">
      <c r="D534" s="186"/>
      <c r="E534" s="187"/>
      <c r="F534" s="188"/>
      <c r="G534" s="189"/>
      <c r="H534" s="190"/>
      <c r="I534" s="191"/>
      <c r="J534" s="192"/>
      <c r="K534" s="193"/>
      <c r="L534" s="194"/>
      <c r="M534" s="192"/>
      <c r="N534" s="193"/>
      <c r="O534" s="194"/>
      <c r="P534" s="192"/>
      <c r="Q534" s="195"/>
      <c r="R534" s="196"/>
    </row>
    <row r="535" customFormat="false" ht="16.5" hidden="true" customHeight="false" outlineLevel="0" collapsed="false">
      <c r="D535" s="186"/>
      <c r="E535" s="187"/>
      <c r="F535" s="188"/>
      <c r="G535" s="189"/>
      <c r="H535" s="190"/>
      <c r="I535" s="191"/>
      <c r="J535" s="192"/>
      <c r="K535" s="193"/>
      <c r="L535" s="194"/>
      <c r="M535" s="192"/>
      <c r="N535" s="193"/>
      <c r="O535" s="194"/>
      <c r="P535" s="192"/>
      <c r="Q535" s="195"/>
      <c r="R535" s="196"/>
    </row>
    <row r="536" customFormat="false" ht="16.5" hidden="true" customHeight="false" outlineLevel="0" collapsed="false">
      <c r="D536" s="186"/>
      <c r="E536" s="187"/>
      <c r="F536" s="188"/>
      <c r="G536" s="189"/>
      <c r="H536" s="190"/>
      <c r="I536" s="191"/>
      <c r="J536" s="192"/>
      <c r="K536" s="193"/>
      <c r="L536" s="194"/>
      <c r="M536" s="192"/>
      <c r="N536" s="193"/>
      <c r="O536" s="194"/>
      <c r="P536" s="192"/>
      <c r="Q536" s="195"/>
      <c r="R536" s="196"/>
    </row>
    <row r="537" customFormat="false" ht="16.5" hidden="true" customHeight="false" outlineLevel="0" collapsed="false">
      <c r="D537" s="186"/>
      <c r="E537" s="187"/>
      <c r="F537" s="188"/>
      <c r="G537" s="189"/>
      <c r="H537" s="190"/>
      <c r="I537" s="191"/>
      <c r="J537" s="192"/>
      <c r="K537" s="193"/>
      <c r="L537" s="194"/>
      <c r="M537" s="192"/>
      <c r="N537" s="193"/>
      <c r="O537" s="194"/>
      <c r="P537" s="192"/>
      <c r="Q537" s="195"/>
      <c r="R537" s="196"/>
    </row>
    <row r="538" customFormat="false" ht="16.5" hidden="true" customHeight="false" outlineLevel="0" collapsed="false">
      <c r="D538" s="186"/>
      <c r="E538" s="187"/>
      <c r="F538" s="188"/>
      <c r="G538" s="189"/>
      <c r="H538" s="190"/>
      <c r="I538" s="191"/>
      <c r="J538" s="192"/>
      <c r="K538" s="193"/>
      <c r="L538" s="194"/>
      <c r="M538" s="192"/>
      <c r="N538" s="193"/>
      <c r="O538" s="194"/>
      <c r="P538" s="192"/>
      <c r="Q538" s="195"/>
      <c r="R538" s="196"/>
    </row>
    <row r="539" customFormat="false" ht="16.5" hidden="true" customHeight="false" outlineLevel="0" collapsed="false">
      <c r="D539" s="186"/>
      <c r="E539" s="187"/>
      <c r="F539" s="188"/>
      <c r="G539" s="189"/>
      <c r="H539" s="190"/>
      <c r="I539" s="191"/>
      <c r="J539" s="192"/>
      <c r="K539" s="193"/>
      <c r="L539" s="194"/>
      <c r="M539" s="192"/>
      <c r="N539" s="193"/>
      <c r="O539" s="194"/>
      <c r="P539" s="192"/>
      <c r="Q539" s="195"/>
      <c r="R539" s="196"/>
    </row>
    <row r="540" customFormat="false" ht="16.5" hidden="true" customHeight="false" outlineLevel="0" collapsed="false">
      <c r="D540" s="186"/>
      <c r="E540" s="187"/>
      <c r="F540" s="188"/>
      <c r="G540" s="189"/>
      <c r="H540" s="190"/>
      <c r="I540" s="191"/>
      <c r="J540" s="192"/>
      <c r="K540" s="193"/>
      <c r="L540" s="194"/>
      <c r="M540" s="192"/>
      <c r="N540" s="193"/>
      <c r="O540" s="194"/>
      <c r="P540" s="192"/>
      <c r="Q540" s="195"/>
      <c r="R540" s="196"/>
    </row>
    <row r="541" customFormat="false" ht="16.5" hidden="true" customHeight="false" outlineLevel="0" collapsed="false">
      <c r="D541" s="186"/>
      <c r="E541" s="187"/>
      <c r="F541" s="188"/>
      <c r="G541" s="189"/>
      <c r="H541" s="190"/>
      <c r="I541" s="191"/>
      <c r="J541" s="192"/>
      <c r="K541" s="193"/>
      <c r="L541" s="194"/>
      <c r="M541" s="192"/>
      <c r="N541" s="193"/>
      <c r="O541" s="194"/>
      <c r="P541" s="192"/>
      <c r="Q541" s="195"/>
      <c r="R541" s="196"/>
    </row>
    <row r="542" customFormat="false" ht="16.5" hidden="true" customHeight="false" outlineLevel="0" collapsed="false">
      <c r="D542" s="186"/>
      <c r="E542" s="187"/>
      <c r="F542" s="188"/>
      <c r="G542" s="189"/>
      <c r="H542" s="190"/>
      <c r="I542" s="191"/>
      <c r="J542" s="192"/>
      <c r="K542" s="193"/>
      <c r="L542" s="194"/>
      <c r="M542" s="192"/>
      <c r="N542" s="193"/>
      <c r="O542" s="194"/>
      <c r="P542" s="192"/>
      <c r="Q542" s="195"/>
      <c r="R542" s="196"/>
    </row>
    <row r="543" customFormat="false" ht="16.5" hidden="true" customHeight="false" outlineLevel="0" collapsed="false">
      <c r="D543" s="186"/>
      <c r="E543" s="187"/>
      <c r="F543" s="188"/>
      <c r="G543" s="189"/>
      <c r="H543" s="190"/>
      <c r="I543" s="191"/>
      <c r="J543" s="192"/>
      <c r="K543" s="193"/>
      <c r="L543" s="194"/>
      <c r="M543" s="192"/>
      <c r="N543" s="193"/>
      <c r="O543" s="194"/>
      <c r="P543" s="192"/>
      <c r="Q543" s="195"/>
      <c r="R543" s="196"/>
    </row>
    <row r="544" customFormat="false" ht="16.5" hidden="true" customHeight="false" outlineLevel="0" collapsed="false">
      <c r="D544" s="186"/>
      <c r="E544" s="187"/>
      <c r="F544" s="188"/>
      <c r="G544" s="189"/>
      <c r="H544" s="190"/>
      <c r="I544" s="191"/>
      <c r="J544" s="192"/>
      <c r="K544" s="193"/>
      <c r="L544" s="194"/>
      <c r="M544" s="192"/>
      <c r="N544" s="193"/>
      <c r="O544" s="194"/>
      <c r="P544" s="192"/>
      <c r="Q544" s="195"/>
      <c r="R544" s="196"/>
    </row>
    <row r="545" customFormat="false" ht="16.5" hidden="true" customHeight="false" outlineLevel="0" collapsed="false">
      <c r="D545" s="186"/>
      <c r="E545" s="187"/>
      <c r="F545" s="188"/>
      <c r="G545" s="189"/>
      <c r="H545" s="190"/>
      <c r="I545" s="191"/>
      <c r="J545" s="192"/>
      <c r="K545" s="193"/>
      <c r="L545" s="194"/>
      <c r="M545" s="192"/>
      <c r="N545" s="193"/>
      <c r="O545" s="194"/>
      <c r="P545" s="192"/>
      <c r="Q545" s="195"/>
      <c r="R545" s="196"/>
    </row>
    <row r="546" customFormat="false" ht="16.5" hidden="true" customHeight="false" outlineLevel="0" collapsed="false">
      <c r="D546" s="186"/>
      <c r="E546" s="187"/>
      <c r="F546" s="188"/>
      <c r="G546" s="189"/>
      <c r="H546" s="190"/>
      <c r="I546" s="191"/>
      <c r="J546" s="192"/>
      <c r="K546" s="193"/>
      <c r="L546" s="194"/>
      <c r="M546" s="192"/>
      <c r="N546" s="193"/>
      <c r="O546" s="194"/>
      <c r="P546" s="192"/>
      <c r="Q546" s="195"/>
      <c r="R546" s="196"/>
    </row>
    <row r="547" customFormat="false" ht="16.5" hidden="true" customHeight="false" outlineLevel="0" collapsed="false">
      <c r="D547" s="186"/>
      <c r="E547" s="187"/>
      <c r="F547" s="188"/>
      <c r="G547" s="189"/>
      <c r="H547" s="190"/>
      <c r="I547" s="191"/>
      <c r="J547" s="192"/>
      <c r="K547" s="193"/>
      <c r="L547" s="194"/>
      <c r="M547" s="192"/>
      <c r="N547" s="193"/>
      <c r="O547" s="194"/>
      <c r="P547" s="192"/>
      <c r="Q547" s="195"/>
      <c r="R547" s="196"/>
    </row>
    <row r="548" customFormat="false" ht="16.5" hidden="true" customHeight="false" outlineLevel="0" collapsed="false">
      <c r="D548" s="186"/>
      <c r="E548" s="187"/>
      <c r="F548" s="188"/>
      <c r="G548" s="189"/>
      <c r="H548" s="190"/>
      <c r="I548" s="191"/>
      <c r="J548" s="192"/>
      <c r="K548" s="193"/>
      <c r="L548" s="194"/>
      <c r="M548" s="192"/>
      <c r="N548" s="193"/>
      <c r="O548" s="194"/>
      <c r="P548" s="192"/>
      <c r="Q548" s="195"/>
      <c r="R548" s="196"/>
    </row>
    <row r="549" customFormat="false" ht="16.5" hidden="true" customHeight="false" outlineLevel="0" collapsed="false">
      <c r="D549" s="186"/>
      <c r="E549" s="187"/>
      <c r="F549" s="188"/>
      <c r="G549" s="189"/>
      <c r="H549" s="190"/>
      <c r="I549" s="191"/>
      <c r="J549" s="192"/>
      <c r="K549" s="193"/>
      <c r="L549" s="194"/>
      <c r="M549" s="192"/>
      <c r="N549" s="193"/>
      <c r="O549" s="194"/>
      <c r="P549" s="192"/>
      <c r="Q549" s="195"/>
      <c r="R549" s="196"/>
    </row>
    <row r="550" customFormat="false" ht="16.5" hidden="true" customHeight="false" outlineLevel="0" collapsed="false">
      <c r="D550" s="186"/>
      <c r="E550" s="187"/>
      <c r="F550" s="188"/>
      <c r="G550" s="189"/>
      <c r="H550" s="190"/>
      <c r="I550" s="191"/>
      <c r="J550" s="192"/>
      <c r="K550" s="193"/>
      <c r="L550" s="194"/>
      <c r="M550" s="192"/>
      <c r="N550" s="193"/>
      <c r="O550" s="194"/>
      <c r="P550" s="192"/>
      <c r="Q550" s="195"/>
      <c r="R550" s="196"/>
    </row>
    <row r="551" customFormat="false" ht="16.5" hidden="true" customHeight="false" outlineLevel="0" collapsed="false">
      <c r="D551" s="186"/>
      <c r="E551" s="187"/>
      <c r="F551" s="188"/>
      <c r="G551" s="189"/>
      <c r="H551" s="190"/>
      <c r="I551" s="191"/>
      <c r="J551" s="192"/>
      <c r="K551" s="193"/>
      <c r="L551" s="194"/>
      <c r="M551" s="192"/>
      <c r="N551" s="193"/>
      <c r="O551" s="194"/>
      <c r="P551" s="192"/>
      <c r="Q551" s="195"/>
      <c r="R551" s="196"/>
    </row>
    <row r="552" customFormat="false" ht="16.5" hidden="true" customHeight="false" outlineLevel="0" collapsed="false">
      <c r="D552" s="186"/>
      <c r="E552" s="187"/>
      <c r="F552" s="188"/>
      <c r="G552" s="189"/>
      <c r="H552" s="190"/>
      <c r="I552" s="191"/>
      <c r="J552" s="192"/>
      <c r="K552" s="193"/>
      <c r="L552" s="194"/>
      <c r="M552" s="192"/>
      <c r="N552" s="193"/>
      <c r="O552" s="194"/>
      <c r="P552" s="192"/>
      <c r="Q552" s="195"/>
      <c r="R552" s="196"/>
    </row>
    <row r="553" customFormat="false" ht="16.5" hidden="true" customHeight="false" outlineLevel="0" collapsed="false">
      <c r="D553" s="186"/>
      <c r="E553" s="187"/>
      <c r="F553" s="188"/>
      <c r="G553" s="189"/>
      <c r="H553" s="190"/>
      <c r="I553" s="191"/>
      <c r="J553" s="192"/>
      <c r="K553" s="193"/>
      <c r="L553" s="194"/>
      <c r="M553" s="192"/>
      <c r="N553" s="193"/>
      <c r="O553" s="194"/>
      <c r="P553" s="192"/>
      <c r="Q553" s="195"/>
      <c r="R553" s="196"/>
    </row>
    <row r="554" customFormat="false" ht="16.5" hidden="true" customHeight="false" outlineLevel="0" collapsed="false">
      <c r="D554" s="186"/>
      <c r="E554" s="187"/>
      <c r="F554" s="188"/>
      <c r="G554" s="189"/>
      <c r="H554" s="190"/>
      <c r="I554" s="191"/>
      <c r="J554" s="192"/>
      <c r="K554" s="193"/>
      <c r="L554" s="194"/>
      <c r="M554" s="192"/>
      <c r="N554" s="193"/>
      <c r="O554" s="194"/>
      <c r="P554" s="192"/>
      <c r="Q554" s="195"/>
      <c r="R554" s="196"/>
    </row>
    <row r="555" customFormat="false" ht="16.5" hidden="true" customHeight="false" outlineLevel="0" collapsed="false">
      <c r="D555" s="186"/>
      <c r="E555" s="187"/>
      <c r="F555" s="188"/>
      <c r="G555" s="189"/>
      <c r="H555" s="190"/>
      <c r="I555" s="191"/>
      <c r="J555" s="192"/>
      <c r="K555" s="193"/>
      <c r="L555" s="194"/>
      <c r="M555" s="192"/>
      <c r="N555" s="193"/>
      <c r="O555" s="194"/>
      <c r="P555" s="192"/>
      <c r="Q555" s="195"/>
      <c r="R555" s="196"/>
    </row>
    <row r="556" customFormat="false" ht="16.5" hidden="true" customHeight="false" outlineLevel="0" collapsed="false">
      <c r="D556" s="186"/>
      <c r="E556" s="187"/>
      <c r="F556" s="188"/>
      <c r="G556" s="189"/>
      <c r="H556" s="190"/>
      <c r="I556" s="191"/>
      <c r="J556" s="192"/>
      <c r="K556" s="193"/>
      <c r="L556" s="194"/>
      <c r="M556" s="192"/>
      <c r="N556" s="193"/>
      <c r="O556" s="194"/>
      <c r="P556" s="192"/>
      <c r="Q556" s="195"/>
      <c r="R556" s="196"/>
    </row>
    <row r="557" customFormat="false" ht="16.5" hidden="true" customHeight="false" outlineLevel="0" collapsed="false">
      <c r="D557" s="186"/>
      <c r="E557" s="187"/>
      <c r="F557" s="188"/>
      <c r="G557" s="189"/>
      <c r="H557" s="190"/>
      <c r="I557" s="191"/>
      <c r="J557" s="192"/>
      <c r="K557" s="193"/>
      <c r="L557" s="194"/>
      <c r="M557" s="192"/>
      <c r="N557" s="193"/>
      <c r="O557" s="194"/>
      <c r="P557" s="192"/>
      <c r="Q557" s="195"/>
      <c r="R557" s="196"/>
    </row>
    <row r="558" customFormat="false" ht="16.5" hidden="true" customHeight="false" outlineLevel="0" collapsed="false">
      <c r="D558" s="186"/>
      <c r="E558" s="187"/>
      <c r="F558" s="188"/>
      <c r="G558" s="189"/>
      <c r="H558" s="190"/>
      <c r="I558" s="191"/>
      <c r="J558" s="192"/>
      <c r="K558" s="193"/>
      <c r="L558" s="194"/>
      <c r="M558" s="192"/>
      <c r="N558" s="193"/>
      <c r="O558" s="194"/>
      <c r="P558" s="192"/>
      <c r="Q558" s="195"/>
      <c r="R558" s="196"/>
    </row>
    <row r="559" customFormat="false" ht="16.5" hidden="true" customHeight="false" outlineLevel="0" collapsed="false">
      <c r="D559" s="186"/>
      <c r="E559" s="187"/>
      <c r="F559" s="188"/>
      <c r="G559" s="189"/>
      <c r="H559" s="190"/>
      <c r="I559" s="191"/>
      <c r="J559" s="192"/>
      <c r="K559" s="193"/>
      <c r="L559" s="194"/>
      <c r="M559" s="192"/>
      <c r="N559" s="193"/>
      <c r="O559" s="194"/>
      <c r="P559" s="192"/>
      <c r="Q559" s="195"/>
      <c r="R559" s="196"/>
    </row>
    <row r="560" customFormat="false" ht="16.5" hidden="true" customHeight="false" outlineLevel="0" collapsed="false">
      <c r="D560" s="186"/>
      <c r="E560" s="187"/>
      <c r="F560" s="188"/>
      <c r="G560" s="189"/>
      <c r="H560" s="190"/>
      <c r="I560" s="191"/>
      <c r="J560" s="192"/>
      <c r="K560" s="193"/>
      <c r="L560" s="194"/>
      <c r="M560" s="192"/>
      <c r="N560" s="193"/>
      <c r="O560" s="194"/>
      <c r="P560" s="192"/>
      <c r="Q560" s="195"/>
      <c r="R560" s="196"/>
    </row>
    <row r="561" customFormat="false" ht="16.5" hidden="true" customHeight="false" outlineLevel="0" collapsed="false">
      <c r="D561" s="186"/>
      <c r="E561" s="187"/>
      <c r="F561" s="188"/>
      <c r="G561" s="189"/>
      <c r="H561" s="190"/>
      <c r="I561" s="191"/>
      <c r="J561" s="192"/>
      <c r="K561" s="193"/>
      <c r="L561" s="194"/>
      <c r="M561" s="192"/>
      <c r="N561" s="193"/>
      <c r="O561" s="194"/>
      <c r="P561" s="192"/>
      <c r="Q561" s="195"/>
      <c r="R561" s="196"/>
    </row>
    <row r="562" customFormat="false" ht="16.5" hidden="true" customHeight="false" outlineLevel="0" collapsed="false">
      <c r="D562" s="186"/>
      <c r="E562" s="187"/>
      <c r="F562" s="188"/>
      <c r="G562" s="189"/>
      <c r="H562" s="190"/>
      <c r="I562" s="191"/>
      <c r="J562" s="192"/>
      <c r="K562" s="193"/>
      <c r="L562" s="194"/>
      <c r="M562" s="192"/>
      <c r="N562" s="193"/>
      <c r="O562" s="194"/>
      <c r="P562" s="192"/>
      <c r="Q562" s="195"/>
      <c r="R562" s="196"/>
    </row>
    <row r="563" customFormat="false" ht="16.5" hidden="true" customHeight="false" outlineLevel="0" collapsed="false">
      <c r="D563" s="186"/>
      <c r="E563" s="187"/>
      <c r="F563" s="188"/>
      <c r="G563" s="189"/>
      <c r="H563" s="190"/>
      <c r="I563" s="191"/>
      <c r="J563" s="192"/>
      <c r="K563" s="193"/>
      <c r="L563" s="194"/>
      <c r="M563" s="192"/>
      <c r="N563" s="193"/>
      <c r="O563" s="194"/>
      <c r="P563" s="192"/>
      <c r="Q563" s="195"/>
      <c r="R563" s="196"/>
    </row>
    <row r="564" customFormat="false" ht="16.5" hidden="true" customHeight="false" outlineLevel="0" collapsed="false">
      <c r="D564" s="186"/>
      <c r="E564" s="187"/>
      <c r="F564" s="188"/>
      <c r="G564" s="189"/>
      <c r="H564" s="190"/>
      <c r="I564" s="191"/>
      <c r="J564" s="192"/>
      <c r="K564" s="193"/>
      <c r="L564" s="194"/>
      <c r="M564" s="192"/>
      <c r="N564" s="193"/>
      <c r="O564" s="194"/>
      <c r="P564" s="192"/>
      <c r="Q564" s="195"/>
      <c r="R564" s="196"/>
    </row>
    <row r="565" customFormat="false" ht="16.5" hidden="true" customHeight="false" outlineLevel="0" collapsed="false">
      <c r="D565" s="186"/>
      <c r="E565" s="187"/>
      <c r="F565" s="188"/>
      <c r="G565" s="189"/>
      <c r="H565" s="190"/>
      <c r="I565" s="191"/>
      <c r="J565" s="192"/>
      <c r="K565" s="193"/>
      <c r="L565" s="194"/>
      <c r="M565" s="192"/>
      <c r="N565" s="193"/>
      <c r="O565" s="194"/>
      <c r="P565" s="192"/>
      <c r="Q565" s="195"/>
      <c r="R565" s="196"/>
    </row>
    <row r="566" customFormat="false" ht="16.5" hidden="true" customHeight="false" outlineLevel="0" collapsed="false">
      <c r="D566" s="186"/>
      <c r="E566" s="187"/>
      <c r="F566" s="188"/>
      <c r="G566" s="189"/>
      <c r="H566" s="190"/>
      <c r="I566" s="191"/>
      <c r="J566" s="192"/>
      <c r="K566" s="193"/>
      <c r="L566" s="194"/>
      <c r="M566" s="192"/>
      <c r="N566" s="193"/>
      <c r="O566" s="194"/>
      <c r="P566" s="192"/>
      <c r="Q566" s="195"/>
      <c r="R566" s="196"/>
    </row>
    <row r="567" customFormat="false" ht="16.5" hidden="true" customHeight="false" outlineLevel="0" collapsed="false">
      <c r="D567" s="186"/>
      <c r="E567" s="187"/>
      <c r="F567" s="188"/>
      <c r="G567" s="189"/>
      <c r="H567" s="190"/>
      <c r="I567" s="191"/>
      <c r="J567" s="192"/>
      <c r="K567" s="193"/>
      <c r="L567" s="194"/>
      <c r="M567" s="192"/>
      <c r="N567" s="193"/>
      <c r="O567" s="194"/>
      <c r="P567" s="192"/>
      <c r="Q567" s="195"/>
      <c r="R567" s="196"/>
    </row>
    <row r="568" customFormat="false" ht="16.5" hidden="true" customHeight="false" outlineLevel="0" collapsed="false">
      <c r="D568" s="186"/>
      <c r="E568" s="187"/>
      <c r="F568" s="188"/>
      <c r="G568" s="189"/>
      <c r="H568" s="190"/>
      <c r="I568" s="191"/>
      <c r="J568" s="192"/>
      <c r="K568" s="193"/>
      <c r="L568" s="194"/>
      <c r="M568" s="192"/>
      <c r="N568" s="193"/>
      <c r="O568" s="194"/>
      <c r="P568" s="192"/>
      <c r="Q568" s="195"/>
      <c r="R568" s="196"/>
    </row>
    <row r="569" customFormat="false" ht="16.5" hidden="true" customHeight="false" outlineLevel="0" collapsed="false">
      <c r="D569" s="186"/>
      <c r="E569" s="187"/>
      <c r="F569" s="188"/>
      <c r="G569" s="189"/>
      <c r="H569" s="190"/>
      <c r="I569" s="191"/>
      <c r="J569" s="192"/>
      <c r="K569" s="193"/>
      <c r="L569" s="194"/>
      <c r="M569" s="192"/>
      <c r="N569" s="193"/>
      <c r="O569" s="194"/>
      <c r="P569" s="192"/>
      <c r="Q569" s="195"/>
      <c r="R569" s="196"/>
    </row>
    <row r="570" customFormat="false" ht="16.5" hidden="true" customHeight="false" outlineLevel="0" collapsed="false">
      <c r="D570" s="186"/>
      <c r="E570" s="187"/>
      <c r="F570" s="188"/>
      <c r="G570" s="189"/>
      <c r="H570" s="190"/>
      <c r="I570" s="191"/>
      <c r="J570" s="192"/>
      <c r="K570" s="193"/>
      <c r="L570" s="194"/>
      <c r="M570" s="192"/>
      <c r="N570" s="193"/>
      <c r="O570" s="194"/>
      <c r="P570" s="192"/>
      <c r="Q570" s="195"/>
      <c r="R570" s="196"/>
    </row>
    <row r="571" customFormat="false" ht="16.5" hidden="true" customHeight="false" outlineLevel="0" collapsed="false">
      <c r="D571" s="186"/>
      <c r="E571" s="187"/>
      <c r="F571" s="188"/>
      <c r="G571" s="189"/>
      <c r="H571" s="190"/>
      <c r="I571" s="191"/>
      <c r="J571" s="192"/>
      <c r="K571" s="193"/>
      <c r="L571" s="194"/>
      <c r="M571" s="192"/>
      <c r="N571" s="193"/>
      <c r="O571" s="194"/>
      <c r="P571" s="192"/>
      <c r="Q571" s="195"/>
      <c r="R571" s="196"/>
    </row>
    <row r="572" customFormat="false" ht="16.5" hidden="true" customHeight="false" outlineLevel="0" collapsed="false">
      <c r="D572" s="186"/>
      <c r="E572" s="187"/>
      <c r="F572" s="188"/>
      <c r="G572" s="189"/>
      <c r="H572" s="190"/>
      <c r="I572" s="191"/>
      <c r="J572" s="192"/>
      <c r="K572" s="193"/>
      <c r="L572" s="194"/>
      <c r="M572" s="192"/>
      <c r="N572" s="193"/>
      <c r="O572" s="194"/>
      <c r="P572" s="192"/>
      <c r="Q572" s="195"/>
      <c r="R572" s="196"/>
    </row>
    <row r="573" customFormat="false" ht="16.5" hidden="true" customHeight="false" outlineLevel="0" collapsed="false">
      <c r="D573" s="186"/>
      <c r="E573" s="187"/>
      <c r="F573" s="188"/>
      <c r="G573" s="189"/>
      <c r="H573" s="190"/>
      <c r="I573" s="191"/>
      <c r="J573" s="192"/>
      <c r="K573" s="193"/>
      <c r="L573" s="194"/>
      <c r="M573" s="192"/>
      <c r="N573" s="193"/>
      <c r="O573" s="194"/>
      <c r="P573" s="192"/>
      <c r="Q573" s="195"/>
      <c r="R573" s="196"/>
    </row>
    <row r="574" customFormat="false" ht="16.5" hidden="true" customHeight="false" outlineLevel="0" collapsed="false">
      <c r="D574" s="186"/>
      <c r="E574" s="187"/>
      <c r="F574" s="188"/>
      <c r="G574" s="189"/>
      <c r="H574" s="190"/>
      <c r="I574" s="191"/>
      <c r="J574" s="192"/>
      <c r="K574" s="193"/>
      <c r="L574" s="194"/>
      <c r="M574" s="192"/>
      <c r="N574" s="193"/>
      <c r="O574" s="194"/>
      <c r="P574" s="192"/>
      <c r="Q574" s="195"/>
      <c r="R574" s="196"/>
    </row>
    <row r="575" customFormat="false" ht="16.5" hidden="true" customHeight="false" outlineLevel="0" collapsed="false">
      <c r="D575" s="186"/>
      <c r="E575" s="187"/>
      <c r="F575" s="188"/>
      <c r="G575" s="189"/>
      <c r="H575" s="190"/>
      <c r="I575" s="191"/>
      <c r="J575" s="192"/>
      <c r="K575" s="193"/>
      <c r="L575" s="194"/>
      <c r="M575" s="192"/>
      <c r="N575" s="193"/>
      <c r="O575" s="194"/>
      <c r="P575" s="192"/>
      <c r="Q575" s="195"/>
      <c r="R575" s="196"/>
    </row>
    <row r="576" customFormat="false" ht="16.5" hidden="true" customHeight="false" outlineLevel="0" collapsed="false">
      <c r="D576" s="186"/>
      <c r="E576" s="187"/>
      <c r="F576" s="188"/>
      <c r="G576" s="189"/>
      <c r="H576" s="190"/>
      <c r="I576" s="191"/>
      <c r="J576" s="192"/>
      <c r="K576" s="193"/>
      <c r="L576" s="194"/>
      <c r="M576" s="192"/>
      <c r="N576" s="193"/>
      <c r="O576" s="194"/>
      <c r="P576" s="192"/>
      <c r="Q576" s="195"/>
      <c r="R576" s="196"/>
    </row>
    <row r="577" customFormat="false" ht="16.5" hidden="true" customHeight="false" outlineLevel="0" collapsed="false">
      <c r="D577" s="186"/>
      <c r="E577" s="187"/>
      <c r="F577" s="188"/>
      <c r="G577" s="189"/>
      <c r="H577" s="190"/>
      <c r="I577" s="191"/>
      <c r="J577" s="192"/>
      <c r="K577" s="193"/>
      <c r="L577" s="194"/>
      <c r="M577" s="192"/>
      <c r="N577" s="193"/>
      <c r="O577" s="194"/>
      <c r="P577" s="192"/>
      <c r="Q577" s="195"/>
      <c r="R577" s="196"/>
    </row>
    <row r="578" customFormat="false" ht="16.5" hidden="true" customHeight="false" outlineLevel="0" collapsed="false">
      <c r="D578" s="186"/>
      <c r="E578" s="187"/>
      <c r="F578" s="188"/>
      <c r="G578" s="189"/>
      <c r="H578" s="190"/>
      <c r="I578" s="191"/>
      <c r="J578" s="192"/>
      <c r="K578" s="193"/>
      <c r="L578" s="194"/>
      <c r="M578" s="192"/>
      <c r="N578" s="193"/>
      <c r="O578" s="194"/>
      <c r="P578" s="192"/>
      <c r="Q578" s="195"/>
      <c r="R578" s="196"/>
    </row>
    <row r="579" customFormat="false" ht="16.5" hidden="true" customHeight="false" outlineLevel="0" collapsed="false">
      <c r="D579" s="186"/>
      <c r="E579" s="187"/>
      <c r="F579" s="188"/>
      <c r="G579" s="189"/>
      <c r="H579" s="190"/>
      <c r="I579" s="191"/>
      <c r="J579" s="192"/>
      <c r="K579" s="193"/>
      <c r="L579" s="194"/>
      <c r="M579" s="192"/>
      <c r="N579" s="193"/>
      <c r="O579" s="194"/>
      <c r="P579" s="192"/>
      <c r="Q579" s="195"/>
      <c r="R579" s="196"/>
    </row>
    <row r="580" customFormat="false" ht="16.5" hidden="true" customHeight="false" outlineLevel="0" collapsed="false">
      <c r="D580" s="186"/>
      <c r="E580" s="187"/>
      <c r="F580" s="188"/>
      <c r="G580" s="189"/>
      <c r="H580" s="190"/>
      <c r="I580" s="191"/>
      <c r="J580" s="192"/>
      <c r="K580" s="193"/>
      <c r="L580" s="194"/>
      <c r="M580" s="192"/>
      <c r="N580" s="193"/>
      <c r="O580" s="194"/>
      <c r="P580" s="192"/>
      <c r="Q580" s="195"/>
      <c r="R580" s="196"/>
    </row>
    <row r="581" customFormat="false" ht="16.5" hidden="true" customHeight="false" outlineLevel="0" collapsed="false">
      <c r="D581" s="186"/>
      <c r="E581" s="187"/>
      <c r="F581" s="188"/>
      <c r="G581" s="189"/>
      <c r="H581" s="190"/>
      <c r="I581" s="191"/>
      <c r="J581" s="192"/>
      <c r="K581" s="193"/>
      <c r="L581" s="194"/>
      <c r="M581" s="192"/>
      <c r="N581" s="193"/>
      <c r="O581" s="194"/>
      <c r="P581" s="192"/>
      <c r="Q581" s="195"/>
      <c r="R581" s="196"/>
    </row>
    <row r="582" customFormat="false" ht="16.5" hidden="true" customHeight="false" outlineLevel="0" collapsed="false">
      <c r="D582" s="186"/>
      <c r="E582" s="187"/>
      <c r="F582" s="188"/>
      <c r="G582" s="189"/>
      <c r="H582" s="190"/>
      <c r="I582" s="191"/>
      <c r="J582" s="192"/>
      <c r="K582" s="193"/>
      <c r="L582" s="194"/>
      <c r="M582" s="192"/>
      <c r="N582" s="193"/>
      <c r="O582" s="194"/>
      <c r="P582" s="192"/>
      <c r="Q582" s="195"/>
      <c r="R582" s="196"/>
    </row>
    <row r="583" customFormat="false" ht="16.5" hidden="true" customHeight="false" outlineLevel="0" collapsed="false">
      <c r="D583" s="186"/>
      <c r="E583" s="187"/>
      <c r="F583" s="188"/>
      <c r="G583" s="189"/>
      <c r="H583" s="190"/>
      <c r="I583" s="191"/>
      <c r="J583" s="192"/>
      <c r="K583" s="193"/>
      <c r="L583" s="194"/>
      <c r="M583" s="192"/>
      <c r="N583" s="193"/>
      <c r="O583" s="194"/>
      <c r="P583" s="192"/>
      <c r="Q583" s="195"/>
      <c r="R583" s="196"/>
    </row>
    <row r="584" customFormat="false" ht="16.5" hidden="true" customHeight="false" outlineLevel="0" collapsed="false">
      <c r="D584" s="186"/>
      <c r="E584" s="187"/>
      <c r="F584" s="188"/>
      <c r="G584" s="189"/>
      <c r="H584" s="190"/>
      <c r="I584" s="191"/>
      <c r="J584" s="192"/>
      <c r="K584" s="193"/>
      <c r="L584" s="194"/>
      <c r="M584" s="192"/>
      <c r="N584" s="193"/>
      <c r="O584" s="194"/>
      <c r="P584" s="192"/>
      <c r="Q584" s="195"/>
      <c r="R584" s="196"/>
    </row>
    <row r="585" customFormat="false" ht="16.5" hidden="true" customHeight="false" outlineLevel="0" collapsed="false">
      <c r="D585" s="186"/>
      <c r="E585" s="187"/>
      <c r="F585" s="188"/>
      <c r="G585" s="189"/>
      <c r="H585" s="190"/>
      <c r="I585" s="191"/>
      <c r="J585" s="192"/>
      <c r="K585" s="193"/>
      <c r="L585" s="194"/>
      <c r="M585" s="192"/>
      <c r="N585" s="193"/>
      <c r="O585" s="194"/>
      <c r="P585" s="192"/>
      <c r="Q585" s="195"/>
      <c r="R585" s="196"/>
    </row>
    <row r="586" customFormat="false" ht="16.5" hidden="true" customHeight="false" outlineLevel="0" collapsed="false">
      <c r="D586" s="186"/>
      <c r="E586" s="187"/>
      <c r="F586" s="188"/>
      <c r="G586" s="189"/>
      <c r="H586" s="190"/>
      <c r="I586" s="191"/>
      <c r="J586" s="192"/>
      <c r="K586" s="193"/>
      <c r="L586" s="194"/>
      <c r="M586" s="192"/>
      <c r="N586" s="193"/>
      <c r="O586" s="194"/>
      <c r="P586" s="192"/>
      <c r="Q586" s="195"/>
      <c r="R586" s="196"/>
    </row>
    <row r="587" customFormat="false" ht="16.5" hidden="true" customHeight="false" outlineLevel="0" collapsed="false">
      <c r="D587" s="186"/>
      <c r="E587" s="187"/>
      <c r="F587" s="188"/>
      <c r="G587" s="189"/>
      <c r="H587" s="190"/>
      <c r="I587" s="191"/>
      <c r="J587" s="192"/>
      <c r="K587" s="193"/>
      <c r="L587" s="194"/>
      <c r="M587" s="192"/>
      <c r="N587" s="193"/>
      <c r="O587" s="194"/>
      <c r="P587" s="192"/>
      <c r="Q587" s="195"/>
      <c r="R587" s="196"/>
    </row>
    <row r="588" customFormat="false" ht="16.5" hidden="true" customHeight="false" outlineLevel="0" collapsed="false">
      <c r="D588" s="186"/>
      <c r="E588" s="187"/>
      <c r="F588" s="188"/>
      <c r="G588" s="189"/>
      <c r="H588" s="190"/>
      <c r="I588" s="191"/>
      <c r="J588" s="192"/>
      <c r="K588" s="193"/>
      <c r="L588" s="194"/>
      <c r="M588" s="192"/>
      <c r="N588" s="193"/>
      <c r="O588" s="194"/>
      <c r="P588" s="192"/>
      <c r="Q588" s="195"/>
      <c r="R588" s="196"/>
    </row>
    <row r="589" customFormat="false" ht="16.5" hidden="true" customHeight="false" outlineLevel="0" collapsed="false">
      <c r="D589" s="186"/>
      <c r="E589" s="187"/>
      <c r="F589" s="188"/>
      <c r="G589" s="189"/>
      <c r="H589" s="190"/>
      <c r="I589" s="191"/>
      <c r="J589" s="192"/>
      <c r="K589" s="193"/>
      <c r="L589" s="194"/>
      <c r="M589" s="192"/>
      <c r="N589" s="193"/>
      <c r="O589" s="194"/>
      <c r="P589" s="192"/>
      <c r="Q589" s="195"/>
      <c r="R589" s="196"/>
    </row>
    <row r="590" customFormat="false" ht="16.5" hidden="true" customHeight="false" outlineLevel="0" collapsed="false">
      <c r="D590" s="186"/>
      <c r="E590" s="187"/>
      <c r="F590" s="188"/>
      <c r="G590" s="189"/>
      <c r="H590" s="190"/>
      <c r="I590" s="191"/>
      <c r="J590" s="192"/>
      <c r="K590" s="193"/>
      <c r="L590" s="194"/>
      <c r="M590" s="192"/>
      <c r="N590" s="193"/>
      <c r="O590" s="194"/>
      <c r="P590" s="192"/>
      <c r="Q590" s="195"/>
      <c r="R590" s="196"/>
    </row>
    <row r="591" customFormat="false" ht="16.5" hidden="true" customHeight="false" outlineLevel="0" collapsed="false">
      <c r="D591" s="186"/>
      <c r="E591" s="187"/>
      <c r="F591" s="188"/>
      <c r="G591" s="189"/>
      <c r="H591" s="190"/>
      <c r="I591" s="191"/>
      <c r="J591" s="192"/>
      <c r="K591" s="193"/>
      <c r="L591" s="194"/>
      <c r="M591" s="192"/>
      <c r="N591" s="193"/>
      <c r="O591" s="194"/>
      <c r="P591" s="192"/>
      <c r="Q591" s="195"/>
      <c r="R591" s="196"/>
    </row>
    <row r="592" customFormat="false" ht="16.5" hidden="true" customHeight="false" outlineLevel="0" collapsed="false">
      <c r="D592" s="186"/>
      <c r="E592" s="187"/>
      <c r="F592" s="188"/>
      <c r="G592" s="189"/>
      <c r="H592" s="190"/>
      <c r="I592" s="191"/>
      <c r="J592" s="192"/>
      <c r="K592" s="193"/>
      <c r="L592" s="194"/>
      <c r="M592" s="192"/>
      <c r="N592" s="193"/>
      <c r="O592" s="194"/>
      <c r="P592" s="192"/>
      <c r="Q592" s="195"/>
      <c r="R592" s="196"/>
    </row>
    <row r="593" customFormat="false" ht="16.5" hidden="true" customHeight="false" outlineLevel="0" collapsed="false">
      <c r="D593" s="186"/>
      <c r="E593" s="187"/>
      <c r="F593" s="188"/>
      <c r="G593" s="189"/>
      <c r="H593" s="190"/>
      <c r="I593" s="191"/>
      <c r="J593" s="192"/>
      <c r="K593" s="193"/>
      <c r="L593" s="194"/>
      <c r="M593" s="192"/>
      <c r="N593" s="193"/>
      <c r="O593" s="194"/>
      <c r="P593" s="192"/>
      <c r="Q593" s="195"/>
      <c r="R593" s="196"/>
    </row>
    <row r="594" customFormat="false" ht="16.5" hidden="true" customHeight="false" outlineLevel="0" collapsed="false">
      <c r="D594" s="186"/>
      <c r="E594" s="187"/>
      <c r="F594" s="188"/>
      <c r="G594" s="189"/>
      <c r="H594" s="190"/>
      <c r="I594" s="191"/>
      <c r="J594" s="192"/>
      <c r="K594" s="193"/>
      <c r="L594" s="194"/>
      <c r="M594" s="192"/>
      <c r="N594" s="193"/>
      <c r="O594" s="194"/>
      <c r="P594" s="192"/>
      <c r="Q594" s="195"/>
      <c r="R594" s="196"/>
    </row>
    <row r="595" customFormat="false" ht="16.5" hidden="true" customHeight="false" outlineLevel="0" collapsed="false">
      <c r="D595" s="186"/>
      <c r="E595" s="187"/>
      <c r="F595" s="188"/>
      <c r="G595" s="189"/>
      <c r="H595" s="190"/>
      <c r="I595" s="191"/>
      <c r="J595" s="192"/>
      <c r="K595" s="193"/>
      <c r="L595" s="194"/>
      <c r="M595" s="192"/>
      <c r="N595" s="193"/>
      <c r="O595" s="194"/>
      <c r="P595" s="192"/>
      <c r="Q595" s="195"/>
      <c r="R595" s="196"/>
    </row>
    <row r="596" customFormat="false" ht="16.5" hidden="true" customHeight="false" outlineLevel="0" collapsed="false">
      <c r="D596" s="186"/>
      <c r="E596" s="187"/>
      <c r="F596" s="188"/>
      <c r="G596" s="189"/>
      <c r="H596" s="190"/>
      <c r="I596" s="191"/>
      <c r="J596" s="192"/>
      <c r="K596" s="193"/>
      <c r="L596" s="194"/>
      <c r="M596" s="192"/>
      <c r="N596" s="193"/>
      <c r="O596" s="194"/>
      <c r="P596" s="192"/>
      <c r="Q596" s="195"/>
      <c r="R596" s="196"/>
    </row>
    <row r="597" customFormat="false" ht="16.5" hidden="true" customHeight="false" outlineLevel="0" collapsed="false">
      <c r="D597" s="186"/>
      <c r="E597" s="187"/>
      <c r="F597" s="188"/>
      <c r="G597" s="189"/>
      <c r="H597" s="190"/>
      <c r="I597" s="191"/>
      <c r="J597" s="192"/>
      <c r="K597" s="193"/>
      <c r="L597" s="194"/>
      <c r="M597" s="192"/>
      <c r="N597" s="193"/>
      <c r="O597" s="194"/>
      <c r="P597" s="192"/>
      <c r="Q597" s="195"/>
      <c r="R597" s="196"/>
    </row>
    <row r="598" customFormat="false" ht="16.5" hidden="true" customHeight="false" outlineLevel="0" collapsed="false">
      <c r="D598" s="186"/>
      <c r="E598" s="187"/>
      <c r="F598" s="188"/>
      <c r="G598" s="189"/>
      <c r="H598" s="190"/>
      <c r="I598" s="191"/>
      <c r="J598" s="192"/>
      <c r="K598" s="193"/>
      <c r="L598" s="194"/>
      <c r="M598" s="192"/>
      <c r="N598" s="193"/>
      <c r="O598" s="194"/>
      <c r="P598" s="192"/>
      <c r="Q598" s="195"/>
      <c r="R598" s="196"/>
    </row>
    <row r="599" customFormat="false" ht="16.5" hidden="true" customHeight="false" outlineLevel="0" collapsed="false">
      <c r="D599" s="186"/>
      <c r="E599" s="187"/>
      <c r="F599" s="188"/>
      <c r="G599" s="189"/>
      <c r="H599" s="190"/>
      <c r="I599" s="191"/>
      <c r="J599" s="192"/>
      <c r="K599" s="193"/>
      <c r="L599" s="194"/>
      <c r="M599" s="192"/>
      <c r="N599" s="193"/>
      <c r="O599" s="194"/>
      <c r="P599" s="192"/>
      <c r="Q599" s="195"/>
      <c r="R599" s="196"/>
    </row>
    <row r="600" customFormat="false" ht="16.5" hidden="true" customHeight="false" outlineLevel="0" collapsed="false">
      <c r="D600" s="186"/>
      <c r="E600" s="187"/>
      <c r="F600" s="188"/>
      <c r="G600" s="189"/>
      <c r="H600" s="190"/>
      <c r="I600" s="191"/>
      <c r="J600" s="192"/>
      <c r="K600" s="193"/>
      <c r="L600" s="194"/>
      <c r="M600" s="192"/>
      <c r="N600" s="193"/>
      <c r="O600" s="194"/>
      <c r="P600" s="192"/>
      <c r="Q600" s="195"/>
      <c r="R600" s="196"/>
    </row>
    <row r="601" customFormat="false" ht="16.5" hidden="true" customHeight="false" outlineLevel="0" collapsed="false">
      <c r="D601" s="186"/>
      <c r="E601" s="187"/>
      <c r="F601" s="188"/>
      <c r="G601" s="189"/>
      <c r="H601" s="190"/>
      <c r="I601" s="191"/>
      <c r="J601" s="192"/>
      <c r="K601" s="193"/>
      <c r="L601" s="194"/>
      <c r="M601" s="192"/>
      <c r="N601" s="193"/>
      <c r="O601" s="194"/>
      <c r="P601" s="192"/>
      <c r="Q601" s="195"/>
      <c r="R601" s="196"/>
    </row>
    <row r="602" customFormat="false" ht="16.5" hidden="true" customHeight="false" outlineLevel="0" collapsed="false">
      <c r="D602" s="186"/>
      <c r="E602" s="187"/>
      <c r="F602" s="188"/>
      <c r="G602" s="189"/>
      <c r="H602" s="190"/>
      <c r="I602" s="191"/>
      <c r="J602" s="192"/>
      <c r="K602" s="193"/>
      <c r="L602" s="194"/>
      <c r="M602" s="192"/>
      <c r="N602" s="193"/>
      <c r="O602" s="194"/>
      <c r="P602" s="192"/>
      <c r="Q602" s="195"/>
      <c r="R602" s="196"/>
    </row>
    <row r="603" customFormat="false" ht="16.5" hidden="true" customHeight="false" outlineLevel="0" collapsed="false">
      <c r="D603" s="186"/>
      <c r="E603" s="187"/>
      <c r="F603" s="188"/>
      <c r="G603" s="189"/>
      <c r="H603" s="190"/>
      <c r="I603" s="191"/>
      <c r="J603" s="192"/>
      <c r="K603" s="193"/>
      <c r="L603" s="194"/>
      <c r="M603" s="192"/>
      <c r="N603" s="193"/>
      <c r="O603" s="194"/>
      <c r="P603" s="192"/>
      <c r="Q603" s="195"/>
      <c r="R603" s="196"/>
    </row>
    <row r="604" customFormat="false" ht="16.5" hidden="true" customHeight="false" outlineLevel="0" collapsed="false">
      <c r="D604" s="186"/>
      <c r="E604" s="187"/>
      <c r="F604" s="188"/>
      <c r="G604" s="189"/>
      <c r="H604" s="190"/>
      <c r="I604" s="191"/>
      <c r="J604" s="192"/>
      <c r="K604" s="193"/>
      <c r="L604" s="194"/>
      <c r="M604" s="192"/>
      <c r="N604" s="193"/>
      <c r="O604" s="194"/>
      <c r="P604" s="192"/>
      <c r="Q604" s="195"/>
      <c r="R604" s="196"/>
    </row>
    <row r="605" customFormat="false" ht="16.5" hidden="true" customHeight="false" outlineLevel="0" collapsed="false">
      <c r="D605" s="186"/>
      <c r="E605" s="187"/>
      <c r="F605" s="188"/>
      <c r="G605" s="189"/>
      <c r="H605" s="190"/>
      <c r="I605" s="191"/>
      <c r="J605" s="192"/>
      <c r="K605" s="193"/>
      <c r="L605" s="194"/>
      <c r="M605" s="192"/>
      <c r="N605" s="193"/>
      <c r="O605" s="194"/>
      <c r="P605" s="192"/>
      <c r="Q605" s="195"/>
      <c r="R605" s="196"/>
    </row>
    <row r="606" customFormat="false" ht="16.5" hidden="true" customHeight="false" outlineLevel="0" collapsed="false">
      <c r="D606" s="186"/>
      <c r="E606" s="187"/>
      <c r="F606" s="188"/>
      <c r="G606" s="189"/>
      <c r="H606" s="190"/>
      <c r="I606" s="191"/>
      <c r="J606" s="192"/>
      <c r="K606" s="193"/>
      <c r="L606" s="194"/>
      <c r="M606" s="192"/>
      <c r="N606" s="193"/>
      <c r="O606" s="194"/>
      <c r="P606" s="192"/>
      <c r="Q606" s="195"/>
      <c r="R606" s="196"/>
    </row>
    <row r="607" customFormat="false" ht="16.5" hidden="true" customHeight="false" outlineLevel="0" collapsed="false">
      <c r="D607" s="186"/>
      <c r="E607" s="187"/>
      <c r="F607" s="188"/>
      <c r="G607" s="189"/>
      <c r="H607" s="190"/>
      <c r="I607" s="191"/>
      <c r="J607" s="192"/>
      <c r="K607" s="193"/>
      <c r="L607" s="194"/>
      <c r="M607" s="192"/>
      <c r="N607" s="193"/>
      <c r="O607" s="194"/>
      <c r="P607" s="192"/>
      <c r="Q607" s="195"/>
      <c r="R607" s="196"/>
    </row>
    <row r="608" customFormat="false" ht="16.5" hidden="true" customHeight="false" outlineLevel="0" collapsed="false">
      <c r="D608" s="186"/>
      <c r="E608" s="187"/>
      <c r="F608" s="188"/>
      <c r="G608" s="189"/>
      <c r="H608" s="190"/>
      <c r="I608" s="191"/>
      <c r="J608" s="192"/>
      <c r="K608" s="193"/>
      <c r="L608" s="194"/>
      <c r="M608" s="192"/>
      <c r="N608" s="193"/>
      <c r="O608" s="194"/>
      <c r="P608" s="192"/>
      <c r="Q608" s="195"/>
      <c r="R608" s="196"/>
    </row>
    <row r="609" customFormat="false" ht="16.5" hidden="true" customHeight="false" outlineLevel="0" collapsed="false">
      <c r="D609" s="186"/>
      <c r="E609" s="187"/>
      <c r="F609" s="188"/>
      <c r="G609" s="189"/>
      <c r="H609" s="190"/>
      <c r="I609" s="191"/>
      <c r="J609" s="192"/>
      <c r="K609" s="193"/>
      <c r="L609" s="194"/>
      <c r="M609" s="192"/>
      <c r="N609" s="193"/>
      <c r="O609" s="194"/>
      <c r="P609" s="192"/>
      <c r="Q609" s="195"/>
      <c r="R609" s="196"/>
    </row>
    <row r="610" customFormat="false" ht="16.5" hidden="true" customHeight="false" outlineLevel="0" collapsed="false">
      <c r="D610" s="186"/>
      <c r="E610" s="187"/>
      <c r="F610" s="188"/>
      <c r="G610" s="189"/>
      <c r="H610" s="190"/>
      <c r="I610" s="191"/>
      <c r="J610" s="192"/>
      <c r="K610" s="193"/>
      <c r="L610" s="194"/>
      <c r="M610" s="192"/>
      <c r="N610" s="193"/>
      <c r="O610" s="194"/>
      <c r="P610" s="192"/>
      <c r="Q610" s="195"/>
      <c r="R610" s="196"/>
    </row>
    <row r="611" customFormat="false" ht="16.5" hidden="true" customHeight="false" outlineLevel="0" collapsed="false">
      <c r="D611" s="186"/>
      <c r="E611" s="187"/>
      <c r="F611" s="188"/>
      <c r="G611" s="189"/>
      <c r="H611" s="190"/>
      <c r="I611" s="191"/>
      <c r="J611" s="192"/>
      <c r="K611" s="193"/>
      <c r="L611" s="194"/>
      <c r="M611" s="192"/>
      <c r="N611" s="193"/>
      <c r="O611" s="194"/>
      <c r="P611" s="192"/>
      <c r="Q611" s="195"/>
      <c r="R611" s="196"/>
    </row>
    <row r="612" customFormat="false" ht="16.5" hidden="true" customHeight="false" outlineLevel="0" collapsed="false">
      <c r="D612" s="186"/>
      <c r="E612" s="187"/>
      <c r="F612" s="188"/>
      <c r="G612" s="189"/>
      <c r="H612" s="190"/>
      <c r="I612" s="191"/>
      <c r="J612" s="192"/>
      <c r="K612" s="193"/>
      <c r="L612" s="194"/>
      <c r="M612" s="192"/>
      <c r="N612" s="193"/>
      <c r="O612" s="194"/>
      <c r="P612" s="192"/>
      <c r="Q612" s="195"/>
      <c r="R612" s="196"/>
    </row>
    <row r="613" customFormat="false" ht="16.5" hidden="true" customHeight="false" outlineLevel="0" collapsed="false">
      <c r="D613" s="186"/>
      <c r="E613" s="187"/>
      <c r="F613" s="188"/>
      <c r="G613" s="189"/>
      <c r="H613" s="190"/>
      <c r="I613" s="191"/>
      <c r="J613" s="192"/>
      <c r="K613" s="193"/>
      <c r="L613" s="194"/>
      <c r="M613" s="192"/>
      <c r="N613" s="193"/>
      <c r="O613" s="194"/>
      <c r="P613" s="192"/>
      <c r="Q613" s="195"/>
      <c r="R613" s="196"/>
    </row>
    <row r="614" customFormat="false" ht="16.5" hidden="true" customHeight="false" outlineLevel="0" collapsed="false">
      <c r="D614" s="186"/>
      <c r="E614" s="187"/>
      <c r="F614" s="188"/>
      <c r="G614" s="189"/>
      <c r="H614" s="190"/>
      <c r="I614" s="191"/>
      <c r="J614" s="192"/>
      <c r="K614" s="193"/>
      <c r="L614" s="194"/>
      <c r="M614" s="192"/>
      <c r="N614" s="193"/>
      <c r="O614" s="194"/>
      <c r="P614" s="192"/>
      <c r="Q614" s="195"/>
      <c r="R614" s="196"/>
    </row>
    <row r="615" customFormat="false" ht="16.5" hidden="true" customHeight="false" outlineLevel="0" collapsed="false">
      <c r="D615" s="186"/>
      <c r="E615" s="187"/>
      <c r="F615" s="188"/>
      <c r="G615" s="189"/>
      <c r="H615" s="190"/>
      <c r="I615" s="191"/>
      <c r="J615" s="192"/>
      <c r="K615" s="193"/>
      <c r="L615" s="194"/>
      <c r="M615" s="192"/>
      <c r="N615" s="193"/>
      <c r="O615" s="194"/>
      <c r="P615" s="192"/>
      <c r="Q615" s="195"/>
      <c r="R615" s="196"/>
    </row>
    <row r="616" customFormat="false" ht="16.5" hidden="true" customHeight="false" outlineLevel="0" collapsed="false">
      <c r="D616" s="186"/>
      <c r="E616" s="187"/>
      <c r="F616" s="188"/>
      <c r="G616" s="189"/>
      <c r="H616" s="190"/>
      <c r="I616" s="191"/>
      <c r="J616" s="192"/>
      <c r="K616" s="193"/>
      <c r="L616" s="194"/>
      <c r="M616" s="192"/>
      <c r="N616" s="193"/>
      <c r="O616" s="194"/>
      <c r="P616" s="192"/>
      <c r="Q616" s="195"/>
      <c r="R616" s="196"/>
    </row>
    <row r="617" customFormat="false" ht="16.5" hidden="true" customHeight="false" outlineLevel="0" collapsed="false">
      <c r="D617" s="186"/>
      <c r="E617" s="187"/>
      <c r="F617" s="188"/>
      <c r="G617" s="189"/>
      <c r="H617" s="190"/>
      <c r="I617" s="191"/>
      <c r="J617" s="192"/>
      <c r="K617" s="193"/>
      <c r="L617" s="194"/>
      <c r="M617" s="192"/>
      <c r="N617" s="193"/>
      <c r="O617" s="194"/>
      <c r="P617" s="192"/>
      <c r="Q617" s="195"/>
      <c r="R617" s="196"/>
    </row>
    <row r="618" customFormat="false" ht="16.5" hidden="true" customHeight="false" outlineLevel="0" collapsed="false">
      <c r="D618" s="186"/>
      <c r="E618" s="187"/>
      <c r="F618" s="188"/>
      <c r="G618" s="189"/>
      <c r="H618" s="190"/>
      <c r="I618" s="191"/>
      <c r="J618" s="192"/>
      <c r="K618" s="193"/>
      <c r="L618" s="194"/>
      <c r="M618" s="192"/>
      <c r="N618" s="193"/>
      <c r="O618" s="194"/>
      <c r="P618" s="192"/>
      <c r="Q618" s="195"/>
      <c r="R618" s="196"/>
    </row>
    <row r="619" customFormat="false" ht="16.5" hidden="true" customHeight="false" outlineLevel="0" collapsed="false">
      <c r="D619" s="186"/>
      <c r="E619" s="187"/>
      <c r="F619" s="188"/>
      <c r="G619" s="189"/>
      <c r="H619" s="190"/>
      <c r="I619" s="191"/>
      <c r="J619" s="192"/>
      <c r="K619" s="193"/>
      <c r="L619" s="194"/>
      <c r="M619" s="192"/>
      <c r="N619" s="193"/>
      <c r="O619" s="194"/>
      <c r="P619" s="192"/>
      <c r="Q619" s="195"/>
      <c r="R619" s="196"/>
    </row>
    <row r="620" customFormat="false" ht="16.5" hidden="true" customHeight="false" outlineLevel="0" collapsed="false">
      <c r="D620" s="186"/>
      <c r="E620" s="187"/>
      <c r="F620" s="188"/>
      <c r="G620" s="189"/>
      <c r="H620" s="190"/>
      <c r="I620" s="191"/>
      <c r="J620" s="192"/>
      <c r="K620" s="193"/>
      <c r="L620" s="194"/>
      <c r="M620" s="192"/>
      <c r="N620" s="193"/>
      <c r="O620" s="194"/>
      <c r="P620" s="192"/>
      <c r="Q620" s="195"/>
      <c r="R620" s="196"/>
    </row>
    <row r="621" customFormat="false" ht="16.5" hidden="true" customHeight="false" outlineLevel="0" collapsed="false">
      <c r="D621" s="186"/>
      <c r="E621" s="187"/>
      <c r="F621" s="188"/>
      <c r="G621" s="189"/>
      <c r="H621" s="190"/>
      <c r="I621" s="191"/>
      <c r="J621" s="192"/>
      <c r="K621" s="193"/>
      <c r="L621" s="194"/>
      <c r="M621" s="192"/>
      <c r="N621" s="193"/>
      <c r="O621" s="194"/>
      <c r="P621" s="192"/>
      <c r="Q621" s="195"/>
      <c r="R621" s="196"/>
    </row>
    <row r="622" customFormat="false" ht="16.5" hidden="true" customHeight="false" outlineLevel="0" collapsed="false">
      <c r="D622" s="186"/>
      <c r="E622" s="187"/>
      <c r="F622" s="188"/>
      <c r="G622" s="189"/>
      <c r="H622" s="190"/>
      <c r="I622" s="191"/>
      <c r="J622" s="192"/>
      <c r="K622" s="193"/>
      <c r="L622" s="194"/>
      <c r="M622" s="192"/>
      <c r="N622" s="193"/>
      <c r="O622" s="194"/>
      <c r="P622" s="192"/>
      <c r="Q622" s="195"/>
      <c r="R622" s="196"/>
    </row>
    <row r="623" customFormat="false" ht="16.5" hidden="true" customHeight="false" outlineLevel="0" collapsed="false">
      <c r="D623" s="186"/>
      <c r="E623" s="187"/>
      <c r="F623" s="188"/>
      <c r="G623" s="189"/>
      <c r="H623" s="190"/>
      <c r="I623" s="191"/>
      <c r="J623" s="192"/>
      <c r="K623" s="193"/>
      <c r="L623" s="194"/>
      <c r="M623" s="192"/>
      <c r="N623" s="193"/>
      <c r="O623" s="194"/>
      <c r="P623" s="192"/>
      <c r="Q623" s="195"/>
      <c r="R623" s="196"/>
    </row>
    <row r="624" customFormat="false" ht="16.5" hidden="true" customHeight="false" outlineLevel="0" collapsed="false">
      <c r="D624" s="186"/>
      <c r="E624" s="187"/>
      <c r="F624" s="188"/>
      <c r="G624" s="189"/>
      <c r="H624" s="190"/>
      <c r="I624" s="191"/>
      <c r="J624" s="192"/>
      <c r="K624" s="193"/>
      <c r="L624" s="194"/>
      <c r="M624" s="192"/>
      <c r="N624" s="193"/>
      <c r="O624" s="194"/>
      <c r="P624" s="192"/>
      <c r="Q624" s="195"/>
      <c r="R624" s="196"/>
    </row>
    <row r="625" customFormat="false" ht="16.5" hidden="true" customHeight="false" outlineLevel="0" collapsed="false">
      <c r="D625" s="186"/>
      <c r="E625" s="187"/>
      <c r="F625" s="188"/>
      <c r="G625" s="189"/>
      <c r="H625" s="190"/>
      <c r="I625" s="191"/>
      <c r="J625" s="192"/>
      <c r="K625" s="193"/>
      <c r="L625" s="194"/>
      <c r="M625" s="192"/>
      <c r="N625" s="193"/>
      <c r="O625" s="194"/>
      <c r="P625" s="192"/>
      <c r="Q625" s="195"/>
      <c r="R625" s="196"/>
    </row>
    <row r="626" customFormat="false" ht="16.5" hidden="true" customHeight="false" outlineLevel="0" collapsed="false">
      <c r="D626" s="186"/>
      <c r="E626" s="187"/>
      <c r="F626" s="188"/>
      <c r="G626" s="189"/>
      <c r="H626" s="190"/>
      <c r="I626" s="191"/>
      <c r="J626" s="192"/>
      <c r="K626" s="193"/>
      <c r="L626" s="194"/>
      <c r="M626" s="192"/>
      <c r="N626" s="193"/>
      <c r="O626" s="194"/>
      <c r="P626" s="192"/>
      <c r="Q626" s="195"/>
      <c r="R626" s="196"/>
    </row>
    <row r="627" customFormat="false" ht="16.5" hidden="true" customHeight="false" outlineLevel="0" collapsed="false">
      <c r="D627" s="186"/>
      <c r="E627" s="187"/>
      <c r="F627" s="188"/>
      <c r="G627" s="189"/>
      <c r="H627" s="190"/>
      <c r="I627" s="191"/>
      <c r="J627" s="192"/>
      <c r="K627" s="193"/>
      <c r="L627" s="194"/>
      <c r="M627" s="192"/>
      <c r="N627" s="193"/>
      <c r="O627" s="194"/>
      <c r="P627" s="192"/>
      <c r="Q627" s="195"/>
      <c r="R627" s="196"/>
    </row>
    <row r="628" customFormat="false" ht="16.5" hidden="true" customHeight="false" outlineLevel="0" collapsed="false">
      <c r="D628" s="186"/>
      <c r="E628" s="187"/>
      <c r="F628" s="188"/>
      <c r="G628" s="189"/>
      <c r="H628" s="190"/>
      <c r="I628" s="191"/>
      <c r="J628" s="192"/>
      <c r="K628" s="193"/>
      <c r="L628" s="194"/>
      <c r="M628" s="192"/>
      <c r="N628" s="193"/>
      <c r="O628" s="194"/>
      <c r="P628" s="192"/>
      <c r="Q628" s="195"/>
      <c r="R628" s="196"/>
    </row>
    <row r="629" customFormat="false" ht="16.5" hidden="true" customHeight="false" outlineLevel="0" collapsed="false">
      <c r="D629" s="186"/>
      <c r="E629" s="187"/>
      <c r="F629" s="188"/>
      <c r="G629" s="189"/>
      <c r="H629" s="190"/>
      <c r="I629" s="191"/>
      <c r="J629" s="192"/>
      <c r="K629" s="193"/>
      <c r="L629" s="194"/>
      <c r="M629" s="192"/>
      <c r="N629" s="193"/>
      <c r="O629" s="194"/>
      <c r="P629" s="192"/>
      <c r="Q629" s="195"/>
      <c r="R629" s="196"/>
    </row>
    <row r="630" customFormat="false" ht="16.5" hidden="true" customHeight="false" outlineLevel="0" collapsed="false">
      <c r="D630" s="186"/>
      <c r="E630" s="187"/>
      <c r="F630" s="188"/>
      <c r="G630" s="189"/>
      <c r="H630" s="190"/>
      <c r="I630" s="191"/>
      <c r="J630" s="192"/>
      <c r="K630" s="193"/>
      <c r="L630" s="194"/>
      <c r="M630" s="192"/>
      <c r="N630" s="193"/>
      <c r="O630" s="194"/>
      <c r="P630" s="192"/>
      <c r="Q630" s="195"/>
      <c r="R630" s="196"/>
    </row>
    <row r="631" customFormat="false" ht="16.5" hidden="true" customHeight="false" outlineLevel="0" collapsed="false">
      <c r="D631" s="186"/>
      <c r="E631" s="187"/>
      <c r="F631" s="188"/>
      <c r="G631" s="189"/>
      <c r="H631" s="190"/>
      <c r="I631" s="191"/>
      <c r="J631" s="192"/>
      <c r="K631" s="193"/>
      <c r="L631" s="194"/>
      <c r="M631" s="192"/>
      <c r="N631" s="193"/>
      <c r="O631" s="194"/>
      <c r="P631" s="192"/>
      <c r="Q631" s="195"/>
      <c r="R631" s="196"/>
    </row>
    <row r="632" customFormat="false" ht="16.5" hidden="true" customHeight="false" outlineLevel="0" collapsed="false">
      <c r="D632" s="186"/>
      <c r="E632" s="187"/>
      <c r="F632" s="188"/>
      <c r="G632" s="189"/>
      <c r="H632" s="190"/>
      <c r="I632" s="191"/>
      <c r="J632" s="192"/>
      <c r="K632" s="193"/>
      <c r="L632" s="194"/>
      <c r="M632" s="192"/>
      <c r="N632" s="193"/>
      <c r="O632" s="194"/>
      <c r="P632" s="192"/>
      <c r="Q632" s="195"/>
      <c r="R632" s="196"/>
    </row>
    <row r="633" customFormat="false" ht="16.5" hidden="true" customHeight="false" outlineLevel="0" collapsed="false">
      <c r="D633" s="186"/>
      <c r="E633" s="187"/>
      <c r="F633" s="188"/>
      <c r="G633" s="189"/>
      <c r="H633" s="190"/>
      <c r="I633" s="191"/>
      <c r="J633" s="192"/>
      <c r="K633" s="193"/>
      <c r="L633" s="194"/>
      <c r="M633" s="192"/>
      <c r="N633" s="193"/>
      <c r="O633" s="194"/>
      <c r="P633" s="192"/>
      <c r="Q633" s="195"/>
      <c r="R633" s="196"/>
    </row>
    <row r="634" customFormat="false" ht="16.5" hidden="true" customHeight="false" outlineLevel="0" collapsed="false">
      <c r="D634" s="186"/>
      <c r="E634" s="187"/>
      <c r="F634" s="188"/>
      <c r="G634" s="189"/>
      <c r="H634" s="190"/>
      <c r="I634" s="191"/>
      <c r="J634" s="192"/>
      <c r="K634" s="193"/>
      <c r="L634" s="194"/>
      <c r="M634" s="192"/>
      <c r="N634" s="193"/>
      <c r="O634" s="194"/>
      <c r="P634" s="192"/>
      <c r="Q634" s="195"/>
      <c r="R634" s="196"/>
    </row>
    <row r="635" customFormat="false" ht="16.5" hidden="true" customHeight="false" outlineLevel="0" collapsed="false">
      <c r="D635" s="186"/>
      <c r="E635" s="187"/>
      <c r="F635" s="188"/>
      <c r="G635" s="189"/>
      <c r="H635" s="190"/>
      <c r="I635" s="191"/>
      <c r="J635" s="192"/>
      <c r="K635" s="193"/>
      <c r="L635" s="194"/>
      <c r="M635" s="192"/>
      <c r="N635" s="193"/>
      <c r="O635" s="194"/>
      <c r="P635" s="192"/>
      <c r="Q635" s="195"/>
      <c r="R635" s="196"/>
    </row>
    <row r="636" customFormat="false" ht="16.5" hidden="true" customHeight="false" outlineLevel="0" collapsed="false">
      <c r="D636" s="186"/>
      <c r="E636" s="187"/>
      <c r="F636" s="188"/>
      <c r="G636" s="189"/>
      <c r="H636" s="190"/>
      <c r="I636" s="191"/>
      <c r="J636" s="192"/>
      <c r="K636" s="193"/>
      <c r="L636" s="194"/>
      <c r="M636" s="192"/>
      <c r="N636" s="193"/>
      <c r="O636" s="194"/>
      <c r="P636" s="192"/>
      <c r="Q636" s="195"/>
      <c r="R636" s="196"/>
    </row>
    <row r="637" customFormat="false" ht="16.5" hidden="true" customHeight="false" outlineLevel="0" collapsed="false">
      <c r="D637" s="186"/>
      <c r="E637" s="187"/>
      <c r="F637" s="188"/>
      <c r="G637" s="189"/>
      <c r="H637" s="190"/>
      <c r="I637" s="191"/>
      <c r="J637" s="192"/>
      <c r="K637" s="193"/>
      <c r="L637" s="194"/>
      <c r="M637" s="192"/>
      <c r="N637" s="193"/>
      <c r="O637" s="194"/>
      <c r="P637" s="192"/>
      <c r="Q637" s="195"/>
      <c r="R637" s="196"/>
    </row>
    <row r="638" customFormat="false" ht="16.5" hidden="true" customHeight="false" outlineLevel="0" collapsed="false">
      <c r="D638" s="186"/>
      <c r="E638" s="187"/>
      <c r="F638" s="188"/>
      <c r="G638" s="189"/>
      <c r="H638" s="190"/>
      <c r="I638" s="191"/>
      <c r="J638" s="192"/>
      <c r="K638" s="193"/>
      <c r="L638" s="194"/>
      <c r="M638" s="192"/>
      <c r="N638" s="193"/>
      <c r="O638" s="194"/>
      <c r="P638" s="192"/>
      <c r="Q638" s="195"/>
      <c r="R638" s="196"/>
    </row>
    <row r="639" customFormat="false" ht="16.5" hidden="true" customHeight="false" outlineLevel="0" collapsed="false">
      <c r="D639" s="186"/>
      <c r="E639" s="187"/>
      <c r="F639" s="188"/>
      <c r="G639" s="189"/>
      <c r="H639" s="190"/>
      <c r="I639" s="191"/>
      <c r="J639" s="192"/>
      <c r="K639" s="193"/>
      <c r="L639" s="194"/>
      <c r="M639" s="192"/>
      <c r="N639" s="193"/>
      <c r="O639" s="194"/>
      <c r="P639" s="192"/>
      <c r="Q639" s="195"/>
      <c r="R639" s="196"/>
    </row>
    <row r="640" customFormat="false" ht="16.5" hidden="true" customHeight="false" outlineLevel="0" collapsed="false">
      <c r="D640" s="186"/>
      <c r="E640" s="187"/>
      <c r="F640" s="188"/>
      <c r="G640" s="189"/>
      <c r="H640" s="190"/>
      <c r="I640" s="191"/>
      <c r="J640" s="192"/>
      <c r="K640" s="193"/>
      <c r="L640" s="194"/>
      <c r="M640" s="192"/>
      <c r="N640" s="193"/>
      <c r="O640" s="194"/>
      <c r="P640" s="192"/>
      <c r="Q640" s="195"/>
      <c r="R640" s="196"/>
    </row>
    <row r="641" customFormat="false" ht="16.5" hidden="true" customHeight="false" outlineLevel="0" collapsed="false">
      <c r="D641" s="186"/>
      <c r="E641" s="187"/>
      <c r="F641" s="188"/>
      <c r="G641" s="189"/>
      <c r="H641" s="190"/>
      <c r="I641" s="191"/>
      <c r="J641" s="192"/>
      <c r="K641" s="193"/>
      <c r="L641" s="194"/>
      <c r="M641" s="192"/>
      <c r="N641" s="193"/>
      <c r="O641" s="194"/>
      <c r="P641" s="192"/>
      <c r="Q641" s="195"/>
      <c r="R641" s="196"/>
    </row>
    <row r="642" customFormat="false" ht="16.5" hidden="true" customHeight="false" outlineLevel="0" collapsed="false">
      <c r="D642" s="186"/>
      <c r="E642" s="187"/>
      <c r="F642" s="188"/>
      <c r="G642" s="189"/>
      <c r="H642" s="190"/>
      <c r="I642" s="191"/>
      <c r="J642" s="192"/>
      <c r="K642" s="193"/>
      <c r="L642" s="194"/>
      <c r="M642" s="192"/>
      <c r="N642" s="193"/>
      <c r="O642" s="194"/>
      <c r="P642" s="192"/>
      <c r="Q642" s="195"/>
      <c r="R642" s="196"/>
    </row>
    <row r="643" customFormat="false" ht="16.5" hidden="true" customHeight="false" outlineLevel="0" collapsed="false">
      <c r="D643" s="186"/>
      <c r="E643" s="187"/>
      <c r="F643" s="188"/>
      <c r="G643" s="189"/>
      <c r="H643" s="190"/>
      <c r="I643" s="191"/>
      <c r="J643" s="192"/>
      <c r="K643" s="193"/>
      <c r="L643" s="194"/>
      <c r="M643" s="192"/>
      <c r="N643" s="193"/>
      <c r="O643" s="194"/>
      <c r="P643" s="192"/>
      <c r="Q643" s="195"/>
      <c r="R643" s="196"/>
    </row>
    <row r="644" customFormat="false" ht="16.5" hidden="true" customHeight="false" outlineLevel="0" collapsed="false">
      <c r="D644" s="186"/>
      <c r="E644" s="187"/>
      <c r="F644" s="188"/>
      <c r="G644" s="189"/>
      <c r="H644" s="190"/>
      <c r="I644" s="191"/>
      <c r="J644" s="192"/>
      <c r="K644" s="193"/>
      <c r="L644" s="194"/>
      <c r="M644" s="192"/>
      <c r="N644" s="193"/>
      <c r="O644" s="194"/>
      <c r="P644" s="192"/>
      <c r="Q644" s="195"/>
      <c r="R644" s="196"/>
    </row>
    <row r="645" customFormat="false" ht="16.5" hidden="true" customHeight="false" outlineLevel="0" collapsed="false">
      <c r="D645" s="186"/>
      <c r="E645" s="187"/>
      <c r="F645" s="188"/>
      <c r="G645" s="189"/>
      <c r="H645" s="190"/>
      <c r="I645" s="191"/>
      <c r="J645" s="192"/>
      <c r="K645" s="193"/>
      <c r="L645" s="194"/>
      <c r="M645" s="192"/>
      <c r="N645" s="193"/>
      <c r="O645" s="194"/>
      <c r="P645" s="192"/>
      <c r="Q645" s="195"/>
      <c r="R645" s="196"/>
    </row>
    <row r="646" customFormat="false" ht="16.5" hidden="true" customHeight="false" outlineLevel="0" collapsed="false">
      <c r="D646" s="186"/>
      <c r="E646" s="187"/>
      <c r="F646" s="188"/>
      <c r="G646" s="189"/>
      <c r="H646" s="190"/>
      <c r="I646" s="191"/>
      <c r="J646" s="192"/>
      <c r="K646" s="193"/>
      <c r="L646" s="194"/>
      <c r="M646" s="192"/>
      <c r="N646" s="193"/>
      <c r="O646" s="194"/>
      <c r="P646" s="192"/>
      <c r="Q646" s="195"/>
      <c r="R646" s="196"/>
    </row>
    <row r="647" customFormat="false" ht="16.5" hidden="true" customHeight="false" outlineLevel="0" collapsed="false">
      <c r="D647" s="186"/>
      <c r="E647" s="187"/>
      <c r="F647" s="188"/>
      <c r="G647" s="189"/>
      <c r="H647" s="190"/>
      <c r="I647" s="191"/>
      <c r="J647" s="192"/>
      <c r="K647" s="193"/>
      <c r="L647" s="194"/>
      <c r="M647" s="192"/>
      <c r="N647" s="193"/>
      <c r="O647" s="194"/>
      <c r="P647" s="192"/>
      <c r="Q647" s="195"/>
      <c r="R647" s="196"/>
    </row>
    <row r="648" customFormat="false" ht="16.5" hidden="true" customHeight="false" outlineLevel="0" collapsed="false">
      <c r="D648" s="186"/>
      <c r="E648" s="187"/>
      <c r="F648" s="188"/>
      <c r="G648" s="189"/>
      <c r="H648" s="190"/>
      <c r="I648" s="191"/>
      <c r="J648" s="192"/>
      <c r="K648" s="193"/>
      <c r="L648" s="194"/>
      <c r="M648" s="192"/>
      <c r="N648" s="193"/>
      <c r="O648" s="194"/>
      <c r="P648" s="192"/>
      <c r="Q648" s="195"/>
      <c r="R648" s="196"/>
    </row>
    <row r="649" customFormat="false" ht="16.5" hidden="true" customHeight="false" outlineLevel="0" collapsed="false">
      <c r="D649" s="186"/>
      <c r="E649" s="187"/>
      <c r="F649" s="188"/>
      <c r="G649" s="189"/>
      <c r="H649" s="190"/>
      <c r="I649" s="191"/>
      <c r="J649" s="192"/>
      <c r="K649" s="193"/>
      <c r="L649" s="194"/>
      <c r="M649" s="192"/>
      <c r="N649" s="193"/>
      <c r="O649" s="194"/>
      <c r="P649" s="192"/>
      <c r="Q649" s="195"/>
      <c r="R649" s="196"/>
    </row>
    <row r="650" customFormat="false" ht="16.5" hidden="true" customHeight="false" outlineLevel="0" collapsed="false">
      <c r="D650" s="186"/>
      <c r="E650" s="187"/>
      <c r="F650" s="188"/>
      <c r="G650" s="189"/>
      <c r="H650" s="190"/>
      <c r="I650" s="191"/>
      <c r="J650" s="192"/>
      <c r="K650" s="193"/>
      <c r="L650" s="194"/>
      <c r="M650" s="192"/>
      <c r="N650" s="193"/>
      <c r="O650" s="194"/>
      <c r="P650" s="192"/>
      <c r="Q650" s="195"/>
      <c r="R650" s="196"/>
    </row>
    <row r="651" customFormat="false" ht="16.5" hidden="true" customHeight="false" outlineLevel="0" collapsed="false">
      <c r="D651" s="186"/>
      <c r="E651" s="187"/>
      <c r="F651" s="188"/>
      <c r="G651" s="189"/>
      <c r="H651" s="190"/>
      <c r="I651" s="191"/>
      <c r="J651" s="192"/>
      <c r="K651" s="193"/>
      <c r="L651" s="194"/>
      <c r="M651" s="192"/>
      <c r="N651" s="193"/>
      <c r="O651" s="194"/>
      <c r="P651" s="192"/>
      <c r="Q651" s="195"/>
      <c r="R651" s="196"/>
    </row>
    <row r="652" customFormat="false" ht="16.5" hidden="true" customHeight="false" outlineLevel="0" collapsed="false">
      <c r="D652" s="186"/>
      <c r="E652" s="187"/>
      <c r="F652" s="188"/>
      <c r="G652" s="189"/>
      <c r="H652" s="190"/>
      <c r="I652" s="191"/>
      <c r="J652" s="192"/>
      <c r="K652" s="193"/>
      <c r="L652" s="194"/>
      <c r="M652" s="192"/>
      <c r="N652" s="193"/>
      <c r="O652" s="194"/>
      <c r="P652" s="192"/>
      <c r="Q652" s="195"/>
      <c r="R652" s="196"/>
    </row>
    <row r="653" customFormat="false" ht="16.5" hidden="true" customHeight="false" outlineLevel="0" collapsed="false">
      <c r="D653" s="186"/>
      <c r="E653" s="187"/>
      <c r="F653" s="188"/>
      <c r="G653" s="189"/>
      <c r="H653" s="190"/>
      <c r="I653" s="191"/>
      <c r="J653" s="192"/>
      <c r="K653" s="193"/>
      <c r="L653" s="194"/>
      <c r="M653" s="192"/>
      <c r="N653" s="193"/>
      <c r="O653" s="194"/>
      <c r="P653" s="192"/>
      <c r="Q653" s="195"/>
      <c r="R653" s="196"/>
    </row>
    <row r="654" customFormat="false" ht="16.5" hidden="true" customHeight="false" outlineLevel="0" collapsed="false">
      <c r="D654" s="186"/>
      <c r="E654" s="187"/>
      <c r="F654" s="188"/>
      <c r="G654" s="189"/>
      <c r="H654" s="190"/>
      <c r="I654" s="191"/>
      <c r="J654" s="192"/>
      <c r="K654" s="193"/>
      <c r="L654" s="194"/>
      <c r="M654" s="192"/>
      <c r="N654" s="193"/>
      <c r="O654" s="194"/>
      <c r="P654" s="192"/>
      <c r="Q654" s="195"/>
      <c r="R654" s="196"/>
    </row>
    <row r="655" customFormat="false" ht="16.5" hidden="true" customHeight="false" outlineLevel="0" collapsed="false">
      <c r="D655" s="186"/>
      <c r="E655" s="187"/>
      <c r="F655" s="188"/>
      <c r="G655" s="189"/>
      <c r="H655" s="190"/>
      <c r="I655" s="191"/>
      <c r="J655" s="192"/>
      <c r="K655" s="193"/>
      <c r="L655" s="194"/>
      <c r="M655" s="192"/>
      <c r="N655" s="193"/>
      <c r="O655" s="194"/>
      <c r="P655" s="192"/>
      <c r="Q655" s="195"/>
      <c r="R655" s="196"/>
    </row>
    <row r="656" customFormat="false" ht="16.5" hidden="true" customHeight="false" outlineLevel="0" collapsed="false">
      <c r="D656" s="186"/>
      <c r="E656" s="187"/>
      <c r="F656" s="188"/>
      <c r="G656" s="189"/>
      <c r="H656" s="190"/>
      <c r="I656" s="191"/>
      <c r="J656" s="192"/>
      <c r="K656" s="193"/>
      <c r="L656" s="194"/>
      <c r="M656" s="192"/>
      <c r="N656" s="193"/>
      <c r="O656" s="194"/>
      <c r="P656" s="192"/>
      <c r="Q656" s="195"/>
      <c r="R656" s="196"/>
    </row>
    <row r="657" customFormat="false" ht="16.5" hidden="true" customHeight="false" outlineLevel="0" collapsed="false">
      <c r="D657" s="186"/>
      <c r="E657" s="187"/>
      <c r="F657" s="188"/>
      <c r="G657" s="189"/>
      <c r="H657" s="190"/>
      <c r="I657" s="191"/>
      <c r="J657" s="192"/>
      <c r="K657" s="193"/>
      <c r="L657" s="194"/>
      <c r="M657" s="192"/>
      <c r="N657" s="193"/>
      <c r="O657" s="194"/>
      <c r="P657" s="192"/>
      <c r="Q657" s="195"/>
      <c r="R657" s="196"/>
    </row>
    <row r="658" customFormat="false" ht="16.5" hidden="true" customHeight="false" outlineLevel="0" collapsed="false">
      <c r="D658" s="186"/>
      <c r="E658" s="187"/>
      <c r="F658" s="188"/>
      <c r="G658" s="189"/>
      <c r="H658" s="190"/>
      <c r="I658" s="191"/>
      <c r="J658" s="192"/>
      <c r="K658" s="193"/>
      <c r="L658" s="194"/>
      <c r="M658" s="192"/>
      <c r="N658" s="193"/>
      <c r="O658" s="194"/>
      <c r="P658" s="192"/>
      <c r="Q658" s="195"/>
      <c r="R658" s="196"/>
    </row>
    <row r="659" customFormat="false" ht="16.5" hidden="true" customHeight="false" outlineLevel="0" collapsed="false">
      <c r="D659" s="186"/>
      <c r="E659" s="187"/>
      <c r="F659" s="188"/>
      <c r="G659" s="189"/>
      <c r="H659" s="190"/>
      <c r="I659" s="191"/>
      <c r="J659" s="192"/>
      <c r="K659" s="193"/>
      <c r="L659" s="194"/>
      <c r="M659" s="192"/>
      <c r="N659" s="193"/>
      <c r="O659" s="194"/>
      <c r="P659" s="192"/>
      <c r="Q659" s="195"/>
      <c r="R659" s="196"/>
    </row>
    <row r="660" customFormat="false" ht="16.5" hidden="true" customHeight="false" outlineLevel="0" collapsed="false">
      <c r="D660" s="186"/>
      <c r="E660" s="187"/>
      <c r="F660" s="188"/>
      <c r="G660" s="189"/>
      <c r="H660" s="190"/>
      <c r="I660" s="191"/>
      <c r="J660" s="192"/>
      <c r="K660" s="193"/>
      <c r="L660" s="194"/>
      <c r="M660" s="192"/>
      <c r="N660" s="193"/>
      <c r="O660" s="194"/>
      <c r="P660" s="192"/>
      <c r="Q660" s="195"/>
      <c r="R660" s="196"/>
    </row>
    <row r="661" customFormat="false" ht="16.5" hidden="true" customHeight="false" outlineLevel="0" collapsed="false">
      <c r="D661" s="186"/>
      <c r="E661" s="187"/>
      <c r="F661" s="188"/>
      <c r="G661" s="189"/>
      <c r="H661" s="190"/>
      <c r="I661" s="191"/>
      <c r="J661" s="192"/>
      <c r="K661" s="193"/>
      <c r="L661" s="194"/>
      <c r="M661" s="192"/>
      <c r="N661" s="193"/>
      <c r="O661" s="194"/>
      <c r="P661" s="192"/>
      <c r="Q661" s="195"/>
      <c r="R661" s="196"/>
    </row>
    <row r="662" customFormat="false" ht="16.5" hidden="true" customHeight="false" outlineLevel="0" collapsed="false">
      <c r="D662" s="186"/>
      <c r="E662" s="187"/>
      <c r="F662" s="188"/>
      <c r="G662" s="189"/>
      <c r="H662" s="190"/>
      <c r="I662" s="191"/>
      <c r="J662" s="192"/>
      <c r="K662" s="193"/>
      <c r="L662" s="194"/>
      <c r="M662" s="192"/>
      <c r="N662" s="193"/>
      <c r="O662" s="194"/>
      <c r="P662" s="192"/>
      <c r="Q662" s="195"/>
      <c r="R662" s="196"/>
    </row>
    <row r="663" customFormat="false" ht="16.5" hidden="true" customHeight="false" outlineLevel="0" collapsed="false">
      <c r="D663" s="186"/>
      <c r="E663" s="187"/>
      <c r="F663" s="188"/>
      <c r="G663" s="189"/>
      <c r="H663" s="190"/>
      <c r="I663" s="191"/>
      <c r="J663" s="192"/>
      <c r="K663" s="193"/>
      <c r="L663" s="194"/>
      <c r="M663" s="192"/>
      <c r="N663" s="193"/>
      <c r="O663" s="194"/>
      <c r="P663" s="192"/>
      <c r="Q663" s="195"/>
      <c r="R663" s="196"/>
    </row>
    <row r="664" customFormat="false" ht="16.5" hidden="true" customHeight="false" outlineLevel="0" collapsed="false">
      <c r="D664" s="186"/>
      <c r="E664" s="187"/>
      <c r="F664" s="188"/>
      <c r="G664" s="189"/>
      <c r="H664" s="190"/>
      <c r="I664" s="191"/>
      <c r="J664" s="192"/>
      <c r="K664" s="193"/>
      <c r="L664" s="194"/>
      <c r="M664" s="192"/>
      <c r="N664" s="193"/>
      <c r="O664" s="194"/>
      <c r="P664" s="192"/>
      <c r="Q664" s="195"/>
      <c r="R664" s="196"/>
    </row>
    <row r="665" customFormat="false" ht="16.5" hidden="true" customHeight="false" outlineLevel="0" collapsed="false">
      <c r="D665" s="186"/>
      <c r="E665" s="187"/>
      <c r="F665" s="188"/>
      <c r="G665" s="189"/>
      <c r="H665" s="190"/>
      <c r="I665" s="191"/>
      <c r="J665" s="192"/>
      <c r="K665" s="193"/>
      <c r="L665" s="194"/>
      <c r="M665" s="192"/>
      <c r="N665" s="193"/>
      <c r="O665" s="194"/>
      <c r="P665" s="192"/>
      <c r="Q665" s="195"/>
      <c r="R665" s="196"/>
    </row>
    <row r="666" customFormat="false" ht="16.5" hidden="true" customHeight="false" outlineLevel="0" collapsed="false">
      <c r="D666" s="186"/>
      <c r="E666" s="187"/>
      <c r="F666" s="188"/>
      <c r="G666" s="189"/>
      <c r="H666" s="190"/>
      <c r="I666" s="191"/>
      <c r="J666" s="192"/>
      <c r="K666" s="193"/>
      <c r="L666" s="194"/>
      <c r="M666" s="192"/>
      <c r="N666" s="193"/>
      <c r="O666" s="194"/>
      <c r="P666" s="192"/>
      <c r="Q666" s="195"/>
      <c r="R666" s="196"/>
    </row>
    <row r="667" customFormat="false" ht="16.5" hidden="true" customHeight="false" outlineLevel="0" collapsed="false">
      <c r="D667" s="186"/>
      <c r="E667" s="187"/>
      <c r="F667" s="188"/>
      <c r="G667" s="189"/>
      <c r="H667" s="190"/>
      <c r="I667" s="191"/>
      <c r="J667" s="192"/>
      <c r="K667" s="193"/>
      <c r="L667" s="194"/>
      <c r="M667" s="192"/>
      <c r="N667" s="193"/>
      <c r="O667" s="194"/>
      <c r="P667" s="192"/>
      <c r="Q667" s="195"/>
      <c r="R667" s="196"/>
    </row>
    <row r="668" customFormat="false" ht="16.5" hidden="true" customHeight="false" outlineLevel="0" collapsed="false">
      <c r="D668" s="186"/>
      <c r="E668" s="187"/>
      <c r="F668" s="188"/>
      <c r="G668" s="189"/>
      <c r="H668" s="190"/>
      <c r="I668" s="191"/>
      <c r="J668" s="192"/>
      <c r="K668" s="193"/>
      <c r="L668" s="194"/>
      <c r="M668" s="192"/>
      <c r="N668" s="193"/>
      <c r="O668" s="194"/>
      <c r="P668" s="192"/>
      <c r="Q668" s="195"/>
      <c r="R668" s="196"/>
    </row>
    <row r="669" customFormat="false" ht="16.5" hidden="true" customHeight="false" outlineLevel="0" collapsed="false">
      <c r="D669" s="186"/>
      <c r="E669" s="187"/>
      <c r="F669" s="188"/>
      <c r="G669" s="189"/>
      <c r="H669" s="190"/>
      <c r="I669" s="191"/>
      <c r="J669" s="192"/>
      <c r="K669" s="193"/>
      <c r="L669" s="194"/>
      <c r="M669" s="192"/>
      <c r="N669" s="193"/>
      <c r="O669" s="194"/>
      <c r="P669" s="192"/>
      <c r="Q669" s="195"/>
      <c r="R669" s="196"/>
    </row>
    <row r="670" customFormat="false" ht="16.5" hidden="true" customHeight="false" outlineLevel="0" collapsed="false">
      <c r="D670" s="186"/>
      <c r="E670" s="187"/>
      <c r="F670" s="188"/>
      <c r="G670" s="189"/>
      <c r="H670" s="190"/>
      <c r="I670" s="191"/>
      <c r="J670" s="192"/>
      <c r="K670" s="193"/>
      <c r="L670" s="194"/>
      <c r="M670" s="192"/>
      <c r="N670" s="193"/>
      <c r="O670" s="194"/>
      <c r="P670" s="192"/>
      <c r="Q670" s="195"/>
      <c r="R670" s="196"/>
    </row>
    <row r="671" customFormat="false" ht="16.5" hidden="true" customHeight="false" outlineLevel="0" collapsed="false">
      <c r="D671" s="186"/>
      <c r="E671" s="187"/>
      <c r="F671" s="188"/>
      <c r="G671" s="189"/>
      <c r="H671" s="190"/>
      <c r="I671" s="191"/>
      <c r="J671" s="192"/>
      <c r="K671" s="193"/>
      <c r="L671" s="194"/>
      <c r="M671" s="192"/>
      <c r="N671" s="193"/>
      <c r="O671" s="194"/>
      <c r="P671" s="192"/>
      <c r="Q671" s="195"/>
      <c r="R671" s="196"/>
    </row>
    <row r="672" customFormat="false" ht="16.5" hidden="true" customHeight="false" outlineLevel="0" collapsed="false">
      <c r="D672" s="186"/>
      <c r="E672" s="187"/>
      <c r="F672" s="188"/>
      <c r="G672" s="189"/>
      <c r="H672" s="190"/>
      <c r="I672" s="191"/>
      <c r="J672" s="192"/>
      <c r="K672" s="193"/>
      <c r="L672" s="194"/>
      <c r="M672" s="192"/>
      <c r="N672" s="193"/>
      <c r="O672" s="194"/>
      <c r="P672" s="192"/>
      <c r="Q672" s="195"/>
      <c r="R672" s="196"/>
    </row>
    <row r="673" customFormat="false" ht="16.5" hidden="true" customHeight="false" outlineLevel="0" collapsed="false">
      <c r="D673" s="186"/>
      <c r="E673" s="187"/>
      <c r="F673" s="188"/>
      <c r="G673" s="189"/>
      <c r="H673" s="190"/>
      <c r="I673" s="191"/>
      <c r="J673" s="192"/>
      <c r="K673" s="193"/>
      <c r="L673" s="194"/>
      <c r="M673" s="192"/>
      <c r="N673" s="193"/>
      <c r="O673" s="194"/>
      <c r="P673" s="192"/>
      <c r="Q673" s="195"/>
      <c r="R673" s="196"/>
    </row>
    <row r="674" customFormat="false" ht="16.5" hidden="true" customHeight="false" outlineLevel="0" collapsed="false">
      <c r="D674" s="186"/>
      <c r="E674" s="187"/>
      <c r="F674" s="188"/>
      <c r="G674" s="189"/>
      <c r="H674" s="190"/>
      <c r="I674" s="191"/>
      <c r="J674" s="192"/>
      <c r="K674" s="193"/>
      <c r="L674" s="194"/>
      <c r="M674" s="192"/>
      <c r="N674" s="193"/>
      <c r="O674" s="194"/>
      <c r="P674" s="192"/>
      <c r="Q674" s="195"/>
      <c r="R674" s="196"/>
    </row>
    <row r="675" customFormat="false" ht="16.5" hidden="true" customHeight="false" outlineLevel="0" collapsed="false">
      <c r="D675" s="186"/>
      <c r="E675" s="187"/>
      <c r="F675" s="188"/>
      <c r="G675" s="189"/>
      <c r="H675" s="190"/>
      <c r="I675" s="191"/>
      <c r="J675" s="192"/>
      <c r="K675" s="193"/>
      <c r="L675" s="194"/>
      <c r="M675" s="192"/>
      <c r="N675" s="193"/>
      <c r="O675" s="194"/>
      <c r="P675" s="192"/>
      <c r="Q675" s="195"/>
      <c r="R675" s="196"/>
    </row>
    <row r="676" customFormat="false" ht="16.5" hidden="true" customHeight="false" outlineLevel="0" collapsed="false">
      <c r="D676" s="186"/>
      <c r="E676" s="187"/>
      <c r="F676" s="188"/>
      <c r="G676" s="189"/>
      <c r="H676" s="190"/>
      <c r="I676" s="191"/>
      <c r="J676" s="192"/>
      <c r="K676" s="193"/>
      <c r="L676" s="194"/>
      <c r="M676" s="192"/>
      <c r="N676" s="193"/>
      <c r="O676" s="194"/>
      <c r="P676" s="192"/>
      <c r="Q676" s="195"/>
      <c r="R676" s="196"/>
    </row>
    <row r="677" customFormat="false" ht="16.5" hidden="true" customHeight="false" outlineLevel="0" collapsed="false">
      <c r="D677" s="186"/>
      <c r="E677" s="187"/>
      <c r="F677" s="188"/>
      <c r="G677" s="189"/>
      <c r="H677" s="190"/>
      <c r="I677" s="191"/>
      <c r="J677" s="192"/>
      <c r="K677" s="193"/>
      <c r="L677" s="194"/>
      <c r="M677" s="192"/>
      <c r="N677" s="193"/>
      <c r="O677" s="194"/>
      <c r="P677" s="192"/>
      <c r="Q677" s="195"/>
      <c r="R677" s="196"/>
    </row>
    <row r="678" customFormat="false" ht="16.5" hidden="true" customHeight="false" outlineLevel="0" collapsed="false">
      <c r="D678" s="186"/>
      <c r="E678" s="187"/>
      <c r="F678" s="188"/>
      <c r="G678" s="189"/>
      <c r="H678" s="190"/>
      <c r="I678" s="191"/>
      <c r="J678" s="192"/>
      <c r="K678" s="193"/>
      <c r="L678" s="194"/>
      <c r="M678" s="192"/>
      <c r="N678" s="193"/>
      <c r="O678" s="194"/>
      <c r="P678" s="192"/>
      <c r="Q678" s="195"/>
      <c r="R678" s="196"/>
    </row>
    <row r="679" customFormat="false" ht="16.5" hidden="true" customHeight="false" outlineLevel="0" collapsed="false">
      <c r="D679" s="186"/>
      <c r="E679" s="187"/>
      <c r="F679" s="188"/>
      <c r="G679" s="189"/>
      <c r="H679" s="190"/>
      <c r="I679" s="191"/>
      <c r="J679" s="192"/>
      <c r="K679" s="193"/>
      <c r="L679" s="194"/>
      <c r="M679" s="192"/>
      <c r="N679" s="193"/>
      <c r="O679" s="194"/>
      <c r="P679" s="192"/>
      <c r="Q679" s="195"/>
      <c r="R679" s="196"/>
    </row>
    <row r="680" customFormat="false" ht="16.5" hidden="true" customHeight="false" outlineLevel="0" collapsed="false">
      <c r="D680" s="186"/>
      <c r="E680" s="187"/>
      <c r="F680" s="188"/>
      <c r="G680" s="189"/>
      <c r="H680" s="190"/>
      <c r="I680" s="191"/>
      <c r="J680" s="192"/>
      <c r="K680" s="193"/>
      <c r="L680" s="194"/>
      <c r="M680" s="192"/>
      <c r="N680" s="193"/>
      <c r="O680" s="194"/>
      <c r="P680" s="192"/>
      <c r="Q680" s="195"/>
      <c r="R680" s="196"/>
    </row>
    <row r="681" customFormat="false" ht="16.5" hidden="true" customHeight="false" outlineLevel="0" collapsed="false">
      <c r="D681" s="186"/>
      <c r="E681" s="187"/>
      <c r="F681" s="188"/>
      <c r="G681" s="189"/>
      <c r="H681" s="190"/>
      <c r="I681" s="191"/>
      <c r="J681" s="192"/>
      <c r="K681" s="193"/>
      <c r="L681" s="194"/>
      <c r="M681" s="192"/>
      <c r="N681" s="193"/>
      <c r="O681" s="194"/>
      <c r="P681" s="192"/>
      <c r="Q681" s="195"/>
      <c r="R681" s="196"/>
    </row>
    <row r="682" customFormat="false" ht="16.5" hidden="true" customHeight="false" outlineLevel="0" collapsed="false">
      <c r="D682" s="186"/>
      <c r="E682" s="187"/>
      <c r="F682" s="188"/>
      <c r="G682" s="189"/>
      <c r="H682" s="190"/>
      <c r="I682" s="191"/>
      <c r="J682" s="192"/>
      <c r="K682" s="193"/>
      <c r="L682" s="194"/>
      <c r="M682" s="192"/>
      <c r="N682" s="193"/>
      <c r="O682" s="194"/>
      <c r="P682" s="192"/>
      <c r="Q682" s="195"/>
      <c r="R682" s="196"/>
    </row>
    <row r="683" customFormat="false" ht="16.5" hidden="true" customHeight="false" outlineLevel="0" collapsed="false">
      <c r="D683" s="186"/>
      <c r="E683" s="187"/>
      <c r="F683" s="188"/>
      <c r="G683" s="189"/>
      <c r="H683" s="190"/>
      <c r="I683" s="191"/>
      <c r="J683" s="192"/>
      <c r="K683" s="193"/>
      <c r="L683" s="194"/>
      <c r="M683" s="192"/>
      <c r="N683" s="193"/>
      <c r="O683" s="194"/>
      <c r="P683" s="192"/>
      <c r="Q683" s="195"/>
      <c r="R683" s="196"/>
    </row>
    <row r="684" customFormat="false" ht="16.5" hidden="true" customHeight="false" outlineLevel="0" collapsed="false">
      <c r="D684" s="186"/>
      <c r="E684" s="187"/>
      <c r="F684" s="188"/>
      <c r="G684" s="189"/>
      <c r="H684" s="190"/>
      <c r="I684" s="191"/>
      <c r="J684" s="192"/>
      <c r="K684" s="193"/>
      <c r="L684" s="194"/>
      <c r="M684" s="192"/>
      <c r="N684" s="193"/>
      <c r="O684" s="194"/>
      <c r="P684" s="192"/>
      <c r="Q684" s="195"/>
      <c r="R684" s="196"/>
    </row>
    <row r="685" customFormat="false" ht="16.5" hidden="true" customHeight="false" outlineLevel="0" collapsed="false">
      <c r="D685" s="186"/>
      <c r="E685" s="187"/>
      <c r="F685" s="188"/>
      <c r="G685" s="189"/>
      <c r="H685" s="190"/>
      <c r="I685" s="191"/>
      <c r="J685" s="192"/>
      <c r="K685" s="193"/>
      <c r="L685" s="194"/>
      <c r="M685" s="192"/>
      <c r="N685" s="193"/>
      <c r="O685" s="194"/>
      <c r="P685" s="207"/>
      <c r="Q685" s="208"/>
      <c r="R685" s="196"/>
    </row>
    <row r="686" customFormat="false" ht="16.5" hidden="true" customHeight="false" outlineLevel="0" collapsed="false">
      <c r="D686" s="186"/>
      <c r="E686" s="187"/>
      <c r="F686" s="188"/>
      <c r="G686" s="189"/>
      <c r="H686" s="190"/>
      <c r="I686" s="191"/>
      <c r="J686" s="192"/>
      <c r="K686" s="193"/>
      <c r="L686" s="194"/>
      <c r="M686" s="192"/>
      <c r="N686" s="193"/>
      <c r="O686" s="194"/>
      <c r="P686" s="192"/>
      <c r="Q686" s="195"/>
      <c r="R686" s="196"/>
    </row>
    <row r="687" customFormat="false" ht="16.5" hidden="true" customHeight="false" outlineLevel="0" collapsed="false">
      <c r="D687" s="186"/>
      <c r="E687" s="187"/>
      <c r="F687" s="188"/>
      <c r="G687" s="189"/>
      <c r="H687" s="190"/>
      <c r="I687" s="191"/>
      <c r="J687" s="192"/>
      <c r="K687" s="193"/>
      <c r="L687" s="194"/>
      <c r="M687" s="192"/>
      <c r="N687" s="193"/>
      <c r="O687" s="194"/>
      <c r="P687" s="192"/>
      <c r="Q687" s="195"/>
      <c r="R687" s="196"/>
    </row>
    <row r="688" customFormat="false" ht="16.5" hidden="true" customHeight="false" outlineLevel="0" collapsed="false">
      <c r="D688" s="186"/>
      <c r="E688" s="187"/>
      <c r="F688" s="188"/>
      <c r="G688" s="189"/>
      <c r="H688" s="190"/>
      <c r="I688" s="191"/>
      <c r="J688" s="192"/>
      <c r="K688" s="193"/>
      <c r="L688" s="194"/>
      <c r="M688" s="192"/>
      <c r="N688" s="193"/>
      <c r="O688" s="194"/>
      <c r="P688" s="192"/>
      <c r="Q688" s="195"/>
      <c r="R688" s="196"/>
    </row>
    <row r="689" customFormat="false" ht="16.5" hidden="true" customHeight="false" outlineLevel="0" collapsed="false">
      <c r="D689" s="186"/>
      <c r="E689" s="187"/>
      <c r="F689" s="188"/>
      <c r="G689" s="189"/>
      <c r="H689" s="190"/>
      <c r="I689" s="191"/>
      <c r="J689" s="192"/>
      <c r="K689" s="193"/>
      <c r="L689" s="194"/>
      <c r="M689" s="192"/>
      <c r="N689" s="193"/>
      <c r="O689" s="194"/>
      <c r="P689" s="192"/>
      <c r="Q689" s="195"/>
      <c r="R689" s="196"/>
    </row>
    <row r="690" customFormat="false" ht="16.5" hidden="true" customHeight="false" outlineLevel="0" collapsed="false">
      <c r="D690" s="186"/>
      <c r="E690" s="187"/>
      <c r="F690" s="188"/>
      <c r="G690" s="189"/>
      <c r="H690" s="190"/>
      <c r="I690" s="191"/>
      <c r="J690" s="192"/>
      <c r="K690" s="193"/>
      <c r="L690" s="194"/>
      <c r="M690" s="192"/>
      <c r="N690" s="193"/>
      <c r="O690" s="194"/>
      <c r="P690" s="192"/>
      <c r="Q690" s="195"/>
      <c r="R690" s="196"/>
    </row>
    <row r="691" customFormat="false" ht="16.5" hidden="true" customHeight="false" outlineLevel="0" collapsed="false">
      <c r="D691" s="186"/>
      <c r="E691" s="187"/>
      <c r="F691" s="188"/>
      <c r="G691" s="189"/>
      <c r="H691" s="190"/>
      <c r="I691" s="191"/>
      <c r="J691" s="192"/>
      <c r="K691" s="193"/>
      <c r="L691" s="194"/>
      <c r="M691" s="192"/>
      <c r="N691" s="193"/>
      <c r="O691" s="194"/>
      <c r="P691" s="192"/>
      <c r="Q691" s="195"/>
      <c r="R691" s="196"/>
    </row>
    <row r="692" customFormat="false" ht="16.5" hidden="true" customHeight="false" outlineLevel="0" collapsed="false">
      <c r="D692" s="186"/>
      <c r="E692" s="187"/>
      <c r="F692" s="188"/>
      <c r="G692" s="189"/>
      <c r="H692" s="190"/>
      <c r="I692" s="191"/>
      <c r="J692" s="192"/>
      <c r="K692" s="193"/>
      <c r="L692" s="194"/>
      <c r="M692" s="192"/>
      <c r="N692" s="193"/>
      <c r="O692" s="194"/>
      <c r="P692" s="192"/>
      <c r="Q692" s="195"/>
      <c r="R692" s="196"/>
    </row>
    <row r="693" customFormat="false" ht="16.5" hidden="true" customHeight="false" outlineLevel="0" collapsed="false">
      <c r="D693" s="186"/>
      <c r="E693" s="187"/>
      <c r="F693" s="188"/>
      <c r="G693" s="189"/>
      <c r="H693" s="190"/>
      <c r="I693" s="191"/>
      <c r="J693" s="192"/>
      <c r="K693" s="193"/>
      <c r="L693" s="194"/>
      <c r="M693" s="192"/>
      <c r="N693" s="193"/>
      <c r="O693" s="194"/>
      <c r="P693" s="192"/>
      <c r="Q693" s="195"/>
      <c r="R693" s="196"/>
    </row>
    <row r="694" customFormat="false" ht="16.5" hidden="true" customHeight="false" outlineLevel="0" collapsed="false">
      <c r="D694" s="186"/>
      <c r="E694" s="187"/>
      <c r="F694" s="188"/>
      <c r="G694" s="189"/>
      <c r="H694" s="190"/>
      <c r="I694" s="191"/>
      <c r="J694" s="192"/>
      <c r="K694" s="193"/>
      <c r="L694" s="194"/>
      <c r="M694" s="192"/>
      <c r="N694" s="193"/>
      <c r="O694" s="194"/>
      <c r="P694" s="192"/>
      <c r="Q694" s="195"/>
      <c r="R694" s="196"/>
    </row>
    <row r="695" customFormat="false" ht="16.5" hidden="true" customHeight="false" outlineLevel="0" collapsed="false">
      <c r="D695" s="186"/>
      <c r="E695" s="187"/>
      <c r="F695" s="188"/>
      <c r="G695" s="189"/>
      <c r="H695" s="190"/>
      <c r="I695" s="191"/>
      <c r="J695" s="192"/>
      <c r="K695" s="193"/>
      <c r="L695" s="194"/>
      <c r="M695" s="192"/>
      <c r="N695" s="193"/>
      <c r="O695" s="194"/>
      <c r="P695" s="192"/>
      <c r="Q695" s="195"/>
      <c r="R695" s="196"/>
    </row>
    <row r="696" customFormat="false" ht="16.5" hidden="true" customHeight="false" outlineLevel="0" collapsed="false">
      <c r="D696" s="186"/>
      <c r="E696" s="187"/>
      <c r="F696" s="188"/>
      <c r="G696" s="189"/>
      <c r="H696" s="190"/>
      <c r="I696" s="191"/>
      <c r="J696" s="192"/>
      <c r="K696" s="193"/>
      <c r="L696" s="194"/>
      <c r="M696" s="192"/>
      <c r="N696" s="193"/>
      <c r="O696" s="194"/>
      <c r="P696" s="192"/>
      <c r="Q696" s="195"/>
      <c r="R696" s="196"/>
    </row>
    <row r="697" customFormat="false" ht="16.5" hidden="true" customHeight="false" outlineLevel="0" collapsed="false">
      <c r="D697" s="186"/>
      <c r="E697" s="187"/>
      <c r="F697" s="188"/>
      <c r="G697" s="189"/>
      <c r="H697" s="190"/>
      <c r="I697" s="191"/>
      <c r="J697" s="192"/>
      <c r="K697" s="193"/>
      <c r="L697" s="194"/>
      <c r="M697" s="192"/>
      <c r="N697" s="193"/>
      <c r="O697" s="194"/>
      <c r="P697" s="192"/>
      <c r="Q697" s="195"/>
      <c r="R697" s="196"/>
    </row>
    <row r="698" customFormat="false" ht="16.5" hidden="true" customHeight="false" outlineLevel="0" collapsed="false">
      <c r="D698" s="186"/>
      <c r="E698" s="187"/>
      <c r="F698" s="188"/>
      <c r="G698" s="189"/>
      <c r="H698" s="190"/>
      <c r="I698" s="191"/>
      <c r="J698" s="192"/>
      <c r="K698" s="193"/>
      <c r="L698" s="194"/>
      <c r="M698" s="192"/>
      <c r="N698" s="193"/>
      <c r="O698" s="194"/>
      <c r="P698" s="192"/>
      <c r="Q698" s="195"/>
      <c r="R698" s="196"/>
    </row>
    <row r="699" customFormat="false" ht="16.5" hidden="true" customHeight="false" outlineLevel="0" collapsed="false">
      <c r="D699" s="186"/>
      <c r="E699" s="187"/>
      <c r="F699" s="188"/>
      <c r="G699" s="189"/>
      <c r="H699" s="190"/>
      <c r="I699" s="191"/>
      <c r="J699" s="192"/>
      <c r="K699" s="193"/>
      <c r="L699" s="194"/>
      <c r="M699" s="192"/>
      <c r="N699" s="193"/>
      <c r="O699" s="194"/>
      <c r="P699" s="192"/>
      <c r="Q699" s="195"/>
      <c r="R699" s="196"/>
    </row>
    <row r="700" customFormat="false" ht="16.5" hidden="true" customHeight="false" outlineLevel="0" collapsed="false">
      <c r="D700" s="186"/>
      <c r="E700" s="187"/>
      <c r="F700" s="188"/>
      <c r="G700" s="189"/>
      <c r="H700" s="190"/>
      <c r="I700" s="191"/>
      <c r="J700" s="192"/>
      <c r="K700" s="193"/>
      <c r="L700" s="194"/>
      <c r="M700" s="192"/>
      <c r="N700" s="193"/>
      <c r="O700" s="194"/>
      <c r="P700" s="192"/>
      <c r="Q700" s="195"/>
      <c r="R700" s="196"/>
    </row>
    <row r="701" customFormat="false" ht="16.5" hidden="true" customHeight="false" outlineLevel="0" collapsed="false">
      <c r="D701" s="186"/>
      <c r="E701" s="187"/>
      <c r="F701" s="188"/>
      <c r="G701" s="189"/>
      <c r="H701" s="190"/>
      <c r="I701" s="191"/>
      <c r="J701" s="192"/>
      <c r="K701" s="193"/>
      <c r="L701" s="194"/>
      <c r="M701" s="192"/>
      <c r="N701" s="193"/>
      <c r="O701" s="194"/>
      <c r="P701" s="192"/>
      <c r="Q701" s="195"/>
      <c r="R701" s="196"/>
    </row>
    <row r="702" customFormat="false" ht="16.5" hidden="true" customHeight="false" outlineLevel="0" collapsed="false">
      <c r="D702" s="186"/>
      <c r="E702" s="187"/>
      <c r="F702" s="188"/>
      <c r="G702" s="189"/>
      <c r="H702" s="190"/>
      <c r="I702" s="191"/>
      <c r="J702" s="192"/>
      <c r="K702" s="193"/>
      <c r="L702" s="194"/>
      <c r="M702" s="192"/>
      <c r="N702" s="193"/>
      <c r="O702" s="194"/>
      <c r="P702" s="192"/>
      <c r="Q702" s="195"/>
      <c r="R702" s="196"/>
    </row>
    <row r="703" customFormat="false" ht="16.5" hidden="true" customHeight="false" outlineLevel="0" collapsed="false">
      <c r="D703" s="186"/>
      <c r="E703" s="187"/>
      <c r="F703" s="188"/>
      <c r="G703" s="189"/>
      <c r="H703" s="190"/>
      <c r="I703" s="191"/>
      <c r="J703" s="192"/>
      <c r="K703" s="193"/>
      <c r="L703" s="194"/>
      <c r="M703" s="192"/>
      <c r="N703" s="193"/>
      <c r="O703" s="194"/>
      <c r="P703" s="192"/>
      <c r="Q703" s="195"/>
      <c r="R703" s="196"/>
    </row>
    <row r="704" customFormat="false" ht="16.5" hidden="true" customHeight="false" outlineLevel="0" collapsed="false">
      <c r="D704" s="186"/>
      <c r="E704" s="187"/>
      <c r="F704" s="188"/>
      <c r="G704" s="189"/>
      <c r="H704" s="190"/>
      <c r="I704" s="191"/>
      <c r="J704" s="192"/>
      <c r="K704" s="193"/>
      <c r="L704" s="194"/>
      <c r="M704" s="192"/>
      <c r="N704" s="193"/>
      <c r="O704" s="194"/>
      <c r="P704" s="192"/>
      <c r="Q704" s="195"/>
      <c r="R704" s="196"/>
    </row>
    <row r="705" customFormat="false" ht="16.5" hidden="true" customHeight="false" outlineLevel="0" collapsed="false">
      <c r="D705" s="186"/>
      <c r="E705" s="187"/>
      <c r="F705" s="188"/>
      <c r="G705" s="189"/>
      <c r="H705" s="190"/>
      <c r="I705" s="191"/>
      <c r="J705" s="192"/>
      <c r="K705" s="193"/>
      <c r="L705" s="194"/>
      <c r="M705" s="192"/>
      <c r="N705" s="193"/>
      <c r="O705" s="194"/>
      <c r="P705" s="192"/>
      <c r="Q705" s="195"/>
      <c r="R705" s="196"/>
    </row>
    <row r="706" customFormat="false" ht="16.5" hidden="true" customHeight="false" outlineLevel="0" collapsed="false">
      <c r="D706" s="186"/>
      <c r="E706" s="187"/>
      <c r="F706" s="188"/>
      <c r="G706" s="189"/>
      <c r="H706" s="190"/>
      <c r="I706" s="191"/>
      <c r="J706" s="192"/>
      <c r="K706" s="193"/>
      <c r="L706" s="194"/>
      <c r="M706" s="192"/>
      <c r="N706" s="193"/>
      <c r="O706" s="194"/>
      <c r="P706" s="192"/>
      <c r="Q706" s="195"/>
      <c r="R706" s="196"/>
    </row>
    <row r="707" customFormat="false" ht="16.5" hidden="true" customHeight="false" outlineLevel="0" collapsed="false">
      <c r="D707" s="186"/>
      <c r="E707" s="187"/>
      <c r="F707" s="188"/>
      <c r="G707" s="189"/>
      <c r="H707" s="190"/>
      <c r="I707" s="191"/>
      <c r="J707" s="192"/>
      <c r="K707" s="193"/>
      <c r="L707" s="194"/>
      <c r="M707" s="192"/>
      <c r="N707" s="193"/>
      <c r="O707" s="194"/>
      <c r="P707" s="192"/>
      <c r="Q707" s="195"/>
      <c r="R707" s="196"/>
    </row>
    <row r="708" customFormat="false" ht="16.5" hidden="true" customHeight="false" outlineLevel="0" collapsed="false">
      <c r="D708" s="186"/>
      <c r="E708" s="187"/>
      <c r="F708" s="188"/>
      <c r="G708" s="189"/>
      <c r="H708" s="190"/>
      <c r="I708" s="191"/>
      <c r="J708" s="192"/>
      <c r="K708" s="193"/>
      <c r="L708" s="194"/>
      <c r="M708" s="192"/>
      <c r="N708" s="193"/>
      <c r="O708" s="194"/>
      <c r="P708" s="192"/>
      <c r="Q708" s="195"/>
      <c r="R708" s="196"/>
    </row>
    <row r="709" customFormat="false" ht="16.5" hidden="true" customHeight="false" outlineLevel="0" collapsed="false">
      <c r="D709" s="186"/>
      <c r="E709" s="187"/>
      <c r="F709" s="188"/>
      <c r="G709" s="189"/>
      <c r="H709" s="190"/>
      <c r="I709" s="191"/>
      <c r="J709" s="192"/>
      <c r="K709" s="193"/>
      <c r="L709" s="194"/>
      <c r="M709" s="192"/>
      <c r="N709" s="193"/>
      <c r="O709" s="194"/>
      <c r="P709" s="192"/>
      <c r="Q709" s="195"/>
      <c r="R709" s="196"/>
    </row>
    <row r="710" customFormat="false" ht="16.5" hidden="true" customHeight="false" outlineLevel="0" collapsed="false">
      <c r="D710" s="186"/>
      <c r="E710" s="187"/>
      <c r="F710" s="188"/>
      <c r="G710" s="189"/>
      <c r="H710" s="190"/>
      <c r="I710" s="191"/>
      <c r="J710" s="192"/>
      <c r="K710" s="193"/>
      <c r="L710" s="194"/>
      <c r="M710" s="192"/>
      <c r="N710" s="193"/>
      <c r="O710" s="194"/>
      <c r="P710" s="192"/>
      <c r="Q710" s="195"/>
      <c r="R710" s="196"/>
    </row>
    <row r="711" customFormat="false" ht="16.5" hidden="true" customHeight="false" outlineLevel="0" collapsed="false">
      <c r="D711" s="186"/>
      <c r="E711" s="187"/>
      <c r="F711" s="188"/>
      <c r="G711" s="189"/>
      <c r="H711" s="190"/>
      <c r="I711" s="191"/>
      <c r="J711" s="192"/>
      <c r="K711" s="193"/>
      <c r="L711" s="194"/>
      <c r="M711" s="192"/>
      <c r="N711" s="193"/>
      <c r="O711" s="194"/>
      <c r="P711" s="192"/>
      <c r="Q711" s="195"/>
      <c r="R711" s="196"/>
    </row>
    <row r="712" customFormat="false" ht="16.5" hidden="true" customHeight="false" outlineLevel="0" collapsed="false">
      <c r="D712" s="186"/>
      <c r="E712" s="187"/>
      <c r="F712" s="188"/>
      <c r="G712" s="189"/>
      <c r="H712" s="190"/>
      <c r="I712" s="191"/>
      <c r="J712" s="192"/>
      <c r="K712" s="193"/>
      <c r="L712" s="194"/>
      <c r="M712" s="192"/>
      <c r="N712" s="193"/>
      <c r="O712" s="194"/>
      <c r="P712" s="192"/>
      <c r="Q712" s="195"/>
      <c r="R712" s="196"/>
    </row>
    <row r="713" customFormat="false" ht="16.5" hidden="true" customHeight="false" outlineLevel="0" collapsed="false">
      <c r="D713" s="209"/>
      <c r="E713" s="210"/>
      <c r="F713" s="211"/>
      <c r="G713" s="212"/>
      <c r="H713" s="213"/>
      <c r="I713" s="214"/>
      <c r="J713" s="215"/>
      <c r="K713" s="216"/>
      <c r="L713" s="217"/>
      <c r="M713" s="215"/>
      <c r="N713" s="193"/>
      <c r="O713" s="194"/>
      <c r="P713" s="215"/>
      <c r="Q713" s="195"/>
      <c r="R713" s="196"/>
    </row>
    <row r="714" customFormat="false" ht="16.5" hidden="true" customHeight="false" outlineLevel="0" collapsed="false">
      <c r="D714" s="209"/>
      <c r="E714" s="210"/>
      <c r="F714" s="211"/>
      <c r="G714" s="212"/>
      <c r="H714" s="213"/>
      <c r="I714" s="214"/>
      <c r="J714" s="215"/>
      <c r="K714" s="216"/>
      <c r="L714" s="217"/>
      <c r="M714" s="215"/>
      <c r="N714" s="193"/>
      <c r="O714" s="194"/>
      <c r="P714" s="215"/>
      <c r="Q714" s="195"/>
      <c r="R714" s="196"/>
    </row>
    <row r="715" customFormat="false" ht="16.5" hidden="true" customHeight="false" outlineLevel="0" collapsed="false">
      <c r="D715" s="209"/>
      <c r="E715" s="210"/>
      <c r="F715" s="211"/>
      <c r="G715" s="212"/>
      <c r="H715" s="213"/>
      <c r="I715" s="214"/>
      <c r="J715" s="215"/>
      <c r="K715" s="216"/>
      <c r="L715" s="217"/>
      <c r="M715" s="215"/>
      <c r="N715" s="193"/>
      <c r="O715" s="194"/>
      <c r="P715" s="215"/>
      <c r="Q715" s="195"/>
      <c r="R715" s="196"/>
    </row>
    <row r="716" customFormat="false" ht="16.5" hidden="true" customHeight="false" outlineLevel="0" collapsed="false">
      <c r="D716" s="209"/>
      <c r="E716" s="210"/>
      <c r="F716" s="211"/>
      <c r="G716" s="212"/>
      <c r="H716" s="213"/>
      <c r="I716" s="214"/>
      <c r="J716" s="215"/>
      <c r="K716" s="216"/>
      <c r="L716" s="217"/>
      <c r="M716" s="215"/>
      <c r="N716" s="193"/>
      <c r="O716" s="194"/>
      <c r="P716" s="215"/>
      <c r="Q716" s="195"/>
      <c r="R716" s="196"/>
    </row>
    <row r="717" customFormat="false" ht="16.5" hidden="true" customHeight="false" outlineLevel="0" collapsed="false">
      <c r="D717" s="209"/>
      <c r="E717" s="210"/>
      <c r="F717" s="211"/>
      <c r="G717" s="212"/>
      <c r="H717" s="213"/>
      <c r="I717" s="214"/>
      <c r="J717" s="215"/>
      <c r="K717" s="216"/>
      <c r="L717" s="217"/>
      <c r="M717" s="215"/>
      <c r="N717" s="193"/>
      <c r="O717" s="194"/>
      <c r="P717" s="215"/>
      <c r="Q717" s="195"/>
      <c r="R717" s="196"/>
    </row>
    <row r="718" customFormat="false" ht="16.5" hidden="true" customHeight="false" outlineLevel="0" collapsed="false">
      <c r="D718" s="209"/>
      <c r="E718" s="210"/>
      <c r="F718" s="211"/>
      <c r="G718" s="212"/>
      <c r="H718" s="213"/>
      <c r="I718" s="214"/>
      <c r="J718" s="215"/>
      <c r="K718" s="216"/>
      <c r="L718" s="217"/>
      <c r="M718" s="215"/>
      <c r="N718" s="193"/>
      <c r="O718" s="194"/>
      <c r="P718" s="215"/>
      <c r="Q718" s="195"/>
      <c r="R718" s="196"/>
    </row>
    <row r="719" customFormat="false" ht="16.5" hidden="true" customHeight="false" outlineLevel="0" collapsed="false">
      <c r="D719" s="209"/>
      <c r="E719" s="210"/>
      <c r="F719" s="211"/>
      <c r="G719" s="212"/>
      <c r="H719" s="213"/>
      <c r="I719" s="214"/>
      <c r="J719" s="215"/>
      <c r="K719" s="216"/>
      <c r="L719" s="217"/>
      <c r="M719" s="215"/>
      <c r="N719" s="193"/>
      <c r="O719" s="194"/>
      <c r="P719" s="215"/>
      <c r="Q719" s="195"/>
      <c r="R719" s="196"/>
    </row>
    <row r="720" customFormat="false" ht="16.5" hidden="true" customHeight="false" outlineLevel="0" collapsed="false">
      <c r="D720" s="209"/>
      <c r="E720" s="210"/>
      <c r="F720" s="211"/>
      <c r="G720" s="212"/>
      <c r="H720" s="213"/>
      <c r="I720" s="214"/>
      <c r="J720" s="215"/>
      <c r="K720" s="216"/>
      <c r="L720" s="217"/>
      <c r="M720" s="215"/>
      <c r="N720" s="193"/>
      <c r="O720" s="194"/>
      <c r="P720" s="215"/>
      <c r="Q720" s="195"/>
      <c r="R720" s="196"/>
    </row>
    <row r="721" customFormat="false" ht="16.5" hidden="true" customHeight="false" outlineLevel="0" collapsed="false">
      <c r="D721" s="209"/>
      <c r="E721" s="210"/>
      <c r="F721" s="211"/>
      <c r="G721" s="212"/>
      <c r="H721" s="213"/>
      <c r="I721" s="214"/>
      <c r="J721" s="215"/>
      <c r="K721" s="216"/>
      <c r="L721" s="217"/>
      <c r="M721" s="215"/>
      <c r="N721" s="193"/>
      <c r="O721" s="194"/>
      <c r="P721" s="215"/>
      <c r="Q721" s="195"/>
      <c r="R721" s="196"/>
    </row>
    <row r="722" customFormat="false" ht="16.5" hidden="true" customHeight="false" outlineLevel="0" collapsed="false">
      <c r="D722" s="209"/>
      <c r="E722" s="210"/>
      <c r="F722" s="211"/>
      <c r="G722" s="212"/>
      <c r="H722" s="213"/>
      <c r="I722" s="214"/>
      <c r="J722" s="215"/>
      <c r="K722" s="216"/>
      <c r="L722" s="217"/>
      <c r="M722" s="215"/>
      <c r="N722" s="193"/>
      <c r="O722" s="194"/>
      <c r="P722" s="215"/>
      <c r="Q722" s="195"/>
      <c r="R722" s="196"/>
    </row>
    <row r="723" customFormat="false" ht="16.5" hidden="true" customHeight="false" outlineLevel="0" collapsed="false">
      <c r="D723" s="209"/>
      <c r="E723" s="210"/>
      <c r="F723" s="211"/>
      <c r="G723" s="212"/>
      <c r="H723" s="213"/>
      <c r="I723" s="214"/>
      <c r="J723" s="215"/>
      <c r="K723" s="216"/>
      <c r="L723" s="217"/>
      <c r="M723" s="215"/>
      <c r="N723" s="193"/>
      <c r="O723" s="194"/>
      <c r="P723" s="215"/>
      <c r="Q723" s="195"/>
      <c r="R723" s="196"/>
    </row>
    <row r="724" customFormat="false" ht="16.5" hidden="false" customHeight="false" outlineLevel="0" collapsed="false">
      <c r="D724" s="209"/>
      <c r="E724" s="210"/>
      <c r="F724" s="211"/>
      <c r="G724" s="212"/>
      <c r="H724" s="213"/>
      <c r="I724" s="214"/>
      <c r="J724" s="215"/>
      <c r="K724" s="216"/>
      <c r="L724" s="217"/>
      <c r="M724" s="215"/>
      <c r="N724" s="193"/>
      <c r="O724" s="194"/>
      <c r="P724" s="215"/>
      <c r="Q724" s="195"/>
      <c r="R724" s="196"/>
    </row>
    <row r="725" customFormat="false" ht="16.5" hidden="true" customHeight="false" outlineLevel="0" collapsed="false">
      <c r="D725" s="209"/>
      <c r="E725" s="210"/>
      <c r="F725" s="211"/>
      <c r="G725" s="212"/>
      <c r="H725" s="213"/>
      <c r="I725" s="214"/>
      <c r="J725" s="215"/>
      <c r="K725" s="216"/>
      <c r="L725" s="217"/>
      <c r="M725" s="215"/>
      <c r="N725" s="193"/>
      <c r="O725" s="194"/>
      <c r="P725" s="215"/>
      <c r="Q725" s="195"/>
      <c r="R725" s="196"/>
    </row>
    <row r="726" customFormat="false" ht="16.5" hidden="true" customHeight="false" outlineLevel="0" collapsed="false">
      <c r="D726" s="209"/>
      <c r="E726" s="210"/>
      <c r="F726" s="211"/>
      <c r="G726" s="212"/>
      <c r="H726" s="213"/>
      <c r="I726" s="214"/>
      <c r="J726" s="215"/>
      <c r="K726" s="216"/>
      <c r="L726" s="217"/>
      <c r="M726" s="215"/>
      <c r="N726" s="193"/>
      <c r="O726" s="194"/>
      <c r="P726" s="215"/>
      <c r="Q726" s="195"/>
      <c r="R726" s="196"/>
    </row>
    <row r="727" customFormat="false" ht="16.5" hidden="true" customHeight="false" outlineLevel="0" collapsed="false">
      <c r="D727" s="209"/>
      <c r="E727" s="210"/>
      <c r="F727" s="211"/>
      <c r="G727" s="212"/>
      <c r="H727" s="213"/>
      <c r="I727" s="214"/>
      <c r="J727" s="215"/>
      <c r="K727" s="216"/>
      <c r="L727" s="217"/>
      <c r="M727" s="215"/>
      <c r="N727" s="193"/>
      <c r="O727" s="194"/>
      <c r="P727" s="215"/>
      <c r="Q727" s="195"/>
      <c r="R727" s="196"/>
    </row>
    <row r="728" customFormat="false" ht="16.5" hidden="true" customHeight="false" outlineLevel="0" collapsed="false">
      <c r="D728" s="209"/>
      <c r="E728" s="210"/>
      <c r="F728" s="211"/>
      <c r="G728" s="212"/>
      <c r="H728" s="213"/>
      <c r="I728" s="214"/>
      <c r="J728" s="215"/>
      <c r="K728" s="216"/>
      <c r="L728" s="217"/>
      <c r="M728" s="215"/>
      <c r="N728" s="193"/>
      <c r="O728" s="194"/>
      <c r="P728" s="215"/>
      <c r="Q728" s="195"/>
      <c r="R728" s="196"/>
    </row>
    <row r="729" customFormat="false" ht="16.5" hidden="true" customHeight="false" outlineLevel="0" collapsed="false">
      <c r="D729" s="209"/>
      <c r="E729" s="210"/>
      <c r="F729" s="211"/>
      <c r="G729" s="212"/>
      <c r="H729" s="213"/>
      <c r="I729" s="214"/>
      <c r="J729" s="215"/>
      <c r="K729" s="216"/>
      <c r="L729" s="217"/>
      <c r="M729" s="215"/>
      <c r="N729" s="193"/>
      <c r="O729" s="194"/>
      <c r="P729" s="215"/>
      <c r="Q729" s="195"/>
      <c r="R729" s="196"/>
    </row>
    <row r="730" customFormat="false" ht="16.5" hidden="true" customHeight="false" outlineLevel="0" collapsed="false">
      <c r="D730" s="209"/>
      <c r="E730" s="210"/>
      <c r="F730" s="211"/>
      <c r="G730" s="212"/>
      <c r="H730" s="213"/>
      <c r="I730" s="214"/>
      <c r="J730" s="215"/>
      <c r="K730" s="216"/>
      <c r="L730" s="217"/>
      <c r="M730" s="215"/>
      <c r="N730" s="193"/>
      <c r="O730" s="194"/>
      <c r="P730" s="215"/>
      <c r="Q730" s="195"/>
      <c r="R730" s="196"/>
    </row>
    <row r="731" customFormat="false" ht="16.5" hidden="true" customHeight="false" outlineLevel="0" collapsed="false">
      <c r="D731" s="209"/>
      <c r="E731" s="210"/>
      <c r="F731" s="211"/>
      <c r="G731" s="212"/>
      <c r="H731" s="213"/>
      <c r="I731" s="214"/>
      <c r="J731" s="215"/>
      <c r="K731" s="216"/>
      <c r="L731" s="217"/>
      <c r="M731" s="215"/>
      <c r="N731" s="193"/>
      <c r="O731" s="194"/>
      <c r="P731" s="215"/>
      <c r="Q731" s="195"/>
      <c r="R731" s="196"/>
    </row>
    <row r="732" customFormat="false" ht="16.5" hidden="true" customHeight="false" outlineLevel="0" collapsed="false">
      <c r="D732" s="209"/>
      <c r="E732" s="210"/>
      <c r="F732" s="211"/>
      <c r="G732" s="212"/>
      <c r="H732" s="213"/>
      <c r="I732" s="214"/>
      <c r="J732" s="215"/>
      <c r="K732" s="216"/>
      <c r="L732" s="217"/>
      <c r="M732" s="215"/>
      <c r="N732" s="193"/>
      <c r="O732" s="194"/>
      <c r="P732" s="215"/>
      <c r="Q732" s="195"/>
      <c r="R732" s="196"/>
    </row>
    <row r="733" customFormat="false" ht="16.5" hidden="true" customHeight="false" outlineLevel="0" collapsed="false">
      <c r="D733" s="209"/>
      <c r="E733" s="210"/>
      <c r="F733" s="211"/>
      <c r="G733" s="212"/>
      <c r="H733" s="213"/>
      <c r="I733" s="214"/>
      <c r="J733" s="215"/>
      <c r="K733" s="216"/>
      <c r="L733" s="217"/>
      <c r="M733" s="215"/>
      <c r="N733" s="193"/>
      <c r="O733" s="194"/>
      <c r="P733" s="215"/>
      <c r="Q733" s="195"/>
      <c r="R733" s="196"/>
    </row>
    <row r="734" customFormat="false" ht="16.5" hidden="true" customHeight="false" outlineLevel="0" collapsed="false">
      <c r="D734" s="209"/>
      <c r="E734" s="210"/>
      <c r="F734" s="211"/>
      <c r="G734" s="212"/>
      <c r="H734" s="213"/>
      <c r="I734" s="214"/>
      <c r="J734" s="215"/>
      <c r="K734" s="216"/>
      <c r="L734" s="217"/>
      <c r="M734" s="215"/>
      <c r="N734" s="193"/>
      <c r="O734" s="194"/>
      <c r="P734" s="215"/>
      <c r="Q734" s="195"/>
      <c r="R734" s="196"/>
    </row>
    <row r="735" customFormat="false" ht="16.5" hidden="true" customHeight="false" outlineLevel="0" collapsed="false">
      <c r="D735" s="209"/>
      <c r="E735" s="210"/>
      <c r="F735" s="211"/>
      <c r="G735" s="212"/>
      <c r="H735" s="213"/>
      <c r="I735" s="214"/>
      <c r="J735" s="215"/>
      <c r="K735" s="216"/>
      <c r="L735" s="217"/>
      <c r="M735" s="215"/>
      <c r="N735" s="193"/>
      <c r="O735" s="194"/>
      <c r="P735" s="215"/>
      <c r="Q735" s="195"/>
      <c r="R735" s="196"/>
    </row>
    <row r="736" customFormat="false" ht="16.5" hidden="true" customHeight="false" outlineLevel="0" collapsed="false">
      <c r="D736" s="209"/>
      <c r="E736" s="210"/>
      <c r="F736" s="211"/>
      <c r="G736" s="212"/>
      <c r="H736" s="213"/>
      <c r="I736" s="214"/>
      <c r="J736" s="215"/>
      <c r="K736" s="216"/>
      <c r="L736" s="217"/>
      <c r="M736" s="215"/>
      <c r="N736" s="193"/>
      <c r="O736" s="194"/>
      <c r="P736" s="215"/>
      <c r="Q736" s="195"/>
      <c r="R736" s="196"/>
    </row>
    <row r="737" customFormat="false" ht="16.5" hidden="true" customHeight="false" outlineLevel="0" collapsed="false">
      <c r="D737" s="209"/>
      <c r="E737" s="210"/>
      <c r="F737" s="211"/>
      <c r="G737" s="212"/>
      <c r="H737" s="213"/>
      <c r="I737" s="214"/>
      <c r="J737" s="215"/>
      <c r="K737" s="216"/>
      <c r="L737" s="217"/>
      <c r="M737" s="215"/>
      <c r="N737" s="193"/>
      <c r="O737" s="194"/>
      <c r="P737" s="215"/>
      <c r="Q737" s="195"/>
      <c r="R737" s="196"/>
    </row>
    <row r="738" customFormat="false" ht="16.5" hidden="true" customHeight="false" outlineLevel="0" collapsed="false">
      <c r="D738" s="209"/>
      <c r="E738" s="210"/>
      <c r="F738" s="211"/>
      <c r="G738" s="212"/>
      <c r="H738" s="213"/>
      <c r="I738" s="214"/>
      <c r="J738" s="215"/>
      <c r="K738" s="216"/>
      <c r="L738" s="217"/>
      <c r="M738" s="215"/>
      <c r="N738" s="193"/>
      <c r="O738" s="194"/>
      <c r="P738" s="215"/>
      <c r="Q738" s="195"/>
      <c r="R738" s="196"/>
    </row>
    <row r="739" customFormat="false" ht="16.5" hidden="true" customHeight="false" outlineLevel="0" collapsed="false">
      <c r="D739" s="209"/>
      <c r="E739" s="210"/>
      <c r="F739" s="211"/>
      <c r="G739" s="212"/>
      <c r="H739" s="213"/>
      <c r="I739" s="214"/>
      <c r="J739" s="215"/>
      <c r="K739" s="216"/>
      <c r="L739" s="217"/>
      <c r="M739" s="215"/>
      <c r="N739" s="193"/>
      <c r="O739" s="194"/>
      <c r="P739" s="215"/>
      <c r="Q739" s="195"/>
      <c r="R739" s="196"/>
    </row>
    <row r="740" customFormat="false" ht="16.5" hidden="true" customHeight="false" outlineLevel="0" collapsed="false">
      <c r="D740" s="209"/>
      <c r="E740" s="210"/>
      <c r="F740" s="211"/>
      <c r="G740" s="212"/>
      <c r="H740" s="213"/>
      <c r="I740" s="214"/>
      <c r="J740" s="215"/>
      <c r="K740" s="216"/>
      <c r="L740" s="217"/>
      <c r="M740" s="215"/>
      <c r="N740" s="193"/>
      <c r="O740" s="194"/>
      <c r="P740" s="215"/>
      <c r="Q740" s="195"/>
      <c r="R740" s="196"/>
    </row>
    <row r="741" customFormat="false" ht="16.5" hidden="true" customHeight="false" outlineLevel="0" collapsed="false">
      <c r="D741" s="209"/>
      <c r="E741" s="210"/>
      <c r="F741" s="211"/>
      <c r="G741" s="212"/>
      <c r="H741" s="213"/>
      <c r="I741" s="214"/>
      <c r="J741" s="215"/>
      <c r="K741" s="216"/>
      <c r="L741" s="217"/>
      <c r="M741" s="215"/>
      <c r="N741" s="193"/>
      <c r="O741" s="194"/>
      <c r="P741" s="215"/>
      <c r="Q741" s="195"/>
      <c r="R741" s="196"/>
    </row>
    <row r="742" customFormat="false" ht="16.5" hidden="true" customHeight="false" outlineLevel="0" collapsed="false">
      <c r="D742" s="209"/>
      <c r="E742" s="210"/>
      <c r="F742" s="211"/>
      <c r="G742" s="212"/>
      <c r="H742" s="213"/>
      <c r="I742" s="214"/>
      <c r="J742" s="215"/>
      <c r="K742" s="216"/>
      <c r="L742" s="217"/>
      <c r="M742" s="215"/>
      <c r="N742" s="193"/>
      <c r="O742" s="194"/>
      <c r="P742" s="215"/>
      <c r="Q742" s="195"/>
      <c r="R742" s="196"/>
    </row>
    <row r="743" customFormat="false" ht="16.5" hidden="true" customHeight="false" outlineLevel="0" collapsed="false">
      <c r="D743" s="209"/>
      <c r="E743" s="210"/>
      <c r="F743" s="211"/>
      <c r="G743" s="212"/>
      <c r="H743" s="213"/>
      <c r="I743" s="214"/>
      <c r="J743" s="215"/>
      <c r="K743" s="216"/>
      <c r="L743" s="217"/>
      <c r="M743" s="215"/>
      <c r="N743" s="193"/>
      <c r="O743" s="194"/>
      <c r="P743" s="215"/>
      <c r="Q743" s="195"/>
      <c r="R743" s="196"/>
    </row>
    <row r="744" customFormat="false" ht="16.5" hidden="true" customHeight="false" outlineLevel="0" collapsed="false">
      <c r="D744" s="209"/>
      <c r="E744" s="210"/>
      <c r="F744" s="211"/>
      <c r="G744" s="212"/>
      <c r="H744" s="213"/>
      <c r="I744" s="214"/>
      <c r="J744" s="215"/>
      <c r="K744" s="216"/>
      <c r="L744" s="217"/>
      <c r="M744" s="215"/>
      <c r="N744" s="193"/>
      <c r="O744" s="194"/>
      <c r="P744" s="218"/>
      <c r="Q744" s="195"/>
      <c r="R744" s="196"/>
    </row>
    <row r="745" customFormat="false" ht="16.5" hidden="true" customHeight="false" outlineLevel="0" collapsed="false">
      <c r="D745" s="209"/>
      <c r="E745" s="210"/>
      <c r="F745" s="211"/>
      <c r="G745" s="212"/>
      <c r="H745" s="213"/>
      <c r="I745" s="214"/>
      <c r="J745" s="215"/>
      <c r="K745" s="216"/>
      <c r="L745" s="217"/>
      <c r="M745" s="215"/>
      <c r="N745" s="193"/>
      <c r="O745" s="194"/>
      <c r="P745" s="215"/>
      <c r="Q745" s="195"/>
      <c r="R745" s="196"/>
    </row>
    <row r="746" customFormat="false" ht="16.5" hidden="true" customHeight="false" outlineLevel="0" collapsed="false">
      <c r="D746" s="209"/>
      <c r="E746" s="210"/>
      <c r="F746" s="211"/>
      <c r="G746" s="212"/>
      <c r="H746" s="213"/>
      <c r="I746" s="214"/>
      <c r="J746" s="215"/>
      <c r="K746" s="216"/>
      <c r="L746" s="217"/>
      <c r="M746" s="215"/>
      <c r="N746" s="193"/>
      <c r="O746" s="194"/>
      <c r="P746" s="215"/>
      <c r="Q746" s="195"/>
      <c r="R746" s="196"/>
    </row>
    <row r="747" customFormat="false" ht="16.5" hidden="true" customHeight="false" outlineLevel="0" collapsed="false">
      <c r="D747" s="209"/>
      <c r="E747" s="210"/>
      <c r="F747" s="211"/>
      <c r="G747" s="212"/>
      <c r="H747" s="213"/>
      <c r="I747" s="214"/>
      <c r="J747" s="215"/>
      <c r="K747" s="216"/>
      <c r="L747" s="217"/>
      <c r="M747" s="215"/>
      <c r="N747" s="193"/>
      <c r="O747" s="194"/>
      <c r="P747" s="215"/>
      <c r="Q747" s="195"/>
      <c r="R747" s="196"/>
    </row>
    <row r="748" customFormat="false" ht="16.5" hidden="true" customHeight="false" outlineLevel="0" collapsed="false">
      <c r="D748" s="209"/>
      <c r="E748" s="210"/>
      <c r="F748" s="211"/>
      <c r="G748" s="212"/>
      <c r="H748" s="213"/>
      <c r="I748" s="214"/>
      <c r="J748" s="215"/>
      <c r="K748" s="216"/>
      <c r="L748" s="217"/>
      <c r="M748" s="215"/>
      <c r="N748" s="193"/>
      <c r="O748" s="194"/>
      <c r="P748" s="215"/>
      <c r="Q748" s="195"/>
      <c r="R748" s="196"/>
    </row>
    <row r="749" customFormat="false" ht="16.5" hidden="true" customHeight="false" outlineLevel="0" collapsed="false">
      <c r="D749" s="209"/>
      <c r="E749" s="210"/>
      <c r="F749" s="211"/>
      <c r="G749" s="212"/>
      <c r="H749" s="213"/>
      <c r="I749" s="214"/>
      <c r="J749" s="215"/>
      <c r="K749" s="216"/>
      <c r="L749" s="217"/>
      <c r="M749" s="215"/>
      <c r="N749" s="193"/>
      <c r="O749" s="194"/>
      <c r="P749" s="215"/>
      <c r="Q749" s="195"/>
      <c r="R749" s="196"/>
    </row>
    <row r="750" customFormat="false" ht="16.5" hidden="true" customHeight="false" outlineLevel="0" collapsed="false">
      <c r="D750" s="209"/>
      <c r="E750" s="210"/>
      <c r="F750" s="211"/>
      <c r="G750" s="212"/>
      <c r="H750" s="213"/>
      <c r="I750" s="214"/>
      <c r="J750" s="215"/>
      <c r="K750" s="216"/>
      <c r="L750" s="217"/>
      <c r="M750" s="215"/>
      <c r="N750" s="193"/>
      <c r="O750" s="194"/>
      <c r="P750" s="215"/>
      <c r="Q750" s="195"/>
      <c r="R750" s="196"/>
    </row>
    <row r="751" customFormat="false" ht="16.5" hidden="true" customHeight="false" outlineLevel="0" collapsed="false">
      <c r="D751" s="209"/>
      <c r="E751" s="210"/>
      <c r="F751" s="211"/>
      <c r="G751" s="212"/>
      <c r="H751" s="213"/>
      <c r="I751" s="214"/>
      <c r="J751" s="215"/>
      <c r="K751" s="216"/>
      <c r="L751" s="217"/>
      <c r="M751" s="215"/>
      <c r="N751" s="193"/>
      <c r="O751" s="194"/>
      <c r="P751" s="215"/>
      <c r="Q751" s="195"/>
      <c r="R751" s="196"/>
    </row>
    <row r="752" customFormat="false" ht="16.5" hidden="true" customHeight="false" outlineLevel="0" collapsed="false">
      <c r="D752" s="209"/>
      <c r="E752" s="210"/>
      <c r="F752" s="211"/>
      <c r="G752" s="212"/>
      <c r="H752" s="213"/>
      <c r="I752" s="214"/>
      <c r="J752" s="215"/>
      <c r="K752" s="216"/>
      <c r="L752" s="217"/>
      <c r="M752" s="215"/>
      <c r="N752" s="193"/>
      <c r="O752" s="194"/>
      <c r="P752" s="215"/>
      <c r="Q752" s="195"/>
      <c r="R752" s="196"/>
    </row>
    <row r="753" customFormat="false" ht="16.5" hidden="true" customHeight="false" outlineLevel="0" collapsed="false">
      <c r="D753" s="209"/>
      <c r="E753" s="210"/>
      <c r="F753" s="211"/>
      <c r="G753" s="212"/>
      <c r="H753" s="213"/>
      <c r="I753" s="214"/>
      <c r="J753" s="215"/>
      <c r="K753" s="216"/>
      <c r="L753" s="217"/>
      <c r="M753" s="215"/>
      <c r="N753" s="193"/>
      <c r="O753" s="194"/>
      <c r="P753" s="215"/>
      <c r="Q753" s="195"/>
      <c r="R753" s="196"/>
    </row>
    <row r="754" customFormat="false" ht="16.5" hidden="true" customHeight="false" outlineLevel="0" collapsed="false">
      <c r="D754" s="209"/>
      <c r="E754" s="210"/>
      <c r="F754" s="211"/>
      <c r="G754" s="212"/>
      <c r="H754" s="213"/>
      <c r="I754" s="214"/>
      <c r="J754" s="215"/>
      <c r="K754" s="216"/>
      <c r="L754" s="217"/>
      <c r="M754" s="215"/>
      <c r="N754" s="193"/>
      <c r="O754" s="194"/>
      <c r="P754" s="215"/>
      <c r="Q754" s="195"/>
      <c r="R754" s="196"/>
    </row>
    <row r="755" customFormat="false" ht="16.5" hidden="true" customHeight="false" outlineLevel="0" collapsed="false">
      <c r="D755" s="209"/>
      <c r="E755" s="210"/>
      <c r="F755" s="211"/>
      <c r="G755" s="212"/>
      <c r="H755" s="213"/>
      <c r="I755" s="214"/>
      <c r="J755" s="215"/>
      <c r="K755" s="216"/>
      <c r="L755" s="217"/>
      <c r="M755" s="215"/>
      <c r="N755" s="193"/>
      <c r="O755" s="194"/>
      <c r="P755" s="215"/>
      <c r="Q755" s="195"/>
      <c r="R755" s="196"/>
    </row>
    <row r="756" customFormat="false" ht="16.5" hidden="true" customHeight="false" outlineLevel="0" collapsed="false">
      <c r="D756" s="209"/>
      <c r="E756" s="210"/>
      <c r="F756" s="211"/>
      <c r="G756" s="212"/>
      <c r="H756" s="213"/>
      <c r="I756" s="214"/>
      <c r="J756" s="215"/>
      <c r="K756" s="216"/>
      <c r="L756" s="217"/>
      <c r="M756" s="215"/>
      <c r="N756" s="193"/>
      <c r="O756" s="194"/>
      <c r="P756" s="215"/>
      <c r="Q756" s="195"/>
      <c r="R756" s="196"/>
    </row>
    <row r="757" customFormat="false" ht="16.5" hidden="true" customHeight="false" outlineLevel="0" collapsed="false">
      <c r="D757" s="209"/>
      <c r="E757" s="210"/>
      <c r="F757" s="211"/>
      <c r="G757" s="212"/>
      <c r="H757" s="213"/>
      <c r="I757" s="214"/>
      <c r="J757" s="215"/>
      <c r="K757" s="216"/>
      <c r="L757" s="217"/>
      <c r="M757" s="215"/>
      <c r="N757" s="193"/>
      <c r="O757" s="194"/>
      <c r="P757" s="215"/>
      <c r="Q757" s="195"/>
      <c r="R757" s="196"/>
    </row>
    <row r="758" customFormat="false" ht="16.5" hidden="true" customHeight="false" outlineLevel="0" collapsed="false">
      <c r="D758" s="209"/>
      <c r="E758" s="210"/>
      <c r="F758" s="211"/>
      <c r="G758" s="212"/>
      <c r="H758" s="213"/>
      <c r="I758" s="214"/>
      <c r="J758" s="215"/>
      <c r="K758" s="216"/>
      <c r="L758" s="217"/>
      <c r="M758" s="215"/>
      <c r="N758" s="193"/>
      <c r="O758" s="194"/>
      <c r="P758" s="215"/>
      <c r="Q758" s="195"/>
      <c r="R758" s="196"/>
    </row>
    <row r="759" customFormat="false" ht="16.5" hidden="true" customHeight="false" outlineLevel="0" collapsed="false">
      <c r="D759" s="209"/>
      <c r="E759" s="210"/>
      <c r="F759" s="211"/>
      <c r="G759" s="212"/>
      <c r="H759" s="213"/>
      <c r="I759" s="214"/>
      <c r="J759" s="215"/>
      <c r="K759" s="216"/>
      <c r="L759" s="217"/>
      <c r="M759" s="215"/>
      <c r="N759" s="193"/>
      <c r="O759" s="194"/>
      <c r="P759" s="215"/>
      <c r="Q759" s="195"/>
      <c r="R759" s="196"/>
    </row>
    <row r="760" customFormat="false" ht="16.5" hidden="true" customHeight="false" outlineLevel="0" collapsed="false">
      <c r="D760" s="209"/>
      <c r="E760" s="210"/>
      <c r="F760" s="211"/>
      <c r="G760" s="212"/>
      <c r="H760" s="213"/>
      <c r="I760" s="214"/>
      <c r="J760" s="215"/>
      <c r="K760" s="216"/>
      <c r="L760" s="217"/>
      <c r="M760" s="215"/>
      <c r="N760" s="193"/>
      <c r="O760" s="194"/>
      <c r="P760" s="215"/>
      <c r="Q760" s="195"/>
      <c r="R760" s="196"/>
    </row>
    <row r="761" customFormat="false" ht="16.5" hidden="true" customHeight="false" outlineLevel="0" collapsed="false">
      <c r="D761" s="209"/>
      <c r="E761" s="210"/>
      <c r="F761" s="211"/>
      <c r="G761" s="212"/>
      <c r="H761" s="213"/>
      <c r="I761" s="214"/>
      <c r="J761" s="215"/>
      <c r="K761" s="216"/>
      <c r="L761" s="217"/>
      <c r="M761" s="215"/>
      <c r="N761" s="193"/>
      <c r="O761" s="194"/>
      <c r="P761" s="215"/>
      <c r="Q761" s="195"/>
      <c r="R761" s="196"/>
    </row>
    <row r="762" customFormat="false" ht="16.5" hidden="true" customHeight="false" outlineLevel="0" collapsed="false">
      <c r="D762" s="209"/>
      <c r="E762" s="210"/>
      <c r="F762" s="211"/>
      <c r="G762" s="212"/>
      <c r="H762" s="213"/>
      <c r="I762" s="214"/>
      <c r="J762" s="215"/>
      <c r="K762" s="216"/>
      <c r="L762" s="217"/>
      <c r="M762" s="215"/>
      <c r="N762" s="193"/>
      <c r="O762" s="194"/>
      <c r="P762" s="215"/>
      <c r="Q762" s="195"/>
      <c r="R762" s="196"/>
    </row>
    <row r="763" customFormat="false" ht="16.5" hidden="true" customHeight="false" outlineLevel="0" collapsed="false">
      <c r="D763" s="209"/>
      <c r="E763" s="210"/>
      <c r="F763" s="211"/>
      <c r="G763" s="212"/>
      <c r="H763" s="213"/>
      <c r="I763" s="214"/>
      <c r="J763" s="215"/>
      <c r="K763" s="216"/>
      <c r="L763" s="217"/>
      <c r="M763" s="215"/>
      <c r="N763" s="193"/>
      <c r="O763" s="194"/>
      <c r="P763" s="215"/>
      <c r="Q763" s="195"/>
      <c r="R763" s="196"/>
    </row>
    <row r="764" customFormat="false" ht="16.5" hidden="true" customHeight="false" outlineLevel="0" collapsed="false">
      <c r="D764" s="209"/>
      <c r="E764" s="210"/>
      <c r="F764" s="211"/>
      <c r="G764" s="212"/>
      <c r="H764" s="213"/>
      <c r="I764" s="214"/>
      <c r="J764" s="215"/>
      <c r="K764" s="216"/>
      <c r="L764" s="217"/>
      <c r="M764" s="215"/>
      <c r="N764" s="193"/>
      <c r="O764" s="194"/>
      <c r="P764" s="215"/>
      <c r="Q764" s="195"/>
      <c r="R764" s="196"/>
    </row>
    <row r="765" customFormat="false" ht="16.5" hidden="true" customHeight="false" outlineLevel="0" collapsed="false">
      <c r="D765" s="209"/>
      <c r="E765" s="210"/>
      <c r="F765" s="211"/>
      <c r="G765" s="212"/>
      <c r="H765" s="213"/>
      <c r="I765" s="214"/>
      <c r="J765" s="215"/>
      <c r="K765" s="216"/>
      <c r="L765" s="217"/>
      <c r="M765" s="215"/>
      <c r="N765" s="193"/>
      <c r="O765" s="194"/>
      <c r="P765" s="215"/>
      <c r="Q765" s="195"/>
      <c r="R765" s="196"/>
    </row>
    <row r="766" customFormat="false" ht="16.5" hidden="true" customHeight="false" outlineLevel="0" collapsed="false">
      <c r="D766" s="209"/>
      <c r="E766" s="210"/>
      <c r="F766" s="211"/>
      <c r="G766" s="212"/>
      <c r="H766" s="213"/>
      <c r="I766" s="214"/>
      <c r="J766" s="215"/>
      <c r="K766" s="216"/>
      <c r="L766" s="217"/>
      <c r="M766" s="215"/>
      <c r="N766" s="193"/>
      <c r="O766" s="194"/>
      <c r="P766" s="215"/>
      <c r="Q766" s="195"/>
      <c r="R766" s="196"/>
    </row>
    <row r="767" customFormat="false" ht="16.5" hidden="true" customHeight="false" outlineLevel="0" collapsed="false">
      <c r="D767" s="209"/>
      <c r="E767" s="210"/>
      <c r="F767" s="211"/>
      <c r="G767" s="212"/>
      <c r="H767" s="213"/>
      <c r="I767" s="214"/>
      <c r="J767" s="215"/>
      <c r="K767" s="216"/>
      <c r="L767" s="217"/>
      <c r="M767" s="215"/>
      <c r="N767" s="193"/>
      <c r="O767" s="194"/>
      <c r="P767" s="215"/>
      <c r="Q767" s="195"/>
      <c r="R767" s="196"/>
    </row>
    <row r="768" customFormat="false" ht="16.5" hidden="true" customHeight="false" outlineLevel="0" collapsed="false">
      <c r="D768" s="209"/>
      <c r="E768" s="210"/>
      <c r="F768" s="211"/>
      <c r="G768" s="212"/>
      <c r="H768" s="213"/>
      <c r="I768" s="214"/>
      <c r="J768" s="215"/>
      <c r="K768" s="216"/>
      <c r="L768" s="217"/>
      <c r="M768" s="215"/>
      <c r="N768" s="193"/>
      <c r="O768" s="194"/>
      <c r="P768" s="215"/>
      <c r="Q768" s="195"/>
      <c r="R768" s="196"/>
    </row>
    <row r="769" customFormat="false" ht="16.5" hidden="true" customHeight="false" outlineLevel="0" collapsed="false">
      <c r="D769" s="209"/>
      <c r="E769" s="210"/>
      <c r="F769" s="211"/>
      <c r="G769" s="212"/>
      <c r="H769" s="213"/>
      <c r="I769" s="214"/>
      <c r="J769" s="215"/>
      <c r="K769" s="216"/>
      <c r="L769" s="217"/>
      <c r="M769" s="215"/>
      <c r="N769" s="193"/>
      <c r="O769" s="194"/>
      <c r="P769" s="215"/>
      <c r="Q769" s="195"/>
      <c r="R769" s="196"/>
    </row>
    <row r="770" customFormat="false" ht="16.5" hidden="true" customHeight="false" outlineLevel="0" collapsed="false">
      <c r="D770" s="209"/>
      <c r="E770" s="210"/>
      <c r="F770" s="211"/>
      <c r="G770" s="212"/>
      <c r="H770" s="213"/>
      <c r="I770" s="214"/>
      <c r="J770" s="215"/>
      <c r="K770" s="216"/>
      <c r="L770" s="217"/>
      <c r="M770" s="215"/>
      <c r="N770" s="193"/>
      <c r="O770" s="194"/>
      <c r="P770" s="215"/>
      <c r="Q770" s="195"/>
      <c r="R770" s="196"/>
    </row>
    <row r="771" customFormat="false" ht="16.5" hidden="true" customHeight="false" outlineLevel="0" collapsed="false">
      <c r="D771" s="209"/>
      <c r="E771" s="210"/>
      <c r="F771" s="211"/>
      <c r="G771" s="212"/>
      <c r="H771" s="213"/>
      <c r="I771" s="214"/>
      <c r="J771" s="215"/>
      <c r="K771" s="216"/>
      <c r="L771" s="217"/>
      <c r="M771" s="215"/>
      <c r="N771" s="193"/>
      <c r="O771" s="194"/>
      <c r="P771" s="215"/>
      <c r="Q771" s="195"/>
      <c r="R771" s="196"/>
    </row>
    <row r="772" customFormat="false" ht="16.5" hidden="true" customHeight="false" outlineLevel="0" collapsed="false">
      <c r="D772" s="209"/>
      <c r="E772" s="210"/>
      <c r="F772" s="211"/>
      <c r="G772" s="212"/>
      <c r="H772" s="213"/>
      <c r="I772" s="214"/>
      <c r="J772" s="215"/>
      <c r="K772" s="216"/>
      <c r="L772" s="217"/>
      <c r="M772" s="215"/>
      <c r="N772" s="193"/>
      <c r="O772" s="194"/>
      <c r="P772" s="215"/>
      <c r="Q772" s="195"/>
      <c r="R772" s="196"/>
    </row>
    <row r="773" customFormat="false" ht="16.5" hidden="true" customHeight="false" outlineLevel="0" collapsed="false">
      <c r="D773" s="209"/>
      <c r="E773" s="210"/>
      <c r="F773" s="211"/>
      <c r="G773" s="212"/>
      <c r="H773" s="213"/>
      <c r="I773" s="214"/>
      <c r="J773" s="215"/>
      <c r="K773" s="216"/>
      <c r="L773" s="217"/>
      <c r="M773" s="215"/>
      <c r="N773" s="193"/>
      <c r="O773" s="194"/>
      <c r="P773" s="215"/>
      <c r="Q773" s="195"/>
      <c r="R773" s="196"/>
    </row>
    <row r="774" customFormat="false" ht="16.5" hidden="true" customHeight="false" outlineLevel="0" collapsed="false">
      <c r="D774" s="209"/>
      <c r="E774" s="210"/>
      <c r="F774" s="211"/>
      <c r="G774" s="212"/>
      <c r="H774" s="213"/>
      <c r="I774" s="214"/>
      <c r="J774" s="215"/>
      <c r="K774" s="216"/>
      <c r="L774" s="217"/>
      <c r="M774" s="215"/>
      <c r="N774" s="193"/>
      <c r="O774" s="194"/>
      <c r="P774" s="215"/>
      <c r="Q774" s="195"/>
      <c r="R774" s="196"/>
    </row>
    <row r="775" customFormat="false" ht="16.5" hidden="true" customHeight="false" outlineLevel="0" collapsed="false">
      <c r="D775" s="209"/>
      <c r="E775" s="210"/>
      <c r="F775" s="211"/>
      <c r="G775" s="212"/>
      <c r="H775" s="213"/>
      <c r="I775" s="214"/>
      <c r="J775" s="215"/>
      <c r="K775" s="216"/>
      <c r="L775" s="217"/>
      <c r="M775" s="215"/>
      <c r="N775" s="193"/>
      <c r="O775" s="194"/>
      <c r="P775" s="215"/>
      <c r="Q775" s="195"/>
      <c r="R775" s="196"/>
    </row>
    <row r="776" customFormat="false" ht="16.5" hidden="true" customHeight="false" outlineLevel="0" collapsed="false">
      <c r="D776" s="209"/>
      <c r="E776" s="210"/>
      <c r="F776" s="211"/>
      <c r="G776" s="212"/>
      <c r="H776" s="213"/>
      <c r="I776" s="214"/>
      <c r="J776" s="215"/>
      <c r="K776" s="216"/>
      <c r="L776" s="217"/>
      <c r="M776" s="215"/>
      <c r="N776" s="193"/>
      <c r="O776" s="194"/>
      <c r="P776" s="215"/>
      <c r="Q776" s="195"/>
      <c r="R776" s="196"/>
    </row>
    <row r="777" customFormat="false" ht="16.5" hidden="true" customHeight="false" outlineLevel="0" collapsed="false">
      <c r="D777" s="209"/>
      <c r="E777" s="210"/>
      <c r="F777" s="211"/>
      <c r="G777" s="212"/>
      <c r="H777" s="213"/>
      <c r="I777" s="214"/>
      <c r="J777" s="215"/>
      <c r="K777" s="216"/>
      <c r="L777" s="217"/>
      <c r="M777" s="215"/>
      <c r="N777" s="193"/>
      <c r="O777" s="194"/>
      <c r="P777" s="215"/>
      <c r="Q777" s="195"/>
      <c r="R777" s="196"/>
    </row>
    <row r="778" customFormat="false" ht="16.5" hidden="true" customHeight="false" outlineLevel="0" collapsed="false">
      <c r="D778" s="209"/>
      <c r="E778" s="210"/>
      <c r="F778" s="211"/>
      <c r="G778" s="212"/>
      <c r="H778" s="213"/>
      <c r="I778" s="214"/>
      <c r="J778" s="215"/>
      <c r="K778" s="216"/>
      <c r="L778" s="217"/>
      <c r="M778" s="215"/>
      <c r="N778" s="193"/>
      <c r="O778" s="194"/>
      <c r="P778" s="219"/>
      <c r="Q778" s="195"/>
      <c r="R778" s="196"/>
    </row>
    <row r="779" customFormat="false" ht="16.5" hidden="true" customHeight="false" outlineLevel="0" collapsed="false">
      <c r="D779" s="209"/>
      <c r="E779" s="210"/>
      <c r="F779" s="211"/>
      <c r="G779" s="212"/>
      <c r="H779" s="213"/>
      <c r="I779" s="214"/>
      <c r="J779" s="215"/>
      <c r="K779" s="216"/>
      <c r="L779" s="217"/>
      <c r="M779" s="215"/>
      <c r="N779" s="193"/>
      <c r="O779" s="194"/>
      <c r="P779" s="219"/>
      <c r="Q779" s="195"/>
      <c r="R779" s="196"/>
    </row>
    <row r="780" customFormat="false" ht="16.5" hidden="true" customHeight="false" outlineLevel="0" collapsed="false">
      <c r="D780" s="209"/>
      <c r="E780" s="210"/>
      <c r="F780" s="211"/>
      <c r="G780" s="212"/>
      <c r="H780" s="213"/>
      <c r="I780" s="214"/>
      <c r="J780" s="215"/>
      <c r="K780" s="216"/>
      <c r="L780" s="217"/>
      <c r="M780" s="215"/>
      <c r="N780" s="193"/>
      <c r="O780" s="194"/>
      <c r="P780" s="219"/>
      <c r="Q780" s="195"/>
      <c r="R780" s="196"/>
    </row>
    <row r="781" customFormat="false" ht="16.5" hidden="true" customHeight="false" outlineLevel="0" collapsed="false">
      <c r="D781" s="209"/>
      <c r="E781" s="210"/>
      <c r="F781" s="211"/>
      <c r="G781" s="212"/>
      <c r="H781" s="213"/>
      <c r="I781" s="214"/>
      <c r="J781" s="215"/>
      <c r="K781" s="216"/>
      <c r="L781" s="217"/>
      <c r="M781" s="215"/>
      <c r="N781" s="193"/>
      <c r="O781" s="194"/>
      <c r="P781" s="219"/>
      <c r="Q781" s="195"/>
      <c r="R781" s="196"/>
    </row>
    <row r="782" customFormat="false" ht="16.5" hidden="true" customHeight="false" outlineLevel="0" collapsed="false">
      <c r="D782" s="209"/>
      <c r="E782" s="210"/>
      <c r="F782" s="211"/>
      <c r="G782" s="212"/>
      <c r="H782" s="213"/>
      <c r="I782" s="214"/>
      <c r="J782" s="215"/>
      <c r="K782" s="216"/>
      <c r="L782" s="217"/>
      <c r="M782" s="215"/>
      <c r="N782" s="193"/>
      <c r="O782" s="194"/>
      <c r="P782" s="219"/>
      <c r="Q782" s="195"/>
      <c r="R782" s="196"/>
    </row>
    <row r="783" customFormat="false" ht="16.5" hidden="true" customHeight="false" outlineLevel="0" collapsed="false">
      <c r="D783" s="209"/>
      <c r="E783" s="210"/>
      <c r="F783" s="211"/>
      <c r="G783" s="212"/>
      <c r="H783" s="213"/>
      <c r="I783" s="214"/>
      <c r="J783" s="215"/>
      <c r="K783" s="216"/>
      <c r="L783" s="217"/>
      <c r="M783" s="215"/>
      <c r="N783" s="193"/>
      <c r="O783" s="194"/>
      <c r="P783" s="219"/>
      <c r="Q783" s="195"/>
      <c r="R783" s="196"/>
    </row>
    <row r="784" customFormat="false" ht="16.5" hidden="true" customHeight="false" outlineLevel="0" collapsed="false">
      <c r="D784" s="209"/>
      <c r="E784" s="210"/>
      <c r="F784" s="211"/>
      <c r="G784" s="212"/>
      <c r="H784" s="213"/>
      <c r="I784" s="214"/>
      <c r="J784" s="215"/>
      <c r="K784" s="216"/>
      <c r="L784" s="217"/>
      <c r="M784" s="215"/>
      <c r="N784" s="193"/>
      <c r="O784" s="194"/>
      <c r="P784" s="219"/>
      <c r="Q784" s="195"/>
      <c r="R784" s="196"/>
    </row>
    <row r="785" customFormat="false" ht="16.5" hidden="true" customHeight="false" outlineLevel="0" collapsed="false">
      <c r="D785" s="209"/>
      <c r="E785" s="210"/>
      <c r="F785" s="211"/>
      <c r="G785" s="212"/>
      <c r="H785" s="213"/>
      <c r="I785" s="214"/>
      <c r="J785" s="215"/>
      <c r="K785" s="216"/>
      <c r="L785" s="217"/>
      <c r="M785" s="215"/>
      <c r="N785" s="193"/>
      <c r="O785" s="194"/>
      <c r="P785" s="219"/>
      <c r="Q785" s="195"/>
      <c r="R785" s="196"/>
    </row>
    <row r="786" customFormat="false" ht="16.5" hidden="true" customHeight="false" outlineLevel="0" collapsed="false">
      <c r="D786" s="209"/>
      <c r="E786" s="210"/>
      <c r="F786" s="211"/>
      <c r="G786" s="212"/>
      <c r="H786" s="213"/>
      <c r="I786" s="214"/>
      <c r="J786" s="215"/>
      <c r="K786" s="216"/>
      <c r="L786" s="217"/>
      <c r="M786" s="215"/>
      <c r="N786" s="193"/>
      <c r="O786" s="194"/>
      <c r="P786" s="215"/>
      <c r="Q786" s="195"/>
      <c r="R786" s="196"/>
    </row>
    <row r="787" customFormat="false" ht="16.5" hidden="true" customHeight="false" outlineLevel="0" collapsed="false">
      <c r="D787" s="209"/>
      <c r="E787" s="210"/>
      <c r="F787" s="211"/>
      <c r="G787" s="212"/>
      <c r="H787" s="213"/>
      <c r="I787" s="214"/>
      <c r="J787" s="215"/>
      <c r="K787" s="216"/>
      <c r="L787" s="217"/>
      <c r="M787" s="215"/>
      <c r="N787" s="193"/>
      <c r="O787" s="194"/>
      <c r="P787" s="215"/>
      <c r="Q787" s="195"/>
      <c r="R787" s="196"/>
    </row>
    <row r="788" customFormat="false" ht="16.5" hidden="true" customHeight="false" outlineLevel="0" collapsed="false">
      <c r="D788" s="209"/>
      <c r="E788" s="210"/>
      <c r="F788" s="211"/>
      <c r="G788" s="212"/>
      <c r="H788" s="213"/>
      <c r="I788" s="214"/>
      <c r="J788" s="215"/>
      <c r="K788" s="216"/>
      <c r="L788" s="217"/>
      <c r="M788" s="215"/>
      <c r="N788" s="193"/>
      <c r="O788" s="194"/>
      <c r="P788" s="215"/>
      <c r="Q788" s="195"/>
      <c r="R788" s="196"/>
    </row>
    <row r="789" customFormat="false" ht="16.5" hidden="true" customHeight="false" outlineLevel="0" collapsed="false">
      <c r="D789" s="209"/>
      <c r="E789" s="210"/>
      <c r="F789" s="211"/>
      <c r="G789" s="212"/>
      <c r="H789" s="213"/>
      <c r="I789" s="214"/>
      <c r="J789" s="215"/>
      <c r="K789" s="216"/>
      <c r="L789" s="217"/>
      <c r="M789" s="215"/>
      <c r="N789" s="193"/>
      <c r="O789" s="194"/>
      <c r="P789" s="215"/>
      <c r="Q789" s="195"/>
      <c r="R789" s="196"/>
    </row>
    <row r="790" customFormat="false" ht="16.5" hidden="true" customHeight="false" outlineLevel="0" collapsed="false">
      <c r="D790" s="209"/>
      <c r="E790" s="210"/>
      <c r="F790" s="211"/>
      <c r="G790" s="212"/>
      <c r="H790" s="213"/>
      <c r="I790" s="214"/>
      <c r="J790" s="215"/>
      <c r="K790" s="216"/>
      <c r="L790" s="217"/>
      <c r="M790" s="215"/>
      <c r="N790" s="193"/>
      <c r="O790" s="194"/>
      <c r="P790" s="215"/>
      <c r="Q790" s="195"/>
      <c r="R790" s="196"/>
    </row>
    <row r="791" customFormat="false" ht="16.5" hidden="true" customHeight="false" outlineLevel="0" collapsed="false">
      <c r="D791" s="209"/>
      <c r="E791" s="210"/>
      <c r="F791" s="211"/>
      <c r="G791" s="212"/>
      <c r="H791" s="213"/>
      <c r="I791" s="214"/>
      <c r="J791" s="215"/>
      <c r="K791" s="216"/>
      <c r="L791" s="217"/>
      <c r="M791" s="215"/>
      <c r="N791" s="193"/>
      <c r="O791" s="194"/>
      <c r="P791" s="215"/>
      <c r="Q791" s="195"/>
      <c r="R791" s="196"/>
    </row>
    <row r="792" customFormat="false" ht="16.5" hidden="true" customHeight="false" outlineLevel="0" collapsed="false">
      <c r="D792" s="209"/>
      <c r="E792" s="210"/>
      <c r="F792" s="211"/>
      <c r="G792" s="212"/>
      <c r="H792" s="213"/>
      <c r="I792" s="214"/>
      <c r="J792" s="215"/>
      <c r="K792" s="216"/>
      <c r="L792" s="217"/>
      <c r="M792" s="215"/>
      <c r="N792" s="193"/>
      <c r="O792" s="194"/>
      <c r="P792" s="215"/>
      <c r="Q792" s="195"/>
      <c r="R792" s="196"/>
    </row>
    <row r="793" customFormat="false" ht="16.5" hidden="false" customHeight="false" outlineLevel="0" collapsed="false">
      <c r="D793" s="209"/>
      <c r="E793" s="210"/>
      <c r="F793" s="211"/>
      <c r="G793" s="212"/>
      <c r="H793" s="213"/>
      <c r="I793" s="214"/>
      <c r="J793" s="215"/>
      <c r="K793" s="216"/>
      <c r="L793" s="217"/>
      <c r="M793" s="215"/>
      <c r="N793" s="193"/>
      <c r="O793" s="194"/>
      <c r="P793" s="215"/>
      <c r="Q793" s="195"/>
      <c r="R793" s="196"/>
    </row>
    <row r="794" customFormat="false" ht="16.5" hidden="true" customHeight="false" outlineLevel="0" collapsed="false">
      <c r="D794" s="209"/>
      <c r="E794" s="210"/>
      <c r="F794" s="211"/>
      <c r="G794" s="212"/>
      <c r="H794" s="213"/>
      <c r="I794" s="214"/>
      <c r="J794" s="215"/>
      <c r="K794" s="216"/>
      <c r="L794" s="217"/>
      <c r="M794" s="215"/>
      <c r="N794" s="193"/>
      <c r="O794" s="194"/>
      <c r="P794" s="215"/>
      <c r="Q794" s="195"/>
      <c r="R794" s="196"/>
    </row>
    <row r="795" customFormat="false" ht="16.5" hidden="true" customHeight="false" outlineLevel="0" collapsed="false">
      <c r="D795" s="209"/>
      <c r="E795" s="210"/>
      <c r="F795" s="211"/>
      <c r="G795" s="212"/>
      <c r="H795" s="213"/>
      <c r="I795" s="214"/>
      <c r="J795" s="215"/>
      <c r="K795" s="216"/>
      <c r="L795" s="217"/>
      <c r="M795" s="215"/>
      <c r="N795" s="193"/>
      <c r="O795" s="194"/>
      <c r="P795" s="215"/>
      <c r="Q795" s="195"/>
      <c r="R795" s="196"/>
    </row>
    <row r="796" customFormat="false" ht="16.5" hidden="true" customHeight="false" outlineLevel="0" collapsed="false">
      <c r="D796" s="209"/>
      <c r="E796" s="210"/>
      <c r="F796" s="211"/>
      <c r="G796" s="212"/>
      <c r="H796" s="213"/>
      <c r="I796" s="214"/>
      <c r="J796" s="215"/>
      <c r="K796" s="216"/>
      <c r="L796" s="217"/>
      <c r="M796" s="215"/>
      <c r="N796" s="193"/>
      <c r="O796" s="194"/>
      <c r="P796" s="215"/>
      <c r="Q796" s="195"/>
      <c r="R796" s="196"/>
    </row>
    <row r="797" customFormat="false" ht="16.5" hidden="false" customHeight="false" outlineLevel="0" collapsed="false">
      <c r="D797" s="220"/>
      <c r="E797" s="187"/>
      <c r="F797" s="188"/>
      <c r="G797" s="189"/>
      <c r="H797" s="190"/>
      <c r="I797" s="191"/>
      <c r="J797" s="192"/>
      <c r="K797" s="193"/>
      <c r="L797" s="194"/>
      <c r="M797" s="192"/>
      <c r="N797" s="193"/>
      <c r="O797" s="194"/>
      <c r="P797" s="215"/>
      <c r="Q797" s="195"/>
    </row>
    <row r="798" customFormat="false" ht="16.5" hidden="true" customHeight="false" outlineLevel="0" collapsed="false">
      <c r="D798" s="220"/>
      <c r="E798" s="187"/>
      <c r="F798" s="188"/>
      <c r="G798" s="189"/>
      <c r="H798" s="190"/>
      <c r="I798" s="191"/>
      <c r="J798" s="192"/>
      <c r="K798" s="193"/>
      <c r="L798" s="194"/>
      <c r="M798" s="192"/>
      <c r="N798" s="193"/>
      <c r="O798" s="194"/>
      <c r="P798" s="215"/>
      <c r="Q798" s="195"/>
    </row>
    <row r="799" customFormat="false" ht="16.5" hidden="true" customHeight="false" outlineLevel="0" collapsed="false">
      <c r="D799" s="220"/>
      <c r="E799" s="187"/>
      <c r="F799" s="188"/>
      <c r="G799" s="189"/>
      <c r="H799" s="190"/>
      <c r="I799" s="191"/>
      <c r="J799" s="192"/>
      <c r="K799" s="193"/>
      <c r="L799" s="194"/>
      <c r="M799" s="192"/>
      <c r="N799" s="193"/>
      <c r="O799" s="194"/>
      <c r="P799" s="215"/>
      <c r="Q799" s="195"/>
    </row>
    <row r="800" customFormat="false" ht="16.5" hidden="true" customHeight="false" outlineLevel="0" collapsed="false">
      <c r="D800" s="221"/>
      <c r="E800" s="222"/>
      <c r="F800" s="188"/>
      <c r="G800" s="189"/>
      <c r="H800" s="187"/>
      <c r="I800" s="191"/>
      <c r="J800" s="192"/>
      <c r="K800" s="193"/>
      <c r="L800" s="194"/>
      <c r="M800" s="192"/>
      <c r="N800" s="193"/>
      <c r="O800" s="194"/>
      <c r="P800" s="215"/>
      <c r="Q800" s="195"/>
    </row>
    <row r="801" customFormat="false" ht="16.5" hidden="true" customHeight="false" outlineLevel="0" collapsed="false">
      <c r="D801" s="221"/>
      <c r="E801" s="222"/>
      <c r="F801" s="188"/>
      <c r="G801" s="189"/>
      <c r="H801" s="190"/>
      <c r="I801" s="191"/>
      <c r="J801" s="192"/>
      <c r="K801" s="193"/>
      <c r="L801" s="194"/>
      <c r="M801" s="192"/>
      <c r="N801" s="193"/>
      <c r="O801" s="194"/>
      <c r="P801" s="215"/>
      <c r="Q801" s="195"/>
    </row>
    <row r="802" customFormat="false" ht="16.5" hidden="true" customHeight="false" outlineLevel="0" collapsed="false">
      <c r="D802" s="221"/>
      <c r="E802" s="222"/>
      <c r="F802" s="188"/>
      <c r="G802" s="189"/>
      <c r="H802" s="190"/>
      <c r="I802" s="191"/>
      <c r="J802" s="192"/>
      <c r="K802" s="193"/>
      <c r="L802" s="194"/>
      <c r="M802" s="192"/>
      <c r="N802" s="193"/>
      <c r="O802" s="194"/>
      <c r="P802" s="215"/>
      <c r="Q802" s="195"/>
    </row>
    <row r="803" customFormat="false" ht="16.5" hidden="true" customHeight="false" outlineLevel="0" collapsed="false">
      <c r="D803" s="221"/>
      <c r="E803" s="222"/>
      <c r="F803" s="188"/>
      <c r="G803" s="189"/>
      <c r="H803" s="190"/>
      <c r="I803" s="191"/>
      <c r="J803" s="192"/>
      <c r="K803" s="193"/>
      <c r="L803" s="194"/>
      <c r="M803" s="192"/>
      <c r="N803" s="193"/>
      <c r="O803" s="194"/>
      <c r="P803" s="215"/>
      <c r="Q803" s="195"/>
    </row>
    <row r="804" customFormat="false" ht="16.5" hidden="true" customHeight="false" outlineLevel="0" collapsed="false">
      <c r="D804" s="221"/>
      <c r="E804" s="222"/>
      <c r="F804" s="188"/>
      <c r="G804" s="189"/>
      <c r="H804" s="190"/>
      <c r="I804" s="191"/>
      <c r="J804" s="192"/>
      <c r="K804" s="193"/>
      <c r="L804" s="194"/>
      <c r="M804" s="192"/>
      <c r="N804" s="193"/>
      <c r="O804" s="194"/>
      <c r="P804" s="215"/>
      <c r="Q804" s="195"/>
    </row>
    <row r="805" customFormat="false" ht="16.5" hidden="true" customHeight="false" outlineLevel="0" collapsed="false">
      <c r="D805" s="221"/>
      <c r="E805" s="222"/>
      <c r="F805" s="188"/>
      <c r="G805" s="189"/>
      <c r="H805" s="190"/>
      <c r="I805" s="191"/>
      <c r="J805" s="192"/>
      <c r="K805" s="193"/>
      <c r="L805" s="194"/>
      <c r="M805" s="192"/>
      <c r="N805" s="193"/>
      <c r="O805" s="194"/>
      <c r="P805" s="215"/>
      <c r="Q805" s="195"/>
    </row>
    <row r="806" customFormat="false" ht="16.5" hidden="true" customHeight="false" outlineLevel="0" collapsed="false">
      <c r="D806" s="221"/>
      <c r="E806" s="222"/>
      <c r="F806" s="188"/>
      <c r="G806" s="189"/>
      <c r="H806" s="190"/>
      <c r="I806" s="191"/>
      <c r="J806" s="192"/>
      <c r="K806" s="193"/>
      <c r="L806" s="194"/>
      <c r="M806" s="192"/>
      <c r="N806" s="193"/>
      <c r="O806" s="194"/>
      <c r="P806" s="215"/>
      <c r="Q806" s="195"/>
    </row>
    <row r="807" customFormat="false" ht="16.5" hidden="true" customHeight="false" outlineLevel="0" collapsed="false">
      <c r="D807" s="221"/>
      <c r="E807" s="222"/>
      <c r="F807" s="223"/>
      <c r="G807" s="224"/>
      <c r="H807" s="225"/>
      <c r="I807" s="226"/>
      <c r="J807" s="192"/>
      <c r="K807" s="227"/>
      <c r="L807" s="228"/>
      <c r="M807" s="229"/>
      <c r="N807" s="193"/>
      <c r="O807" s="194"/>
      <c r="P807" s="215"/>
      <c r="Q807" s="195"/>
    </row>
    <row r="808" customFormat="false" ht="16.5" hidden="true" customHeight="false" outlineLevel="0" collapsed="false">
      <c r="D808" s="230"/>
      <c r="E808" s="231"/>
      <c r="F808" s="232"/>
      <c r="G808" s="233"/>
      <c r="H808" s="234"/>
      <c r="I808" s="235"/>
      <c r="J808" s="192"/>
      <c r="K808" s="227"/>
      <c r="L808" s="228"/>
      <c r="M808" s="229"/>
      <c r="N808" s="193"/>
      <c r="O808" s="194"/>
      <c r="P808" s="215"/>
      <c r="Q808" s="195"/>
    </row>
    <row r="809" customFormat="false" ht="18" hidden="true" customHeight="true" outlineLevel="0" collapsed="false">
      <c r="D809" s="236"/>
      <c r="E809" s="237"/>
      <c r="F809" s="237"/>
      <c r="G809" s="238"/>
      <c r="H809" s="237"/>
      <c r="I809" s="239"/>
      <c r="J809" s="240"/>
      <c r="K809" s="240"/>
      <c r="L809" s="240"/>
      <c r="M809" s="240"/>
      <c r="N809" s="240"/>
      <c r="O809" s="240"/>
      <c r="P809" s="240"/>
      <c r="Q809" s="195"/>
    </row>
    <row r="810" customFormat="false" ht="16.5" hidden="true" customHeight="false" outlineLevel="0" collapsed="false">
      <c r="N810" s="195"/>
      <c r="O810" s="195"/>
      <c r="P810" s="195"/>
      <c r="Q810" s="195"/>
    </row>
    <row r="812" customFormat="false" ht="16.5" hidden="false" customHeight="false" outlineLevel="0" collapsed="false">
      <c r="I812" s="241"/>
      <c r="J812" s="195"/>
      <c r="O812" s="241"/>
      <c r="P812" s="195"/>
      <c r="Q812" s="195"/>
    </row>
    <row r="813" customFormat="false" ht="16.5" hidden="false" customHeight="false" outlineLevel="0" collapsed="false">
      <c r="I813" s="241"/>
      <c r="J813" s="195"/>
      <c r="O813" s="241"/>
      <c r="P813" s="195"/>
      <c r="Q813" s="195"/>
    </row>
    <row r="814" customFormat="false" ht="16.5" hidden="false" customHeight="false" outlineLevel="0" collapsed="false">
      <c r="I814" s="241"/>
      <c r="J814" s="195"/>
      <c r="O814" s="241"/>
      <c r="P814" s="195"/>
      <c r="Q814" s="195"/>
    </row>
    <row r="815" customFormat="false" ht="16.5" hidden="false" customHeight="false" outlineLevel="0" collapsed="false">
      <c r="I815" s="241"/>
      <c r="J815" s="195"/>
      <c r="O815" s="241"/>
      <c r="P815" s="195"/>
      <c r="Q815" s="195"/>
    </row>
  </sheetData>
  <autoFilter ref="D2:T447"/>
  <mergeCells count="1">
    <mergeCell ref="K1:L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W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E7" activeCellId="0" sqref="E7"/>
    </sheetView>
  </sheetViews>
  <sheetFormatPr defaultColWidth="8.5" defaultRowHeight="16.5" zeroHeight="false" outlineLevelRow="0" outlineLevelCol="0"/>
  <cols>
    <col collapsed="false" customWidth="true" hidden="false" outlineLevel="0" max="1" min="1" style="172" width="11"/>
    <col collapsed="false" customWidth="true" hidden="false" outlineLevel="0" max="2" min="2" style="172" width="7.75"/>
    <col collapsed="false" customWidth="true" hidden="false" outlineLevel="0" max="3" min="3" style="172" width="3.63"/>
    <col collapsed="false" customWidth="true" hidden="false" outlineLevel="0" max="4" min="4" style="172" width="17"/>
    <col collapsed="false" customWidth="true" hidden="false" outlineLevel="0" max="5" min="5" style="172" width="29.5"/>
    <col collapsed="false" customWidth="true" hidden="false" outlineLevel="0" max="6" min="6" style="172" width="4.76"/>
    <col collapsed="false" customWidth="true" hidden="false" outlineLevel="0" max="7" min="7" style="172" width="9.87"/>
    <col collapsed="false" customWidth="false" hidden="false" outlineLevel="0" max="8" min="8" style="172" width="8.5"/>
    <col collapsed="false" customWidth="true" hidden="false" outlineLevel="0" max="9" min="9" style="172" width="17"/>
    <col collapsed="false" customWidth="true" hidden="false" outlineLevel="0" max="10" min="10" style="172" width="18.62"/>
    <col collapsed="false" customWidth="true" hidden="false" outlineLevel="0" max="11" min="11" style="172" width="16.13"/>
    <col collapsed="false" customWidth="true" hidden="false" outlineLevel="0" max="12" min="12" style="172" width="17"/>
    <col collapsed="false" customWidth="true" hidden="false" outlineLevel="0" max="13" min="13" style="172" width="12.5"/>
    <col collapsed="false" customWidth="true" hidden="false" outlineLevel="0" max="14" min="14" style="172" width="13.63"/>
    <col collapsed="false" customWidth="true" hidden="false" outlineLevel="0" max="15" min="15" style="172" width="9.13"/>
    <col collapsed="false" customWidth="true" hidden="false" outlineLevel="0" max="16" min="16" style="172" width="14"/>
    <col collapsed="false" customWidth="true" hidden="false" outlineLevel="0" max="17" min="17" style="172" width="15.75"/>
    <col collapsed="false" customWidth="true" hidden="false" outlineLevel="0" max="18" min="18" style="172" width="23.5"/>
    <col collapsed="false" customWidth="true" hidden="false" outlineLevel="0" max="19" min="19" style="172" width="16"/>
    <col collapsed="false" customWidth="true" hidden="false" outlineLevel="0" max="20" min="20" style="172" width="48"/>
    <col collapsed="false" customWidth="true" hidden="false" outlineLevel="0" max="21" min="21" style="172" width="22.75"/>
    <col collapsed="false" customWidth="true" hidden="false" outlineLevel="0" max="22" min="22" style="172" width="11.25"/>
    <col collapsed="false" customWidth="true" hidden="false" outlineLevel="0" max="23" min="23" style="172" width="8.76"/>
  </cols>
  <sheetData>
    <row r="1" customFormat="false" ht="16.5" hidden="false" customHeight="false" outlineLevel="0" collapsed="false">
      <c r="Q1" s="242" t="s">
        <v>1388</v>
      </c>
    </row>
    <row r="2" customFormat="false" ht="17.25" hidden="false" customHeight="true" outlineLevel="0" collapsed="false">
      <c r="C2" s="243"/>
      <c r="D2" s="244"/>
      <c r="E2" s="244"/>
      <c r="F2" s="244"/>
      <c r="G2" s="243"/>
      <c r="H2" s="244"/>
      <c r="I2" s="243" t="s">
        <v>1389</v>
      </c>
      <c r="J2" s="243"/>
      <c r="K2" s="244"/>
      <c r="L2" s="244"/>
      <c r="M2" s="244"/>
      <c r="N2" s="244"/>
      <c r="O2" s="244"/>
      <c r="P2" s="244"/>
      <c r="Q2" s="245"/>
    </row>
    <row r="3" customFormat="false" ht="16.5" hidden="false" customHeight="false" outlineLevel="0" collapsed="false">
      <c r="C3" s="245"/>
      <c r="D3" s="245"/>
      <c r="E3" s="245"/>
      <c r="F3" s="245"/>
      <c r="G3" s="245"/>
      <c r="H3" s="245"/>
      <c r="I3" s="245"/>
      <c r="J3" s="245"/>
      <c r="K3" s="245"/>
      <c r="L3" s="245"/>
      <c r="M3" s="245"/>
      <c r="N3" s="245"/>
      <c r="O3" s="245"/>
      <c r="P3" s="246" t="s">
        <v>1390</v>
      </c>
      <c r="Q3" s="245"/>
    </row>
    <row r="4" customFormat="false" ht="16.5" hidden="false" customHeight="false" outlineLevel="0" collapsed="false">
      <c r="C4" s="247"/>
      <c r="D4" s="247"/>
      <c r="E4" s="247"/>
      <c r="F4" s="247"/>
      <c r="G4" s="248"/>
      <c r="H4" s="247"/>
      <c r="I4" s="247"/>
      <c r="J4" s="247"/>
      <c r="K4" s="247"/>
      <c r="L4" s="247"/>
      <c r="M4" s="247"/>
      <c r="N4" s="247"/>
      <c r="O4" s="247"/>
      <c r="P4" s="247"/>
      <c r="Q4" s="247"/>
    </row>
    <row r="5" customFormat="false" ht="16.5" hidden="false" customHeight="false" outlineLevel="0" collapsed="false">
      <c r="C5" s="249" t="s">
        <v>1391</v>
      </c>
      <c r="D5" s="250"/>
      <c r="E5" s="250"/>
      <c r="F5" s="251"/>
      <c r="G5" s="251"/>
      <c r="H5" s="252" t="s">
        <v>1392</v>
      </c>
      <c r="I5" s="251"/>
      <c r="J5" s="251"/>
      <c r="K5" s="251"/>
      <c r="L5" s="251"/>
      <c r="M5" s="251"/>
      <c r="N5" s="251"/>
      <c r="O5" s="251"/>
      <c r="P5" s="251"/>
      <c r="Q5" s="247"/>
    </row>
    <row r="6" customFormat="false" ht="16.5" hidden="false" customHeight="false" outlineLevel="0" collapsed="false">
      <c r="A6" s="253" t="s">
        <v>1393</v>
      </c>
      <c r="B6" s="253" t="s">
        <v>1394</v>
      </c>
      <c r="C6" s="254"/>
      <c r="D6" s="255"/>
      <c r="E6" s="255"/>
      <c r="F6" s="255" t="s">
        <v>1395</v>
      </c>
      <c r="G6" s="256" t="s">
        <v>1396</v>
      </c>
      <c r="H6" s="257" t="s">
        <v>1396</v>
      </c>
      <c r="I6" s="256"/>
      <c r="J6" s="256"/>
      <c r="K6" s="258" t="s">
        <v>1397</v>
      </c>
      <c r="L6" s="259" t="s">
        <v>1398</v>
      </c>
      <c r="M6" s="260" t="s">
        <v>1399</v>
      </c>
      <c r="N6" s="261" t="s">
        <v>1400</v>
      </c>
      <c r="O6" s="261" t="s">
        <v>1401</v>
      </c>
      <c r="P6" s="262" t="s">
        <v>1402</v>
      </c>
      <c r="Q6" s="247"/>
      <c r="S6" s="263" t="s">
        <v>1403</v>
      </c>
      <c r="T6" s="264" t="s">
        <v>1404</v>
      </c>
    </row>
    <row r="7" customFormat="false" ht="16.5" hidden="false" customHeight="false" outlineLevel="0" collapsed="false">
      <c r="C7" s="265" t="n">
        <v>1</v>
      </c>
      <c r="D7" s="266" t="s">
        <v>1405</v>
      </c>
      <c r="E7" s="266"/>
      <c r="F7" s="267" t="s">
        <v>446</v>
      </c>
      <c r="G7" s="268" t="n">
        <v>15800870</v>
      </c>
      <c r="H7" s="269" t="n">
        <v>86158008</v>
      </c>
      <c r="I7" s="270" t="s">
        <v>1406</v>
      </c>
      <c r="J7" s="270"/>
      <c r="K7" s="271" t="n">
        <v>30000000</v>
      </c>
      <c r="L7" s="272"/>
      <c r="M7" s="266" t="n">
        <f aca="false">++K7</f>
        <v>30000000</v>
      </c>
      <c r="N7" s="266"/>
      <c r="O7" s="266"/>
      <c r="P7" s="266"/>
      <c r="Q7" s="273"/>
      <c r="S7" s="274" t="str">
        <f aca="false">IF(ISNUMBER(MATCH(G7&amp;"",FS_map!$D:$D,0)),G7&amp;"",IF(H7="","",H7&amp;""))</f>
        <v>86158008</v>
      </c>
      <c r="T7" s="172" t="s">
        <v>1407</v>
      </c>
    </row>
    <row r="8" customFormat="false" ht="16.5" hidden="false" customHeight="false" outlineLevel="0" collapsed="false">
      <c r="C8" s="273"/>
      <c r="D8" s="266"/>
      <c r="E8" s="267"/>
      <c r="F8" s="267" t="s">
        <v>446</v>
      </c>
      <c r="G8" s="268" t="n">
        <v>15800853</v>
      </c>
      <c r="H8" s="269" t="n">
        <v>86260033</v>
      </c>
      <c r="I8" s="270"/>
      <c r="J8" s="270" t="s">
        <v>155</v>
      </c>
      <c r="K8" s="272"/>
      <c r="L8" s="275" t="n">
        <v>30000000</v>
      </c>
      <c r="M8" s="266" t="n">
        <f aca="false">++-L8</f>
        <v>-30000000</v>
      </c>
      <c r="N8" s="266"/>
      <c r="O8" s="266"/>
      <c r="P8" s="266"/>
      <c r="Q8" s="273"/>
      <c r="S8" s="274" t="str">
        <f aca="false">IF(ISNUMBER(MATCH(G8&amp;"",FS_map!$D:$D,0)),G8&amp;"",IF(H8="","",H8&amp;""))</f>
        <v>15800853</v>
      </c>
    </row>
    <row r="9" customFormat="false" ht="16.5" hidden="false" customHeight="false" outlineLevel="0" collapsed="false">
      <c r="C9" s="273"/>
      <c r="D9" s="266"/>
      <c r="E9" s="267"/>
      <c r="F9" s="267"/>
      <c r="G9" s="268"/>
      <c r="H9" s="269"/>
      <c r="I9" s="270"/>
      <c r="J9" s="270"/>
      <c r="K9" s="272"/>
      <c r="L9" s="276"/>
      <c r="M9" s="266"/>
      <c r="N9" s="266"/>
      <c r="O9" s="266"/>
      <c r="P9" s="266"/>
      <c r="Q9" s="273"/>
    </row>
    <row r="10" customFormat="false" ht="16.5" hidden="false" customHeight="false" outlineLevel="0" collapsed="false">
      <c r="F10" s="267"/>
      <c r="G10" s="268"/>
      <c r="H10" s="269"/>
      <c r="I10" s="270"/>
      <c r="J10" s="270"/>
      <c r="K10" s="277"/>
      <c r="L10" s="277"/>
      <c r="M10" s="266"/>
      <c r="N10" s="266"/>
      <c r="O10" s="266"/>
      <c r="P10" s="266"/>
    </row>
    <row r="11" customFormat="false" ht="16.5" hidden="false" customHeight="false" outlineLevel="0" collapsed="false">
      <c r="C11" s="278" t="n">
        <v>2</v>
      </c>
      <c r="D11" s="266" t="s">
        <v>1408</v>
      </c>
      <c r="E11" s="267"/>
      <c r="F11" s="267" t="s">
        <v>791</v>
      </c>
      <c r="G11" s="268" t="n">
        <v>74250001</v>
      </c>
      <c r="H11" s="279" t="n">
        <v>86200400</v>
      </c>
      <c r="I11" s="270" t="s">
        <v>393</v>
      </c>
      <c r="J11" s="270"/>
      <c r="K11" s="280" t="n">
        <v>20794942446</v>
      </c>
      <c r="L11" s="277"/>
      <c r="M11" s="266"/>
      <c r="N11" s="266"/>
      <c r="O11" s="266"/>
      <c r="P11" s="266" t="n">
        <f aca="false">++K11</f>
        <v>20794942446</v>
      </c>
      <c r="S11" s="274" t="str">
        <f aca="false">IF(ISNUMBER(MATCH(G11&amp;"",FS_map!$D:$D,0)),G11&amp;"",IF(H11="","",H11&amp;""))</f>
        <v>74250001</v>
      </c>
    </row>
    <row r="12" customFormat="false" ht="16.5" hidden="false" customHeight="false" outlineLevel="0" collapsed="false">
      <c r="D12" s="266"/>
      <c r="E12" s="267"/>
      <c r="F12" s="267" t="s">
        <v>791</v>
      </c>
      <c r="G12" s="268" t="n">
        <v>86000300</v>
      </c>
      <c r="H12" s="281" t="n">
        <v>86000300</v>
      </c>
      <c r="I12" s="270"/>
      <c r="J12" s="270" t="s">
        <v>319</v>
      </c>
      <c r="K12" s="272"/>
      <c r="L12" s="271" t="n">
        <v>2369648232</v>
      </c>
      <c r="M12" s="266"/>
      <c r="N12" s="266"/>
      <c r="O12" s="266"/>
      <c r="P12" s="266" t="n">
        <f aca="false">++-L12</f>
        <v>-2369648232</v>
      </c>
      <c r="S12" s="274" t="str">
        <f aca="false">IF(ISNUMBER(MATCH(G12&amp;"",FS_map!$D:$D,0)),G12&amp;"",IF(H12="","",H12&amp;""))</f>
        <v>86000300</v>
      </c>
    </row>
    <row r="13" customFormat="false" ht="16.5" hidden="false" customHeight="false" outlineLevel="0" collapsed="false">
      <c r="F13" s="267" t="s">
        <v>791</v>
      </c>
      <c r="G13" s="268" t="n">
        <v>86000004</v>
      </c>
      <c r="H13" s="269" t="n">
        <v>86000004</v>
      </c>
      <c r="I13" s="270"/>
      <c r="J13" s="270" t="s">
        <v>330</v>
      </c>
      <c r="K13" s="272"/>
      <c r="L13" s="271" t="n">
        <v>155357637</v>
      </c>
      <c r="M13" s="266"/>
      <c r="N13" s="266"/>
      <c r="O13" s="266"/>
      <c r="P13" s="266" t="n">
        <f aca="false">++-L13</f>
        <v>-155357637</v>
      </c>
      <c r="S13" s="274" t="str">
        <f aca="false">IF(ISNUMBER(MATCH(G13&amp;"",FS_map!$D:$D,0)),G13&amp;"",IF(H13="","",H13&amp;""))</f>
        <v>86000004</v>
      </c>
    </row>
    <row r="14" customFormat="false" ht="16.5" hidden="false" customHeight="false" outlineLevel="0" collapsed="false">
      <c r="D14" s="266"/>
      <c r="E14" s="267"/>
      <c r="F14" s="267" t="s">
        <v>791</v>
      </c>
      <c r="G14" s="268" t="n">
        <v>86400910</v>
      </c>
      <c r="H14" s="269" t="n">
        <v>86400910</v>
      </c>
      <c r="I14" s="270"/>
      <c r="J14" s="270" t="s">
        <v>323</v>
      </c>
      <c r="K14" s="272"/>
      <c r="L14" s="271" t="n">
        <v>333409964</v>
      </c>
      <c r="M14" s="266"/>
      <c r="N14" s="266"/>
      <c r="O14" s="266"/>
      <c r="P14" s="266" t="n">
        <f aca="false">++-L14</f>
        <v>-333409964</v>
      </c>
      <c r="S14" s="274" t="str">
        <f aca="false">IF(ISNUMBER(MATCH(G14&amp;"",FS_map!$D:$D,0)),G14&amp;"",IF(H14="","",H14&amp;""))</f>
        <v>86400910</v>
      </c>
    </row>
    <row r="15" customFormat="false" ht="16.5" hidden="false" customHeight="false" outlineLevel="0" collapsed="false">
      <c r="F15" s="267" t="s">
        <v>791</v>
      </c>
      <c r="G15" s="268" t="n">
        <v>86100747</v>
      </c>
      <c r="H15" s="279" t="n">
        <v>86100747</v>
      </c>
      <c r="I15" s="270"/>
      <c r="J15" s="270" t="s">
        <v>325</v>
      </c>
      <c r="K15" s="277"/>
      <c r="L15" s="271" t="n">
        <v>349405261</v>
      </c>
      <c r="M15" s="266"/>
      <c r="N15" s="266"/>
      <c r="O15" s="266"/>
      <c r="P15" s="266" t="n">
        <f aca="false">++-L15</f>
        <v>-349405261</v>
      </c>
      <c r="S15" s="274" t="str">
        <f aca="false">IF(ISNUMBER(MATCH(G15&amp;"",FS_map!$D:$D,0)),G15&amp;"",IF(H15="","",H15&amp;""))</f>
        <v>86100747</v>
      </c>
    </row>
    <row r="16" customFormat="false" ht="16.5" hidden="false" customHeight="false" outlineLevel="0" collapsed="false">
      <c r="F16" s="267" t="s">
        <v>791</v>
      </c>
      <c r="G16" s="268" t="n">
        <v>86000400</v>
      </c>
      <c r="H16" s="279" t="n">
        <v>86000400</v>
      </c>
      <c r="I16" s="270"/>
      <c r="J16" s="270" t="s">
        <v>364</v>
      </c>
      <c r="K16" s="272"/>
      <c r="L16" s="271" t="n">
        <v>6474004</v>
      </c>
      <c r="M16" s="266"/>
      <c r="N16" s="266"/>
      <c r="O16" s="266"/>
      <c r="P16" s="266" t="n">
        <f aca="false">++-L16</f>
        <v>-6474004</v>
      </c>
      <c r="S16" s="274" t="str">
        <f aca="false">IF(ISNUMBER(MATCH(G16&amp;"",FS_map!$D:$D,0)),G16&amp;"",IF(H16="","",H16&amp;""))</f>
        <v>86000400</v>
      </c>
    </row>
    <row r="17" customFormat="false" ht="16.5" hidden="false" customHeight="false" outlineLevel="0" collapsed="false">
      <c r="F17" s="267" t="s">
        <v>791</v>
      </c>
      <c r="G17" s="268" t="n">
        <v>86073501</v>
      </c>
      <c r="H17" s="279" t="n">
        <v>86073501</v>
      </c>
      <c r="I17" s="270"/>
      <c r="J17" s="270" t="s">
        <v>355</v>
      </c>
      <c r="K17" s="277"/>
      <c r="L17" s="271" t="n">
        <v>13314198758</v>
      </c>
      <c r="M17" s="266"/>
      <c r="N17" s="266"/>
      <c r="O17" s="266"/>
      <c r="P17" s="266" t="n">
        <f aca="false">++-L17</f>
        <v>-13314198758</v>
      </c>
      <c r="S17" s="274" t="str">
        <f aca="false">IF(ISNUMBER(MATCH(G17&amp;"",FS_map!$D:$D,0)),G17&amp;"",IF(H17="","",H17&amp;""))</f>
        <v>86073501</v>
      </c>
    </row>
    <row r="18" customFormat="false" ht="16.5" hidden="false" customHeight="false" outlineLevel="0" collapsed="false">
      <c r="E18" s="267"/>
      <c r="F18" s="267" t="s">
        <v>791</v>
      </c>
      <c r="G18" s="268" t="n">
        <v>86514001</v>
      </c>
      <c r="H18" s="269" t="n">
        <v>86514001</v>
      </c>
      <c r="I18" s="270"/>
      <c r="J18" s="270" t="s">
        <v>315</v>
      </c>
      <c r="K18" s="272"/>
      <c r="L18" s="271" t="n">
        <v>7481129</v>
      </c>
      <c r="M18" s="266"/>
      <c r="N18" s="266"/>
      <c r="O18" s="266"/>
      <c r="P18" s="266" t="n">
        <f aca="false">++-L18</f>
        <v>-7481129</v>
      </c>
      <c r="S18" s="274" t="str">
        <f aca="false">IF(ISNUMBER(MATCH(G18&amp;"",FS_map!$D:$D,0)),G18&amp;"",IF(H18="","",H18&amp;""))</f>
        <v>86514001</v>
      </c>
    </row>
    <row r="19" customFormat="false" ht="16.5" hidden="false" customHeight="false" outlineLevel="0" collapsed="false">
      <c r="F19" s="267" t="s">
        <v>791</v>
      </c>
      <c r="G19" s="268" t="n">
        <v>86000006</v>
      </c>
      <c r="H19" s="279" t="n">
        <v>86000006</v>
      </c>
      <c r="I19" s="270"/>
      <c r="J19" s="270" t="s">
        <v>332</v>
      </c>
      <c r="K19" s="277"/>
      <c r="L19" s="271" t="n">
        <v>128225390</v>
      </c>
      <c r="M19" s="266"/>
      <c r="N19" s="266"/>
      <c r="O19" s="266"/>
      <c r="P19" s="266" t="n">
        <f aca="false">++-L19</f>
        <v>-128225390</v>
      </c>
      <c r="S19" s="274" t="str">
        <f aca="false">IF(ISNUMBER(MATCH(G19&amp;"",FS_map!$D:$D,0)),G19&amp;"",IF(H19="","",H19&amp;""))</f>
        <v>86000006</v>
      </c>
    </row>
    <row r="20" customFormat="false" ht="16.5" hidden="false" customHeight="false" outlineLevel="0" collapsed="false">
      <c r="F20" s="267" t="s">
        <v>791</v>
      </c>
      <c r="G20" s="268" t="n">
        <v>86290000</v>
      </c>
      <c r="H20" s="279" t="n">
        <v>86290000</v>
      </c>
      <c r="I20" s="270"/>
      <c r="J20" s="270" t="s">
        <v>344</v>
      </c>
      <c r="K20" s="277"/>
      <c r="L20" s="271" t="n">
        <v>61682684</v>
      </c>
      <c r="M20" s="266"/>
      <c r="N20" s="266"/>
      <c r="O20" s="266"/>
      <c r="P20" s="266" t="n">
        <f aca="false">++-L20</f>
        <v>-61682684</v>
      </c>
      <c r="S20" s="274" t="str">
        <f aca="false">IF(ISNUMBER(MATCH(G20&amp;"",FS_map!$D:$D,0)),G20&amp;"",IF(H20="","",H20&amp;""))</f>
        <v>86290000</v>
      </c>
    </row>
    <row r="21" customFormat="false" ht="16.5" hidden="false" customHeight="false" outlineLevel="0" collapsed="false">
      <c r="F21" s="267" t="s">
        <v>791</v>
      </c>
      <c r="G21" s="268" t="n">
        <v>86100925</v>
      </c>
      <c r="H21" s="279" t="n">
        <v>86100925</v>
      </c>
      <c r="I21" s="270"/>
      <c r="J21" s="270" t="s">
        <v>361</v>
      </c>
      <c r="K21" s="277"/>
      <c r="L21" s="271" t="n">
        <v>3977948983</v>
      </c>
      <c r="M21" s="266"/>
      <c r="N21" s="266"/>
      <c r="O21" s="266"/>
      <c r="P21" s="266" t="n">
        <f aca="false">++-L21</f>
        <v>-3977948983</v>
      </c>
      <c r="S21" s="274" t="str">
        <f aca="false">IF(ISNUMBER(MATCH(G21&amp;"",FS_map!$D:$D,0)),G21&amp;"",IF(H21="","",H21&amp;""))</f>
        <v>86100925</v>
      </c>
    </row>
    <row r="22" customFormat="false" ht="16.5" hidden="false" customHeight="false" outlineLevel="0" collapsed="false">
      <c r="F22" s="267" t="s">
        <v>791</v>
      </c>
      <c r="G22" s="268" t="n">
        <v>86900000</v>
      </c>
      <c r="H22" s="279" t="n">
        <v>86900000</v>
      </c>
      <c r="I22" s="270"/>
      <c r="J22" s="270" t="s">
        <v>334</v>
      </c>
      <c r="K22" s="277"/>
      <c r="L22" s="271" t="n">
        <v>15020622</v>
      </c>
      <c r="M22" s="266"/>
      <c r="N22" s="266"/>
      <c r="O22" s="266"/>
      <c r="P22" s="266" t="n">
        <f aca="false">++-L22</f>
        <v>-15020622</v>
      </c>
      <c r="S22" s="274" t="str">
        <f aca="false">IF(ISNUMBER(MATCH(G22&amp;"",FS_map!$D:$D,0)),G22&amp;"",IF(H22="","",H22&amp;""))</f>
        <v>86900000</v>
      </c>
    </row>
    <row r="23" customFormat="false" ht="16.5" hidden="false" customHeight="false" outlineLevel="0" collapsed="false">
      <c r="F23" s="267" t="s">
        <v>791</v>
      </c>
      <c r="G23" s="268" t="n">
        <v>86300510</v>
      </c>
      <c r="H23" s="279" t="n">
        <v>86300510</v>
      </c>
      <c r="I23" s="270"/>
      <c r="J23" s="270" t="s">
        <v>335</v>
      </c>
      <c r="K23" s="277"/>
      <c r="L23" s="271" t="n">
        <v>17966376</v>
      </c>
      <c r="M23" s="266"/>
      <c r="N23" s="266"/>
      <c r="O23" s="266"/>
      <c r="P23" s="266" t="n">
        <f aca="false">++-L23</f>
        <v>-17966376</v>
      </c>
      <c r="S23" s="274" t="str">
        <f aca="false">IF(ISNUMBER(MATCH(G23&amp;"",FS_map!$D:$D,0)),G23&amp;"",IF(H23="","",H23&amp;""))</f>
        <v>86300510</v>
      </c>
    </row>
    <row r="24" customFormat="false" ht="16.5" hidden="false" customHeight="false" outlineLevel="0" collapsed="false">
      <c r="F24" s="267" t="s">
        <v>791</v>
      </c>
      <c r="G24" s="268" t="n">
        <v>86590050</v>
      </c>
      <c r="H24" s="279" t="n">
        <v>86590050</v>
      </c>
      <c r="I24" s="270"/>
      <c r="J24" s="270" t="s">
        <v>336</v>
      </c>
      <c r="K24" s="277"/>
      <c r="L24" s="271" t="n">
        <v>473087</v>
      </c>
      <c r="M24" s="266"/>
      <c r="N24" s="266"/>
      <c r="O24" s="266"/>
      <c r="P24" s="266" t="n">
        <f aca="false">++-L24</f>
        <v>-473087</v>
      </c>
      <c r="S24" s="274" t="str">
        <f aca="false">IF(ISNUMBER(MATCH(G24&amp;"",FS_map!$D:$D,0)),G24&amp;"",IF(H24="","",H24&amp;""))</f>
        <v>86590050</v>
      </c>
    </row>
    <row r="25" customFormat="false" ht="16.5" hidden="false" customHeight="false" outlineLevel="0" collapsed="false">
      <c r="F25" s="267" t="s">
        <v>791</v>
      </c>
      <c r="G25" s="268" t="n">
        <v>86591013</v>
      </c>
      <c r="H25" s="279" t="n">
        <v>86591013</v>
      </c>
      <c r="I25" s="270"/>
      <c r="J25" s="270" t="s">
        <v>348</v>
      </c>
      <c r="K25" s="277"/>
      <c r="L25" s="271" t="n">
        <v>7044189</v>
      </c>
      <c r="M25" s="266"/>
      <c r="N25" s="266"/>
      <c r="O25" s="266"/>
      <c r="P25" s="266" t="n">
        <f aca="false">++-L25</f>
        <v>-7044189</v>
      </c>
      <c r="S25" s="274" t="str">
        <f aca="false">IF(ISNUMBER(MATCH(G25&amp;"",FS_map!$D:$D,0)),G25&amp;"",IF(H25="","",H25&amp;""))</f>
        <v>86591013</v>
      </c>
    </row>
    <row r="26" customFormat="false" ht="16.5" hidden="false" customHeight="false" outlineLevel="0" collapsed="false">
      <c r="F26" s="267" t="s">
        <v>791</v>
      </c>
      <c r="G26" s="268" t="n">
        <v>86200400</v>
      </c>
      <c r="H26" s="279" t="n">
        <v>86200400</v>
      </c>
      <c r="I26" s="270"/>
      <c r="J26" s="270" t="s">
        <v>393</v>
      </c>
      <c r="K26" s="277"/>
      <c r="L26" s="271" t="n">
        <v>50606130</v>
      </c>
      <c r="M26" s="266"/>
      <c r="N26" s="266"/>
      <c r="O26" s="266"/>
      <c r="P26" s="266" t="n">
        <f aca="false">++-L26</f>
        <v>-50606130</v>
      </c>
      <c r="S26" s="274" t="str">
        <f aca="false">IF(ISNUMBER(MATCH(G26&amp;"",FS_map!$D:$D,0)),G26&amp;"",IF(H26="","",H26&amp;""))</f>
        <v>86200400</v>
      </c>
    </row>
    <row r="27" customFormat="false" ht="16.5" hidden="false" customHeight="false" outlineLevel="0" collapsed="false">
      <c r="F27" s="267"/>
      <c r="G27" s="268"/>
      <c r="H27" s="279"/>
      <c r="I27" s="270"/>
      <c r="J27" s="270"/>
      <c r="K27" s="277"/>
      <c r="L27" s="277"/>
      <c r="M27" s="266"/>
      <c r="N27" s="266"/>
      <c r="O27" s="266"/>
      <c r="P27" s="266"/>
    </row>
    <row r="28" customFormat="false" ht="16.5" hidden="false" customHeight="false" outlineLevel="0" collapsed="false">
      <c r="C28" s="278" t="n">
        <v>3</v>
      </c>
      <c r="D28" s="278" t="s">
        <v>1409</v>
      </c>
      <c r="F28" s="267" t="s">
        <v>446</v>
      </c>
      <c r="G28" s="268" t="n">
        <v>38010000</v>
      </c>
      <c r="H28" s="279" t="n">
        <v>86380100</v>
      </c>
      <c r="I28" s="270" t="s">
        <v>206</v>
      </c>
      <c r="J28" s="270"/>
      <c r="K28" s="280" t="n">
        <v>646256500</v>
      </c>
      <c r="L28" s="277"/>
      <c r="M28" s="266"/>
      <c r="N28" s="266" t="n">
        <f aca="false">++K28</f>
        <v>646256500</v>
      </c>
      <c r="O28" s="266"/>
      <c r="P28" s="266"/>
      <c r="S28" s="274" t="str">
        <f aca="false">IF(ISNUMBER(MATCH(G28&amp;"",FS_map!$D:$D,0)),G28&amp;"",IF(H28="","",H28&amp;""))</f>
        <v>38010000</v>
      </c>
    </row>
    <row r="29" customFormat="false" ht="16.5" hidden="false" customHeight="false" outlineLevel="0" collapsed="false">
      <c r="F29" s="267" t="s">
        <v>446</v>
      </c>
      <c r="G29" s="282" t="s">
        <v>1378</v>
      </c>
      <c r="H29" s="279" t="n">
        <v>86380100</v>
      </c>
      <c r="I29" s="270"/>
      <c r="J29" s="270" t="s">
        <v>1378</v>
      </c>
      <c r="K29" s="277"/>
      <c r="L29" s="280" t="n">
        <f aca="false">++K28</f>
        <v>646256500</v>
      </c>
      <c r="M29" s="266"/>
      <c r="N29" s="266" t="n">
        <f aca="false">++-L29</f>
        <v>-646256500</v>
      </c>
      <c r="O29" s="266"/>
      <c r="P29" s="266"/>
      <c r="S29" s="274" t="str">
        <f aca="false">IF(ISNUMBER(MATCH(G29&amp;"",FS_map!$D:$D,0)),G29&amp;"",IF(H29="","",H29&amp;""))</f>
        <v>반품충당금비유동</v>
      </c>
      <c r="T29" s="172" t="s">
        <v>1410</v>
      </c>
    </row>
    <row r="30" customFormat="false" ht="16.5" hidden="false" customHeight="false" outlineLevel="0" collapsed="false">
      <c r="F30" s="267"/>
      <c r="G30" s="268"/>
      <c r="H30" s="279"/>
      <c r="I30" s="270"/>
      <c r="J30" s="270"/>
      <c r="K30" s="277"/>
      <c r="L30" s="277"/>
      <c r="M30" s="266"/>
      <c r="N30" s="266"/>
      <c r="O30" s="266"/>
      <c r="P30" s="266"/>
    </row>
    <row r="31" customFormat="false" ht="16.5" hidden="false" customHeight="false" outlineLevel="0" collapsed="false">
      <c r="C31" s="278" t="n">
        <v>5</v>
      </c>
      <c r="D31" s="278" t="s">
        <v>1411</v>
      </c>
      <c r="F31" s="267" t="s">
        <v>446</v>
      </c>
      <c r="G31" s="268" t="n">
        <v>42910850</v>
      </c>
      <c r="H31" s="279" t="n">
        <v>86429108</v>
      </c>
      <c r="I31" s="270" t="s">
        <v>191</v>
      </c>
      <c r="J31" s="270"/>
      <c r="K31" s="283" t="n">
        <v>758423387</v>
      </c>
      <c r="L31" s="277"/>
      <c r="M31" s="266"/>
      <c r="N31" s="266" t="n">
        <f aca="false">++K31</f>
        <v>758423387</v>
      </c>
      <c r="O31" s="266"/>
      <c r="P31" s="266"/>
      <c r="Q31" s="270" t="s">
        <v>1412</v>
      </c>
      <c r="S31" s="274" t="str">
        <f aca="false">IF(ISNUMBER(MATCH(G31&amp;"",FS_map!$D:$D,0)),G31&amp;"",IF(H31="","",H31&amp;""))</f>
        <v>42910850</v>
      </c>
    </row>
    <row r="32" customFormat="false" ht="16.5" hidden="false" customHeight="false" outlineLevel="0" collapsed="false">
      <c r="F32" s="267" t="s">
        <v>446</v>
      </c>
      <c r="G32" s="268" t="n">
        <v>42910852</v>
      </c>
      <c r="H32" s="279" t="n">
        <v>86429108</v>
      </c>
      <c r="I32" s="270" t="s">
        <v>191</v>
      </c>
      <c r="J32" s="270"/>
      <c r="K32" s="283" t="n">
        <v>10532431629</v>
      </c>
      <c r="L32" s="277"/>
      <c r="M32" s="266"/>
      <c r="N32" s="266" t="n">
        <f aca="false">++K32</f>
        <v>10532431629</v>
      </c>
      <c r="O32" s="266"/>
      <c r="P32" s="266"/>
      <c r="Q32" s="270" t="s">
        <v>1412</v>
      </c>
      <c r="S32" s="274" t="str">
        <f aca="false">IF(ISNUMBER(MATCH(G32&amp;"",FS_map!$D:$D,0)),G32&amp;"",IF(H32="","",H32&amp;""))</f>
        <v>42910852</v>
      </c>
    </row>
    <row r="33" customFormat="false" ht="16.5" hidden="false" customHeight="false" outlineLevel="0" collapsed="false">
      <c r="F33" s="267" t="s">
        <v>446</v>
      </c>
      <c r="G33" s="268" t="n">
        <v>42910853</v>
      </c>
      <c r="H33" s="279" t="n">
        <v>86429108</v>
      </c>
      <c r="I33" s="270" t="s">
        <v>191</v>
      </c>
      <c r="J33" s="270"/>
      <c r="K33" s="283" t="n">
        <v>1124955108</v>
      </c>
      <c r="L33" s="277"/>
      <c r="M33" s="266"/>
      <c r="N33" s="266" t="n">
        <f aca="false">++K33</f>
        <v>1124955108</v>
      </c>
      <c r="O33" s="266"/>
      <c r="P33" s="266"/>
      <c r="Q33" s="270" t="s">
        <v>1412</v>
      </c>
      <c r="S33" s="274" t="str">
        <f aca="false">IF(ISNUMBER(MATCH(G33&amp;"",FS_map!$D:$D,0)),G33&amp;"",IF(H33="","",H33&amp;""))</f>
        <v>42910853</v>
      </c>
    </row>
    <row r="34" customFormat="false" ht="16.5" hidden="false" customHeight="false" outlineLevel="0" collapsed="false">
      <c r="F34" s="267" t="s">
        <v>446</v>
      </c>
      <c r="G34" s="268" t="n">
        <v>24000000</v>
      </c>
      <c r="H34" s="279" t="n">
        <v>86240007</v>
      </c>
      <c r="I34" s="270"/>
      <c r="J34" s="270" t="s">
        <v>31</v>
      </c>
      <c r="K34" s="277"/>
      <c r="L34" s="283" t="n">
        <f aca="false">++K31+K32+K33</f>
        <v>12415810124</v>
      </c>
      <c r="M34" s="266" t="n">
        <f aca="false">++-L34</f>
        <v>-12415810124</v>
      </c>
      <c r="N34" s="266"/>
      <c r="O34" s="266"/>
      <c r="P34" s="266"/>
      <c r="Q34" s="270" t="s">
        <v>1413</v>
      </c>
      <c r="S34" s="274" t="str">
        <f aca="false">IF(ISNUMBER(MATCH(G34&amp;"",FS_map!$D:$D,0)),G34&amp;"",IF(H34="","",H34&amp;""))</f>
        <v>24000000</v>
      </c>
    </row>
    <row r="35" customFormat="false" ht="16.5" hidden="false" customHeight="false" outlineLevel="0" collapsed="false">
      <c r="F35" s="267"/>
      <c r="G35" s="268"/>
      <c r="H35" s="279"/>
      <c r="I35" s="270"/>
      <c r="J35" s="270"/>
      <c r="K35" s="277"/>
      <c r="L35" s="277"/>
      <c r="M35" s="266"/>
      <c r="N35" s="266"/>
      <c r="O35" s="266"/>
      <c r="P35" s="266"/>
    </row>
    <row r="36" customFormat="false" ht="16.5" hidden="false" customHeight="false" outlineLevel="0" collapsed="false">
      <c r="C36" s="278" t="n">
        <v>6</v>
      </c>
      <c r="D36" s="278" t="s">
        <v>1414</v>
      </c>
      <c r="F36" s="267" t="s">
        <v>446</v>
      </c>
      <c r="G36" s="268" t="n">
        <v>26650000</v>
      </c>
      <c r="H36" s="279" t="n">
        <v>86260008</v>
      </c>
      <c r="I36" s="270" t="s">
        <v>50</v>
      </c>
      <c r="J36" s="270"/>
      <c r="K36" s="284" t="n">
        <v>0</v>
      </c>
      <c r="L36" s="277"/>
      <c r="M36" s="266" t="n">
        <f aca="false">++K36</f>
        <v>0</v>
      </c>
      <c r="N36" s="266"/>
      <c r="O36" s="266"/>
      <c r="P36" s="266"/>
      <c r="S36" s="274" t="str">
        <f aca="false">IF(ISNUMBER(MATCH(G36&amp;"",FS_map!$D:$D,0)),G36&amp;"",IF(H36="","",H36&amp;""))</f>
        <v>26650000</v>
      </c>
    </row>
    <row r="37" customFormat="false" ht="16.5" hidden="false" customHeight="false" outlineLevel="0" collapsed="false">
      <c r="F37" s="267" t="s">
        <v>446</v>
      </c>
      <c r="G37" s="268" t="n">
        <v>16350702</v>
      </c>
      <c r="H37" s="279" t="n">
        <v>86260033</v>
      </c>
      <c r="I37" s="270"/>
      <c r="J37" s="285" t="s">
        <v>518</v>
      </c>
      <c r="K37" s="277"/>
      <c r="L37" s="284" t="n">
        <f aca="false">++K36</f>
        <v>0</v>
      </c>
      <c r="M37" s="266"/>
      <c r="N37" s="266" t="n">
        <f aca="false">++-L37</f>
        <v>-0</v>
      </c>
      <c r="O37" s="266"/>
      <c r="P37" s="266"/>
      <c r="S37" s="274" t="str">
        <f aca="false">IF(ISNUMBER(MATCH(G37&amp;"",FS_map!$D:$D,0)),G37&amp;"",IF(H37="","",H37&amp;""))</f>
        <v>16350702</v>
      </c>
    </row>
    <row r="38" customFormat="false" ht="16.5" hidden="false" customHeight="false" outlineLevel="0" collapsed="false">
      <c r="F38" s="267"/>
      <c r="G38" s="268"/>
      <c r="H38" s="279"/>
      <c r="I38" s="285"/>
      <c r="J38" s="285"/>
      <c r="K38" s="277"/>
      <c r="L38" s="277"/>
      <c r="M38" s="266"/>
      <c r="N38" s="266"/>
      <c r="O38" s="266"/>
      <c r="P38" s="266"/>
    </row>
    <row r="39" customFormat="false" ht="16.5" hidden="false" customHeight="false" outlineLevel="0" collapsed="false">
      <c r="F39" s="267"/>
      <c r="G39" s="268"/>
      <c r="H39" s="279"/>
      <c r="I39" s="285"/>
      <c r="J39" s="285"/>
      <c r="K39" s="277"/>
      <c r="L39" s="277"/>
      <c r="M39" s="266"/>
      <c r="N39" s="266"/>
      <c r="O39" s="266"/>
      <c r="P39" s="266"/>
    </row>
    <row r="40" customFormat="false" ht="16.5" hidden="false" customHeight="false" outlineLevel="0" collapsed="false">
      <c r="C40" s="278" t="n">
        <v>7</v>
      </c>
      <c r="D40" s="286" t="s">
        <v>1415</v>
      </c>
      <c r="F40" s="267" t="s">
        <v>446</v>
      </c>
      <c r="G40" s="268" t="n">
        <v>10200000</v>
      </c>
      <c r="H40" s="279" t="n">
        <v>86102007</v>
      </c>
      <c r="I40" s="270" t="s">
        <v>120</v>
      </c>
      <c r="J40" s="285"/>
      <c r="K40" s="277"/>
      <c r="L40" s="283" t="n">
        <v>485029742</v>
      </c>
      <c r="M40" s="266" t="n">
        <f aca="false">++-L40</f>
        <v>-485029742</v>
      </c>
      <c r="N40" s="266"/>
      <c r="O40" s="266"/>
      <c r="P40" s="266"/>
      <c r="S40" s="274" t="str">
        <f aca="false">IF(ISNUMBER(MATCH(G40&amp;"",FS_map!$D:$D,0)),G40&amp;"",IF(H40="","",H40&amp;""))</f>
        <v>10200000</v>
      </c>
    </row>
    <row r="41" customFormat="false" ht="16.5" hidden="false" customHeight="false" outlineLevel="0" collapsed="false">
      <c r="F41" s="267" t="s">
        <v>446</v>
      </c>
      <c r="G41" s="268" t="n">
        <v>11200000</v>
      </c>
      <c r="H41" s="279" t="n">
        <v>86112007</v>
      </c>
      <c r="I41" s="270" t="s">
        <v>122</v>
      </c>
      <c r="J41" s="285"/>
      <c r="K41" s="283" t="n">
        <v>422529742</v>
      </c>
      <c r="L41" s="283"/>
      <c r="M41" s="266" t="n">
        <f aca="false">++K41</f>
        <v>422529742</v>
      </c>
      <c r="N41" s="266"/>
      <c r="O41" s="266"/>
      <c r="P41" s="266"/>
      <c r="S41" s="274" t="str">
        <f aca="false">IF(ISNUMBER(MATCH(G41&amp;"",FS_map!$D:$D,0)),G41&amp;"",IF(H41="","",H41&amp;""))</f>
        <v>11200000</v>
      </c>
    </row>
    <row r="42" customFormat="false" ht="16.5" hidden="false" customHeight="false" outlineLevel="0" collapsed="false">
      <c r="F42" s="267" t="s">
        <v>446</v>
      </c>
      <c r="G42" s="268" t="n">
        <v>10300850</v>
      </c>
      <c r="H42" s="279" t="n">
        <v>86104100</v>
      </c>
      <c r="I42" s="270" t="s">
        <v>128</v>
      </c>
      <c r="J42" s="285"/>
      <c r="K42" s="283" t="n">
        <f aca="false">++L40</f>
        <v>485029742</v>
      </c>
      <c r="L42" s="283"/>
      <c r="M42" s="266" t="n">
        <f aca="false">++K42</f>
        <v>485029742</v>
      </c>
      <c r="N42" s="266"/>
      <c r="O42" s="266"/>
      <c r="P42" s="266"/>
      <c r="S42" s="274" t="str">
        <f aca="false">IF(ISNUMBER(MATCH(G42&amp;"",FS_map!$D:$D,0)),G42&amp;"",IF(H42="","",H42&amp;""))</f>
        <v>10300850</v>
      </c>
    </row>
    <row r="43" customFormat="false" ht="16.5" hidden="false" customHeight="false" outlineLevel="0" collapsed="false">
      <c r="F43" s="267" t="s">
        <v>446</v>
      </c>
      <c r="G43" s="268" t="n">
        <v>11300850</v>
      </c>
      <c r="H43" s="279" t="n">
        <v>86111500</v>
      </c>
      <c r="I43" s="270" t="s">
        <v>130</v>
      </c>
      <c r="J43" s="285"/>
      <c r="K43" s="277"/>
      <c r="L43" s="283" t="n">
        <f aca="false">++K41</f>
        <v>422529742</v>
      </c>
      <c r="M43" s="266" t="n">
        <f aca="false">++-L43</f>
        <v>-422529742</v>
      </c>
      <c r="N43" s="266"/>
      <c r="O43" s="266"/>
      <c r="P43" s="266"/>
      <c r="S43" s="274" t="str">
        <f aca="false">IF(ISNUMBER(MATCH(G43&amp;"",FS_map!$D:$D,0)),G43&amp;"",IF(H43="","",H43&amp;""))</f>
        <v>11300850</v>
      </c>
    </row>
    <row r="44" customFormat="false" ht="16.5" hidden="false" customHeight="false" outlineLevel="0" collapsed="false">
      <c r="F44" s="267"/>
      <c r="G44" s="268"/>
      <c r="H44" s="279"/>
      <c r="I44" s="285"/>
      <c r="J44" s="285"/>
      <c r="K44" s="277"/>
      <c r="L44" s="277"/>
      <c r="M44" s="266"/>
      <c r="N44" s="266"/>
      <c r="O44" s="266"/>
      <c r="P44" s="266"/>
    </row>
    <row r="45" customFormat="false" ht="16.5" hidden="false" customHeight="false" outlineLevel="0" collapsed="false">
      <c r="C45" s="278" t="n">
        <v>8</v>
      </c>
      <c r="D45" s="278" t="s">
        <v>1416</v>
      </c>
      <c r="F45" s="267" t="s">
        <v>446</v>
      </c>
      <c r="G45" s="268" t="s">
        <v>739</v>
      </c>
      <c r="H45" s="279"/>
      <c r="I45" s="270" t="s">
        <v>191</v>
      </c>
      <c r="J45" s="285"/>
      <c r="K45" s="277"/>
      <c r="L45" s="283" t="n">
        <v>612260090</v>
      </c>
      <c r="M45" s="266"/>
      <c r="N45" s="266" t="n">
        <f aca="false">-L45</f>
        <v>-612260090</v>
      </c>
      <c r="O45" s="266"/>
      <c r="P45" s="266"/>
      <c r="S45" s="274" t="str">
        <f aca="false">IF(ISNUMBER(MATCH(G45&amp;"",FS_map!$D:$D,0)),G45&amp;"",IF(H45="","",H45&amp;""))</f>
        <v>42910000</v>
      </c>
    </row>
    <row r="46" customFormat="false" ht="16.5" hidden="false" customHeight="false" outlineLevel="0" collapsed="false">
      <c r="D46" s="278" t="s">
        <v>1417</v>
      </c>
      <c r="F46" s="267" t="s">
        <v>446</v>
      </c>
      <c r="G46" s="268" t="s">
        <v>661</v>
      </c>
      <c r="H46" s="279"/>
      <c r="I46" s="270" t="s">
        <v>183</v>
      </c>
      <c r="J46" s="285"/>
      <c r="K46" s="283" t="n">
        <f aca="false">L45</f>
        <v>612260090</v>
      </c>
      <c r="L46" s="277"/>
      <c r="M46" s="266"/>
      <c r="N46" s="266" t="n">
        <f aca="false">K46</f>
        <v>612260090</v>
      </c>
      <c r="O46" s="266"/>
      <c r="P46" s="266"/>
      <c r="S46" s="274" t="str">
        <f aca="false">IF(ISNUMBER(MATCH(G46&amp;"",FS_map!$D:$D,0)),G46&amp;"",IF(H46="","",H46&amp;""))</f>
        <v>40000012</v>
      </c>
    </row>
    <row r="47" customFormat="false" ht="16.5" hidden="false" customHeight="false" outlineLevel="0" collapsed="false">
      <c r="F47" s="267"/>
      <c r="G47" s="268"/>
      <c r="H47" s="279"/>
      <c r="I47" s="285"/>
      <c r="J47" s="285"/>
      <c r="K47" s="277"/>
      <c r="L47" s="277"/>
      <c r="M47" s="266"/>
      <c r="N47" s="266"/>
      <c r="O47" s="266"/>
      <c r="P47" s="266"/>
    </row>
    <row r="48" customFormat="false" ht="16.5" hidden="false" customHeight="false" outlineLevel="0" collapsed="false">
      <c r="F48" s="267"/>
      <c r="G48" s="268"/>
      <c r="H48" s="279"/>
      <c r="I48" s="285"/>
      <c r="J48" s="285"/>
      <c r="K48" s="277"/>
      <c r="L48" s="277"/>
      <c r="M48" s="266"/>
      <c r="N48" s="266"/>
      <c r="O48" s="266"/>
      <c r="P48" s="266"/>
    </row>
    <row r="49" customFormat="false" ht="16.5" hidden="false" customHeight="false" outlineLevel="0" collapsed="false">
      <c r="A49" s="287" t="s">
        <v>1418</v>
      </c>
      <c r="B49" s="287" t="n">
        <v>2026.02</v>
      </c>
      <c r="C49" s="287" t="n">
        <f aca="false">C45+1</f>
        <v>9</v>
      </c>
      <c r="D49" s="287" t="s">
        <v>1419</v>
      </c>
      <c r="F49" s="288" t="s">
        <v>791</v>
      </c>
      <c r="G49" s="289" t="n">
        <v>74250001</v>
      </c>
      <c r="H49" s="290" t="n">
        <v>86200400</v>
      </c>
      <c r="I49" s="291" t="s">
        <v>393</v>
      </c>
      <c r="J49" s="291"/>
      <c r="K49" s="292"/>
      <c r="L49" s="292" t="n">
        <v>0</v>
      </c>
      <c r="M49" s="293"/>
      <c r="N49" s="293"/>
      <c r="O49" s="293"/>
      <c r="P49" s="293" t="n">
        <f aca="false">++-L49</f>
        <v>-0</v>
      </c>
      <c r="S49" s="274" t="str">
        <f aca="false">IF(ISNUMBER(MATCH(G49&amp;"",FS_map!$D:$D,0)),G49&amp;"",IF(H49="","",H49&amp;""))</f>
        <v>74250001</v>
      </c>
    </row>
    <row r="50" customFormat="false" ht="16.5" hidden="false" customHeight="false" outlineLevel="0" collapsed="false">
      <c r="F50" s="288" t="s">
        <v>446</v>
      </c>
      <c r="G50" s="289" t="n">
        <v>26050000</v>
      </c>
      <c r="H50" s="290" t="n">
        <v>86260033</v>
      </c>
      <c r="I50" s="291"/>
      <c r="J50" s="291" t="s">
        <v>39</v>
      </c>
      <c r="K50" s="292" t="n">
        <f aca="false">++L49</f>
        <v>0</v>
      </c>
      <c r="M50" s="293"/>
      <c r="N50" s="293" t="n">
        <f aca="false">++K50</f>
        <v>0</v>
      </c>
      <c r="O50" s="293"/>
      <c r="P50" s="293"/>
      <c r="S50" s="274" t="str">
        <f aca="false">IF(ISNUMBER(MATCH(G50&amp;"",FS_map!$D:$D,0)),G50&amp;"",IF(H50="","",H50&amp;""))</f>
        <v>26050000</v>
      </c>
    </row>
    <row r="51" customFormat="false" ht="16.5" hidden="false" customHeight="false" outlineLevel="0" collapsed="false">
      <c r="F51" s="288"/>
      <c r="G51" s="289"/>
      <c r="H51" s="290"/>
      <c r="I51" s="291"/>
      <c r="J51" s="291"/>
      <c r="K51" s="292"/>
      <c r="L51" s="292"/>
      <c r="M51" s="293"/>
      <c r="N51" s="293"/>
      <c r="O51" s="293"/>
      <c r="P51" s="293"/>
    </row>
    <row r="52" customFormat="false" ht="16.5" hidden="false" customHeight="false" outlineLevel="0" collapsed="false">
      <c r="A52" s="287" t="s">
        <v>1418</v>
      </c>
      <c r="B52" s="287" t="n">
        <v>2026.02</v>
      </c>
      <c r="C52" s="287" t="n">
        <v>10</v>
      </c>
      <c r="D52" s="287" t="s">
        <v>1420</v>
      </c>
      <c r="F52" s="288" t="s">
        <v>791</v>
      </c>
      <c r="G52" s="289" t="n">
        <v>53000005</v>
      </c>
      <c r="H52" s="290" t="n">
        <v>86000800</v>
      </c>
      <c r="I52" s="291" t="s">
        <v>824</v>
      </c>
      <c r="J52" s="291"/>
      <c r="K52" s="292" t="n">
        <v>0</v>
      </c>
      <c r="L52" s="292"/>
      <c r="M52" s="293"/>
      <c r="N52" s="293"/>
      <c r="O52" s="293"/>
      <c r="P52" s="293" t="n">
        <f aca="false">++K52</f>
        <v>0</v>
      </c>
      <c r="Q52" s="287" t="s">
        <v>1421</v>
      </c>
      <c r="S52" s="274" t="str">
        <f aca="false">IF(ISNUMBER(MATCH(G52&amp;"",FS_map!$D:$D,0)),G52&amp;"",IF(H52="","",H52&amp;""))</f>
        <v>53000005</v>
      </c>
    </row>
    <row r="53" customFormat="false" ht="16.5" hidden="false" customHeight="false" outlineLevel="0" collapsed="false">
      <c r="D53" s="287" t="s">
        <v>1422</v>
      </c>
      <c r="F53" s="288" t="s">
        <v>446</v>
      </c>
      <c r="G53" s="289" t="n">
        <v>40100000</v>
      </c>
      <c r="H53" s="290" t="n">
        <v>86429100</v>
      </c>
      <c r="I53" s="291"/>
      <c r="J53" s="291" t="s">
        <v>178</v>
      </c>
      <c r="K53" s="292"/>
      <c r="L53" s="292" t="n">
        <f aca="false">++K52</f>
        <v>0</v>
      </c>
      <c r="M53" s="293"/>
      <c r="N53" s="293" t="n">
        <f aca="false">++-L53</f>
        <v>-0</v>
      </c>
      <c r="O53" s="293"/>
      <c r="P53" s="293"/>
      <c r="Q53" s="287" t="s">
        <v>1421</v>
      </c>
      <c r="S53" s="274" t="str">
        <f aca="false">IF(ISNUMBER(MATCH(G53&amp;"",FS_map!$D:$D,0)),G53&amp;"",IF(H53="","",H53&amp;""))</f>
        <v>40100000</v>
      </c>
    </row>
    <row r="54" customFormat="false" ht="16.5" hidden="false" customHeight="false" outlineLevel="0" collapsed="false">
      <c r="D54" s="287" t="s">
        <v>1423</v>
      </c>
      <c r="F54" s="288"/>
      <c r="G54" s="289"/>
      <c r="H54" s="290"/>
      <c r="I54" s="291"/>
      <c r="J54" s="291"/>
      <c r="K54" s="292"/>
      <c r="L54" s="292"/>
      <c r="M54" s="293"/>
      <c r="N54" s="293"/>
      <c r="O54" s="293"/>
      <c r="P54" s="293"/>
    </row>
    <row r="55" customFormat="false" ht="16.5" hidden="false" customHeight="false" outlineLevel="0" collapsed="false">
      <c r="F55" s="267"/>
      <c r="G55" s="268"/>
      <c r="H55" s="279"/>
      <c r="I55" s="285"/>
      <c r="J55" s="285"/>
      <c r="K55" s="277"/>
      <c r="L55" s="277"/>
      <c r="M55" s="266"/>
      <c r="N55" s="266"/>
      <c r="O55" s="266"/>
      <c r="P55" s="266"/>
    </row>
    <row r="56" customFormat="false" ht="16.5" hidden="false" customHeight="false" outlineLevel="0" collapsed="false">
      <c r="C56" s="278" t="n">
        <v>11</v>
      </c>
      <c r="D56" s="294" t="s">
        <v>1424</v>
      </c>
      <c r="F56" s="267" t="s">
        <v>446</v>
      </c>
      <c r="G56" s="268"/>
      <c r="H56" s="279"/>
      <c r="I56" s="285"/>
      <c r="J56" s="270" t="s">
        <v>43</v>
      </c>
      <c r="K56" s="277"/>
      <c r="L56" s="284" t="n">
        <v>9</v>
      </c>
      <c r="M56" s="266" t="n">
        <f aca="false">++-L56</f>
        <v>-9</v>
      </c>
      <c r="N56" s="266"/>
      <c r="O56" s="266"/>
      <c r="P56" s="266"/>
      <c r="T56" s="295" t="s">
        <v>1425</v>
      </c>
    </row>
    <row r="57" customFormat="false" ht="16.5" hidden="false" customHeight="false" outlineLevel="0" collapsed="false">
      <c r="F57" s="267" t="s">
        <v>446</v>
      </c>
      <c r="G57" s="268"/>
      <c r="H57" s="279"/>
      <c r="I57" s="270" t="s">
        <v>194</v>
      </c>
      <c r="J57" s="285"/>
      <c r="K57" s="284" t="n">
        <v>9</v>
      </c>
      <c r="L57" s="277"/>
      <c r="M57" s="266"/>
      <c r="N57" s="266" t="n">
        <f aca="false">++K57</f>
        <v>9</v>
      </c>
      <c r="O57" s="266"/>
      <c r="P57" s="266"/>
      <c r="T57" s="295" t="s">
        <v>1425</v>
      </c>
    </row>
    <row r="58" customFormat="false" ht="16.5" hidden="false" customHeight="false" outlineLevel="0" collapsed="false">
      <c r="F58" s="267"/>
      <c r="G58" s="268"/>
      <c r="H58" s="279"/>
      <c r="I58" s="285"/>
      <c r="J58" s="285"/>
      <c r="K58" s="277"/>
      <c r="L58" s="277"/>
      <c r="M58" s="266"/>
      <c r="N58" s="266"/>
      <c r="O58" s="266"/>
      <c r="P58" s="266"/>
    </row>
    <row r="59" customFormat="false" ht="16.5" hidden="false" customHeight="false" outlineLevel="0" collapsed="false">
      <c r="F59" s="267"/>
      <c r="G59" s="268"/>
      <c r="H59" s="279"/>
      <c r="I59" s="285"/>
      <c r="J59" s="285"/>
      <c r="K59" s="277"/>
      <c r="L59" s="277"/>
      <c r="M59" s="266"/>
      <c r="N59" s="266"/>
      <c r="O59" s="266"/>
      <c r="P59" s="266"/>
    </row>
    <row r="60" customFormat="false" ht="16.5" hidden="false" customHeight="false" outlineLevel="0" collapsed="false">
      <c r="C60" s="278" t="n">
        <v>12</v>
      </c>
      <c r="D60" s="278" t="s">
        <v>1426</v>
      </c>
      <c r="F60" s="267" t="s">
        <v>791</v>
      </c>
      <c r="G60" s="268"/>
      <c r="H60" s="279"/>
      <c r="I60" s="270" t="s">
        <v>386</v>
      </c>
      <c r="J60" s="285"/>
      <c r="K60" s="284" t="n">
        <v>0</v>
      </c>
      <c r="L60" s="277"/>
      <c r="M60" s="266"/>
      <c r="N60" s="266"/>
      <c r="O60" s="266"/>
      <c r="P60" s="266" t="n">
        <f aca="false">++K60</f>
        <v>0</v>
      </c>
    </row>
    <row r="61" customFormat="false" ht="16.5" hidden="false" customHeight="false" outlineLevel="0" collapsed="false">
      <c r="F61" s="267" t="s">
        <v>791</v>
      </c>
      <c r="G61" s="268"/>
      <c r="H61" s="279"/>
      <c r="I61" s="285"/>
      <c r="J61" s="270" t="s">
        <v>393</v>
      </c>
      <c r="K61" s="277"/>
      <c r="L61" s="284" t="n">
        <v>0</v>
      </c>
      <c r="M61" s="266"/>
      <c r="N61" s="266"/>
      <c r="O61" s="266"/>
      <c r="P61" s="266" t="n">
        <f aca="false">++-L61</f>
        <v>-0</v>
      </c>
      <c r="Q61" s="278" t="s">
        <v>1427</v>
      </c>
    </row>
    <row r="62" customFormat="false" ht="16.5" hidden="false" customHeight="false" outlineLevel="0" collapsed="false">
      <c r="F62" s="267"/>
      <c r="G62" s="268"/>
      <c r="H62" s="279"/>
      <c r="I62" s="285"/>
      <c r="J62" s="285"/>
      <c r="K62" s="277"/>
      <c r="L62" s="277"/>
      <c r="M62" s="266"/>
      <c r="N62" s="266"/>
      <c r="O62" s="266"/>
      <c r="P62" s="266"/>
    </row>
    <row r="63" customFormat="false" ht="16.5" hidden="false" customHeight="false" outlineLevel="0" collapsed="false">
      <c r="A63" s="287" t="s">
        <v>1418</v>
      </c>
      <c r="B63" s="287" t="n">
        <v>2026.02</v>
      </c>
      <c r="C63" s="287" t="n">
        <v>13</v>
      </c>
      <c r="D63" s="296" t="s">
        <v>1428</v>
      </c>
      <c r="F63" s="288" t="s">
        <v>446</v>
      </c>
      <c r="G63" s="289" t="n">
        <v>40100000</v>
      </c>
      <c r="H63" s="290" t="n">
        <v>86429100</v>
      </c>
      <c r="I63" s="291" t="s">
        <v>178</v>
      </c>
      <c r="J63" s="291"/>
      <c r="K63" s="292" t="n">
        <v>0</v>
      </c>
      <c r="L63" s="292"/>
      <c r="M63" s="293"/>
      <c r="N63" s="293" t="n">
        <f aca="false">++K63</f>
        <v>0</v>
      </c>
      <c r="O63" s="293"/>
      <c r="P63" s="293"/>
      <c r="S63" s="274" t="str">
        <f aca="false">IF(ISNUMBER(MATCH(G63&amp;"",FS_map!$D:$D,0)),G63&amp;"",IF(H63="","",H63&amp;""))</f>
        <v>40100000</v>
      </c>
    </row>
    <row r="64" customFormat="false" ht="16.5" hidden="false" customHeight="false" outlineLevel="0" collapsed="false">
      <c r="D64" s="287" t="s">
        <v>1429</v>
      </c>
      <c r="F64" s="288" t="s">
        <v>791</v>
      </c>
      <c r="G64" s="289" t="n">
        <v>74250001</v>
      </c>
      <c r="H64" s="290" t="n">
        <v>86200400</v>
      </c>
      <c r="I64" s="291"/>
      <c r="J64" s="291" t="s">
        <v>393</v>
      </c>
      <c r="K64" s="292"/>
      <c r="L64" s="292" t="n">
        <v>0</v>
      </c>
      <c r="M64" s="293"/>
      <c r="N64" s="293"/>
      <c r="O64" s="293"/>
      <c r="P64" s="293" t="n">
        <f aca="false">++-L64</f>
        <v>-0</v>
      </c>
      <c r="S64" s="274" t="str">
        <f aca="false">IF(ISNUMBER(MATCH(G64&amp;"",FS_map!$D:$D,0)),G64&amp;"",IF(H64="","",H64&amp;""))</f>
        <v>74250001</v>
      </c>
    </row>
    <row r="65" customFormat="false" ht="16.5" hidden="false" customHeight="false" outlineLevel="0" collapsed="false">
      <c r="D65" s="287" t="s">
        <v>1430</v>
      </c>
      <c r="F65" s="288" t="s">
        <v>791</v>
      </c>
      <c r="G65" s="289" t="n">
        <v>74250001</v>
      </c>
      <c r="H65" s="290" t="n">
        <v>86200400</v>
      </c>
      <c r="I65" s="291"/>
      <c r="J65" s="291" t="s">
        <v>393</v>
      </c>
      <c r="K65" s="292"/>
      <c r="L65" s="292" t="n">
        <v>0</v>
      </c>
      <c r="M65" s="293"/>
      <c r="N65" s="293"/>
      <c r="O65" s="293"/>
      <c r="P65" s="293" t="n">
        <f aca="false">++-L65</f>
        <v>-0</v>
      </c>
      <c r="S65" s="274" t="str">
        <f aca="false">IF(ISNUMBER(MATCH(G65&amp;"",FS_map!$D:$D,0)),G65&amp;"",IF(H65="","",H65&amp;""))</f>
        <v>74250001</v>
      </c>
    </row>
    <row r="66" customFormat="false" ht="16.5" hidden="false" customHeight="false" outlineLevel="0" collapsed="false">
      <c r="F66" s="267"/>
      <c r="G66" s="268"/>
      <c r="H66" s="279"/>
      <c r="I66" s="285"/>
      <c r="J66" s="285"/>
      <c r="K66" s="277"/>
      <c r="L66" s="277"/>
      <c r="M66" s="266"/>
      <c r="N66" s="266"/>
      <c r="O66" s="266"/>
      <c r="P66" s="266"/>
    </row>
    <row r="67" customFormat="false" ht="16.5" hidden="false" customHeight="false" outlineLevel="0" collapsed="false">
      <c r="F67" s="267"/>
      <c r="G67" s="268"/>
      <c r="H67" s="279"/>
      <c r="I67" s="285"/>
      <c r="J67" s="285"/>
      <c r="K67" s="277"/>
      <c r="L67" s="277"/>
      <c r="M67" s="266"/>
      <c r="N67" s="266"/>
      <c r="O67" s="266"/>
      <c r="P67" s="266"/>
    </row>
    <row r="68" customFormat="false" ht="16.5" hidden="false" customHeight="false" outlineLevel="0" collapsed="false">
      <c r="F68" s="267"/>
      <c r="G68" s="268"/>
      <c r="H68" s="279"/>
      <c r="I68" s="285"/>
      <c r="J68" s="285"/>
      <c r="K68" s="277"/>
      <c r="L68" s="277"/>
      <c r="M68" s="266"/>
      <c r="N68" s="266"/>
      <c r="O68" s="266"/>
      <c r="P68" s="266"/>
    </row>
    <row r="69" customFormat="false" ht="16.5" hidden="false" customHeight="false" outlineLevel="0" collapsed="false">
      <c r="A69" s="287" t="s">
        <v>1418</v>
      </c>
      <c r="B69" s="287" t="n">
        <v>2026.03</v>
      </c>
      <c r="C69" s="287" t="n">
        <v>14</v>
      </c>
      <c r="D69" s="296" t="s">
        <v>1431</v>
      </c>
      <c r="F69" s="288" t="s">
        <v>446</v>
      </c>
      <c r="G69" s="289"/>
      <c r="H69" s="290" t="n">
        <v>86291000</v>
      </c>
      <c r="I69" s="291" t="s">
        <v>1432</v>
      </c>
      <c r="J69" s="291"/>
      <c r="K69" s="292" t="n">
        <v>0</v>
      </c>
      <c r="L69" s="292"/>
      <c r="M69" s="293" t="n">
        <f aca="false">K69</f>
        <v>0</v>
      </c>
      <c r="N69" s="293"/>
      <c r="O69" s="293"/>
      <c r="P69" s="293"/>
      <c r="S69" s="274" t="str">
        <f aca="false">IF(ISNUMBER(MATCH(G69&amp;"",FS_map!$D:$D,0)),G69&amp;"",IF(H69="","",H69&amp;""))</f>
        <v>86291000</v>
      </c>
    </row>
    <row r="70" customFormat="false" ht="16.5" hidden="false" customHeight="false" outlineLevel="0" collapsed="false">
      <c r="F70" s="288" t="s">
        <v>446</v>
      </c>
      <c r="G70" s="289"/>
      <c r="H70" s="290" t="n">
        <v>86429307</v>
      </c>
      <c r="I70" s="291" t="s">
        <v>197</v>
      </c>
      <c r="J70" s="291"/>
      <c r="K70" s="292" t="n">
        <v>0</v>
      </c>
      <c r="L70" s="292"/>
      <c r="M70" s="293"/>
      <c r="N70" s="293" t="n">
        <f aca="false">K70</f>
        <v>0</v>
      </c>
      <c r="O70" s="293"/>
      <c r="P70" s="293"/>
      <c r="S70" s="274" t="str">
        <f aca="false">IF(ISNUMBER(MATCH(G70&amp;"",FS_map!$D:$D,0)),G70&amp;"",IF(H70="","",H70&amp;""))</f>
        <v>86429307</v>
      </c>
    </row>
    <row r="71" customFormat="false" ht="16.5" hidden="false" customHeight="false" outlineLevel="0" collapsed="false">
      <c r="F71" s="288" t="s">
        <v>446</v>
      </c>
      <c r="G71" s="289"/>
      <c r="H71" s="290" t="n">
        <v>86291502</v>
      </c>
      <c r="I71" s="291" t="s">
        <v>1433</v>
      </c>
      <c r="J71" s="291"/>
      <c r="K71" s="292"/>
      <c r="L71" s="292" t="n">
        <v>0</v>
      </c>
      <c r="M71" s="293" t="n">
        <f aca="false">-L71</f>
        <v>-0</v>
      </c>
      <c r="N71" s="293"/>
      <c r="O71" s="293"/>
      <c r="P71" s="293"/>
      <c r="S71" s="274" t="str">
        <f aca="false">IF(ISNUMBER(MATCH(G71&amp;"",FS_map!$D:$D,0)),G71&amp;"",IF(H71="","",H71&amp;""))</f>
        <v>86291502</v>
      </c>
    </row>
    <row r="72" customFormat="false" ht="16.5" hidden="false" customHeight="false" outlineLevel="0" collapsed="false">
      <c r="F72" s="288" t="s">
        <v>446</v>
      </c>
      <c r="G72" s="289"/>
      <c r="H72" s="290" t="n">
        <v>86266003</v>
      </c>
      <c r="I72" s="291" t="s">
        <v>162</v>
      </c>
      <c r="J72" s="291"/>
      <c r="K72" s="292"/>
      <c r="L72" s="292" t="n">
        <v>0</v>
      </c>
      <c r="M72" s="293" t="n">
        <f aca="false">-L72</f>
        <v>-0</v>
      </c>
      <c r="N72" s="293"/>
      <c r="O72" s="293"/>
      <c r="P72" s="293"/>
      <c r="S72" s="274" t="str">
        <f aca="false">IF(ISNUMBER(MATCH(G72&amp;"",FS_map!$D:$D,0)),G72&amp;"",IF(H72="","",H72&amp;""))</f>
        <v>86266003</v>
      </c>
    </row>
    <row r="73" customFormat="false" ht="16.5" hidden="false" customHeight="false" outlineLevel="0" collapsed="false">
      <c r="F73" s="288" t="s">
        <v>791</v>
      </c>
      <c r="G73" s="289"/>
      <c r="H73" s="290" t="n">
        <v>86000000</v>
      </c>
      <c r="I73" s="291" t="s">
        <v>428</v>
      </c>
      <c r="J73" s="291"/>
      <c r="K73" s="292"/>
      <c r="L73" s="292" t="n">
        <v>0</v>
      </c>
      <c r="M73" s="293"/>
      <c r="N73" s="293"/>
      <c r="O73" s="293"/>
      <c r="P73" s="293" t="n">
        <f aca="false">-L73</f>
        <v>-0</v>
      </c>
      <c r="S73" s="274" t="str">
        <f aca="false">IF(ISNUMBER(MATCH(G73&amp;"",FS_map!$D:$D,0)),G73&amp;"",IF(H73="","",H73&amp;""))</f>
        <v>86000000</v>
      </c>
    </row>
    <row r="74" s="196" customFormat="true" ht="16.5" hidden="false" customHeight="false" outlineLevel="0" collapsed="false">
      <c r="A74" s="172"/>
      <c r="B74" s="172"/>
      <c r="C74" s="172"/>
      <c r="D74" s="172"/>
      <c r="E74" s="172"/>
      <c r="F74" s="267"/>
      <c r="G74" s="268"/>
      <c r="H74" s="279"/>
      <c r="I74" s="270"/>
      <c r="J74" s="270"/>
      <c r="K74" s="277"/>
      <c r="L74" s="277"/>
      <c r="M74" s="266"/>
      <c r="N74" s="266"/>
      <c r="O74" s="266"/>
      <c r="P74" s="266"/>
      <c r="Q74" s="172"/>
      <c r="R74" s="172"/>
      <c r="S74" s="274"/>
      <c r="T74" s="172"/>
      <c r="U74" s="172"/>
      <c r="V74" s="172"/>
      <c r="W74" s="172"/>
    </row>
    <row r="75" s="196" customFormat="true" ht="16.5" hidden="false" customHeight="false" outlineLevel="0" collapsed="false">
      <c r="A75" s="172"/>
      <c r="B75" s="172"/>
      <c r="C75" s="297" t="n">
        <v>15</v>
      </c>
      <c r="D75" s="298" t="s">
        <v>1434</v>
      </c>
      <c r="E75" s="299"/>
      <c r="F75" s="300" t="s">
        <v>446</v>
      </c>
      <c r="G75" s="301"/>
      <c r="H75" s="302" t="n">
        <v>86429307</v>
      </c>
      <c r="I75" s="303" t="s">
        <v>197</v>
      </c>
      <c r="J75" s="303"/>
      <c r="K75" s="304" t="n">
        <f aca="false">1132939909+8</f>
        <v>1132939917</v>
      </c>
      <c r="L75" s="304"/>
      <c r="M75" s="305"/>
      <c r="N75" s="305"/>
      <c r="O75" s="305"/>
      <c r="P75" s="305"/>
      <c r="Q75" s="172"/>
      <c r="R75" s="172"/>
      <c r="S75" s="274" t="str">
        <f aca="false">IF(ISNUMBER(MATCH(G75&amp;"",FS_map!$D:$D,0)),G75&amp;"",IF(H75="","",H75&amp;""))</f>
        <v>86429307</v>
      </c>
      <c r="T75" s="172"/>
      <c r="U75" s="172"/>
      <c r="V75" s="172"/>
      <c r="W75" s="172"/>
    </row>
    <row r="76" s="196" customFormat="true" ht="16.5" hidden="false" customHeight="false" outlineLevel="0" collapsed="false">
      <c r="A76" s="172"/>
      <c r="B76" s="172"/>
      <c r="C76" s="299"/>
      <c r="D76" s="299"/>
      <c r="E76" s="299"/>
      <c r="F76" s="306" t="s">
        <v>446</v>
      </c>
      <c r="G76" s="301"/>
      <c r="H76" s="302" t="s">
        <v>627</v>
      </c>
      <c r="I76" s="303" t="s">
        <v>248</v>
      </c>
      <c r="J76" s="303"/>
      <c r="K76" s="304"/>
      <c r="L76" s="304" t="n">
        <f aca="false">1132939909+8</f>
        <v>1132939917</v>
      </c>
      <c r="M76" s="305"/>
      <c r="N76" s="305"/>
      <c r="O76" s="305"/>
      <c r="P76" s="305"/>
      <c r="Q76" s="172"/>
      <c r="R76" s="172"/>
      <c r="S76" s="274" t="str">
        <f aca="false">IF(ISNUMBER(MATCH(G76&amp;"",FS_map!$D:$D,0)),G76&amp;"",IF(H76="","",H76&amp;""))</f>
        <v>32200000</v>
      </c>
      <c r="T76" s="172"/>
      <c r="U76" s="172"/>
      <c r="V76" s="172"/>
      <c r="W76" s="172"/>
    </row>
    <row r="77" customFormat="false" ht="16.5" hidden="false" customHeight="false" outlineLevel="0" collapsed="false">
      <c r="F77" s="267"/>
      <c r="G77" s="268"/>
      <c r="H77" s="279"/>
      <c r="I77" s="285"/>
      <c r="J77" s="285"/>
      <c r="K77" s="277"/>
      <c r="L77" s="277"/>
      <c r="M77" s="266"/>
      <c r="N77" s="266"/>
      <c r="O77" s="266"/>
      <c r="P77" s="266"/>
    </row>
    <row r="78" customFormat="false" ht="16.5" hidden="false" customHeight="false" outlineLevel="0" collapsed="false">
      <c r="D78" s="278"/>
      <c r="E78" s="307"/>
      <c r="F78" s="307"/>
      <c r="G78" s="308" t="s">
        <v>1435</v>
      </c>
      <c r="H78" s="307"/>
      <c r="I78" s="309"/>
      <c r="J78" s="309"/>
      <c r="K78" s="309" t="n">
        <f aca="false">SUM(K7:K77)</f>
        <v>36539768570</v>
      </c>
      <c r="L78" s="309" t="n">
        <f aca="false">SUM(L7:L77)</f>
        <v>36539768570</v>
      </c>
      <c r="M78" s="309" t="n">
        <f aca="false">SUM(M7:M77)</f>
        <v>-12415810133</v>
      </c>
      <c r="N78" s="309" t="n">
        <f aca="false">SUM(N7:N77)</f>
        <v>12415810133</v>
      </c>
      <c r="O78" s="309" t="n">
        <f aca="false">SUM(O7:O77)</f>
        <v>0</v>
      </c>
      <c r="P78" s="309" t="n">
        <f aca="false">SUM(P7:P77)</f>
        <v>0</v>
      </c>
      <c r="Q78" s="310" t="n">
        <f aca="false">++M78+N78+O78+P78</f>
        <v>0</v>
      </c>
      <c r="V78" s="311"/>
    </row>
    <row r="79" customFormat="false" ht="16.5" hidden="false" customHeight="false" outlineLevel="0" collapsed="false">
      <c r="G79" s="312"/>
    </row>
    <row r="80" customFormat="false" ht="16.5" hidden="false" customHeight="false" outlineLevel="0" collapsed="false">
      <c r="G80" s="312"/>
    </row>
    <row r="81" customFormat="false" ht="16.5" hidden="false" customHeight="false" outlineLevel="0" collapsed="false">
      <c r="G81" s="312"/>
    </row>
    <row r="82" customFormat="false" ht="16.5" hidden="false" customHeight="false" outlineLevel="0" collapsed="false">
      <c r="G82" s="3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AR464"/>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9" ySplit="5" topLeftCell="J334" activePane="bottomRight" state="frozen"/>
      <selection pane="topLeft" activeCell="A1" activeCellId="0" sqref="A1"/>
      <selection pane="topRight" activeCell="J1" activeCellId="0" sqref="J1"/>
      <selection pane="bottomLeft" activeCell="A334" activeCellId="0" sqref="A334"/>
      <selection pane="bottomRight" activeCell="Q418" activeCellId="0" sqref="Q418"/>
    </sheetView>
  </sheetViews>
  <sheetFormatPr defaultColWidth="8.5" defaultRowHeight="16.5" zeroHeight="false" outlineLevelRow="0" outlineLevelCol="0"/>
  <cols>
    <col collapsed="false" customWidth="true" hidden="false" outlineLevel="0" max="1" min="1" style="172" width="8.76"/>
    <col collapsed="false" customWidth="true" hidden="false" outlineLevel="0" max="2" min="2" style="172" width="9.13"/>
    <col collapsed="false" customWidth="true" hidden="false" outlineLevel="0" max="3" min="3" style="172" width="31.25"/>
    <col collapsed="false" customWidth="true" hidden="false" outlineLevel="0" max="4" min="4" style="172" width="26.87"/>
    <col collapsed="false" customWidth="true" hidden="false" outlineLevel="0" max="5" min="5" style="172" width="18.13"/>
    <col collapsed="false" customWidth="true" hidden="false" outlineLevel="0" max="6" min="6" style="172" width="23.5"/>
    <col collapsed="false" customWidth="true" hidden="false" outlineLevel="0" max="8" min="8" style="172" width="8.88"/>
    <col collapsed="false" customWidth="true" hidden="false" outlineLevel="0" max="9" min="9" style="172" width="8"/>
    <col collapsed="false" customWidth="true" hidden="false" outlineLevel="0" max="10" min="10" style="172" width="7.5"/>
    <col collapsed="false" customWidth="true" hidden="false" outlineLevel="0" max="11" min="11" style="172" width="41.13"/>
    <col collapsed="false" customWidth="true" hidden="false" outlineLevel="0" max="12" min="12" style="172" width="13.13"/>
    <col collapsed="false" customWidth="true" hidden="false" outlineLevel="0" max="13" min="13" style="172" width="21.13"/>
    <col collapsed="false" customWidth="true" hidden="false" outlineLevel="0" max="14" min="14" style="172" width="14.37"/>
    <col collapsed="false" customWidth="true" hidden="false" outlineLevel="0" max="15" min="15" style="172" width="21.13"/>
    <col collapsed="false" customWidth="true" hidden="false" outlineLevel="0" max="17" min="17" style="172" width="17.13"/>
    <col collapsed="false" customWidth="true" hidden="true" outlineLevel="0" max="18" min="18" style="172" width="17.13"/>
    <col collapsed="false" customWidth="true" hidden="false" outlineLevel="0" max="26" min="26" style="172" width="17.13"/>
    <col collapsed="false" customWidth="true" hidden="true" outlineLevel="0" max="27" min="27" style="172" width="17.13"/>
    <col collapsed="false" customWidth="true" hidden="false" outlineLevel="0" max="31" min="31" style="172" width="16.5"/>
    <col collapsed="false" customWidth="true" hidden="false" outlineLevel="0" max="32" min="32" style="172" width="15.63"/>
    <col collapsed="false" customWidth="true" hidden="false" outlineLevel="0" max="33" min="33" style="172" width="16.5"/>
    <col collapsed="false" customWidth="true" hidden="false" outlineLevel="0" max="34" min="34" style="172" width="15.5"/>
    <col collapsed="false" customWidth="true" hidden="false" outlineLevel="0" max="36" min="36" style="172" width="16.5"/>
    <col collapsed="false" customWidth="true" hidden="false" outlineLevel="0" max="37" min="37" style="172" width="15.5"/>
    <col collapsed="false" customWidth="true" hidden="false" outlineLevel="0" max="38" min="38" style="172" width="16.5"/>
    <col collapsed="false" customWidth="true" hidden="true" outlineLevel="0" max="40" min="40" style="172" width="15.26"/>
    <col collapsed="false" customWidth="true" hidden="true" outlineLevel="0" max="42" min="42" style="172" width="16.63"/>
    <col collapsed="false" customWidth="true" hidden="false" outlineLevel="0" max="43" min="43" style="172" width="20.25"/>
    <col collapsed="false" customWidth="true" hidden="false" outlineLevel="0" max="44" min="44" style="172" width="8.76"/>
  </cols>
  <sheetData>
    <row r="1" customFormat="false" ht="16.5" hidden="false" customHeight="false" outlineLevel="0" collapsed="false">
      <c r="L1" s="313" t="s">
        <v>1436</v>
      </c>
      <c r="M1" s="313" t="s">
        <v>1436</v>
      </c>
      <c r="N1" s="314" t="s">
        <v>1437</v>
      </c>
      <c r="O1" s="314" t="s">
        <v>1437</v>
      </c>
      <c r="P1" s="314" t="s">
        <v>1437</v>
      </c>
      <c r="Q1" s="315" t="s">
        <v>1438</v>
      </c>
      <c r="R1" s="315" t="s">
        <v>1439</v>
      </c>
      <c r="S1" s="315" t="s">
        <v>1440</v>
      </c>
      <c r="T1" s="315" t="s">
        <v>1441</v>
      </c>
      <c r="U1" s="315" t="s">
        <v>1442</v>
      </c>
      <c r="V1" s="315" t="s">
        <v>1443</v>
      </c>
      <c r="W1" s="315" t="s">
        <v>1444</v>
      </c>
      <c r="X1" s="315" t="s">
        <v>1445</v>
      </c>
      <c r="Y1" s="315" t="s">
        <v>1446</v>
      </c>
      <c r="Z1" s="315" t="s">
        <v>1447</v>
      </c>
      <c r="AA1" s="315"/>
      <c r="AB1" s="315"/>
      <c r="AC1" s="315"/>
      <c r="AD1" s="315"/>
      <c r="AE1" s="316" t="s">
        <v>1439</v>
      </c>
      <c r="AF1" s="316" t="s">
        <v>1440</v>
      </c>
      <c r="AG1" s="316" t="n">
        <v>2025.03</v>
      </c>
      <c r="AH1" s="316" t="n">
        <v>2025.04</v>
      </c>
      <c r="AI1" s="316" t="n">
        <v>2025.05</v>
      </c>
      <c r="AJ1" s="316" t="n">
        <v>2025.06</v>
      </c>
      <c r="AK1" s="316" t="n">
        <v>2025.07</v>
      </c>
      <c r="AL1" s="316" t="n">
        <v>2025.08</v>
      </c>
      <c r="AM1" s="316" t="n">
        <v>2025.09</v>
      </c>
      <c r="AN1" s="316" t="s">
        <v>1448</v>
      </c>
      <c r="AO1" s="316" t="s">
        <v>1449</v>
      </c>
      <c r="AP1" s="316" t="s">
        <v>1438</v>
      </c>
    </row>
    <row r="2" customFormat="false" ht="45" hidden="false" customHeight="true" outlineLevel="0" collapsed="false">
      <c r="A2" s="317" t="s">
        <v>1450</v>
      </c>
      <c r="B2" s="318" t="s">
        <v>1451</v>
      </c>
      <c r="C2" s="319" t="s">
        <v>1452</v>
      </c>
      <c r="D2" s="319" t="s">
        <v>1453</v>
      </c>
      <c r="E2" s="319" t="s">
        <v>1454</v>
      </c>
      <c r="F2" s="319" t="s">
        <v>434</v>
      </c>
      <c r="G2" s="319" t="s">
        <v>1455</v>
      </c>
      <c r="H2" s="318" t="s">
        <v>1456</v>
      </c>
      <c r="I2" s="318" t="s">
        <v>1457</v>
      </c>
      <c r="J2" s="318" t="s">
        <v>1458</v>
      </c>
      <c r="K2" s="318" t="s">
        <v>1459</v>
      </c>
      <c r="L2" s="320" t="s">
        <v>1460</v>
      </c>
      <c r="M2" s="320" t="s">
        <v>1461</v>
      </c>
      <c r="N2" s="321" t="s">
        <v>1462</v>
      </c>
      <c r="O2" s="321" t="s">
        <v>1463</v>
      </c>
      <c r="P2" s="321" t="s">
        <v>1463</v>
      </c>
      <c r="Q2" s="322" t="s">
        <v>1464</v>
      </c>
      <c r="R2" s="322" t="s">
        <v>1465</v>
      </c>
      <c r="S2" s="322" t="s">
        <v>1466</v>
      </c>
      <c r="T2" s="322" t="s">
        <v>1467</v>
      </c>
      <c r="U2" s="322" t="s">
        <v>1468</v>
      </c>
      <c r="V2" s="322" t="s">
        <v>1469</v>
      </c>
      <c r="W2" s="322" t="s">
        <v>1470</v>
      </c>
      <c r="X2" s="322" t="s">
        <v>1471</v>
      </c>
      <c r="Y2" s="322" t="s">
        <v>1472</v>
      </c>
      <c r="Z2" s="322" t="s">
        <v>1473</v>
      </c>
      <c r="AA2" s="322" t="s">
        <v>1473</v>
      </c>
      <c r="AB2" s="322" t="s">
        <v>1474</v>
      </c>
      <c r="AC2" s="322" t="s">
        <v>1475</v>
      </c>
      <c r="AD2" s="322" t="s">
        <v>1476</v>
      </c>
      <c r="AE2" s="323" t="s">
        <v>1477</v>
      </c>
      <c r="AF2" s="323" t="s">
        <v>1478</v>
      </c>
      <c r="AG2" s="323" t="s">
        <v>1479</v>
      </c>
      <c r="AH2" s="323" t="s">
        <v>1480</v>
      </c>
      <c r="AI2" s="323" t="s">
        <v>1481</v>
      </c>
      <c r="AJ2" s="323" t="s">
        <v>1482</v>
      </c>
      <c r="AK2" s="323" t="s">
        <v>1483</v>
      </c>
      <c r="AL2" s="323" t="s">
        <v>1484</v>
      </c>
      <c r="AM2" s="323" t="s">
        <v>1485</v>
      </c>
      <c r="AN2" s="323" t="s">
        <v>1486</v>
      </c>
      <c r="AO2" s="323" t="s">
        <v>1487</v>
      </c>
      <c r="AP2" s="323" t="s">
        <v>1488</v>
      </c>
    </row>
    <row r="3" customFormat="false" ht="16.5" hidden="false" customHeight="false" outlineLevel="0" collapsed="false">
      <c r="A3" s="317" t="s">
        <v>1489</v>
      </c>
      <c r="B3" s="317" t="s">
        <v>1489</v>
      </c>
      <c r="C3" s="317" t="s">
        <v>1489</v>
      </c>
      <c r="D3" s="317" t="s">
        <v>1489</v>
      </c>
      <c r="E3" s="317" t="s">
        <v>1489</v>
      </c>
      <c r="F3" s="317" t="s">
        <v>1489</v>
      </c>
      <c r="G3" s="317" t="s">
        <v>1489</v>
      </c>
      <c r="H3" s="317" t="s">
        <v>1489</v>
      </c>
      <c r="I3" s="317" t="s">
        <v>1489</v>
      </c>
      <c r="J3" s="317" t="s">
        <v>1489</v>
      </c>
      <c r="K3" s="317" t="s">
        <v>1489</v>
      </c>
      <c r="L3" s="317" t="s">
        <v>1489</v>
      </c>
      <c r="M3" s="317" t="s">
        <v>1489</v>
      </c>
      <c r="N3" s="317"/>
      <c r="O3" s="317"/>
      <c r="P3" s="317"/>
      <c r="Q3" s="317" t="s">
        <v>1489</v>
      </c>
      <c r="R3" s="317" t="s">
        <v>1489</v>
      </c>
      <c r="S3" s="317" t="s">
        <v>1489</v>
      </c>
      <c r="T3" s="317" t="s">
        <v>1489</v>
      </c>
      <c r="U3" s="317" t="s">
        <v>1489</v>
      </c>
      <c r="V3" s="317" t="s">
        <v>1489</v>
      </c>
      <c r="W3" s="317" t="s">
        <v>1489</v>
      </c>
      <c r="X3" s="317" t="s">
        <v>1489</v>
      </c>
      <c r="Y3" s="317" t="s">
        <v>1489</v>
      </c>
      <c r="Z3" s="317" t="s">
        <v>1489</v>
      </c>
      <c r="AA3" s="317" t="s">
        <v>1489</v>
      </c>
      <c r="AB3" s="317" t="s">
        <v>1489</v>
      </c>
      <c r="AC3" s="317" t="s">
        <v>1489</v>
      </c>
      <c r="AD3" s="317" t="s">
        <v>1489</v>
      </c>
      <c r="AE3" s="317" t="s">
        <v>1489</v>
      </c>
      <c r="AF3" s="317" t="s">
        <v>1489</v>
      </c>
      <c r="AG3" s="317" t="s">
        <v>1489</v>
      </c>
      <c r="AH3" s="317" t="s">
        <v>1489</v>
      </c>
      <c r="AI3" s="317" t="s">
        <v>1489</v>
      </c>
      <c r="AJ3" s="317" t="s">
        <v>1489</v>
      </c>
      <c r="AK3" s="317" t="s">
        <v>1489</v>
      </c>
      <c r="AL3" s="317" t="s">
        <v>1489</v>
      </c>
      <c r="AM3" s="317" t="s">
        <v>1489</v>
      </c>
      <c r="AN3" s="317" t="s">
        <v>1489</v>
      </c>
      <c r="AO3" s="317" t="s">
        <v>1489</v>
      </c>
      <c r="AP3" s="317" t="s">
        <v>1489</v>
      </c>
      <c r="AQ3" s="317" t="s">
        <v>1489</v>
      </c>
    </row>
    <row r="4" customFormat="false" ht="16.5" hidden="false" customHeight="false" outlineLevel="0" collapsed="false">
      <c r="A4" s="317" t="s">
        <v>446</v>
      </c>
      <c r="B4" s="314" t="n">
        <v>10100082</v>
      </c>
      <c r="C4" s="314" t="s">
        <v>1490</v>
      </c>
      <c r="D4" s="314" t="s">
        <v>1491</v>
      </c>
      <c r="E4" s="314" t="s">
        <v>1492</v>
      </c>
      <c r="F4" s="314" t="s">
        <v>1493</v>
      </c>
      <c r="G4" s="314" t="s">
        <v>1494</v>
      </c>
      <c r="H4" s="314" t="s">
        <v>1495</v>
      </c>
      <c r="I4" s="314" t="s">
        <v>1496</v>
      </c>
      <c r="K4" s="314" t="s">
        <v>1497</v>
      </c>
      <c r="L4" s="324" t="s">
        <v>447</v>
      </c>
      <c r="M4" s="324" t="s">
        <v>116</v>
      </c>
      <c r="N4" s="324" t="s">
        <v>447</v>
      </c>
      <c r="O4" s="324" t="s">
        <v>1498</v>
      </c>
      <c r="P4" s="324" t="s">
        <v>116</v>
      </c>
      <c r="Q4" s="325" t="n">
        <v>12060074810</v>
      </c>
      <c r="R4" s="325" t="n">
        <v>12060074810</v>
      </c>
      <c r="S4" s="325" t="n">
        <v>12060074810</v>
      </c>
      <c r="T4" s="325" t="n">
        <v>12060074810</v>
      </c>
      <c r="U4" s="325" t="n">
        <v>12060074810</v>
      </c>
      <c r="V4" s="325" t="n">
        <v>12060074810</v>
      </c>
      <c r="W4" s="325" t="n">
        <v>12060074810</v>
      </c>
      <c r="X4" s="325" t="n">
        <v>12060074810</v>
      </c>
      <c r="Y4" s="325" t="n">
        <v>12060074810</v>
      </c>
      <c r="Z4" s="325" t="n">
        <v>12060074810</v>
      </c>
      <c r="AA4" s="325"/>
      <c r="AB4" s="325"/>
      <c r="AC4" s="325"/>
      <c r="AD4" s="325"/>
      <c r="AE4" s="325" t="n">
        <f aca="false">R4</f>
        <v>12060074810</v>
      </c>
      <c r="AF4" s="325" t="n">
        <f aca="false">S4-R4</f>
        <v>0</v>
      </c>
      <c r="AG4" s="325" t="n">
        <f aca="false">T4-S4</f>
        <v>0</v>
      </c>
      <c r="AH4" s="325" t="n">
        <f aca="false">U4-T4</f>
        <v>0</v>
      </c>
      <c r="AI4" s="325" t="n">
        <f aca="false">V4-U4</f>
        <v>0</v>
      </c>
      <c r="AJ4" s="325" t="n">
        <f aca="false">W4-V4</f>
        <v>0</v>
      </c>
      <c r="AK4" s="325" t="n">
        <f aca="false">X4-W4</f>
        <v>0</v>
      </c>
      <c r="AL4" s="325" t="n">
        <f aca="false">Y4-X4</f>
        <v>0</v>
      </c>
      <c r="AM4" s="325" t="n">
        <f aca="false">Z4-Y4</f>
        <v>0</v>
      </c>
      <c r="AN4" s="325"/>
      <c r="AO4" s="325"/>
      <c r="AP4" s="325"/>
    </row>
    <row r="5" customFormat="false" ht="16.5" hidden="false" customHeight="false" outlineLevel="0" collapsed="false">
      <c r="A5" s="317" t="s">
        <v>446</v>
      </c>
      <c r="B5" s="314" t="n">
        <v>10100083</v>
      </c>
      <c r="C5" s="314" t="s">
        <v>1499</v>
      </c>
      <c r="D5" s="314" t="s">
        <v>1491</v>
      </c>
      <c r="E5" s="314" t="s">
        <v>1492</v>
      </c>
      <c r="F5" s="314" t="s">
        <v>1500</v>
      </c>
      <c r="G5" s="314" t="s">
        <v>1494</v>
      </c>
      <c r="H5" s="314" t="s">
        <v>1495</v>
      </c>
      <c r="I5" s="314" t="s">
        <v>1501</v>
      </c>
      <c r="K5" s="314" t="s">
        <v>1502</v>
      </c>
      <c r="L5" s="324" t="s">
        <v>447</v>
      </c>
      <c r="M5" s="324" t="s">
        <v>118</v>
      </c>
      <c r="N5" s="324" t="s">
        <v>447</v>
      </c>
      <c r="O5" s="324" t="s">
        <v>1498</v>
      </c>
      <c r="P5" s="324" t="s">
        <v>118</v>
      </c>
      <c r="Q5" s="325" t="n">
        <v>-10865717938</v>
      </c>
      <c r="R5" s="325" t="n">
        <v>-10974295836</v>
      </c>
      <c r="S5" s="325" t="n">
        <v>-11082873734</v>
      </c>
      <c r="T5" s="325" t="n">
        <v>-11191451632</v>
      </c>
      <c r="U5" s="325" t="n">
        <v>-11300029530</v>
      </c>
      <c r="V5" s="325" t="n">
        <v>-11408607428</v>
      </c>
      <c r="W5" s="325" t="n">
        <v>-11517185326</v>
      </c>
      <c r="X5" s="325" t="n">
        <v>-11625763224</v>
      </c>
      <c r="Y5" s="325" t="n">
        <v>-11720034754</v>
      </c>
      <c r="Z5" s="325" t="n">
        <v>-11842919020</v>
      </c>
      <c r="AA5" s="325"/>
      <c r="AB5" s="325"/>
      <c r="AC5" s="325"/>
      <c r="AD5" s="325"/>
      <c r="AE5" s="325" t="n">
        <f aca="false">R5</f>
        <v>-10974295836</v>
      </c>
      <c r="AF5" s="325" t="n">
        <f aca="false">S5-R5</f>
        <v>-108577898</v>
      </c>
      <c r="AG5" s="325" t="n">
        <f aca="false">T5-S5</f>
        <v>-108577898</v>
      </c>
      <c r="AH5" s="325" t="n">
        <f aca="false">U5-T5</f>
        <v>-108577898</v>
      </c>
      <c r="AI5" s="325" t="n">
        <f aca="false">V5-U5</f>
        <v>-108577898</v>
      </c>
      <c r="AJ5" s="325" t="n">
        <f aca="false">W5-V5</f>
        <v>-108577898</v>
      </c>
      <c r="AK5" s="325" t="n">
        <f aca="false">X5-W5</f>
        <v>-108577898</v>
      </c>
      <c r="AL5" s="325" t="n">
        <f aca="false">Y5-X5</f>
        <v>-94271530</v>
      </c>
      <c r="AM5" s="325" t="n">
        <f aca="false">Z5-Y5</f>
        <v>-122884266</v>
      </c>
      <c r="AN5" s="325"/>
      <c r="AO5" s="325"/>
      <c r="AP5" s="325"/>
      <c r="AR5" s="314" t="str">
        <f aca="false">IFERROR(VLOOKUP(M5,'BS_DEC 2026'!$D$12:$D$109,1,FALSE()),"(미존재)")</f>
        <v>감가상각누계액-구축물</v>
      </c>
    </row>
    <row r="6" customFormat="false" ht="16.5" hidden="false" customHeight="false" outlineLevel="0" collapsed="false">
      <c r="A6" s="317" t="s">
        <v>446</v>
      </c>
      <c r="B6" s="314" t="n">
        <v>10100850</v>
      </c>
      <c r="C6" s="314" t="s">
        <v>1503</v>
      </c>
      <c r="D6" s="314" t="s">
        <v>1491</v>
      </c>
      <c r="E6" s="314" t="s">
        <v>1492</v>
      </c>
      <c r="F6" s="314" t="s">
        <v>1504</v>
      </c>
      <c r="G6" s="314" t="s">
        <v>1494</v>
      </c>
      <c r="H6" s="314" t="s">
        <v>1495</v>
      </c>
      <c r="I6" s="314" t="s">
        <v>1505</v>
      </c>
      <c r="K6" s="314" t="s">
        <v>1231</v>
      </c>
      <c r="L6" s="324" t="s">
        <v>447</v>
      </c>
      <c r="M6" s="324" t="s">
        <v>116</v>
      </c>
      <c r="N6" s="324" t="s">
        <v>447</v>
      </c>
      <c r="O6" s="324" t="s">
        <v>1498</v>
      </c>
      <c r="P6" s="324" t="s">
        <v>116</v>
      </c>
      <c r="Q6" s="325" t="n">
        <v>239169200</v>
      </c>
      <c r="R6" s="325" t="n">
        <v>239169200</v>
      </c>
      <c r="S6" s="325" t="n">
        <v>239169200</v>
      </c>
      <c r="T6" s="325" t="n">
        <v>239169200</v>
      </c>
      <c r="U6" s="325" t="n">
        <v>239169200</v>
      </c>
      <c r="V6" s="325" t="n">
        <v>239169200</v>
      </c>
      <c r="W6" s="325" t="n">
        <v>239169200</v>
      </c>
      <c r="X6" s="325" t="n">
        <v>239169200</v>
      </c>
      <c r="Y6" s="325" t="n">
        <v>239169200</v>
      </c>
      <c r="Z6" s="325" t="n">
        <v>239169200</v>
      </c>
      <c r="AA6" s="325"/>
      <c r="AB6" s="325"/>
      <c r="AC6" s="325"/>
      <c r="AD6" s="325"/>
      <c r="AE6" s="325" t="n">
        <f aca="false">R6</f>
        <v>239169200</v>
      </c>
      <c r="AF6" s="325" t="n">
        <f aca="false">S6-R6</f>
        <v>0</v>
      </c>
      <c r="AG6" s="325" t="n">
        <f aca="false">T6-S6</f>
        <v>0</v>
      </c>
      <c r="AH6" s="325" t="n">
        <f aca="false">U6-T6</f>
        <v>0</v>
      </c>
      <c r="AI6" s="325" t="n">
        <f aca="false">V6-U6</f>
        <v>0</v>
      </c>
      <c r="AJ6" s="325" t="n">
        <f aca="false">W6-V6</f>
        <v>0</v>
      </c>
      <c r="AK6" s="325" t="n">
        <f aca="false">X6-W6</f>
        <v>0</v>
      </c>
      <c r="AL6" s="325" t="n">
        <f aca="false">Y6-X6</f>
        <v>0</v>
      </c>
      <c r="AM6" s="325" t="n">
        <f aca="false">Z6-Y6</f>
        <v>0</v>
      </c>
      <c r="AN6" s="325"/>
      <c r="AO6" s="325"/>
      <c r="AP6" s="325"/>
      <c r="AR6" s="314" t="str">
        <f aca="false">IFERROR(VLOOKUP(M6,'BS_DEC 2026'!$D$12:$D$109,1,FALSE()),"(미존재)")</f>
        <v>구축물</v>
      </c>
    </row>
    <row r="7" customFormat="false" ht="16.5" hidden="false" customHeight="false" outlineLevel="0" collapsed="false">
      <c r="A7" s="317" t="s">
        <v>446</v>
      </c>
      <c r="B7" s="314" t="n">
        <v>10150000</v>
      </c>
      <c r="C7" s="314" t="s">
        <v>1506</v>
      </c>
      <c r="D7" s="314" t="s">
        <v>1491</v>
      </c>
      <c r="E7" s="314" t="s">
        <v>1492</v>
      </c>
      <c r="F7" s="314" t="s">
        <v>1504</v>
      </c>
      <c r="G7" s="314" t="s">
        <v>1494</v>
      </c>
      <c r="H7" s="314" t="s">
        <v>1495</v>
      </c>
      <c r="I7" s="314" t="s">
        <v>1505</v>
      </c>
      <c r="K7" s="314" t="s">
        <v>1231</v>
      </c>
      <c r="L7" s="324" t="s">
        <v>447</v>
      </c>
      <c r="M7" s="324" t="s">
        <v>116</v>
      </c>
      <c r="N7" s="324" t="s">
        <v>447</v>
      </c>
      <c r="O7" s="324" t="s">
        <v>1498</v>
      </c>
      <c r="P7" s="324" t="s">
        <v>116</v>
      </c>
      <c r="Q7" s="325" t="n">
        <v>1304901001</v>
      </c>
      <c r="R7" s="325" t="n">
        <v>1304901001</v>
      </c>
      <c r="S7" s="325" t="n">
        <v>1304901001</v>
      </c>
      <c r="T7" s="325" t="n">
        <v>1304901001</v>
      </c>
      <c r="U7" s="325" t="n">
        <v>1304901001</v>
      </c>
      <c r="V7" s="325" t="n">
        <v>1304901001</v>
      </c>
      <c r="W7" s="325" t="n">
        <v>1304901001</v>
      </c>
      <c r="X7" s="325" t="n">
        <v>1304901001</v>
      </c>
      <c r="Y7" s="325" t="n">
        <v>1304901001</v>
      </c>
      <c r="Z7" s="325" t="n">
        <v>1304901001</v>
      </c>
      <c r="AA7" s="325"/>
      <c r="AB7" s="325"/>
      <c r="AC7" s="325"/>
      <c r="AD7" s="325"/>
      <c r="AE7" s="325" t="n">
        <f aca="false">R7</f>
        <v>1304901001</v>
      </c>
      <c r="AF7" s="325" t="n">
        <f aca="false">S7-R7</f>
        <v>0</v>
      </c>
      <c r="AG7" s="325" t="n">
        <f aca="false">T7-S7</f>
        <v>0</v>
      </c>
      <c r="AH7" s="325" t="n">
        <f aca="false">U7-T7</f>
        <v>0</v>
      </c>
      <c r="AI7" s="325" t="n">
        <f aca="false">V7-U7</f>
        <v>0</v>
      </c>
      <c r="AJ7" s="325" t="n">
        <f aca="false">W7-V7</f>
        <v>0</v>
      </c>
      <c r="AK7" s="325" t="n">
        <f aca="false">X7-W7</f>
        <v>0</v>
      </c>
      <c r="AL7" s="325" t="n">
        <f aca="false">Y7-X7</f>
        <v>0</v>
      </c>
      <c r="AM7" s="325" t="n">
        <f aca="false">Z7-Y7</f>
        <v>0</v>
      </c>
      <c r="AN7" s="325"/>
      <c r="AO7" s="325"/>
      <c r="AP7" s="325"/>
      <c r="AR7" s="314" t="str">
        <f aca="false">IFERROR(VLOOKUP(M7,'BS_DEC 2026'!$D$12:$D$109,1,FALSE()),"(미존재)")</f>
        <v>구축물</v>
      </c>
    </row>
    <row r="8" customFormat="false" ht="16.5" hidden="false" customHeight="false" outlineLevel="0" collapsed="false">
      <c r="A8" s="317" t="s">
        <v>446</v>
      </c>
      <c r="B8" s="314" t="n">
        <v>10200000</v>
      </c>
      <c r="C8" s="314" t="s">
        <v>1507</v>
      </c>
      <c r="D8" s="314" t="s">
        <v>1491</v>
      </c>
      <c r="E8" s="314" t="s">
        <v>1492</v>
      </c>
      <c r="F8" s="314" t="s">
        <v>1508</v>
      </c>
      <c r="G8" s="314" t="s">
        <v>1494</v>
      </c>
      <c r="H8" s="314" t="s">
        <v>1495</v>
      </c>
      <c r="I8" s="314" t="s">
        <v>1509</v>
      </c>
      <c r="K8" s="314" t="s">
        <v>1510</v>
      </c>
      <c r="L8" s="324" t="s">
        <v>447</v>
      </c>
      <c r="M8" s="324" t="s">
        <v>120</v>
      </c>
      <c r="N8" s="324" t="s">
        <v>447</v>
      </c>
      <c r="O8" s="324" t="s">
        <v>1498</v>
      </c>
      <c r="P8" s="324" t="s">
        <v>120</v>
      </c>
      <c r="Q8" s="325" t="n">
        <v>1434004742</v>
      </c>
      <c r="R8" s="325" t="n">
        <v>1434004742</v>
      </c>
      <c r="S8" s="325" t="n">
        <v>1434004742</v>
      </c>
      <c r="T8" s="325" t="n">
        <v>1434004742</v>
      </c>
      <c r="U8" s="325" t="n">
        <v>1434004742</v>
      </c>
      <c r="V8" s="325" t="n">
        <v>1434004742</v>
      </c>
      <c r="W8" s="325" t="n">
        <v>1434004742</v>
      </c>
      <c r="X8" s="325" t="n">
        <v>1434004742</v>
      </c>
      <c r="Y8" s="325" t="n">
        <v>1434004742</v>
      </c>
      <c r="Z8" s="325" t="n">
        <v>1434004742</v>
      </c>
      <c r="AA8" s="325"/>
      <c r="AB8" s="325"/>
      <c r="AC8" s="325"/>
      <c r="AD8" s="325"/>
      <c r="AE8" s="325" t="n">
        <f aca="false">R8</f>
        <v>1434004742</v>
      </c>
      <c r="AF8" s="325" t="n">
        <f aca="false">S8-R8</f>
        <v>0</v>
      </c>
      <c r="AG8" s="325" t="n">
        <f aca="false">T8-S8</f>
        <v>0</v>
      </c>
      <c r="AH8" s="325" t="n">
        <f aca="false">U8-T8</f>
        <v>0</v>
      </c>
      <c r="AI8" s="325" t="n">
        <f aca="false">V8-U8</f>
        <v>0</v>
      </c>
      <c r="AJ8" s="325" t="n">
        <f aca="false">W8-V8</f>
        <v>0</v>
      </c>
      <c r="AK8" s="325" t="n">
        <f aca="false">X8-W8</f>
        <v>0</v>
      </c>
      <c r="AL8" s="325" t="n">
        <f aca="false">Y8-X8</f>
        <v>0</v>
      </c>
      <c r="AM8" s="325" t="n">
        <f aca="false">Z8-Y8</f>
        <v>0</v>
      </c>
      <c r="AN8" s="325"/>
      <c r="AO8" s="325"/>
      <c r="AP8" s="325"/>
      <c r="AR8" s="314" t="str">
        <f aca="false">IFERROR(VLOOKUP(M8,'BS_DEC 2026'!$D$12:$D$109,1,FALSE()),"(미존재)")</f>
        <v>기계장치</v>
      </c>
    </row>
    <row r="9" customFormat="false" ht="16.5" hidden="false" customHeight="false" outlineLevel="0" collapsed="false">
      <c r="A9" s="317" t="s">
        <v>446</v>
      </c>
      <c r="B9" s="314" t="n">
        <v>10200921</v>
      </c>
      <c r="C9" s="314" t="s">
        <v>1511</v>
      </c>
      <c r="D9" s="314" t="s">
        <v>1512</v>
      </c>
      <c r="E9" s="314" t="s">
        <v>1513</v>
      </c>
      <c r="F9" s="314" t="s">
        <v>1514</v>
      </c>
      <c r="G9" s="314" t="s">
        <v>1515</v>
      </c>
      <c r="H9" s="314" t="s">
        <v>1495</v>
      </c>
      <c r="I9" s="314" t="s">
        <v>1516</v>
      </c>
      <c r="K9" s="314" t="s">
        <v>1517</v>
      </c>
      <c r="L9" s="324" t="s">
        <v>447</v>
      </c>
      <c r="M9" s="324" t="s">
        <v>75</v>
      </c>
      <c r="N9" s="324" t="s">
        <v>447</v>
      </c>
      <c r="O9" s="324" t="s">
        <v>1518</v>
      </c>
      <c r="P9" s="324" t="s">
        <v>1519</v>
      </c>
      <c r="Q9" s="326" t="n">
        <v>0</v>
      </c>
      <c r="R9" s="325" t="n">
        <v>0</v>
      </c>
      <c r="S9" s="325" t="n">
        <v>0</v>
      </c>
      <c r="T9" s="325" t="n">
        <v>0</v>
      </c>
      <c r="U9" s="325" t="n">
        <v>0</v>
      </c>
      <c r="V9" s="325" t="n">
        <v>0</v>
      </c>
      <c r="W9" s="325" t="n">
        <v>0</v>
      </c>
      <c r="X9" s="325" t="n">
        <v>0</v>
      </c>
      <c r="Y9" s="325" t="n">
        <v>0</v>
      </c>
      <c r="Z9" s="325" t="n">
        <v>0</v>
      </c>
      <c r="AA9" s="325"/>
      <c r="AB9" s="325"/>
      <c r="AC9" s="325"/>
      <c r="AD9" s="325"/>
      <c r="AE9" s="325" t="n">
        <f aca="false">R9</f>
        <v>0</v>
      </c>
      <c r="AF9" s="325" t="n">
        <f aca="false">S9-R9</f>
        <v>0</v>
      </c>
      <c r="AG9" s="325" t="n">
        <f aca="false">T9-S9</f>
        <v>0</v>
      </c>
      <c r="AH9" s="325" t="n">
        <f aca="false">U9-T9</f>
        <v>0</v>
      </c>
      <c r="AI9" s="325" t="n">
        <f aca="false">V9-U9</f>
        <v>0</v>
      </c>
      <c r="AJ9" s="325" t="n">
        <f aca="false">W9-V9</f>
        <v>0</v>
      </c>
      <c r="AK9" s="325" t="n">
        <f aca="false">X9-W9</f>
        <v>0</v>
      </c>
      <c r="AL9" s="325" t="n">
        <f aca="false">Y9-X9</f>
        <v>0</v>
      </c>
      <c r="AM9" s="325" t="n">
        <f aca="false">Z9-Y9</f>
        <v>0</v>
      </c>
      <c r="AN9" s="325"/>
      <c r="AO9" s="325"/>
      <c r="AP9" s="325"/>
      <c r="AR9" s="314" t="str">
        <f aca="false">IFERROR(VLOOKUP(M9,'BS_DEC 2026'!$D$12:$D$109,1,FALSE()),"(미존재)")</f>
        <v>상품</v>
      </c>
    </row>
    <row r="10" customFormat="false" ht="16.5" hidden="false" customHeight="false" outlineLevel="0" collapsed="false">
      <c r="A10" s="317" t="s">
        <v>446</v>
      </c>
      <c r="B10" s="314" t="n">
        <v>10300000</v>
      </c>
      <c r="C10" s="314" t="s">
        <v>1520</v>
      </c>
      <c r="D10" s="314" t="s">
        <v>1491</v>
      </c>
      <c r="E10" s="314" t="s">
        <v>1492</v>
      </c>
      <c r="F10" s="314" t="s">
        <v>1521</v>
      </c>
      <c r="G10" s="314" t="s">
        <v>1494</v>
      </c>
      <c r="H10" s="314" t="s">
        <v>1495</v>
      </c>
      <c r="I10" s="314" t="s">
        <v>1522</v>
      </c>
      <c r="K10" s="314" t="s">
        <v>1523</v>
      </c>
      <c r="L10" s="324" t="s">
        <v>447</v>
      </c>
      <c r="M10" s="324" t="s">
        <v>132</v>
      </c>
      <c r="N10" s="324" t="s">
        <v>447</v>
      </c>
      <c r="O10" s="324" t="s">
        <v>1498</v>
      </c>
      <c r="P10" s="324" t="s">
        <v>132</v>
      </c>
      <c r="Q10" s="325" t="n">
        <v>350199634</v>
      </c>
      <c r="R10" s="325" t="n">
        <v>350199634</v>
      </c>
      <c r="S10" s="325" t="n">
        <v>350199634</v>
      </c>
      <c r="T10" s="325" t="n">
        <v>350199634</v>
      </c>
      <c r="U10" s="325" t="n">
        <v>350199634</v>
      </c>
      <c r="V10" s="325" t="n">
        <v>350199634</v>
      </c>
      <c r="W10" s="325" t="n">
        <v>350199634</v>
      </c>
      <c r="X10" s="325" t="n">
        <v>350199634</v>
      </c>
      <c r="Y10" s="325" t="n">
        <v>350199634</v>
      </c>
      <c r="Z10" s="325" t="n">
        <v>350199634</v>
      </c>
      <c r="AA10" s="325"/>
      <c r="AB10" s="325"/>
      <c r="AC10" s="325"/>
      <c r="AD10" s="325"/>
      <c r="AE10" s="325" t="n">
        <f aca="false">R10</f>
        <v>350199634</v>
      </c>
      <c r="AF10" s="325" t="n">
        <f aca="false">S10-R10</f>
        <v>0</v>
      </c>
      <c r="AG10" s="325" t="n">
        <f aca="false">T10-S10</f>
        <v>0</v>
      </c>
      <c r="AH10" s="325" t="n">
        <f aca="false">U10-T10</f>
        <v>0</v>
      </c>
      <c r="AI10" s="325" t="n">
        <f aca="false">V10-U10</f>
        <v>0</v>
      </c>
      <c r="AJ10" s="325" t="n">
        <f aca="false">W10-V10</f>
        <v>0</v>
      </c>
      <c r="AK10" s="325" t="n">
        <f aca="false">X10-W10</f>
        <v>0</v>
      </c>
      <c r="AL10" s="325" t="n">
        <f aca="false">Y10-X10</f>
        <v>0</v>
      </c>
      <c r="AM10" s="325" t="n">
        <f aca="false">Z10-Y10</f>
        <v>0</v>
      </c>
      <c r="AN10" s="325"/>
      <c r="AO10" s="325"/>
      <c r="AP10" s="325"/>
      <c r="AR10" s="314" t="str">
        <f aca="false">IFERROR(VLOOKUP(M10,'BS_DEC 2026'!$D$12:$D$109,1,FALSE()),"(미존재)")</f>
        <v>집기비품</v>
      </c>
    </row>
    <row r="11" customFormat="false" ht="16.5" hidden="false" customHeight="false" outlineLevel="0" collapsed="false">
      <c r="A11" s="317" t="s">
        <v>446</v>
      </c>
      <c r="B11" s="314" t="n">
        <v>10300850</v>
      </c>
      <c r="C11" s="314" t="s">
        <v>1524</v>
      </c>
      <c r="D11" s="314" t="s">
        <v>1491</v>
      </c>
      <c r="E11" s="314" t="s">
        <v>1492</v>
      </c>
      <c r="F11" s="314" t="s">
        <v>1521</v>
      </c>
      <c r="G11" s="314" t="s">
        <v>1494</v>
      </c>
      <c r="H11" s="314" t="s">
        <v>1495</v>
      </c>
      <c r="I11" s="314" t="s">
        <v>1522</v>
      </c>
      <c r="K11" s="314" t="s">
        <v>1523</v>
      </c>
      <c r="L11" s="324" t="s">
        <v>447</v>
      </c>
      <c r="M11" s="324" t="s">
        <v>128</v>
      </c>
      <c r="N11" s="324" t="s">
        <v>447</v>
      </c>
      <c r="O11" s="324" t="s">
        <v>1498</v>
      </c>
      <c r="P11" s="324" t="s">
        <v>128</v>
      </c>
      <c r="Q11" s="325" t="n">
        <v>42938000</v>
      </c>
      <c r="R11" s="325" t="n">
        <v>42938000</v>
      </c>
      <c r="S11" s="325" t="n">
        <v>42938000</v>
      </c>
      <c r="T11" s="325" t="n">
        <v>42938000</v>
      </c>
      <c r="U11" s="325" t="n">
        <v>42938000</v>
      </c>
      <c r="V11" s="325" t="n">
        <v>42938000</v>
      </c>
      <c r="W11" s="325" t="n">
        <v>42938000</v>
      </c>
      <c r="X11" s="325" t="n">
        <v>42938000</v>
      </c>
      <c r="Y11" s="325" t="n">
        <v>42938000</v>
      </c>
      <c r="Z11" s="325" t="n">
        <v>42938000</v>
      </c>
      <c r="AA11" s="325"/>
      <c r="AB11" s="325"/>
      <c r="AC11" s="325"/>
      <c r="AD11" s="325"/>
      <c r="AE11" s="325" t="n">
        <f aca="false">R11</f>
        <v>42938000</v>
      </c>
      <c r="AF11" s="325" t="n">
        <f aca="false">S11-R11</f>
        <v>0</v>
      </c>
      <c r="AG11" s="325" t="n">
        <f aca="false">T11-S11</f>
        <v>0</v>
      </c>
      <c r="AH11" s="325" t="n">
        <f aca="false">U11-T11</f>
        <v>0</v>
      </c>
      <c r="AI11" s="325" t="n">
        <f aca="false">V11-U11</f>
        <v>0</v>
      </c>
      <c r="AJ11" s="325" t="n">
        <f aca="false">W11-V11</f>
        <v>0</v>
      </c>
      <c r="AK11" s="325" t="n">
        <f aca="false">X11-W11</f>
        <v>0</v>
      </c>
      <c r="AL11" s="325" t="n">
        <f aca="false">Y11-X11</f>
        <v>0</v>
      </c>
      <c r="AM11" s="325" t="n">
        <f aca="false">Z11-Y11</f>
        <v>0</v>
      </c>
      <c r="AN11" s="325"/>
      <c r="AO11" s="325"/>
      <c r="AP11" s="325"/>
      <c r="AR11" s="314" t="str">
        <f aca="false">IFERROR(VLOOKUP(M11,'BS_DEC 2026'!$D$12:$D$109,1,FALSE()),"(미존재)")</f>
        <v>공구와기구</v>
      </c>
    </row>
    <row r="12" customFormat="false" ht="16.5" hidden="false" customHeight="false" outlineLevel="0" collapsed="false">
      <c r="A12" s="317" t="s">
        <v>446</v>
      </c>
      <c r="B12" s="314" t="n">
        <v>10350000</v>
      </c>
      <c r="C12" s="314" t="s">
        <v>1525</v>
      </c>
      <c r="D12" s="314" t="s">
        <v>1491</v>
      </c>
      <c r="E12" s="314" t="s">
        <v>1492</v>
      </c>
      <c r="F12" s="314" t="s">
        <v>1521</v>
      </c>
      <c r="G12" s="314" t="s">
        <v>1494</v>
      </c>
      <c r="H12" s="314" t="s">
        <v>1495</v>
      </c>
      <c r="I12" s="314" t="s">
        <v>1522</v>
      </c>
      <c r="K12" s="314" t="s">
        <v>1523</v>
      </c>
      <c r="L12" s="324" t="s">
        <v>447</v>
      </c>
      <c r="M12" s="324" t="s">
        <v>132</v>
      </c>
      <c r="N12" s="324" t="s">
        <v>447</v>
      </c>
      <c r="O12" s="324" t="s">
        <v>1498</v>
      </c>
      <c r="P12" s="324" t="s">
        <v>132</v>
      </c>
      <c r="Q12" s="325" t="n">
        <v>1282738705</v>
      </c>
      <c r="R12" s="325" t="n">
        <v>1282738705</v>
      </c>
      <c r="S12" s="325" t="n">
        <v>1282738705</v>
      </c>
      <c r="T12" s="325" t="n">
        <v>1282738705</v>
      </c>
      <c r="U12" s="325" t="n">
        <v>1282738705</v>
      </c>
      <c r="V12" s="325" t="n">
        <v>1282738705</v>
      </c>
      <c r="W12" s="325" t="n">
        <v>1369225145</v>
      </c>
      <c r="X12" s="325" t="n">
        <v>1369225145</v>
      </c>
      <c r="Y12" s="325" t="n">
        <v>1369225145</v>
      </c>
      <c r="Z12" s="325" t="n">
        <v>1369225145</v>
      </c>
      <c r="AA12" s="325"/>
      <c r="AB12" s="325"/>
      <c r="AC12" s="325"/>
      <c r="AD12" s="325"/>
      <c r="AE12" s="325" t="n">
        <f aca="false">R12</f>
        <v>1282738705</v>
      </c>
      <c r="AF12" s="325" t="n">
        <f aca="false">S12-R12</f>
        <v>0</v>
      </c>
      <c r="AG12" s="325" t="n">
        <f aca="false">T12-S12</f>
        <v>0</v>
      </c>
      <c r="AH12" s="325" t="n">
        <f aca="false">U12-T12</f>
        <v>0</v>
      </c>
      <c r="AI12" s="325" t="n">
        <f aca="false">V12-U12</f>
        <v>0</v>
      </c>
      <c r="AJ12" s="325" t="n">
        <f aca="false">W12-V12</f>
        <v>86486440</v>
      </c>
      <c r="AK12" s="325" t="n">
        <f aca="false">X12-W12</f>
        <v>0</v>
      </c>
      <c r="AL12" s="325" t="n">
        <f aca="false">Y12-X12</f>
        <v>0</v>
      </c>
      <c r="AM12" s="325" t="n">
        <f aca="false">Z12-Y12</f>
        <v>0</v>
      </c>
      <c r="AN12" s="325"/>
      <c r="AO12" s="325"/>
      <c r="AP12" s="325"/>
      <c r="AR12" s="314" t="str">
        <f aca="false">IFERROR(VLOOKUP(M12,'BS_DEC 2026'!$D$12:$D$109,1,FALSE()),"(미존재)")</f>
        <v>집기비품</v>
      </c>
    </row>
    <row r="13" customFormat="false" ht="16.5" hidden="false" customHeight="false" outlineLevel="0" collapsed="false">
      <c r="A13" s="317" t="s">
        <v>446</v>
      </c>
      <c r="B13" s="314" t="n">
        <v>10350303</v>
      </c>
      <c r="C13" s="314" t="s">
        <v>1526</v>
      </c>
      <c r="D13" s="314" t="s">
        <v>1491</v>
      </c>
      <c r="E13" s="314" t="s">
        <v>1492</v>
      </c>
      <c r="F13" s="314" t="s">
        <v>1521</v>
      </c>
      <c r="G13" s="314" t="s">
        <v>1494</v>
      </c>
      <c r="H13" s="314" t="s">
        <v>1495</v>
      </c>
      <c r="I13" s="314" t="s">
        <v>1522</v>
      </c>
      <c r="K13" s="314" t="s">
        <v>1523</v>
      </c>
      <c r="L13" s="324" t="s">
        <v>447</v>
      </c>
      <c r="M13" s="324" t="s">
        <v>128</v>
      </c>
      <c r="N13" s="324" t="s">
        <v>447</v>
      </c>
      <c r="O13" s="324" t="s">
        <v>1498</v>
      </c>
      <c r="P13" s="324" t="s">
        <v>128</v>
      </c>
      <c r="Q13" s="325" t="n">
        <v>34046016</v>
      </c>
      <c r="R13" s="325" t="n">
        <v>34046016</v>
      </c>
      <c r="S13" s="325" t="n">
        <v>34046016</v>
      </c>
      <c r="T13" s="325" t="n">
        <v>34046016</v>
      </c>
      <c r="U13" s="325" t="n">
        <v>34046016</v>
      </c>
      <c r="V13" s="325" t="n">
        <v>34046016</v>
      </c>
      <c r="W13" s="325" t="n">
        <v>34046016</v>
      </c>
      <c r="X13" s="325" t="n">
        <v>34046016</v>
      </c>
      <c r="Y13" s="325" t="n">
        <v>34046016</v>
      </c>
      <c r="Z13" s="325" t="n">
        <v>34046016</v>
      </c>
      <c r="AA13" s="325"/>
      <c r="AB13" s="325"/>
      <c r="AC13" s="325"/>
      <c r="AD13" s="325"/>
      <c r="AE13" s="325" t="n">
        <f aca="false">R13</f>
        <v>34046016</v>
      </c>
      <c r="AF13" s="325" t="n">
        <f aca="false">S13-R13</f>
        <v>0</v>
      </c>
      <c r="AG13" s="325" t="n">
        <f aca="false">T13-S13</f>
        <v>0</v>
      </c>
      <c r="AH13" s="325" t="n">
        <f aca="false">U13-T13</f>
        <v>0</v>
      </c>
      <c r="AI13" s="325" t="n">
        <f aca="false">V13-U13</f>
        <v>0</v>
      </c>
      <c r="AJ13" s="325" t="n">
        <f aca="false">W13-V13</f>
        <v>0</v>
      </c>
      <c r="AK13" s="325" t="n">
        <f aca="false">X13-W13</f>
        <v>0</v>
      </c>
      <c r="AL13" s="325" t="n">
        <f aca="false">Y13-X13</f>
        <v>0</v>
      </c>
      <c r="AM13" s="325" t="n">
        <f aca="false">Z13-Y13</f>
        <v>0</v>
      </c>
      <c r="AN13" s="325"/>
      <c r="AO13" s="325"/>
      <c r="AP13" s="325"/>
      <c r="AR13" s="314" t="str">
        <f aca="false">IFERROR(VLOOKUP(M13,'BS_DEC 2026'!$D$12:$D$109,1,FALSE()),"(미존재)")</f>
        <v>공구와기구</v>
      </c>
    </row>
    <row r="14" customFormat="false" ht="16.5" hidden="false" customHeight="false" outlineLevel="0" collapsed="false">
      <c r="A14" s="317" t="s">
        <v>446</v>
      </c>
      <c r="B14" s="314" t="n">
        <v>10550400</v>
      </c>
      <c r="C14" s="314" t="s">
        <v>1527</v>
      </c>
      <c r="D14" s="314" t="s">
        <v>1491</v>
      </c>
      <c r="E14" s="314" t="s">
        <v>1528</v>
      </c>
      <c r="F14" s="314" t="s">
        <v>1529</v>
      </c>
      <c r="G14" s="314" t="s">
        <v>1494</v>
      </c>
      <c r="H14" s="314" t="s">
        <v>1495</v>
      </c>
      <c r="I14" s="314" t="s">
        <v>1530</v>
      </c>
      <c r="K14" s="314" t="s">
        <v>1531</v>
      </c>
      <c r="L14" s="324" t="s">
        <v>447</v>
      </c>
      <c r="M14" s="324" t="s">
        <v>139</v>
      </c>
      <c r="N14" s="324" t="s">
        <v>447</v>
      </c>
      <c r="O14" s="324" t="s">
        <v>1498</v>
      </c>
      <c r="P14" s="324" t="s">
        <v>139</v>
      </c>
      <c r="Q14" s="325" t="n">
        <v>0</v>
      </c>
      <c r="R14" s="325" t="n">
        <v>0</v>
      </c>
      <c r="S14" s="325" t="n">
        <v>0</v>
      </c>
      <c r="T14" s="325" t="n">
        <v>0</v>
      </c>
      <c r="U14" s="325" t="n">
        <v>6010900</v>
      </c>
      <c r="V14" s="325" t="n">
        <v>9990900</v>
      </c>
      <c r="W14" s="325" t="n">
        <v>15351876</v>
      </c>
      <c r="X14" s="325" t="n">
        <v>18512609</v>
      </c>
      <c r="Y14" s="325" t="n">
        <v>18512609</v>
      </c>
      <c r="Z14" s="325" t="n">
        <v>22468609</v>
      </c>
      <c r="AA14" s="325"/>
      <c r="AB14" s="325"/>
      <c r="AC14" s="325"/>
      <c r="AD14" s="325"/>
      <c r="AE14" s="325" t="n">
        <f aca="false">R14</f>
        <v>0</v>
      </c>
      <c r="AF14" s="325" t="n">
        <f aca="false">S14-R14</f>
        <v>0</v>
      </c>
      <c r="AG14" s="325" t="n">
        <f aca="false">T14-S14</f>
        <v>0</v>
      </c>
      <c r="AH14" s="325" t="n">
        <f aca="false">U14-T14</f>
        <v>6010900</v>
      </c>
      <c r="AI14" s="325" t="n">
        <f aca="false">V14-U14</f>
        <v>3980000</v>
      </c>
      <c r="AJ14" s="325" t="n">
        <f aca="false">W14-V14</f>
        <v>5360976</v>
      </c>
      <c r="AK14" s="325" t="n">
        <f aca="false">X14-W14</f>
        <v>3160733</v>
      </c>
      <c r="AL14" s="325" t="n">
        <f aca="false">Y14-X14</f>
        <v>0</v>
      </c>
      <c r="AM14" s="325" t="n">
        <f aca="false">Z14-Y14</f>
        <v>3956000</v>
      </c>
      <c r="AN14" s="325"/>
      <c r="AO14" s="325"/>
      <c r="AP14" s="325"/>
      <c r="AR14" s="314" t="str">
        <f aca="false">IFERROR(VLOOKUP(M14,'BS_DEC 2026'!$D$12:$D$109,1,FALSE()),"(미존재)")</f>
        <v>소프트웨어</v>
      </c>
    </row>
    <row r="15" customFormat="false" ht="16.5" hidden="false" customHeight="false" outlineLevel="0" collapsed="false">
      <c r="A15" s="317" t="s">
        <v>446</v>
      </c>
      <c r="B15" s="314" t="n">
        <v>10550900</v>
      </c>
      <c r="C15" s="314" t="s">
        <v>1532</v>
      </c>
      <c r="D15" s="314" t="s">
        <v>1491</v>
      </c>
      <c r="E15" s="314" t="s">
        <v>1492</v>
      </c>
      <c r="F15" s="314" t="s">
        <v>1533</v>
      </c>
      <c r="G15" s="314" t="s">
        <v>1494</v>
      </c>
      <c r="H15" s="314" t="s">
        <v>1495</v>
      </c>
      <c r="I15" s="314" t="s">
        <v>1534</v>
      </c>
      <c r="K15" s="314" t="s">
        <v>1535</v>
      </c>
      <c r="L15" s="324" t="s">
        <v>447</v>
      </c>
      <c r="M15" s="324" t="s">
        <v>169</v>
      </c>
      <c r="N15" s="324" t="s">
        <v>447</v>
      </c>
      <c r="O15" s="324" t="s">
        <v>1498</v>
      </c>
      <c r="P15" s="324" t="s">
        <v>169</v>
      </c>
      <c r="Q15" s="325" t="n">
        <v>8237836</v>
      </c>
      <c r="R15" s="325" t="n">
        <v>8237836</v>
      </c>
      <c r="S15" s="325" t="n">
        <v>8237836</v>
      </c>
      <c r="T15" s="325" t="n">
        <v>8237836</v>
      </c>
      <c r="U15" s="325" t="n">
        <v>29237836</v>
      </c>
      <c r="V15" s="325" t="n">
        <v>29237836</v>
      </c>
      <c r="W15" s="325" t="n">
        <v>30287836</v>
      </c>
      <c r="X15" s="325" t="n">
        <v>30287836</v>
      </c>
      <c r="Y15" s="325" t="n">
        <v>30287836</v>
      </c>
      <c r="Z15" s="325" t="n">
        <v>51562836</v>
      </c>
      <c r="AA15" s="325"/>
      <c r="AB15" s="325"/>
      <c r="AC15" s="325"/>
      <c r="AD15" s="325"/>
      <c r="AE15" s="325" t="n">
        <f aca="false">R15</f>
        <v>8237836</v>
      </c>
      <c r="AF15" s="325" t="n">
        <f aca="false">S15-R15</f>
        <v>0</v>
      </c>
      <c r="AG15" s="325" t="n">
        <f aca="false">T15-S15</f>
        <v>0</v>
      </c>
      <c r="AH15" s="325" t="n">
        <f aca="false">U15-T15</f>
        <v>21000000</v>
      </c>
      <c r="AI15" s="325" t="n">
        <f aca="false">V15-U15</f>
        <v>0</v>
      </c>
      <c r="AJ15" s="325" t="n">
        <f aca="false">W15-V15</f>
        <v>1050000</v>
      </c>
      <c r="AK15" s="325" t="n">
        <f aca="false">X15-W15</f>
        <v>0</v>
      </c>
      <c r="AL15" s="325" t="n">
        <f aca="false">Y15-X15</f>
        <v>0</v>
      </c>
      <c r="AM15" s="325" t="n">
        <f aca="false">Z15-Y15</f>
        <v>21275000</v>
      </c>
      <c r="AN15" s="325"/>
      <c r="AO15" s="325"/>
      <c r="AP15" s="325"/>
      <c r="AR15" s="314" t="str">
        <f aca="false">IFERROR(VLOOKUP(M15,'BS_DEC 2026'!$D$12:$D$109,1,FALSE()),"(미존재)")</f>
        <v>건설중인자산</v>
      </c>
    </row>
    <row r="16" customFormat="false" ht="16.5" hidden="false" customHeight="false" outlineLevel="0" collapsed="false">
      <c r="A16" s="317" t="s">
        <v>446</v>
      </c>
      <c r="B16" s="314" t="n">
        <v>11100850</v>
      </c>
      <c r="C16" s="314" t="s">
        <v>1536</v>
      </c>
      <c r="D16" s="314" t="s">
        <v>1491</v>
      </c>
      <c r="E16" s="314" t="s">
        <v>1492</v>
      </c>
      <c r="F16" s="314" t="s">
        <v>1500</v>
      </c>
      <c r="G16" s="314" t="s">
        <v>1494</v>
      </c>
      <c r="H16" s="314" t="s">
        <v>1495</v>
      </c>
      <c r="I16" s="314" t="s">
        <v>1537</v>
      </c>
      <c r="K16" s="314" t="s">
        <v>1538</v>
      </c>
      <c r="L16" s="324" t="s">
        <v>447</v>
      </c>
      <c r="M16" s="324" t="s">
        <v>118</v>
      </c>
      <c r="N16" s="324" t="s">
        <v>447</v>
      </c>
      <c r="O16" s="324" t="s">
        <v>1498</v>
      </c>
      <c r="P16" s="324" t="s">
        <v>118</v>
      </c>
      <c r="Q16" s="325" t="n">
        <v>-168102710</v>
      </c>
      <c r="R16" s="325" t="n">
        <v>-174563301</v>
      </c>
      <c r="S16" s="325" t="n">
        <v>-181023889</v>
      </c>
      <c r="T16" s="325" t="n">
        <v>-187484480</v>
      </c>
      <c r="U16" s="325" t="n">
        <v>-193945070</v>
      </c>
      <c r="V16" s="325" t="n">
        <v>-200405661</v>
      </c>
      <c r="W16" s="325" t="n">
        <v>-206866249</v>
      </c>
      <c r="X16" s="325" t="n">
        <v>-213326840</v>
      </c>
      <c r="Y16" s="325" t="n">
        <v>-219787430</v>
      </c>
      <c r="Z16" s="325" t="n">
        <v>-226248021</v>
      </c>
      <c r="AA16" s="325"/>
      <c r="AB16" s="325"/>
      <c r="AC16" s="325"/>
      <c r="AD16" s="325"/>
      <c r="AE16" s="325" t="n">
        <f aca="false">R16</f>
        <v>-174563301</v>
      </c>
      <c r="AF16" s="325" t="n">
        <f aca="false">S16-R16</f>
        <v>-6460588</v>
      </c>
      <c r="AG16" s="325" t="n">
        <f aca="false">T16-S16</f>
        <v>-6460591</v>
      </c>
      <c r="AH16" s="325" t="n">
        <f aca="false">U16-T16</f>
        <v>-6460590</v>
      </c>
      <c r="AI16" s="325" t="n">
        <f aca="false">V16-U16</f>
        <v>-6460591</v>
      </c>
      <c r="AJ16" s="325" t="n">
        <f aca="false">W16-V16</f>
        <v>-6460588</v>
      </c>
      <c r="AK16" s="325" t="n">
        <f aca="false">X16-W16</f>
        <v>-6460591</v>
      </c>
      <c r="AL16" s="325" t="n">
        <f aca="false">Y16-X16</f>
        <v>-6460590</v>
      </c>
      <c r="AM16" s="325" t="n">
        <f aca="false">Z16-Y16</f>
        <v>-6460591</v>
      </c>
      <c r="AN16" s="325"/>
      <c r="AO16" s="325"/>
      <c r="AP16" s="325"/>
      <c r="AR16" s="314" t="str">
        <f aca="false">IFERROR(VLOOKUP(M16,'BS_DEC 2026'!$D$12:$D$109,1,FALSE()),"(미존재)")</f>
        <v>감가상각누계액-구축물</v>
      </c>
    </row>
    <row r="17" customFormat="false" ht="16.5" hidden="false" customHeight="false" outlineLevel="0" collapsed="false">
      <c r="A17" s="317" t="s">
        <v>446</v>
      </c>
      <c r="B17" s="314" t="n">
        <v>11150000</v>
      </c>
      <c r="C17" s="314" t="s">
        <v>1539</v>
      </c>
      <c r="D17" s="314" t="s">
        <v>1491</v>
      </c>
      <c r="E17" s="314" t="s">
        <v>1492</v>
      </c>
      <c r="F17" s="314" t="s">
        <v>1504</v>
      </c>
      <c r="G17" s="314" t="s">
        <v>1494</v>
      </c>
      <c r="H17" s="314" t="s">
        <v>1495</v>
      </c>
      <c r="I17" s="314" t="s">
        <v>1537</v>
      </c>
      <c r="K17" s="314" t="s">
        <v>1538</v>
      </c>
      <c r="L17" s="324" t="s">
        <v>447</v>
      </c>
      <c r="M17" s="324" t="s">
        <v>118</v>
      </c>
      <c r="N17" s="324" t="s">
        <v>447</v>
      </c>
      <c r="O17" s="324" t="s">
        <v>1498</v>
      </c>
      <c r="P17" s="324" t="s">
        <v>118</v>
      </c>
      <c r="Q17" s="325" t="n">
        <v>-888439305</v>
      </c>
      <c r="R17" s="325" t="n">
        <v>-926299459</v>
      </c>
      <c r="S17" s="325" t="n">
        <v>-964159613</v>
      </c>
      <c r="T17" s="325" t="n">
        <v>-1002019768</v>
      </c>
      <c r="U17" s="325" t="n">
        <v>-1039879922</v>
      </c>
      <c r="V17" s="325" t="n">
        <v>-1077740076</v>
      </c>
      <c r="W17" s="325" t="n">
        <v>-1115600230</v>
      </c>
      <c r="X17" s="325" t="n">
        <v>-1153460384</v>
      </c>
      <c r="Y17" s="325" t="n">
        <v>-1191320538</v>
      </c>
      <c r="Z17" s="325" t="n">
        <v>-1229180693</v>
      </c>
      <c r="AA17" s="325"/>
      <c r="AB17" s="325"/>
      <c r="AC17" s="325"/>
      <c r="AD17" s="325"/>
      <c r="AE17" s="325" t="n">
        <f aca="false">R17</f>
        <v>-926299459</v>
      </c>
      <c r="AF17" s="325" t="n">
        <f aca="false">S17-R17</f>
        <v>-37860154</v>
      </c>
      <c r="AG17" s="325" t="n">
        <f aca="false">T17-S17</f>
        <v>-37860155</v>
      </c>
      <c r="AH17" s="325" t="n">
        <f aca="false">U17-T17</f>
        <v>-37860154</v>
      </c>
      <c r="AI17" s="325" t="n">
        <f aca="false">V17-U17</f>
        <v>-37860154</v>
      </c>
      <c r="AJ17" s="325" t="n">
        <f aca="false">W17-V17</f>
        <v>-37860154</v>
      </c>
      <c r="AK17" s="325" t="n">
        <f aca="false">X17-W17</f>
        <v>-37860154</v>
      </c>
      <c r="AL17" s="325" t="n">
        <f aca="false">Y17-X17</f>
        <v>-37860154</v>
      </c>
      <c r="AM17" s="325" t="n">
        <f aca="false">Z17-Y17</f>
        <v>-37860155</v>
      </c>
      <c r="AN17" s="325"/>
      <c r="AO17" s="325"/>
      <c r="AP17" s="325"/>
      <c r="AR17" s="314" t="str">
        <f aca="false">IFERROR(VLOOKUP(M17,'BS_DEC 2026'!$D$12:$D$109,1,FALSE()),"(미존재)")</f>
        <v>감가상각누계액-구축물</v>
      </c>
    </row>
    <row r="18" customFormat="false" ht="16.5" hidden="false" customHeight="false" outlineLevel="0" collapsed="false">
      <c r="A18" s="317" t="s">
        <v>446</v>
      </c>
      <c r="B18" s="314" t="n">
        <v>11200000</v>
      </c>
      <c r="C18" s="314" t="s">
        <v>1540</v>
      </c>
      <c r="D18" s="314" t="s">
        <v>1491</v>
      </c>
      <c r="E18" s="314" t="s">
        <v>1492</v>
      </c>
      <c r="F18" s="314" t="s">
        <v>1500</v>
      </c>
      <c r="G18" s="314" t="s">
        <v>1494</v>
      </c>
      <c r="H18" s="314" t="s">
        <v>1495</v>
      </c>
      <c r="I18" s="314" t="s">
        <v>1541</v>
      </c>
      <c r="K18" s="314" t="s">
        <v>1542</v>
      </c>
      <c r="L18" s="324" t="s">
        <v>447</v>
      </c>
      <c r="M18" s="324" t="s">
        <v>122</v>
      </c>
      <c r="N18" s="324" t="s">
        <v>447</v>
      </c>
      <c r="O18" s="324" t="s">
        <v>1498</v>
      </c>
      <c r="P18" s="324" t="s">
        <v>122</v>
      </c>
      <c r="Q18" s="325" t="n">
        <v>-902488418</v>
      </c>
      <c r="R18" s="325" t="n">
        <v>-916041844</v>
      </c>
      <c r="S18" s="325" t="n">
        <v>-929595269</v>
      </c>
      <c r="T18" s="325" t="n">
        <v>-943148695</v>
      </c>
      <c r="U18" s="325" t="n">
        <v>-956702120</v>
      </c>
      <c r="V18" s="325" t="n">
        <v>-970255544</v>
      </c>
      <c r="W18" s="325" t="n">
        <v>-983808971</v>
      </c>
      <c r="X18" s="325" t="n">
        <v>-997362397</v>
      </c>
      <c r="Y18" s="325" t="n">
        <v>-1009480543</v>
      </c>
      <c r="Z18" s="325" t="n">
        <v>-1021598692</v>
      </c>
      <c r="AA18" s="325"/>
      <c r="AB18" s="325"/>
      <c r="AC18" s="325"/>
      <c r="AD18" s="325"/>
      <c r="AE18" s="325" t="n">
        <f aca="false">R18</f>
        <v>-916041844</v>
      </c>
      <c r="AF18" s="325" t="n">
        <f aca="false">S18-R18</f>
        <v>-13553425</v>
      </c>
      <c r="AG18" s="325" t="n">
        <f aca="false">T18-S18</f>
        <v>-13553426</v>
      </c>
      <c r="AH18" s="325" t="n">
        <f aca="false">U18-T18</f>
        <v>-13553425</v>
      </c>
      <c r="AI18" s="325" t="n">
        <f aca="false">V18-U18</f>
        <v>-13553424</v>
      </c>
      <c r="AJ18" s="325" t="n">
        <f aca="false">W18-V18</f>
        <v>-13553427</v>
      </c>
      <c r="AK18" s="325" t="n">
        <f aca="false">X18-W18</f>
        <v>-13553426</v>
      </c>
      <c r="AL18" s="325" t="n">
        <f aca="false">Y18-X18</f>
        <v>-12118146</v>
      </c>
      <c r="AM18" s="325" t="n">
        <f aca="false">Z18-Y18</f>
        <v>-12118149</v>
      </c>
      <c r="AN18" s="325"/>
      <c r="AO18" s="325"/>
      <c r="AP18" s="325"/>
      <c r="AR18" s="314" t="str">
        <f aca="false">IFERROR(VLOOKUP(M18,'BS_DEC 2026'!$D$12:$D$109,1,FALSE()),"(미존재)")</f>
        <v>감가상각누계액-기계장치</v>
      </c>
    </row>
    <row r="19" customFormat="false" ht="16.5" hidden="false" customHeight="false" outlineLevel="0" collapsed="false">
      <c r="A19" s="317" t="s">
        <v>446</v>
      </c>
      <c r="B19" s="314" t="n">
        <v>11300000</v>
      </c>
      <c r="C19" s="314" t="s">
        <v>1543</v>
      </c>
      <c r="D19" s="314" t="s">
        <v>1491</v>
      </c>
      <c r="E19" s="314" t="s">
        <v>1492</v>
      </c>
      <c r="F19" s="314" t="s">
        <v>1500</v>
      </c>
      <c r="G19" s="314" t="s">
        <v>1494</v>
      </c>
      <c r="H19" s="314" t="s">
        <v>1495</v>
      </c>
      <c r="I19" s="314" t="s">
        <v>1544</v>
      </c>
      <c r="K19" s="314" t="s">
        <v>1545</v>
      </c>
      <c r="L19" s="324" t="s">
        <v>447</v>
      </c>
      <c r="M19" s="324" t="s">
        <v>134</v>
      </c>
      <c r="N19" s="324" t="s">
        <v>447</v>
      </c>
      <c r="O19" s="324" t="s">
        <v>1498</v>
      </c>
      <c r="P19" s="324" t="s">
        <v>134</v>
      </c>
      <c r="Q19" s="325" t="n">
        <v>-212428145</v>
      </c>
      <c r="R19" s="325" t="n">
        <v>-216781816</v>
      </c>
      <c r="S19" s="325" t="n">
        <v>-220704693</v>
      </c>
      <c r="T19" s="325" t="n">
        <v>-224627549</v>
      </c>
      <c r="U19" s="325" t="n">
        <v>-228550409</v>
      </c>
      <c r="V19" s="325" t="n">
        <v>-232473270</v>
      </c>
      <c r="W19" s="325" t="n">
        <v>-236396152</v>
      </c>
      <c r="X19" s="325" t="n">
        <v>-240319003</v>
      </c>
      <c r="Y19" s="325" t="n">
        <v>-244241871</v>
      </c>
      <c r="Z19" s="325" t="n">
        <v>-248164738</v>
      </c>
      <c r="AA19" s="325"/>
      <c r="AB19" s="325"/>
      <c r="AC19" s="325"/>
      <c r="AD19" s="325"/>
      <c r="AE19" s="325" t="n">
        <f aca="false">R19</f>
        <v>-216781816</v>
      </c>
      <c r="AF19" s="325" t="n">
        <f aca="false">S19-R19</f>
        <v>-3922877</v>
      </c>
      <c r="AG19" s="325" t="n">
        <f aca="false">T19-S19</f>
        <v>-3922856</v>
      </c>
      <c r="AH19" s="325" t="n">
        <f aca="false">U19-T19</f>
        <v>-3922860</v>
      </c>
      <c r="AI19" s="325" t="n">
        <f aca="false">V19-U19</f>
        <v>-3922861</v>
      </c>
      <c r="AJ19" s="325" t="n">
        <f aca="false">W19-V19</f>
        <v>-3922882</v>
      </c>
      <c r="AK19" s="325" t="n">
        <f aca="false">X19-W19</f>
        <v>-3922851</v>
      </c>
      <c r="AL19" s="325" t="n">
        <f aca="false">Y19-X19</f>
        <v>-3922868</v>
      </c>
      <c r="AM19" s="325" t="n">
        <f aca="false">Z19-Y19</f>
        <v>-3922867</v>
      </c>
      <c r="AN19" s="325"/>
      <c r="AO19" s="325"/>
      <c r="AP19" s="325"/>
      <c r="AR19" s="314" t="str">
        <f aca="false">IFERROR(VLOOKUP(M19,'BS_DEC 2026'!$D$12:$D$109,1,FALSE()),"(미존재)")</f>
        <v>감가상각누계액-집기비품</v>
      </c>
    </row>
    <row r="20" customFormat="false" ht="16.5" hidden="false" customHeight="false" outlineLevel="0" collapsed="false">
      <c r="A20" s="317" t="s">
        <v>446</v>
      </c>
      <c r="B20" s="314" t="n">
        <v>11300850</v>
      </c>
      <c r="C20" s="314" t="s">
        <v>1546</v>
      </c>
      <c r="D20" s="314" t="s">
        <v>1491</v>
      </c>
      <c r="E20" s="314" t="s">
        <v>1492</v>
      </c>
      <c r="F20" s="314" t="s">
        <v>1500</v>
      </c>
      <c r="G20" s="314" t="s">
        <v>1494</v>
      </c>
      <c r="H20" s="314" t="s">
        <v>1495</v>
      </c>
      <c r="I20" s="314" t="s">
        <v>1544</v>
      </c>
      <c r="K20" s="314" t="s">
        <v>1545</v>
      </c>
      <c r="L20" s="324" t="s">
        <v>447</v>
      </c>
      <c r="M20" s="324" t="s">
        <v>130</v>
      </c>
      <c r="N20" s="324" t="s">
        <v>447</v>
      </c>
      <c r="O20" s="324" t="s">
        <v>1498</v>
      </c>
      <c r="P20" s="324" t="s">
        <v>130</v>
      </c>
      <c r="Q20" s="325" t="n">
        <v>-37304667</v>
      </c>
      <c r="R20" s="325" t="n">
        <v>-37738000</v>
      </c>
      <c r="S20" s="325" t="n">
        <v>-38171334</v>
      </c>
      <c r="T20" s="325" t="n">
        <v>-38604667</v>
      </c>
      <c r="U20" s="325" t="n">
        <v>-39038000</v>
      </c>
      <c r="V20" s="325" t="n">
        <v>-39471334</v>
      </c>
      <c r="W20" s="325" t="n">
        <v>-39904667</v>
      </c>
      <c r="X20" s="325" t="n">
        <v>-40338000</v>
      </c>
      <c r="Y20" s="325" t="n">
        <v>-40771333</v>
      </c>
      <c r="Z20" s="325" t="n">
        <v>-41204667</v>
      </c>
      <c r="AA20" s="325"/>
      <c r="AB20" s="325"/>
      <c r="AC20" s="325"/>
      <c r="AD20" s="325"/>
      <c r="AE20" s="325" t="n">
        <f aca="false">R20</f>
        <v>-37738000</v>
      </c>
      <c r="AF20" s="325" t="n">
        <f aca="false">S20-R20</f>
        <v>-433334</v>
      </c>
      <c r="AG20" s="325" t="n">
        <f aca="false">T20-S20</f>
        <v>-433333</v>
      </c>
      <c r="AH20" s="325" t="n">
        <f aca="false">U20-T20</f>
        <v>-433333</v>
      </c>
      <c r="AI20" s="325" t="n">
        <f aca="false">V20-U20</f>
        <v>-433334</v>
      </c>
      <c r="AJ20" s="325" t="n">
        <f aca="false">W20-V20</f>
        <v>-433333</v>
      </c>
      <c r="AK20" s="325" t="n">
        <f aca="false">X20-W20</f>
        <v>-433333</v>
      </c>
      <c r="AL20" s="325" t="n">
        <f aca="false">Y20-X20</f>
        <v>-433333</v>
      </c>
      <c r="AM20" s="325" t="n">
        <f aca="false">Z20-Y20</f>
        <v>-433334</v>
      </c>
      <c r="AN20" s="325"/>
      <c r="AO20" s="325"/>
      <c r="AP20" s="325"/>
      <c r="AR20" s="314" t="str">
        <f aca="false">IFERROR(VLOOKUP(M20,'BS_DEC 2026'!$D$12:$D$109,1,FALSE()),"(미존재)")</f>
        <v>감가상각누계액-공구와기구</v>
      </c>
    </row>
    <row r="21" customFormat="false" ht="16.5" hidden="false" customHeight="false" outlineLevel="0" collapsed="false">
      <c r="A21" s="317" t="s">
        <v>446</v>
      </c>
      <c r="B21" s="314" t="n">
        <v>11350000</v>
      </c>
      <c r="C21" s="314" t="s">
        <v>1547</v>
      </c>
      <c r="D21" s="314" t="s">
        <v>1491</v>
      </c>
      <c r="E21" s="314" t="s">
        <v>1492</v>
      </c>
      <c r="F21" s="314" t="s">
        <v>1500</v>
      </c>
      <c r="G21" s="314" t="s">
        <v>1494</v>
      </c>
      <c r="H21" s="314" t="s">
        <v>1495</v>
      </c>
      <c r="I21" s="314" t="s">
        <v>1544</v>
      </c>
      <c r="K21" s="314" t="s">
        <v>1545</v>
      </c>
      <c r="L21" s="324" t="s">
        <v>447</v>
      </c>
      <c r="M21" s="324" t="s">
        <v>134</v>
      </c>
      <c r="N21" s="324" t="s">
        <v>447</v>
      </c>
      <c r="O21" s="324" t="s">
        <v>1498</v>
      </c>
      <c r="P21" s="324" t="s">
        <v>134</v>
      </c>
      <c r="Q21" s="325" t="n">
        <v>-1076620389</v>
      </c>
      <c r="R21" s="325" t="n">
        <v>-1089371576</v>
      </c>
      <c r="S21" s="325" t="n">
        <v>-1101579034</v>
      </c>
      <c r="T21" s="325" t="n">
        <v>-1113786492</v>
      </c>
      <c r="U21" s="325" t="n">
        <v>-1123221517</v>
      </c>
      <c r="V21" s="325" t="n">
        <v>-1130917239</v>
      </c>
      <c r="W21" s="325" t="n">
        <v>-1140014929</v>
      </c>
      <c r="X21" s="325" t="n">
        <v>-1149112618</v>
      </c>
      <c r="Y21" s="325" t="n">
        <v>-1158210307</v>
      </c>
      <c r="Z21" s="325" t="n">
        <v>-1167307996</v>
      </c>
      <c r="AA21" s="325"/>
      <c r="AB21" s="325"/>
      <c r="AC21" s="325"/>
      <c r="AD21" s="325"/>
      <c r="AE21" s="325" t="n">
        <f aca="false">R21</f>
        <v>-1089371576</v>
      </c>
      <c r="AF21" s="325" t="n">
        <f aca="false">S21-R21</f>
        <v>-12207458</v>
      </c>
      <c r="AG21" s="325" t="n">
        <f aca="false">T21-S21</f>
        <v>-12207458</v>
      </c>
      <c r="AH21" s="325" t="n">
        <f aca="false">U21-T21</f>
        <v>-9435025</v>
      </c>
      <c r="AI21" s="325" t="n">
        <f aca="false">V21-U21</f>
        <v>-7695722</v>
      </c>
      <c r="AJ21" s="325" t="n">
        <f aca="false">W21-V21</f>
        <v>-9097690</v>
      </c>
      <c r="AK21" s="325" t="n">
        <f aca="false">X21-W21</f>
        <v>-9097689</v>
      </c>
      <c r="AL21" s="325" t="n">
        <f aca="false">Y21-X21</f>
        <v>-9097689</v>
      </c>
      <c r="AM21" s="325" t="n">
        <f aca="false">Z21-Y21</f>
        <v>-9097689</v>
      </c>
      <c r="AN21" s="325"/>
      <c r="AO21" s="325"/>
      <c r="AP21" s="325"/>
      <c r="AR21" s="314" t="str">
        <f aca="false">IFERROR(VLOOKUP(M21,'BS_DEC 2026'!$D$12:$D$109,1,FALSE()),"(미존재)")</f>
        <v>감가상각누계액-집기비품</v>
      </c>
    </row>
    <row r="22" customFormat="false" ht="16.5" hidden="false" customHeight="false" outlineLevel="0" collapsed="false">
      <c r="A22" s="317" t="s">
        <v>446</v>
      </c>
      <c r="B22" s="314" t="n">
        <v>11350303</v>
      </c>
      <c r="C22" s="314" t="s">
        <v>1548</v>
      </c>
      <c r="D22" s="314" t="s">
        <v>1491</v>
      </c>
      <c r="E22" s="314" t="s">
        <v>1492</v>
      </c>
      <c r="F22" s="314" t="s">
        <v>1500</v>
      </c>
      <c r="G22" s="314" t="s">
        <v>1494</v>
      </c>
      <c r="H22" s="314" t="s">
        <v>1495</v>
      </c>
      <c r="I22" s="314" t="s">
        <v>1544</v>
      </c>
      <c r="K22" s="314" t="s">
        <v>1545</v>
      </c>
      <c r="L22" s="324" t="s">
        <v>447</v>
      </c>
      <c r="M22" s="324" t="s">
        <v>130</v>
      </c>
      <c r="N22" s="324" t="s">
        <v>447</v>
      </c>
      <c r="O22" s="324" t="s">
        <v>1498</v>
      </c>
      <c r="P22" s="324" t="s">
        <v>130</v>
      </c>
      <c r="Q22" s="325" t="n">
        <v>-34046016</v>
      </c>
      <c r="R22" s="325" t="n">
        <v>-34046016</v>
      </c>
      <c r="S22" s="325" t="n">
        <v>-34046016</v>
      </c>
      <c r="T22" s="325" t="n">
        <v>-34046016</v>
      </c>
      <c r="U22" s="325" t="n">
        <v>-34046016</v>
      </c>
      <c r="V22" s="325" t="n">
        <v>-34046016</v>
      </c>
      <c r="W22" s="325" t="n">
        <v>-34046016</v>
      </c>
      <c r="X22" s="325" t="n">
        <v>-34046016</v>
      </c>
      <c r="Y22" s="325" t="n">
        <v>-34046016</v>
      </c>
      <c r="Z22" s="325" t="n">
        <v>-34046016</v>
      </c>
      <c r="AA22" s="325"/>
      <c r="AB22" s="325"/>
      <c r="AC22" s="325"/>
      <c r="AD22" s="325"/>
      <c r="AE22" s="325" t="n">
        <f aca="false">R22</f>
        <v>-34046016</v>
      </c>
      <c r="AF22" s="325" t="n">
        <f aca="false">S22-R22</f>
        <v>0</v>
      </c>
      <c r="AG22" s="325" t="n">
        <f aca="false">T22-S22</f>
        <v>0</v>
      </c>
      <c r="AH22" s="325" t="n">
        <f aca="false">U22-T22</f>
        <v>0</v>
      </c>
      <c r="AI22" s="325" t="n">
        <f aca="false">V22-U22</f>
        <v>0</v>
      </c>
      <c r="AJ22" s="325" t="n">
        <f aca="false">W22-V22</f>
        <v>0</v>
      </c>
      <c r="AK22" s="325" t="n">
        <f aca="false">X22-W22</f>
        <v>0</v>
      </c>
      <c r="AL22" s="325" t="n">
        <f aca="false">Y22-X22</f>
        <v>0</v>
      </c>
      <c r="AM22" s="325" t="n">
        <f aca="false">Z22-Y22</f>
        <v>0</v>
      </c>
      <c r="AN22" s="325"/>
      <c r="AO22" s="325"/>
      <c r="AP22" s="325"/>
      <c r="AR22" s="314" t="str">
        <f aca="false">IFERROR(VLOOKUP(M22,'BS_DEC 2026'!$D$12:$D$109,1,FALSE()),"(미존재)")</f>
        <v>감가상각누계액-공구와기구</v>
      </c>
    </row>
    <row r="23" customFormat="false" ht="16.5" hidden="false" customHeight="false" outlineLevel="0" collapsed="false">
      <c r="A23" s="317" t="s">
        <v>446</v>
      </c>
      <c r="B23" s="314" t="n">
        <v>13100000</v>
      </c>
      <c r="C23" s="314" t="s">
        <v>1549</v>
      </c>
      <c r="D23" s="314" t="s">
        <v>1491</v>
      </c>
      <c r="E23" s="314" t="s">
        <v>1528</v>
      </c>
      <c r="F23" s="314" t="s">
        <v>1529</v>
      </c>
      <c r="G23" s="314" t="s">
        <v>1494</v>
      </c>
      <c r="H23" s="314" t="s">
        <v>1495</v>
      </c>
      <c r="I23" s="314" t="s">
        <v>1530</v>
      </c>
      <c r="K23" s="314" t="s">
        <v>1531</v>
      </c>
      <c r="L23" s="324" t="s">
        <v>447</v>
      </c>
      <c r="M23" s="324" t="s">
        <v>139</v>
      </c>
      <c r="N23" s="324" t="s">
        <v>447</v>
      </c>
      <c r="O23" s="324" t="s">
        <v>1498</v>
      </c>
      <c r="P23" s="324" t="s">
        <v>139</v>
      </c>
      <c r="Q23" s="325" t="n">
        <v>355759457</v>
      </c>
      <c r="R23" s="325" t="n">
        <v>355759457</v>
      </c>
      <c r="S23" s="325" t="n">
        <v>355759457</v>
      </c>
      <c r="T23" s="325" t="n">
        <v>355759457</v>
      </c>
      <c r="U23" s="325" t="n">
        <v>355759457</v>
      </c>
      <c r="V23" s="325" t="n">
        <v>355759457</v>
      </c>
      <c r="W23" s="325" t="n">
        <v>355759457</v>
      </c>
      <c r="X23" s="325" t="n">
        <v>355759457</v>
      </c>
      <c r="Y23" s="325" t="n">
        <v>355759457</v>
      </c>
      <c r="Z23" s="325" t="n">
        <v>355759457</v>
      </c>
      <c r="AA23" s="325"/>
      <c r="AB23" s="325"/>
      <c r="AC23" s="325"/>
      <c r="AD23" s="325"/>
      <c r="AE23" s="325" t="n">
        <f aca="false">R23</f>
        <v>355759457</v>
      </c>
      <c r="AF23" s="325" t="n">
        <f aca="false">S23-R23</f>
        <v>0</v>
      </c>
      <c r="AG23" s="325" t="n">
        <f aca="false">T23-S23</f>
        <v>0</v>
      </c>
      <c r="AH23" s="325" t="n">
        <f aca="false">U23-T23</f>
        <v>0</v>
      </c>
      <c r="AI23" s="325" t="n">
        <f aca="false">V23-U23</f>
        <v>0</v>
      </c>
      <c r="AJ23" s="325" t="n">
        <f aca="false">W23-V23</f>
        <v>0</v>
      </c>
      <c r="AK23" s="325" t="n">
        <f aca="false">X23-W23</f>
        <v>0</v>
      </c>
      <c r="AL23" s="325" t="n">
        <f aca="false">Y23-X23</f>
        <v>0</v>
      </c>
      <c r="AM23" s="325" t="n">
        <f aca="false">Z23-Y23</f>
        <v>0</v>
      </c>
      <c r="AN23" s="325"/>
      <c r="AO23" s="325"/>
      <c r="AP23" s="325"/>
      <c r="AR23" s="314" t="str">
        <f aca="false">IFERROR(VLOOKUP(M23,'BS_DEC 2026'!$D$12:$D$109,1,FALSE()),"(미존재)")</f>
        <v>소프트웨어</v>
      </c>
    </row>
    <row r="24" customFormat="false" ht="16.5" hidden="false" customHeight="false" outlineLevel="0" collapsed="false">
      <c r="A24" s="317" t="s">
        <v>446</v>
      </c>
      <c r="B24" s="314" t="n">
        <v>13600000</v>
      </c>
      <c r="C24" s="314" t="s">
        <v>1550</v>
      </c>
      <c r="D24" s="314" t="s">
        <v>1491</v>
      </c>
      <c r="E24" s="314" t="s">
        <v>1528</v>
      </c>
      <c r="F24" s="314" t="s">
        <v>1551</v>
      </c>
      <c r="G24" s="314" t="s">
        <v>1494</v>
      </c>
      <c r="H24" s="314" t="s">
        <v>1495</v>
      </c>
      <c r="I24" s="314" t="s">
        <v>1552</v>
      </c>
      <c r="K24" s="314" t="s">
        <v>1553</v>
      </c>
      <c r="L24" s="324" t="s">
        <v>447</v>
      </c>
      <c r="M24" s="324" t="s">
        <v>143</v>
      </c>
      <c r="N24" s="324" t="s">
        <v>447</v>
      </c>
      <c r="O24" s="324" t="s">
        <v>1498</v>
      </c>
      <c r="P24" s="324" t="s">
        <v>143</v>
      </c>
      <c r="Q24" s="325" t="n">
        <v>3706860500</v>
      </c>
      <c r="R24" s="325" t="n">
        <v>3706860500</v>
      </c>
      <c r="S24" s="325" t="n">
        <v>3706860500</v>
      </c>
      <c r="T24" s="325" t="n">
        <v>3706860500</v>
      </c>
      <c r="U24" s="325" t="n">
        <v>3706860500</v>
      </c>
      <c r="V24" s="325" t="n">
        <v>3706860500</v>
      </c>
      <c r="W24" s="325" t="n">
        <v>2706860500</v>
      </c>
      <c r="X24" s="325" t="n">
        <v>2706860500</v>
      </c>
      <c r="Y24" s="325" t="n">
        <v>2706860500</v>
      </c>
      <c r="Z24" s="325" t="n">
        <v>2706860500</v>
      </c>
      <c r="AA24" s="325"/>
      <c r="AB24" s="325"/>
      <c r="AC24" s="325"/>
      <c r="AD24" s="325"/>
      <c r="AE24" s="325" t="n">
        <f aca="false">R24</f>
        <v>3706860500</v>
      </c>
      <c r="AF24" s="325" t="n">
        <f aca="false">S24-R24</f>
        <v>0</v>
      </c>
      <c r="AG24" s="325" t="n">
        <f aca="false">T24-S24</f>
        <v>0</v>
      </c>
      <c r="AH24" s="325" t="n">
        <f aca="false">U24-T24</f>
        <v>0</v>
      </c>
      <c r="AI24" s="325" t="n">
        <f aca="false">V24-U24</f>
        <v>0</v>
      </c>
      <c r="AJ24" s="325" t="n">
        <f aca="false">W24-V24</f>
        <v>-1000000000</v>
      </c>
      <c r="AK24" s="325" t="n">
        <f aca="false">X24-W24</f>
        <v>0</v>
      </c>
      <c r="AL24" s="325" t="n">
        <f aca="false">Y24-X24</f>
        <v>0</v>
      </c>
      <c r="AM24" s="325" t="n">
        <f aca="false">Z24-Y24</f>
        <v>0</v>
      </c>
      <c r="AN24" s="325"/>
      <c r="AO24" s="325"/>
      <c r="AP24" s="325"/>
      <c r="AR24" s="314" t="str">
        <f aca="false">IFERROR(VLOOKUP(M24,'BS_DEC 2026'!$D$12:$D$109,1,FALSE()),"(미존재)")</f>
        <v>상표권</v>
      </c>
    </row>
    <row r="25" customFormat="false" ht="16.5" hidden="false" customHeight="false" outlineLevel="0" collapsed="false">
      <c r="A25" s="317" t="s">
        <v>446</v>
      </c>
      <c r="B25" s="314" t="n">
        <v>14000000</v>
      </c>
      <c r="C25" s="314" t="s">
        <v>1554</v>
      </c>
      <c r="D25" s="314" t="s">
        <v>1491</v>
      </c>
      <c r="E25" s="314" t="s">
        <v>1528</v>
      </c>
      <c r="F25" s="314" t="s">
        <v>1529</v>
      </c>
      <c r="G25" s="314" t="s">
        <v>1494</v>
      </c>
      <c r="H25" s="314" t="s">
        <v>1495</v>
      </c>
      <c r="I25" s="314" t="s">
        <v>1555</v>
      </c>
      <c r="K25" s="314" t="s">
        <v>1556</v>
      </c>
      <c r="L25" s="324" t="s">
        <v>447</v>
      </c>
      <c r="M25" s="324" t="s">
        <v>141</v>
      </c>
      <c r="N25" s="324" t="s">
        <v>447</v>
      </c>
      <c r="O25" s="324" t="s">
        <v>1498</v>
      </c>
      <c r="P25" s="324" t="s">
        <v>141</v>
      </c>
      <c r="Q25" s="325" t="n">
        <v>-355759457</v>
      </c>
      <c r="R25" s="325" t="n">
        <v>-355759457</v>
      </c>
      <c r="S25" s="325" t="n">
        <v>-355759457</v>
      </c>
      <c r="T25" s="325" t="n">
        <v>-355759457</v>
      </c>
      <c r="U25" s="325" t="n">
        <v>-355759457</v>
      </c>
      <c r="V25" s="325" t="n">
        <v>-355759457</v>
      </c>
      <c r="W25" s="325" t="n">
        <v>-355759457</v>
      </c>
      <c r="X25" s="325" t="n">
        <v>-355759457</v>
      </c>
      <c r="Y25" s="325" t="n">
        <v>-355759457</v>
      </c>
      <c r="Z25" s="325" t="n">
        <v>-355759457</v>
      </c>
      <c r="AA25" s="325"/>
      <c r="AB25" s="325"/>
      <c r="AC25" s="325"/>
      <c r="AD25" s="325"/>
      <c r="AE25" s="325" t="n">
        <f aca="false">R25</f>
        <v>-355759457</v>
      </c>
      <c r="AF25" s="325" t="n">
        <f aca="false">S25-R25</f>
        <v>0</v>
      </c>
      <c r="AG25" s="325" t="n">
        <f aca="false">T25-S25</f>
        <v>0</v>
      </c>
      <c r="AH25" s="325" t="n">
        <f aca="false">U25-T25</f>
        <v>0</v>
      </c>
      <c r="AI25" s="325" t="n">
        <f aca="false">V25-U25</f>
        <v>0</v>
      </c>
      <c r="AJ25" s="325" t="n">
        <f aca="false">W25-V25</f>
        <v>0</v>
      </c>
      <c r="AK25" s="325" t="n">
        <f aca="false">X25-W25</f>
        <v>0</v>
      </c>
      <c r="AL25" s="325" t="n">
        <f aca="false">Y25-X25</f>
        <v>0</v>
      </c>
      <c r="AM25" s="325" t="n">
        <f aca="false">Z25-Y25</f>
        <v>0</v>
      </c>
      <c r="AN25" s="325"/>
      <c r="AO25" s="325"/>
      <c r="AP25" s="325"/>
      <c r="AR25" s="314" t="str">
        <f aca="false">IFERROR(VLOOKUP(M25,'BS_DEC 2026'!$D$12:$D$109,1,FALSE()),"(미존재)")</f>
        <v>감가상각누계액-소프트웨어</v>
      </c>
    </row>
    <row r="26" customFormat="false" ht="16.5" hidden="false" customHeight="false" outlineLevel="0" collapsed="false">
      <c r="A26" s="317" t="s">
        <v>446</v>
      </c>
      <c r="B26" s="314" t="n">
        <v>14300000</v>
      </c>
      <c r="C26" s="314" t="s">
        <v>1557</v>
      </c>
      <c r="D26" s="314" t="s">
        <v>1491</v>
      </c>
      <c r="E26" s="314" t="s">
        <v>1528</v>
      </c>
      <c r="F26" s="314" t="s">
        <v>1551</v>
      </c>
      <c r="G26" s="314" t="s">
        <v>1494</v>
      </c>
      <c r="H26" s="314" t="s">
        <v>1495</v>
      </c>
      <c r="I26" s="314" t="s">
        <v>1558</v>
      </c>
      <c r="K26" s="314" t="s">
        <v>1559</v>
      </c>
      <c r="L26" s="324" t="s">
        <v>447</v>
      </c>
      <c r="M26" s="324" t="s">
        <v>145</v>
      </c>
      <c r="N26" s="324" t="s">
        <v>447</v>
      </c>
      <c r="O26" s="324" t="s">
        <v>1498</v>
      </c>
      <c r="P26" s="324" t="s">
        <v>145</v>
      </c>
      <c r="Q26" s="325" t="n">
        <v>-3236598404</v>
      </c>
      <c r="R26" s="325" t="n">
        <v>-3236598404</v>
      </c>
      <c r="S26" s="325" t="n">
        <v>-3236598404</v>
      </c>
      <c r="T26" s="325" t="n">
        <v>-3236598404</v>
      </c>
      <c r="U26" s="325" t="n">
        <v>-3236598404</v>
      </c>
      <c r="V26" s="325" t="n">
        <v>-3236598404</v>
      </c>
      <c r="W26" s="325" t="n">
        <v>-2706860500</v>
      </c>
      <c r="X26" s="325" t="n">
        <v>-2706860500</v>
      </c>
      <c r="Y26" s="325" t="n">
        <v>-2706860500</v>
      </c>
      <c r="Z26" s="325" t="n">
        <v>-2706860500</v>
      </c>
      <c r="AA26" s="325"/>
      <c r="AB26" s="325"/>
      <c r="AC26" s="325"/>
      <c r="AD26" s="325"/>
      <c r="AE26" s="325" t="n">
        <f aca="false">R26</f>
        <v>-3236598404</v>
      </c>
      <c r="AF26" s="325" t="n">
        <f aca="false">S26-R26</f>
        <v>0</v>
      </c>
      <c r="AG26" s="325" t="n">
        <f aca="false">T26-S26</f>
        <v>0</v>
      </c>
      <c r="AH26" s="325" t="n">
        <f aca="false">U26-T26</f>
        <v>0</v>
      </c>
      <c r="AI26" s="325" t="n">
        <f aca="false">V26-U26</f>
        <v>0</v>
      </c>
      <c r="AJ26" s="325" t="n">
        <f aca="false">W26-V26</f>
        <v>529737904</v>
      </c>
      <c r="AK26" s="325" t="n">
        <f aca="false">X26-W26</f>
        <v>0</v>
      </c>
      <c r="AL26" s="325" t="n">
        <f aca="false">Y26-X26</f>
        <v>0</v>
      </c>
      <c r="AM26" s="325" t="n">
        <f aca="false">Z26-Y26</f>
        <v>0</v>
      </c>
      <c r="AN26" s="325"/>
      <c r="AO26" s="325"/>
      <c r="AP26" s="325"/>
      <c r="AR26" s="314" t="str">
        <f aca="false">IFERROR(VLOOKUP(M26,'BS_DEC 2026'!$D$12:$D$109,1,FALSE()),"(미존재)")</f>
        <v>상표권상각누계액</v>
      </c>
    </row>
    <row r="27" customFormat="false" ht="16.5" hidden="false" customHeight="false" outlineLevel="0" collapsed="false">
      <c r="A27" s="317" t="s">
        <v>446</v>
      </c>
      <c r="B27" s="314" t="n">
        <v>14300701</v>
      </c>
      <c r="C27" s="314" t="s">
        <v>1560</v>
      </c>
      <c r="D27" s="314" t="s">
        <v>1491</v>
      </c>
      <c r="E27" s="314" t="s">
        <v>1528</v>
      </c>
      <c r="F27" s="314" t="s">
        <v>1551</v>
      </c>
      <c r="G27" s="314" t="s">
        <v>1494</v>
      </c>
      <c r="H27" s="314" t="s">
        <v>1495</v>
      </c>
      <c r="I27" s="314" t="s">
        <v>1561</v>
      </c>
      <c r="K27" s="314" t="s">
        <v>1562</v>
      </c>
      <c r="L27" s="324" t="s">
        <v>447</v>
      </c>
      <c r="M27" s="324" t="s">
        <v>147</v>
      </c>
      <c r="N27" s="324" t="s">
        <v>447</v>
      </c>
      <c r="O27" s="324" t="s">
        <v>1498</v>
      </c>
      <c r="P27" s="324" t="s">
        <v>147</v>
      </c>
      <c r="Q27" s="325" t="n">
        <v>-595665322</v>
      </c>
      <c r="R27" s="325" t="n">
        <v>-595665322</v>
      </c>
      <c r="S27" s="325" t="n">
        <v>-595665322</v>
      </c>
      <c r="T27" s="325" t="n">
        <v>-595665322</v>
      </c>
      <c r="U27" s="325" t="n">
        <v>-595665322</v>
      </c>
      <c r="V27" s="325" t="n">
        <v>-595665322</v>
      </c>
      <c r="W27" s="325" t="n">
        <v>0</v>
      </c>
      <c r="X27" s="325" t="n">
        <v>0</v>
      </c>
      <c r="Y27" s="325" t="n">
        <v>0</v>
      </c>
      <c r="Z27" s="325" t="n">
        <v>0</v>
      </c>
      <c r="AA27" s="325"/>
      <c r="AB27" s="325"/>
      <c r="AC27" s="325"/>
      <c r="AD27" s="325"/>
      <c r="AE27" s="325" t="n">
        <f aca="false">R27</f>
        <v>-595665322</v>
      </c>
      <c r="AF27" s="325" t="n">
        <f aca="false">S27-R27</f>
        <v>0</v>
      </c>
      <c r="AG27" s="325" t="n">
        <f aca="false">T27-S27</f>
        <v>0</v>
      </c>
      <c r="AH27" s="325" t="n">
        <f aca="false">U27-T27</f>
        <v>0</v>
      </c>
      <c r="AI27" s="325" t="n">
        <f aca="false">V27-U27</f>
        <v>0</v>
      </c>
      <c r="AJ27" s="325" t="n">
        <f aca="false">W27-V27</f>
        <v>595665322</v>
      </c>
      <c r="AK27" s="325" t="n">
        <f aca="false">X27-W27</f>
        <v>0</v>
      </c>
      <c r="AL27" s="325" t="n">
        <f aca="false">Y27-X27</f>
        <v>0</v>
      </c>
      <c r="AM27" s="325" t="n">
        <f aca="false">Z27-Y27</f>
        <v>0</v>
      </c>
      <c r="AN27" s="325"/>
      <c r="AO27" s="325"/>
      <c r="AP27" s="325"/>
      <c r="AR27" s="314" t="str">
        <f aca="false">IFERROR(VLOOKUP(M27,'BS_DEC 2026'!$D$12:$D$109,1,FALSE()),"(미존재)")</f>
        <v>무형자산감액손실충당금</v>
      </c>
    </row>
    <row r="28" customFormat="false" ht="16.5" hidden="false" customHeight="false" outlineLevel="0" collapsed="false">
      <c r="A28" s="317" t="s">
        <v>446</v>
      </c>
      <c r="B28" s="314" t="n">
        <v>14400030</v>
      </c>
      <c r="C28" s="314" t="s">
        <v>1563</v>
      </c>
      <c r="D28" s="314" t="s">
        <v>1491</v>
      </c>
      <c r="E28" s="314" t="s">
        <v>1528</v>
      </c>
      <c r="F28" s="314" t="s">
        <v>1551</v>
      </c>
      <c r="G28" s="314" t="s">
        <v>1494</v>
      </c>
      <c r="H28" s="314" t="s">
        <v>1495</v>
      </c>
      <c r="I28" s="314" t="s">
        <v>1558</v>
      </c>
      <c r="K28" s="314" t="s">
        <v>1559</v>
      </c>
      <c r="L28" s="324" t="s">
        <v>447</v>
      </c>
      <c r="M28" s="324" t="s">
        <v>145</v>
      </c>
      <c r="N28" s="324" t="s">
        <v>447</v>
      </c>
      <c r="O28" s="324" t="s">
        <v>1498</v>
      </c>
      <c r="P28" s="324" t="s">
        <v>145</v>
      </c>
      <c r="Q28" s="325" t="n">
        <v>125403226</v>
      </c>
      <c r="R28" s="325" t="n">
        <v>125403226</v>
      </c>
      <c r="S28" s="325" t="n">
        <v>125403226</v>
      </c>
      <c r="T28" s="325" t="n">
        <v>125403226</v>
      </c>
      <c r="U28" s="325" t="n">
        <v>125403226</v>
      </c>
      <c r="V28" s="325" t="n">
        <v>125403226</v>
      </c>
      <c r="W28" s="325" t="n">
        <v>0</v>
      </c>
      <c r="X28" s="325" t="n">
        <v>0</v>
      </c>
      <c r="Y28" s="325" t="n">
        <v>0</v>
      </c>
      <c r="Z28" s="325" t="n">
        <v>0</v>
      </c>
      <c r="AA28" s="325"/>
      <c r="AB28" s="325"/>
      <c r="AC28" s="325"/>
      <c r="AD28" s="325"/>
      <c r="AE28" s="325" t="n">
        <f aca="false">R28</f>
        <v>125403226</v>
      </c>
      <c r="AF28" s="325" t="n">
        <f aca="false">S28-R28</f>
        <v>0</v>
      </c>
      <c r="AG28" s="325" t="n">
        <f aca="false">T28-S28</f>
        <v>0</v>
      </c>
      <c r="AH28" s="325" t="n">
        <f aca="false">U28-T28</f>
        <v>0</v>
      </c>
      <c r="AI28" s="325" t="n">
        <f aca="false">V28-U28</f>
        <v>0</v>
      </c>
      <c r="AJ28" s="325" t="n">
        <f aca="false">W28-V28</f>
        <v>-125403226</v>
      </c>
      <c r="AK28" s="325" t="n">
        <f aca="false">X28-W28</f>
        <v>0</v>
      </c>
      <c r="AL28" s="325" t="n">
        <f aca="false">Y28-X28</f>
        <v>0</v>
      </c>
      <c r="AM28" s="325" t="n">
        <f aca="false">Z28-Y28</f>
        <v>0</v>
      </c>
      <c r="AN28" s="325"/>
      <c r="AO28" s="325"/>
      <c r="AP28" s="325"/>
      <c r="AR28" s="314" t="str">
        <f aca="false">IFERROR(VLOOKUP(M28,'BS_DEC 2026'!$D$12:$D$109,1,FALSE()),"(미존재)")</f>
        <v>상표권상각누계액</v>
      </c>
    </row>
    <row r="29" customFormat="false" ht="16.5" hidden="false" customHeight="false" outlineLevel="0" collapsed="false">
      <c r="A29" s="317" t="s">
        <v>446</v>
      </c>
      <c r="B29" s="314" t="n">
        <v>15800853</v>
      </c>
      <c r="C29" s="314" t="s">
        <v>1564</v>
      </c>
      <c r="D29" s="314" t="s">
        <v>1491</v>
      </c>
      <c r="E29" s="314" t="s">
        <v>1565</v>
      </c>
      <c r="F29" s="314" t="s">
        <v>1566</v>
      </c>
      <c r="G29" s="314" t="s">
        <v>1494</v>
      </c>
      <c r="H29" s="314" t="s">
        <v>1495</v>
      </c>
      <c r="I29" s="314" t="s">
        <v>1567</v>
      </c>
      <c r="K29" s="314" t="s">
        <v>1568</v>
      </c>
      <c r="L29" s="324" t="s">
        <v>447</v>
      </c>
      <c r="M29" s="324" t="s">
        <v>155</v>
      </c>
      <c r="N29" s="324" t="s">
        <v>447</v>
      </c>
      <c r="O29" s="324" t="s">
        <v>1498</v>
      </c>
      <c r="P29" s="324" t="s">
        <v>155</v>
      </c>
      <c r="Q29" s="325" t="n">
        <v>1211134090</v>
      </c>
      <c r="R29" s="325" t="n">
        <v>1211134090</v>
      </c>
      <c r="S29" s="325" t="n">
        <v>1211134090</v>
      </c>
      <c r="T29" s="325" t="n">
        <v>1211134090</v>
      </c>
      <c r="U29" s="325" t="n">
        <v>1211134090</v>
      </c>
      <c r="V29" s="325" t="n">
        <v>1211134090</v>
      </c>
      <c r="W29" s="325" t="n">
        <v>1211134090</v>
      </c>
      <c r="X29" s="325" t="n">
        <v>1211134090</v>
      </c>
      <c r="Y29" s="325" t="n">
        <v>1931634850</v>
      </c>
      <c r="Z29" s="325" t="n">
        <v>1931634850</v>
      </c>
      <c r="AA29" s="325"/>
      <c r="AB29" s="325"/>
      <c r="AC29" s="325"/>
      <c r="AD29" s="325"/>
      <c r="AE29" s="325" t="n">
        <f aca="false">R29</f>
        <v>1211134090</v>
      </c>
      <c r="AF29" s="325" t="n">
        <f aca="false">S29-R29</f>
        <v>0</v>
      </c>
      <c r="AG29" s="325" t="n">
        <f aca="false">T29-S29</f>
        <v>0</v>
      </c>
      <c r="AH29" s="325" t="n">
        <f aca="false">U29-T29</f>
        <v>0</v>
      </c>
      <c r="AI29" s="325" t="n">
        <f aca="false">V29-U29</f>
        <v>0</v>
      </c>
      <c r="AJ29" s="325" t="n">
        <f aca="false">W29-V29</f>
        <v>0</v>
      </c>
      <c r="AK29" s="325" t="n">
        <f aca="false">X29-W29</f>
        <v>0</v>
      </c>
      <c r="AL29" s="325" t="n">
        <f aca="false">Y29-X29</f>
        <v>720500760</v>
      </c>
      <c r="AM29" s="325" t="n">
        <f aca="false">Z29-Y29</f>
        <v>0</v>
      </c>
      <c r="AN29" s="325"/>
      <c r="AO29" s="325"/>
      <c r="AP29" s="325"/>
      <c r="AR29" s="314" t="str">
        <f aca="false">IFERROR(VLOOKUP(M29,'BS_DEC 2026'!$D$12:$D$109,1,FALSE()),"(미존재)")</f>
        <v>보증금</v>
      </c>
    </row>
    <row r="30" customFormat="false" ht="16.5" hidden="false" customHeight="false" outlineLevel="0" collapsed="false">
      <c r="A30" s="317" t="s">
        <v>446</v>
      </c>
      <c r="B30" s="314" t="n">
        <v>16350702</v>
      </c>
      <c r="C30" s="314" t="s">
        <v>1569</v>
      </c>
      <c r="D30" s="314" t="s">
        <v>1570</v>
      </c>
      <c r="E30" s="314" t="s">
        <v>1571</v>
      </c>
      <c r="F30" s="314" t="s">
        <v>1572</v>
      </c>
      <c r="G30" s="314" t="s">
        <v>1494</v>
      </c>
      <c r="H30" s="314" t="s">
        <v>1495</v>
      </c>
      <c r="I30" s="314" t="s">
        <v>1573</v>
      </c>
      <c r="K30" s="314" t="s">
        <v>1574</v>
      </c>
      <c r="L30" s="324" t="s">
        <v>447</v>
      </c>
      <c r="M30" s="324" t="s">
        <v>215</v>
      </c>
      <c r="N30" s="324" t="s">
        <v>173</v>
      </c>
      <c r="O30" s="324" t="s">
        <v>1575</v>
      </c>
      <c r="P30" s="324" t="s">
        <v>215</v>
      </c>
      <c r="Q30" s="325" t="n">
        <v>26463700</v>
      </c>
      <c r="R30" s="325" t="n">
        <v>26463700</v>
      </c>
      <c r="S30" s="325" t="n">
        <v>26463700</v>
      </c>
      <c r="T30" s="325" t="n">
        <v>26463700</v>
      </c>
      <c r="U30" s="325" t="n">
        <v>0</v>
      </c>
      <c r="V30" s="325" t="n">
        <v>0</v>
      </c>
      <c r="W30" s="325" t="n">
        <v>0</v>
      </c>
      <c r="X30" s="325" t="n">
        <v>0</v>
      </c>
      <c r="Y30" s="325" t="n">
        <v>0</v>
      </c>
      <c r="Z30" s="325" t="n">
        <v>0</v>
      </c>
      <c r="AA30" s="325"/>
      <c r="AB30" s="325"/>
      <c r="AC30" s="325"/>
      <c r="AD30" s="325"/>
      <c r="AE30" s="325" t="n">
        <f aca="false">R30</f>
        <v>26463700</v>
      </c>
      <c r="AF30" s="325" t="n">
        <f aca="false">S30-R30</f>
        <v>0</v>
      </c>
      <c r="AG30" s="325" t="n">
        <f aca="false">T30-S30</f>
        <v>0</v>
      </c>
      <c r="AH30" s="325" t="n">
        <f aca="false">U30-T30</f>
        <v>-26463700</v>
      </c>
      <c r="AI30" s="325" t="n">
        <f aca="false">V30-U30</f>
        <v>0</v>
      </c>
      <c r="AJ30" s="325" t="n">
        <f aca="false">W30-V30</f>
        <v>0</v>
      </c>
      <c r="AK30" s="325" t="n">
        <f aca="false">X30-W30</f>
        <v>0</v>
      </c>
      <c r="AL30" s="325" t="n">
        <f aca="false">Y30-X30</f>
        <v>0</v>
      </c>
      <c r="AM30" s="325" t="n">
        <f aca="false">Z30-Y30</f>
        <v>0</v>
      </c>
      <c r="AN30" s="325"/>
      <c r="AO30" s="325"/>
      <c r="AP30" s="325"/>
      <c r="AR30" s="314" t="str">
        <f aca="false">IFERROR(VLOOKUP(M30,'BS_DEC 2026'!$D$12:$D$109,1,FALSE()),"(미존재)")</f>
        <v>국민연금전환금</v>
      </c>
    </row>
    <row r="31" customFormat="false" ht="16.5" hidden="false" customHeight="false" outlineLevel="0" collapsed="false">
      <c r="A31" s="317" t="s">
        <v>446</v>
      </c>
      <c r="B31" s="314" t="n">
        <v>16750000</v>
      </c>
      <c r="C31" s="314" t="s">
        <v>1576</v>
      </c>
      <c r="D31" s="314" t="s">
        <v>1491</v>
      </c>
      <c r="E31" s="314" t="s">
        <v>1565</v>
      </c>
      <c r="F31" s="314" t="s">
        <v>1566</v>
      </c>
      <c r="G31" s="314" t="s">
        <v>1494</v>
      </c>
      <c r="H31" s="314" t="s">
        <v>1495</v>
      </c>
      <c r="I31" s="314" t="s">
        <v>1573</v>
      </c>
      <c r="K31" s="314" t="s">
        <v>1568</v>
      </c>
      <c r="L31" s="324" t="s">
        <v>447</v>
      </c>
      <c r="M31" s="324" t="s">
        <v>155</v>
      </c>
      <c r="N31" s="324" t="s">
        <v>447</v>
      </c>
      <c r="O31" s="324" t="s">
        <v>1575</v>
      </c>
      <c r="P31" s="324" t="s">
        <v>155</v>
      </c>
      <c r="Q31" s="325" t="n">
        <v>0</v>
      </c>
      <c r="R31" s="325" t="n">
        <v>0</v>
      </c>
      <c r="S31" s="325" t="n">
        <v>0</v>
      </c>
      <c r="T31" s="325" t="n">
        <v>0</v>
      </c>
      <c r="U31" s="325" t="n">
        <v>0</v>
      </c>
      <c r="V31" s="325" t="n">
        <v>720500760</v>
      </c>
      <c r="W31" s="325" t="n">
        <v>0</v>
      </c>
      <c r="X31" s="325" t="n">
        <v>720500760</v>
      </c>
      <c r="Y31" s="325" t="n">
        <v>0</v>
      </c>
      <c r="Z31" s="325" t="n">
        <v>0</v>
      </c>
      <c r="AA31" s="325"/>
      <c r="AB31" s="325"/>
      <c r="AC31" s="325"/>
      <c r="AD31" s="325"/>
      <c r="AE31" s="325" t="n">
        <f aca="false">R31</f>
        <v>0</v>
      </c>
      <c r="AF31" s="325" t="n">
        <f aca="false">S31-R31</f>
        <v>0</v>
      </c>
      <c r="AG31" s="325" t="n">
        <f aca="false">T31-S31</f>
        <v>0</v>
      </c>
      <c r="AH31" s="325" t="n">
        <f aca="false">U31-T31</f>
        <v>0</v>
      </c>
      <c r="AI31" s="325" t="n">
        <f aca="false">V31-U31</f>
        <v>720500760</v>
      </c>
      <c r="AJ31" s="325" t="n">
        <f aca="false">W31-V31</f>
        <v>-720500760</v>
      </c>
      <c r="AK31" s="325" t="n">
        <f aca="false">X31-W31</f>
        <v>720500760</v>
      </c>
      <c r="AL31" s="325" t="n">
        <f aca="false">Y31-X31</f>
        <v>-720500760</v>
      </c>
      <c r="AM31" s="325" t="n">
        <f aca="false">Z31-Y31</f>
        <v>0</v>
      </c>
      <c r="AN31" s="325"/>
      <c r="AO31" s="325"/>
      <c r="AP31" s="325"/>
      <c r="AR31" s="314" t="str">
        <f aca="false">IFERROR(VLOOKUP(M31,'BS_DEC 2026'!$D$12:$D$109,1,FALSE()),"(미존재)")</f>
        <v>보증금</v>
      </c>
    </row>
    <row r="32" customFormat="false" ht="16.5" hidden="false" customHeight="false" outlineLevel="0" collapsed="false">
      <c r="A32" s="317" t="s">
        <v>446</v>
      </c>
      <c r="B32" s="314" t="n">
        <v>20000001</v>
      </c>
      <c r="C32" s="314" t="s">
        <v>1577</v>
      </c>
      <c r="D32" s="314" t="s">
        <v>1512</v>
      </c>
      <c r="E32" s="314" t="s">
        <v>1513</v>
      </c>
      <c r="F32" s="314" t="s">
        <v>1578</v>
      </c>
      <c r="G32" s="314" t="s">
        <v>1515</v>
      </c>
      <c r="H32" s="314" t="s">
        <v>1495</v>
      </c>
      <c r="I32" s="314" t="s">
        <v>1579</v>
      </c>
      <c r="K32" s="314" t="s">
        <v>1580</v>
      </c>
      <c r="L32" s="324" t="s">
        <v>447</v>
      </c>
      <c r="M32" s="324" t="s">
        <v>75</v>
      </c>
      <c r="N32" s="324" t="s">
        <v>447</v>
      </c>
      <c r="O32" s="324" t="s">
        <v>1518</v>
      </c>
      <c r="P32" s="324" t="s">
        <v>75</v>
      </c>
      <c r="Q32" s="326" t="n">
        <v>162184914584</v>
      </c>
      <c r="R32" s="325" t="n">
        <v>145873858195</v>
      </c>
      <c r="S32" s="325" t="n">
        <v>134636274753</v>
      </c>
      <c r="T32" s="325" t="n">
        <v>129722846676</v>
      </c>
      <c r="U32" s="325" t="n">
        <v>139146344671</v>
      </c>
      <c r="V32" s="325" t="n">
        <v>153277666166</v>
      </c>
      <c r="W32" s="325" t="n">
        <v>157700192026</v>
      </c>
      <c r="X32" s="325" t="n">
        <v>174468088999</v>
      </c>
      <c r="Y32" s="325" t="n">
        <v>219106967070</v>
      </c>
      <c r="Z32" s="325" t="n">
        <v>180937469538</v>
      </c>
      <c r="AA32" s="325"/>
      <c r="AB32" s="325"/>
      <c r="AC32" s="325"/>
      <c r="AD32" s="325"/>
      <c r="AE32" s="325" t="n">
        <f aca="false">R32</f>
        <v>145873858195</v>
      </c>
      <c r="AF32" s="325" t="n">
        <f aca="false">S32-R32</f>
        <v>-11237583442</v>
      </c>
      <c r="AG32" s="325" t="n">
        <f aca="false">T32-S32</f>
        <v>-4913428077</v>
      </c>
      <c r="AH32" s="325" t="n">
        <f aca="false">U32-T32</f>
        <v>9423497995</v>
      </c>
      <c r="AI32" s="325" t="n">
        <f aca="false">V32-U32</f>
        <v>14131321495</v>
      </c>
      <c r="AJ32" s="325" t="n">
        <f aca="false">W32-V32</f>
        <v>4422525860</v>
      </c>
      <c r="AK32" s="325" t="n">
        <f aca="false">X32-W32</f>
        <v>16767896973</v>
      </c>
      <c r="AL32" s="325" t="n">
        <f aca="false">Y32-X32</f>
        <v>44638878071</v>
      </c>
      <c r="AM32" s="325" t="n">
        <f aca="false">Z32-Y32</f>
        <v>-38169497532</v>
      </c>
      <c r="AN32" s="325"/>
      <c r="AO32" s="325"/>
      <c r="AP32" s="325"/>
      <c r="AR32" s="314" t="str">
        <f aca="false">IFERROR(VLOOKUP(M32,'BS_DEC 2026'!$D$12:$D$109,1,FALSE()),"(미존재)")</f>
        <v>상품</v>
      </c>
    </row>
    <row r="33" customFormat="false" ht="16.5" hidden="false" customHeight="false" outlineLevel="0" collapsed="false">
      <c r="A33" s="317" t="s">
        <v>446</v>
      </c>
      <c r="B33" s="314" t="n">
        <v>20000002</v>
      </c>
      <c r="C33" s="314" t="s">
        <v>1581</v>
      </c>
      <c r="D33" s="314" t="s">
        <v>1512</v>
      </c>
      <c r="E33" s="314" t="s">
        <v>1513</v>
      </c>
      <c r="F33" s="314" t="s">
        <v>1578</v>
      </c>
      <c r="G33" s="314" t="s">
        <v>1515</v>
      </c>
      <c r="H33" s="314" t="s">
        <v>1495</v>
      </c>
      <c r="I33" s="314" t="s">
        <v>1516</v>
      </c>
      <c r="K33" s="314" t="s">
        <v>1517</v>
      </c>
      <c r="L33" s="324" t="s">
        <v>447</v>
      </c>
      <c r="M33" s="324" t="s">
        <v>75</v>
      </c>
      <c r="N33" s="324" t="s">
        <v>447</v>
      </c>
      <c r="O33" s="324" t="s">
        <v>1518</v>
      </c>
      <c r="P33" s="324" t="s">
        <v>75</v>
      </c>
      <c r="Q33" s="326" t="n">
        <v>55265092</v>
      </c>
      <c r="R33" s="325" t="n">
        <v>55265092</v>
      </c>
      <c r="S33" s="325" t="n">
        <v>55265092</v>
      </c>
      <c r="T33" s="325" t="n">
        <v>54921515</v>
      </c>
      <c r="U33" s="325" t="n">
        <v>53155248</v>
      </c>
      <c r="V33" s="325" t="n">
        <v>53155248</v>
      </c>
      <c r="W33" s="325" t="n">
        <v>52777872</v>
      </c>
      <c r="X33" s="325" t="n">
        <v>52777872</v>
      </c>
      <c r="Y33" s="325" t="n">
        <v>52636776</v>
      </c>
      <c r="Z33" s="325" t="n">
        <v>52625609</v>
      </c>
      <c r="AA33" s="325"/>
      <c r="AB33" s="325"/>
      <c r="AC33" s="325"/>
      <c r="AD33" s="325"/>
      <c r="AE33" s="325" t="n">
        <f aca="false">R33</f>
        <v>55265092</v>
      </c>
      <c r="AF33" s="325" t="n">
        <f aca="false">S33-R33</f>
        <v>0</v>
      </c>
      <c r="AG33" s="325" t="n">
        <f aca="false">T33-S33</f>
        <v>-343577</v>
      </c>
      <c r="AH33" s="325" t="n">
        <f aca="false">U33-T33</f>
        <v>-1766267</v>
      </c>
      <c r="AI33" s="325" t="n">
        <f aca="false">V33-U33</f>
        <v>0</v>
      </c>
      <c r="AJ33" s="325" t="n">
        <f aca="false">W33-V33</f>
        <v>-377376</v>
      </c>
      <c r="AK33" s="325" t="n">
        <f aca="false">X33-W33</f>
        <v>0</v>
      </c>
      <c r="AL33" s="325" t="n">
        <f aca="false">Y33-X33</f>
        <v>-141096</v>
      </c>
      <c r="AM33" s="325" t="n">
        <f aca="false">Z33-Y33</f>
        <v>-11167</v>
      </c>
      <c r="AN33" s="325"/>
      <c r="AO33" s="325"/>
      <c r="AP33" s="325"/>
      <c r="AR33" s="314" t="str">
        <f aca="false">IFERROR(VLOOKUP(M33,'BS_DEC 2026'!$D$12:$D$109,1,FALSE()),"(미존재)")</f>
        <v>상품</v>
      </c>
    </row>
    <row r="34" customFormat="false" ht="16.5" hidden="false" customHeight="false" outlineLevel="0" collapsed="false">
      <c r="A34" s="317" t="s">
        <v>446</v>
      </c>
      <c r="B34" s="314" t="n">
        <v>20000030</v>
      </c>
      <c r="C34" s="314" t="s">
        <v>1582</v>
      </c>
      <c r="D34" s="314" t="s">
        <v>1512</v>
      </c>
      <c r="E34" s="314" t="s">
        <v>1513</v>
      </c>
      <c r="F34" s="314" t="s">
        <v>1578</v>
      </c>
      <c r="G34" s="314" t="s">
        <v>1515</v>
      </c>
      <c r="H34" s="314" t="s">
        <v>1495</v>
      </c>
      <c r="I34" s="314" t="s">
        <v>1583</v>
      </c>
      <c r="K34" s="314" t="s">
        <v>1584</v>
      </c>
      <c r="L34" s="324" t="s">
        <v>447</v>
      </c>
      <c r="M34" s="324" t="s">
        <v>75</v>
      </c>
      <c r="N34" s="324" t="s">
        <v>447</v>
      </c>
      <c r="O34" s="324" t="s">
        <v>1518</v>
      </c>
      <c r="P34" s="324" t="s">
        <v>75</v>
      </c>
      <c r="Q34" s="326" t="n">
        <v>-1672140386</v>
      </c>
      <c r="R34" s="325" t="n">
        <v>-1232257093</v>
      </c>
      <c r="S34" s="325" t="n">
        <v>-450082592</v>
      </c>
      <c r="T34" s="325" t="n">
        <v>-680128672</v>
      </c>
      <c r="U34" s="325" t="n">
        <v>-808160035</v>
      </c>
      <c r="V34" s="325" t="n">
        <v>-167112028</v>
      </c>
      <c r="W34" s="325" t="n">
        <v>585519079</v>
      </c>
      <c r="X34" s="325" t="n">
        <v>-322260893</v>
      </c>
      <c r="Y34" s="325" t="n">
        <v>-901264705</v>
      </c>
      <c r="Z34" s="325" t="n">
        <v>-926499683</v>
      </c>
      <c r="AA34" s="325"/>
      <c r="AB34" s="325"/>
      <c r="AC34" s="325"/>
      <c r="AD34" s="325"/>
      <c r="AE34" s="325" t="n">
        <f aca="false">R34</f>
        <v>-1232257093</v>
      </c>
      <c r="AF34" s="325" t="n">
        <f aca="false">S34-R34</f>
        <v>782174501</v>
      </c>
      <c r="AG34" s="325" t="n">
        <f aca="false">T34-S34</f>
        <v>-230046080</v>
      </c>
      <c r="AH34" s="325" t="n">
        <f aca="false">U34-T34</f>
        <v>-128031363</v>
      </c>
      <c r="AI34" s="325" t="n">
        <f aca="false">V34-U34</f>
        <v>641048007</v>
      </c>
      <c r="AJ34" s="325" t="n">
        <f aca="false">W34-V34</f>
        <v>752631107</v>
      </c>
      <c r="AK34" s="325" t="n">
        <f aca="false">X34-W34</f>
        <v>-907779972</v>
      </c>
      <c r="AL34" s="325" t="n">
        <f aca="false">Y34-X34</f>
        <v>-579003812</v>
      </c>
      <c r="AM34" s="325" t="n">
        <f aca="false">Z34-Y34</f>
        <v>-25234978</v>
      </c>
      <c r="AN34" s="325"/>
      <c r="AO34" s="325"/>
      <c r="AP34" s="325"/>
      <c r="AR34" s="314" t="str">
        <f aca="false">IFERROR(VLOOKUP(M34,'BS_DEC 2026'!$D$12:$D$109,1,FALSE()),"(미존재)")</f>
        <v>상품</v>
      </c>
    </row>
    <row r="35" customFormat="false" ht="16.5" hidden="false" customHeight="false" outlineLevel="0" collapsed="false">
      <c r="A35" s="317" t="s">
        <v>446</v>
      </c>
      <c r="B35" s="314" t="n">
        <v>20000851</v>
      </c>
      <c r="C35" s="314" t="s">
        <v>1585</v>
      </c>
      <c r="D35" s="314" t="s">
        <v>1512</v>
      </c>
      <c r="E35" s="314" t="s">
        <v>1513</v>
      </c>
      <c r="F35" s="314" t="s">
        <v>1578</v>
      </c>
      <c r="G35" s="314" t="s">
        <v>1515</v>
      </c>
      <c r="H35" s="314" t="s">
        <v>1495</v>
      </c>
      <c r="I35" s="314" t="s">
        <v>1583</v>
      </c>
      <c r="K35" s="314" t="s">
        <v>1584</v>
      </c>
      <c r="L35" s="324" t="s">
        <v>447</v>
      </c>
      <c r="M35" s="324" t="s">
        <v>75</v>
      </c>
      <c r="N35" s="324" t="s">
        <v>447</v>
      </c>
      <c r="O35" s="324" t="s">
        <v>1518</v>
      </c>
      <c r="P35" s="324" t="s">
        <v>75</v>
      </c>
      <c r="Q35" s="325" t="n">
        <v>0</v>
      </c>
      <c r="R35" s="325" t="n">
        <v>0</v>
      </c>
      <c r="S35" s="325" t="n">
        <v>0</v>
      </c>
      <c r="T35" s="325" t="n">
        <v>673342520</v>
      </c>
      <c r="U35" s="325" t="n">
        <v>0</v>
      </c>
      <c r="V35" s="325" t="n">
        <v>0</v>
      </c>
      <c r="W35" s="325" t="n">
        <v>0</v>
      </c>
      <c r="X35" s="325" t="n">
        <v>0</v>
      </c>
      <c r="Y35" s="325" t="n">
        <v>0</v>
      </c>
      <c r="Z35" s="325" t="n">
        <v>0</v>
      </c>
      <c r="AA35" s="325"/>
      <c r="AB35" s="325"/>
      <c r="AC35" s="325"/>
      <c r="AD35" s="325"/>
      <c r="AE35" s="325" t="n">
        <f aca="false">R35</f>
        <v>0</v>
      </c>
      <c r="AF35" s="325" t="n">
        <f aca="false">S35-R35</f>
        <v>0</v>
      </c>
      <c r="AG35" s="325" t="n">
        <f aca="false">T35-S35</f>
        <v>673342520</v>
      </c>
      <c r="AH35" s="325" t="n">
        <f aca="false">U35-T35</f>
        <v>-673342520</v>
      </c>
      <c r="AI35" s="325" t="n">
        <f aca="false">V35-U35</f>
        <v>0</v>
      </c>
      <c r="AJ35" s="325" t="n">
        <f aca="false">W35-V35</f>
        <v>0</v>
      </c>
      <c r="AK35" s="325" t="n">
        <f aca="false">X35-W35</f>
        <v>0</v>
      </c>
      <c r="AL35" s="325" t="n">
        <f aca="false">Y35-X35</f>
        <v>0</v>
      </c>
      <c r="AM35" s="325" t="n">
        <f aca="false">Z35-Y35</f>
        <v>0</v>
      </c>
      <c r="AN35" s="325"/>
      <c r="AO35" s="325"/>
      <c r="AP35" s="325"/>
      <c r="AR35" s="314" t="str">
        <f aca="false">IFERROR(VLOOKUP(M35,'BS_DEC 2026'!$D$12:$D$109,1,FALSE()),"(미존재)")</f>
        <v>상품</v>
      </c>
    </row>
    <row r="36" customFormat="false" ht="16.5" hidden="false" customHeight="false" outlineLevel="0" collapsed="false">
      <c r="A36" s="317" t="s">
        <v>446</v>
      </c>
      <c r="B36" s="314" t="n">
        <v>20100003</v>
      </c>
      <c r="C36" s="314" t="s">
        <v>1586</v>
      </c>
      <c r="D36" s="314" t="s">
        <v>1512</v>
      </c>
      <c r="E36" s="314" t="s">
        <v>1513</v>
      </c>
      <c r="F36" s="314" t="s">
        <v>1578</v>
      </c>
      <c r="G36" s="314" t="s">
        <v>1515</v>
      </c>
      <c r="H36" s="314" t="s">
        <v>1495</v>
      </c>
      <c r="I36" s="314" t="s">
        <v>1587</v>
      </c>
      <c r="K36" s="314" t="s">
        <v>1588</v>
      </c>
      <c r="L36" s="324" t="s">
        <v>447</v>
      </c>
      <c r="M36" s="324" t="s">
        <v>78</v>
      </c>
      <c r="N36" s="324" t="s">
        <v>447</v>
      </c>
      <c r="O36" s="324" t="s">
        <v>1518</v>
      </c>
      <c r="P36" s="324" t="s">
        <v>78</v>
      </c>
      <c r="Q36" s="326" t="n">
        <v>-4770617217</v>
      </c>
      <c r="R36" s="325" t="n">
        <v>-5096953935</v>
      </c>
      <c r="S36" s="325" t="n">
        <v>-5172659607</v>
      </c>
      <c r="T36" s="325" t="n">
        <v>-5711341347</v>
      </c>
      <c r="U36" s="325" t="n">
        <v>-5795379833</v>
      </c>
      <c r="V36" s="325" t="n">
        <v>-5504683968</v>
      </c>
      <c r="W36" s="325" t="n">
        <v>0</v>
      </c>
      <c r="X36" s="325" t="n">
        <v>-1982532942</v>
      </c>
      <c r="Y36" s="325" t="n">
        <v>-2364585244</v>
      </c>
      <c r="Z36" s="325" t="n">
        <v>-2370515021</v>
      </c>
      <c r="AA36" s="325"/>
      <c r="AB36" s="325"/>
      <c r="AC36" s="325"/>
      <c r="AD36" s="325"/>
      <c r="AE36" s="325" t="n">
        <f aca="false">R36</f>
        <v>-5096953935</v>
      </c>
      <c r="AF36" s="325" t="n">
        <f aca="false">S36-R36</f>
        <v>-75705672</v>
      </c>
      <c r="AG36" s="325" t="n">
        <f aca="false">T36-S36</f>
        <v>-538681740</v>
      </c>
      <c r="AH36" s="325" t="n">
        <f aca="false">U36-T36</f>
        <v>-84038486</v>
      </c>
      <c r="AI36" s="325" t="n">
        <f aca="false">V36-U36</f>
        <v>290695865</v>
      </c>
      <c r="AJ36" s="325" t="n">
        <f aca="false">W36-V36</f>
        <v>5504683968</v>
      </c>
      <c r="AK36" s="325" t="n">
        <f aca="false">X36-W36</f>
        <v>-1982532942</v>
      </c>
      <c r="AL36" s="325" t="n">
        <f aca="false">Y36-X36</f>
        <v>-382052302</v>
      </c>
      <c r="AM36" s="325" t="n">
        <f aca="false">Z36-Y36</f>
        <v>-5929777</v>
      </c>
      <c r="AN36" s="325"/>
      <c r="AO36" s="325"/>
      <c r="AP36" s="325"/>
      <c r="AR36" s="314" t="str">
        <f aca="false">IFERROR(VLOOKUP(M36,'BS_DEC 2026'!$D$12:$D$109,1,FALSE()),"(미존재)")</f>
        <v>평가충당금-상품</v>
      </c>
    </row>
    <row r="37" customFormat="false" ht="16.5" hidden="false" customHeight="false" outlineLevel="0" collapsed="false">
      <c r="A37" s="317" t="s">
        <v>446</v>
      </c>
      <c r="B37" s="314" t="n">
        <v>22150702</v>
      </c>
      <c r="C37" s="314" t="s">
        <v>1589</v>
      </c>
      <c r="D37" s="314" t="s">
        <v>1512</v>
      </c>
      <c r="E37" s="314" t="s">
        <v>1513</v>
      </c>
      <c r="F37" s="314" t="s">
        <v>1590</v>
      </c>
      <c r="G37" s="314" t="s">
        <v>1515</v>
      </c>
      <c r="H37" s="314" t="s">
        <v>1495</v>
      </c>
      <c r="I37" s="314" t="s">
        <v>1579</v>
      </c>
      <c r="K37" s="314" t="s">
        <v>1580</v>
      </c>
      <c r="L37" s="324" t="s">
        <v>447</v>
      </c>
      <c r="M37" s="324" t="s">
        <v>94</v>
      </c>
      <c r="N37" s="324" t="s">
        <v>447</v>
      </c>
      <c r="O37" s="324" t="s">
        <v>1518</v>
      </c>
      <c r="P37" s="324" t="s">
        <v>81</v>
      </c>
      <c r="Q37" s="325" t="n">
        <v>20959209037</v>
      </c>
      <c r="R37" s="325" t="n">
        <v>31380627949</v>
      </c>
      <c r="S37" s="325" t="n">
        <v>26415931111</v>
      </c>
      <c r="T37" s="325" t="n">
        <v>25028996467</v>
      </c>
      <c r="U37" s="325" t="n">
        <v>14167313182</v>
      </c>
      <c r="V37" s="325" t="n">
        <v>48405618812</v>
      </c>
      <c r="W37" s="325" t="n">
        <v>944645152</v>
      </c>
      <c r="X37" s="325" t="n">
        <v>51071961135</v>
      </c>
      <c r="Y37" s="325" t="n">
        <v>16969792314</v>
      </c>
      <c r="Z37" s="325" t="n">
        <v>18060397713</v>
      </c>
      <c r="AA37" s="325"/>
      <c r="AB37" s="325"/>
      <c r="AC37" s="325"/>
      <c r="AD37" s="325"/>
      <c r="AE37" s="325" t="n">
        <f aca="false">R37</f>
        <v>31380627949</v>
      </c>
      <c r="AF37" s="325" t="n">
        <f aca="false">S37-R37</f>
        <v>-4964696838</v>
      </c>
      <c r="AG37" s="325" t="n">
        <f aca="false">T37-S37</f>
        <v>-1386934644</v>
      </c>
      <c r="AH37" s="325" t="n">
        <f aca="false">U37-T37</f>
        <v>-10861683285</v>
      </c>
      <c r="AI37" s="325" t="n">
        <f aca="false">V37-U37</f>
        <v>34238305630</v>
      </c>
      <c r="AJ37" s="325" t="n">
        <f aca="false">W37-V37</f>
        <v>-47460973660</v>
      </c>
      <c r="AK37" s="325" t="n">
        <f aca="false">X37-W37</f>
        <v>50127315983</v>
      </c>
      <c r="AL37" s="325" t="n">
        <f aca="false">Y37-X37</f>
        <v>-34102168821</v>
      </c>
      <c r="AM37" s="325" t="n">
        <f aca="false">Z37-Y37</f>
        <v>1090605399</v>
      </c>
      <c r="AN37" s="325"/>
      <c r="AO37" s="325"/>
      <c r="AP37" s="325"/>
      <c r="AR37" s="314" t="str">
        <f aca="false">IFERROR(VLOOKUP(M37,'BS_DEC 2026'!$D$12:$D$109,1,FALSE()),"(미존재)")</f>
        <v>미착품</v>
      </c>
    </row>
    <row r="38" customFormat="false" ht="16.5" hidden="false" customHeight="false" outlineLevel="0" collapsed="false">
      <c r="A38" s="317" t="s">
        <v>446</v>
      </c>
      <c r="B38" s="314" t="n">
        <v>22500000</v>
      </c>
      <c r="C38" s="314" t="s">
        <v>1591</v>
      </c>
      <c r="D38" s="314" t="s">
        <v>1512</v>
      </c>
      <c r="E38" s="314" t="s">
        <v>1513</v>
      </c>
      <c r="F38" s="314" t="s">
        <v>1590</v>
      </c>
      <c r="G38" s="314" t="s">
        <v>1515</v>
      </c>
      <c r="H38" s="314" t="s">
        <v>1495</v>
      </c>
      <c r="I38" s="314" t="s">
        <v>1583</v>
      </c>
      <c r="K38" s="314" t="s">
        <v>1584</v>
      </c>
      <c r="L38" s="324" t="s">
        <v>447</v>
      </c>
      <c r="M38" s="324" t="s">
        <v>94</v>
      </c>
      <c r="N38" s="324" t="s">
        <v>447</v>
      </c>
      <c r="O38" s="324" t="s">
        <v>1518</v>
      </c>
      <c r="P38" s="324" t="s">
        <v>81</v>
      </c>
      <c r="Q38" s="325" t="n">
        <v>-267557873</v>
      </c>
      <c r="R38" s="325" t="n">
        <v>-946787242</v>
      </c>
      <c r="S38" s="325" t="n">
        <v>-909949258</v>
      </c>
      <c r="T38" s="325" t="n">
        <v>-874256783</v>
      </c>
      <c r="U38" s="325" t="n">
        <v>-204440300</v>
      </c>
      <c r="V38" s="325" t="n">
        <v>-914436514</v>
      </c>
      <c r="W38" s="325" t="n">
        <v>0</v>
      </c>
      <c r="X38" s="325" t="n">
        <v>-868080757</v>
      </c>
      <c r="Y38" s="325" t="n">
        <v>-184241880</v>
      </c>
      <c r="Z38" s="325" t="n">
        <v>-208060150</v>
      </c>
      <c r="AA38" s="325"/>
      <c r="AB38" s="325"/>
      <c r="AC38" s="325"/>
      <c r="AD38" s="325"/>
      <c r="AE38" s="325" t="n">
        <f aca="false">R38</f>
        <v>-946787242</v>
      </c>
      <c r="AF38" s="325" t="n">
        <f aca="false">S38-R38</f>
        <v>36837984</v>
      </c>
      <c r="AG38" s="325" t="n">
        <f aca="false">T38-S38</f>
        <v>35692475</v>
      </c>
      <c r="AH38" s="325" t="n">
        <f aca="false">U38-T38</f>
        <v>669816483</v>
      </c>
      <c r="AI38" s="325" t="n">
        <f aca="false">V38-U38</f>
        <v>-709996214</v>
      </c>
      <c r="AJ38" s="325" t="n">
        <f aca="false">W38-V38</f>
        <v>914436514</v>
      </c>
      <c r="AK38" s="325" t="n">
        <f aca="false">X38-W38</f>
        <v>-868080757</v>
      </c>
      <c r="AL38" s="325" t="n">
        <f aca="false">Y38-X38</f>
        <v>683838877</v>
      </c>
      <c r="AM38" s="325" t="n">
        <f aca="false">Z38-Y38</f>
        <v>-23818270</v>
      </c>
      <c r="AN38" s="325"/>
      <c r="AO38" s="325"/>
      <c r="AP38" s="325"/>
      <c r="AR38" s="314" t="str">
        <f aca="false">IFERROR(VLOOKUP(M38,'BS_DEC 2026'!$D$12:$D$109,1,FALSE()),"(미존재)")</f>
        <v>미착품</v>
      </c>
    </row>
    <row r="39" customFormat="false" ht="16.5" hidden="false" customHeight="false" outlineLevel="0" collapsed="false">
      <c r="A39" s="317" t="s">
        <v>446</v>
      </c>
      <c r="B39" s="314" t="n">
        <v>24000000</v>
      </c>
      <c r="C39" s="314" t="s">
        <v>1592</v>
      </c>
      <c r="D39" s="314" t="s">
        <v>1512</v>
      </c>
      <c r="E39" s="314" t="s">
        <v>1593</v>
      </c>
      <c r="F39" s="314" t="s">
        <v>1594</v>
      </c>
      <c r="G39" s="314" t="s">
        <v>1515</v>
      </c>
      <c r="H39" s="314" t="s">
        <v>1495</v>
      </c>
      <c r="I39" s="314" t="s">
        <v>1595</v>
      </c>
      <c r="K39" s="314" t="s">
        <v>1596</v>
      </c>
      <c r="L39" s="324" t="s">
        <v>447</v>
      </c>
      <c r="M39" s="324" t="s">
        <v>31</v>
      </c>
      <c r="N39" s="324" t="s">
        <v>447</v>
      </c>
      <c r="O39" s="324" t="s">
        <v>1518</v>
      </c>
      <c r="P39" s="324" t="s">
        <v>1597</v>
      </c>
      <c r="Q39" s="325" t="n">
        <v>173829604574</v>
      </c>
      <c r="R39" s="325" t="n">
        <v>183822251095</v>
      </c>
      <c r="S39" s="325" t="n">
        <v>189718637647</v>
      </c>
      <c r="T39" s="325" t="n">
        <v>181490690602</v>
      </c>
      <c r="U39" s="325" t="n">
        <v>177825982091</v>
      </c>
      <c r="V39" s="325" t="n">
        <v>175686704329</v>
      </c>
      <c r="W39" s="325" t="n">
        <v>176669416312</v>
      </c>
      <c r="X39" s="325" t="n">
        <v>184200026171</v>
      </c>
      <c r="Y39" s="325" t="n">
        <v>187574078993</v>
      </c>
      <c r="Z39" s="325" t="n">
        <v>227483307980</v>
      </c>
      <c r="AA39" s="325"/>
      <c r="AB39" s="325"/>
      <c r="AC39" s="325"/>
      <c r="AD39" s="325"/>
      <c r="AE39" s="325" t="n">
        <f aca="false">R39</f>
        <v>183822251095</v>
      </c>
      <c r="AF39" s="325" t="n">
        <f aca="false">S39-R39</f>
        <v>5896386552</v>
      </c>
      <c r="AG39" s="325" t="n">
        <f aca="false">T39-S39</f>
        <v>-8227947045</v>
      </c>
      <c r="AH39" s="325" t="n">
        <f aca="false">U39-T39</f>
        <v>-3664708511</v>
      </c>
      <c r="AI39" s="325" t="n">
        <f aca="false">V39-U39</f>
        <v>-2139277762</v>
      </c>
      <c r="AJ39" s="325" t="n">
        <f aca="false">W39-V39</f>
        <v>982711983</v>
      </c>
      <c r="AK39" s="325" t="n">
        <f aca="false">X39-W39</f>
        <v>7530609859</v>
      </c>
      <c r="AL39" s="325" t="n">
        <f aca="false">Y39-X39</f>
        <v>3374052822</v>
      </c>
      <c r="AM39" s="325" t="n">
        <f aca="false">Z39-Y39</f>
        <v>39909228987</v>
      </c>
      <c r="AN39" s="325"/>
      <c r="AO39" s="325"/>
      <c r="AP39" s="325"/>
      <c r="AR39" s="314" t="str">
        <f aca="false">IFERROR(VLOOKUP(M39,'BS_DEC 2026'!$D$12:$D$109,1,FALSE()),"(미존재)")</f>
        <v>매출채권</v>
      </c>
    </row>
    <row r="40" customFormat="false" ht="16.5" hidden="false" customHeight="false" outlineLevel="0" collapsed="false">
      <c r="A40" s="317" t="s">
        <v>446</v>
      </c>
      <c r="B40" s="314" t="n">
        <v>24000001</v>
      </c>
      <c r="C40" s="314" t="s">
        <v>1598</v>
      </c>
      <c r="D40" s="314" t="s">
        <v>1512</v>
      </c>
      <c r="E40" s="314" t="s">
        <v>1593</v>
      </c>
      <c r="F40" s="314" t="s">
        <v>1594</v>
      </c>
      <c r="G40" s="314" t="s">
        <v>1515</v>
      </c>
      <c r="H40" s="314" t="s">
        <v>1495</v>
      </c>
      <c r="I40" s="314" t="s">
        <v>1595</v>
      </c>
      <c r="K40" s="314" t="s">
        <v>1596</v>
      </c>
      <c r="L40" s="324" t="s">
        <v>447</v>
      </c>
      <c r="M40" s="324" t="s">
        <v>31</v>
      </c>
      <c r="N40" s="324" t="s">
        <v>447</v>
      </c>
      <c r="O40" s="324" t="s">
        <v>1518</v>
      </c>
      <c r="P40" s="324" t="s">
        <v>1597</v>
      </c>
      <c r="Q40" s="325" t="n">
        <v>0</v>
      </c>
      <c r="R40" s="325" t="n">
        <v>0</v>
      </c>
      <c r="S40" s="325" t="n">
        <v>0</v>
      </c>
      <c r="T40" s="325" t="n">
        <v>-2808</v>
      </c>
      <c r="U40" s="325" t="n">
        <v>-1667</v>
      </c>
      <c r="V40" s="325" t="n">
        <v>-4481</v>
      </c>
      <c r="W40" s="325" t="n">
        <v>0</v>
      </c>
      <c r="X40" s="325" t="n">
        <v>0</v>
      </c>
      <c r="Y40" s="325" t="n">
        <v>0</v>
      </c>
      <c r="Z40" s="325" t="n">
        <v>-2244</v>
      </c>
      <c r="AA40" s="325"/>
      <c r="AB40" s="325"/>
      <c r="AC40" s="325"/>
      <c r="AD40" s="325"/>
      <c r="AE40" s="325" t="n">
        <f aca="false">R40</f>
        <v>0</v>
      </c>
      <c r="AF40" s="325" t="n">
        <f aca="false">S40-R40</f>
        <v>0</v>
      </c>
      <c r="AG40" s="325" t="n">
        <f aca="false">T40-S40</f>
        <v>-2808</v>
      </c>
      <c r="AH40" s="325" t="n">
        <f aca="false">U40-T40</f>
        <v>1141</v>
      </c>
      <c r="AI40" s="325" t="n">
        <f aca="false">V40-U40</f>
        <v>-2814</v>
      </c>
      <c r="AJ40" s="325" t="n">
        <f aca="false">W40-V40</f>
        <v>4481</v>
      </c>
      <c r="AK40" s="325" t="n">
        <f aca="false">X40-W40</f>
        <v>0</v>
      </c>
      <c r="AL40" s="325" t="n">
        <f aca="false">Y40-X40</f>
        <v>0</v>
      </c>
      <c r="AM40" s="325" t="n">
        <f aca="false">Z40-Y40</f>
        <v>-2244</v>
      </c>
      <c r="AN40" s="325"/>
      <c r="AO40" s="325"/>
      <c r="AP40" s="325"/>
      <c r="AR40" s="314" t="str">
        <f aca="false">IFERROR(VLOOKUP(M40,'BS_DEC 2026'!$D$12:$D$109,1,FALSE()),"(미존재)")</f>
        <v>매출채권</v>
      </c>
    </row>
    <row r="41" customFormat="false" ht="16.5" hidden="false" customHeight="false" outlineLevel="0" collapsed="false">
      <c r="A41" s="317" t="s">
        <v>446</v>
      </c>
      <c r="B41" s="314" t="n">
        <v>24000004</v>
      </c>
      <c r="C41" s="314" t="s">
        <v>1599</v>
      </c>
      <c r="D41" s="314" t="s">
        <v>1512</v>
      </c>
      <c r="E41" s="314" t="s">
        <v>1593</v>
      </c>
      <c r="F41" s="314" t="s">
        <v>1594</v>
      </c>
      <c r="G41" s="314" t="s">
        <v>1515</v>
      </c>
      <c r="H41" s="314" t="s">
        <v>1495</v>
      </c>
      <c r="I41" s="314" t="s">
        <v>1595</v>
      </c>
      <c r="K41" s="314" t="s">
        <v>1596</v>
      </c>
      <c r="L41" s="324" t="s">
        <v>447</v>
      </c>
      <c r="M41" s="324" t="s">
        <v>31</v>
      </c>
      <c r="N41" s="324" t="s">
        <v>447</v>
      </c>
      <c r="O41" s="324" t="s">
        <v>1518</v>
      </c>
      <c r="P41" s="324" t="s">
        <v>1597</v>
      </c>
      <c r="Q41" s="325" t="n">
        <v>0</v>
      </c>
      <c r="R41" s="325" t="n">
        <v>0</v>
      </c>
      <c r="S41" s="325" t="n">
        <v>0</v>
      </c>
      <c r="T41" s="325" t="n">
        <v>0</v>
      </c>
      <c r="U41" s="325" t="n">
        <v>0</v>
      </c>
      <c r="V41" s="325" t="n">
        <v>0</v>
      </c>
      <c r="W41" s="325" t="n">
        <v>0</v>
      </c>
      <c r="X41" s="325" t="n">
        <v>0</v>
      </c>
      <c r="Y41" s="325" t="n">
        <v>0</v>
      </c>
      <c r="Z41" s="325" t="n">
        <v>0</v>
      </c>
      <c r="AA41" s="325"/>
      <c r="AB41" s="325"/>
      <c r="AC41" s="325"/>
      <c r="AD41" s="325"/>
      <c r="AE41" s="325" t="n">
        <f aca="false">R41</f>
        <v>0</v>
      </c>
      <c r="AF41" s="325" t="n">
        <f aca="false">S41-R41</f>
        <v>0</v>
      </c>
      <c r="AG41" s="325" t="n">
        <f aca="false">T41-S41</f>
        <v>0</v>
      </c>
      <c r="AH41" s="325" t="n">
        <f aca="false">U41-T41</f>
        <v>0</v>
      </c>
      <c r="AI41" s="325" t="n">
        <f aca="false">V41-U41</f>
        <v>0</v>
      </c>
      <c r="AJ41" s="325" t="n">
        <f aca="false">W41-V41</f>
        <v>0</v>
      </c>
      <c r="AK41" s="325" t="n">
        <f aca="false">X41-W41</f>
        <v>0</v>
      </c>
      <c r="AL41" s="325" t="n">
        <f aca="false">Y41-X41</f>
        <v>0</v>
      </c>
      <c r="AM41" s="325" t="n">
        <f aca="false">Z41-Y41</f>
        <v>0</v>
      </c>
      <c r="AN41" s="325"/>
      <c r="AO41" s="325"/>
      <c r="AP41" s="325"/>
      <c r="AR41" s="314" t="str">
        <f aca="false">IFERROR(VLOOKUP(M41,'BS_DEC 2026'!$D$12:$D$109,1,FALSE()),"(미존재)")</f>
        <v>매출채권</v>
      </c>
    </row>
    <row r="42" customFormat="false" ht="16.5" hidden="false" customHeight="false" outlineLevel="0" collapsed="false">
      <c r="A42" s="317" t="s">
        <v>446</v>
      </c>
      <c r="B42" s="314" t="n">
        <v>24000009</v>
      </c>
      <c r="C42" s="314" t="s">
        <v>1600</v>
      </c>
      <c r="D42" s="314" t="s">
        <v>1512</v>
      </c>
      <c r="E42" s="314" t="s">
        <v>1593</v>
      </c>
      <c r="F42" s="314" t="s">
        <v>1594</v>
      </c>
      <c r="G42" s="314" t="s">
        <v>1515</v>
      </c>
      <c r="H42" s="314" t="s">
        <v>1495</v>
      </c>
      <c r="I42" s="314" t="s">
        <v>1601</v>
      </c>
      <c r="K42" s="314" t="s">
        <v>1602</v>
      </c>
      <c r="L42" s="324" t="s">
        <v>447</v>
      </c>
      <c r="M42" s="324" t="s">
        <v>35</v>
      </c>
      <c r="N42" s="324" t="s">
        <v>447</v>
      </c>
      <c r="O42" s="324" t="s">
        <v>1518</v>
      </c>
      <c r="P42" s="324" t="s">
        <v>35</v>
      </c>
      <c r="Q42" s="325" t="n">
        <v>-122273991</v>
      </c>
      <c r="R42" s="325" t="n">
        <v>-122273991</v>
      </c>
      <c r="S42" s="325" t="n">
        <v>-122273991</v>
      </c>
      <c r="T42" s="325" t="n">
        <v>-118195216</v>
      </c>
      <c r="U42" s="325" t="n">
        <v>-118195216</v>
      </c>
      <c r="V42" s="325" t="n">
        <v>-118195216</v>
      </c>
      <c r="W42" s="325" t="n">
        <v>-118149382</v>
      </c>
      <c r="X42" s="325" t="n">
        <v>-118149382</v>
      </c>
      <c r="Y42" s="325" t="n">
        <v>-118149382</v>
      </c>
      <c r="Z42" s="325" t="n">
        <v>-118149382</v>
      </c>
      <c r="AA42" s="325"/>
      <c r="AB42" s="325"/>
      <c r="AC42" s="325"/>
      <c r="AD42" s="325"/>
      <c r="AE42" s="325" t="n">
        <f aca="false">R42</f>
        <v>-122273991</v>
      </c>
      <c r="AF42" s="325" t="n">
        <f aca="false">S42-R42</f>
        <v>0</v>
      </c>
      <c r="AG42" s="325" t="n">
        <f aca="false">T42-S42</f>
        <v>4078775</v>
      </c>
      <c r="AH42" s="325" t="n">
        <f aca="false">U42-T42</f>
        <v>0</v>
      </c>
      <c r="AI42" s="325" t="n">
        <f aca="false">V42-U42</f>
        <v>0</v>
      </c>
      <c r="AJ42" s="325" t="n">
        <f aca="false">W42-V42</f>
        <v>45834</v>
      </c>
      <c r="AK42" s="325" t="n">
        <f aca="false">X42-W42</f>
        <v>0</v>
      </c>
      <c r="AL42" s="325" t="n">
        <f aca="false">Y42-X42</f>
        <v>0</v>
      </c>
      <c r="AM42" s="325" t="n">
        <f aca="false">Z42-Y42</f>
        <v>0</v>
      </c>
      <c r="AN42" s="325"/>
      <c r="AO42" s="325"/>
      <c r="AP42" s="325"/>
      <c r="AR42" s="314" t="str">
        <f aca="false">IFERROR(VLOOKUP(M42,'BS_DEC 2026'!$D$12:$D$109,1,FALSE()),"(미존재)")</f>
        <v>대손충당금</v>
      </c>
    </row>
    <row r="43" customFormat="false" ht="16.5" hidden="false" customHeight="false" outlineLevel="0" collapsed="false">
      <c r="A43" s="317" t="s">
        <v>446</v>
      </c>
      <c r="B43" s="314" t="n">
        <v>24000030</v>
      </c>
      <c r="C43" s="314" t="s">
        <v>1603</v>
      </c>
      <c r="D43" s="314" t="s">
        <v>1512</v>
      </c>
      <c r="E43" s="314" t="s">
        <v>1593</v>
      </c>
      <c r="F43" s="314" t="s">
        <v>1594</v>
      </c>
      <c r="G43" s="314" t="s">
        <v>1515</v>
      </c>
      <c r="H43" s="314" t="s">
        <v>1495</v>
      </c>
      <c r="I43" s="314" t="s">
        <v>1595</v>
      </c>
      <c r="K43" s="314" t="s">
        <v>1596</v>
      </c>
      <c r="L43" s="324" t="s">
        <v>447</v>
      </c>
      <c r="M43" s="324" t="s">
        <v>31</v>
      </c>
      <c r="N43" s="324" t="s">
        <v>447</v>
      </c>
      <c r="O43" s="324" t="s">
        <v>1518</v>
      </c>
      <c r="P43" s="324" t="s">
        <v>1597</v>
      </c>
      <c r="Q43" s="325" t="n">
        <v>109350608</v>
      </c>
      <c r="R43" s="325" t="n">
        <v>109130408</v>
      </c>
      <c r="S43" s="325" t="n">
        <v>108780333</v>
      </c>
      <c r="T43" s="325" t="n">
        <v>111522107</v>
      </c>
      <c r="U43" s="325" t="n">
        <v>111522107</v>
      </c>
      <c r="V43" s="325" t="n">
        <v>111427453</v>
      </c>
      <c r="W43" s="325" t="n">
        <v>111427453</v>
      </c>
      <c r="X43" s="325" t="n">
        <v>111427453</v>
      </c>
      <c r="Y43" s="325" t="n">
        <v>111427453</v>
      </c>
      <c r="Z43" s="325" t="n">
        <v>111427453</v>
      </c>
      <c r="AA43" s="325"/>
      <c r="AB43" s="325"/>
      <c r="AC43" s="325"/>
      <c r="AD43" s="325"/>
      <c r="AE43" s="325" t="n">
        <f aca="false">R43</f>
        <v>109130408</v>
      </c>
      <c r="AF43" s="325" t="n">
        <f aca="false">S43-R43</f>
        <v>-350075</v>
      </c>
      <c r="AG43" s="325" t="n">
        <f aca="false">T43-S43</f>
        <v>2741774</v>
      </c>
      <c r="AH43" s="325" t="n">
        <f aca="false">U43-T43</f>
        <v>0</v>
      </c>
      <c r="AI43" s="325" t="n">
        <f aca="false">V43-U43</f>
        <v>-94654</v>
      </c>
      <c r="AJ43" s="325" t="n">
        <f aca="false">W43-V43</f>
        <v>0</v>
      </c>
      <c r="AK43" s="325" t="n">
        <f aca="false">X43-W43</f>
        <v>0</v>
      </c>
      <c r="AL43" s="325" t="n">
        <f aca="false">Y43-X43</f>
        <v>0</v>
      </c>
      <c r="AM43" s="325" t="n">
        <f aca="false">Z43-Y43</f>
        <v>0</v>
      </c>
      <c r="AN43" s="325"/>
      <c r="AO43" s="325"/>
      <c r="AP43" s="325"/>
      <c r="AR43" s="314" t="str">
        <f aca="false">IFERROR(VLOOKUP(M43,'BS_DEC 2026'!$D$12:$D$109,1,FALSE()),"(미존재)")</f>
        <v>매출채권</v>
      </c>
    </row>
    <row r="44" customFormat="false" ht="16.5" hidden="false" customHeight="false" outlineLevel="0" collapsed="false">
      <c r="A44" s="317" t="s">
        <v>446</v>
      </c>
      <c r="B44" s="314" t="n">
        <v>24000812</v>
      </c>
      <c r="C44" s="314" t="s">
        <v>1604</v>
      </c>
      <c r="D44" s="314" t="s">
        <v>1512</v>
      </c>
      <c r="E44" s="314" t="s">
        <v>1593</v>
      </c>
      <c r="F44" s="314" t="s">
        <v>1605</v>
      </c>
      <c r="G44" s="314" t="s">
        <v>1606</v>
      </c>
      <c r="H44" s="314" t="s">
        <v>1495</v>
      </c>
      <c r="I44" s="314" t="s">
        <v>1607</v>
      </c>
      <c r="K44" s="314" t="s">
        <v>1608</v>
      </c>
      <c r="L44" s="324" t="s">
        <v>447</v>
      </c>
      <c r="M44" s="324" t="s">
        <v>31</v>
      </c>
      <c r="N44" s="324" t="s">
        <v>447</v>
      </c>
      <c r="O44" s="324" t="s">
        <v>1518</v>
      </c>
      <c r="P44" s="324" t="s">
        <v>27</v>
      </c>
      <c r="Q44" s="325"/>
      <c r="R44" s="325"/>
      <c r="S44" s="325"/>
      <c r="T44" s="325"/>
      <c r="U44" s="325"/>
      <c r="V44" s="325"/>
      <c r="W44" s="325"/>
      <c r="X44" s="325"/>
      <c r="Y44" s="325"/>
      <c r="Z44" s="325" t="n">
        <v>17617</v>
      </c>
      <c r="AA44" s="325"/>
      <c r="AB44" s="325"/>
      <c r="AC44" s="325"/>
      <c r="AD44" s="325"/>
      <c r="AE44" s="325"/>
      <c r="AF44" s="325"/>
      <c r="AG44" s="325"/>
      <c r="AH44" s="325"/>
      <c r="AI44" s="325"/>
      <c r="AJ44" s="325"/>
      <c r="AK44" s="325"/>
      <c r="AL44" s="325"/>
      <c r="AM44" s="325" t="n">
        <f aca="false">Z44-Y44</f>
        <v>17617</v>
      </c>
      <c r="AN44" s="325"/>
      <c r="AO44" s="325"/>
      <c r="AP44" s="325"/>
      <c r="AR44" s="314" t="str">
        <f aca="false">IFERROR(VLOOKUP(M44,'BS_DEC 2026'!$D$12:$D$109,1,FALSE()),"(미존재)")</f>
        <v>매출채권</v>
      </c>
    </row>
    <row r="45" customFormat="false" ht="16.5" hidden="false" customHeight="false" outlineLevel="0" collapsed="false">
      <c r="A45" s="317" t="s">
        <v>446</v>
      </c>
      <c r="B45" s="314" t="n">
        <v>24050000</v>
      </c>
      <c r="C45" s="314" t="s">
        <v>1609</v>
      </c>
      <c r="D45" s="314" t="s">
        <v>1512</v>
      </c>
      <c r="E45" s="314" t="s">
        <v>1593</v>
      </c>
      <c r="F45" s="314" t="s">
        <v>1594</v>
      </c>
      <c r="G45" s="314" t="s">
        <v>1610</v>
      </c>
      <c r="H45" s="314" t="s">
        <v>1495</v>
      </c>
      <c r="I45" s="314" t="s">
        <v>1611</v>
      </c>
      <c r="K45" s="314" t="s">
        <v>1612</v>
      </c>
      <c r="L45" s="324" t="s">
        <v>447</v>
      </c>
      <c r="M45" s="324" t="s">
        <v>31</v>
      </c>
      <c r="N45" s="324" t="s">
        <v>447</v>
      </c>
      <c r="O45" s="324" t="s">
        <v>1518</v>
      </c>
      <c r="P45" s="324" t="s">
        <v>1597</v>
      </c>
      <c r="Q45" s="325" t="n">
        <v>8262841</v>
      </c>
      <c r="R45" s="325" t="n">
        <v>75497334</v>
      </c>
      <c r="S45" s="325" t="n">
        <v>75497334</v>
      </c>
      <c r="T45" s="325" t="n">
        <v>75497334</v>
      </c>
      <c r="U45" s="325" t="n">
        <v>8262841</v>
      </c>
      <c r="V45" s="325" t="n">
        <v>8262841</v>
      </c>
      <c r="W45" s="325" t="n">
        <v>10103</v>
      </c>
      <c r="X45" s="325" t="n">
        <v>10103</v>
      </c>
      <c r="Y45" s="325" t="n">
        <v>10103</v>
      </c>
      <c r="Z45" s="325" t="n">
        <v>10103</v>
      </c>
      <c r="AA45" s="325"/>
      <c r="AB45" s="325"/>
      <c r="AC45" s="325"/>
      <c r="AD45" s="325"/>
      <c r="AE45" s="325" t="n">
        <f aca="false">R45</f>
        <v>75497334</v>
      </c>
      <c r="AF45" s="325" t="n">
        <f aca="false">S45-R45</f>
        <v>0</v>
      </c>
      <c r="AG45" s="325" t="n">
        <f aca="false">T45-S45</f>
        <v>0</v>
      </c>
      <c r="AH45" s="325" t="n">
        <f aca="false">U45-T45</f>
        <v>-67234493</v>
      </c>
      <c r="AI45" s="325" t="n">
        <f aca="false">V45-U45</f>
        <v>0</v>
      </c>
      <c r="AJ45" s="325" t="n">
        <f aca="false">W45-V45</f>
        <v>-8252738</v>
      </c>
      <c r="AK45" s="325" t="n">
        <f aca="false">X45-W45</f>
        <v>0</v>
      </c>
      <c r="AL45" s="325" t="n">
        <f aca="false">Y45-X45</f>
        <v>0</v>
      </c>
      <c r="AM45" s="325" t="n">
        <f aca="false">Z45-Y45</f>
        <v>0</v>
      </c>
      <c r="AN45" s="325"/>
      <c r="AO45" s="325"/>
      <c r="AP45" s="325"/>
      <c r="AR45" s="314" t="str">
        <f aca="false">IFERROR(VLOOKUP(M45,'BS_DEC 2026'!$D$12:$D$109,1,FALSE()),"(미존재)")</f>
        <v>매출채권</v>
      </c>
    </row>
    <row r="46" customFormat="false" ht="16.5" hidden="false" customHeight="false" outlineLevel="0" collapsed="false">
      <c r="A46" s="317" t="s">
        <v>446</v>
      </c>
      <c r="B46" s="314" t="n">
        <v>24050051</v>
      </c>
      <c r="C46" s="314" t="s">
        <v>1613</v>
      </c>
      <c r="D46" s="314" t="s">
        <v>1512</v>
      </c>
      <c r="E46" s="314" t="s">
        <v>1593</v>
      </c>
      <c r="F46" s="314" t="s">
        <v>1594</v>
      </c>
      <c r="G46" s="314" t="s">
        <v>1610</v>
      </c>
      <c r="H46" s="314" t="s">
        <v>1495</v>
      </c>
      <c r="I46" s="314" t="s">
        <v>1611</v>
      </c>
      <c r="K46" s="314" t="s">
        <v>1612</v>
      </c>
      <c r="L46" s="324" t="s">
        <v>447</v>
      </c>
      <c r="M46" s="324" t="s">
        <v>31</v>
      </c>
      <c r="N46" s="324" t="s">
        <v>447</v>
      </c>
      <c r="O46" s="324" t="s">
        <v>1518</v>
      </c>
      <c r="P46" s="324" t="s">
        <v>1597</v>
      </c>
      <c r="Q46" s="325" t="n">
        <v>0</v>
      </c>
      <c r="R46" s="325" t="n">
        <v>0</v>
      </c>
      <c r="S46" s="325" t="n">
        <v>0</v>
      </c>
      <c r="T46" s="325" t="n">
        <v>6795422000</v>
      </c>
      <c r="U46" s="325" t="n">
        <v>6795422000</v>
      </c>
      <c r="V46" s="325" t="n">
        <v>6795422000</v>
      </c>
      <c r="W46" s="325" t="n">
        <v>0</v>
      </c>
      <c r="X46" s="325" t="n">
        <v>0</v>
      </c>
      <c r="Y46" s="325" t="n">
        <v>0</v>
      </c>
      <c r="Z46" s="325" t="n">
        <v>0</v>
      </c>
      <c r="AA46" s="325"/>
      <c r="AB46" s="325"/>
      <c r="AC46" s="325"/>
      <c r="AD46" s="325"/>
      <c r="AE46" s="325" t="n">
        <f aca="false">R46</f>
        <v>0</v>
      </c>
      <c r="AF46" s="325" t="n">
        <f aca="false">S46-R46</f>
        <v>0</v>
      </c>
      <c r="AG46" s="325" t="n">
        <f aca="false">T46-S46</f>
        <v>6795422000</v>
      </c>
      <c r="AH46" s="325" t="n">
        <f aca="false">U46-T46</f>
        <v>0</v>
      </c>
      <c r="AI46" s="325" t="n">
        <f aca="false">V46-U46</f>
        <v>0</v>
      </c>
      <c r="AJ46" s="325" t="n">
        <f aca="false">W46-V46</f>
        <v>-6795422000</v>
      </c>
      <c r="AK46" s="325" t="n">
        <f aca="false">X46-W46</f>
        <v>0</v>
      </c>
      <c r="AL46" s="325" t="n">
        <f aca="false">Y46-X46</f>
        <v>0</v>
      </c>
      <c r="AM46" s="325" t="n">
        <f aca="false">Z46-Y46</f>
        <v>0</v>
      </c>
      <c r="AN46" s="325"/>
      <c r="AO46" s="325"/>
      <c r="AP46" s="325"/>
      <c r="AR46" s="314" t="str">
        <f aca="false">IFERROR(VLOOKUP(M46,'BS_DEC 2026'!$D$12:$D$109,1,FALSE()),"(미존재)")</f>
        <v>매출채권</v>
      </c>
    </row>
    <row r="47" customFormat="false" ht="16.5" hidden="false" customHeight="false" outlineLevel="0" collapsed="false">
      <c r="A47" s="317" t="s">
        <v>446</v>
      </c>
      <c r="B47" s="314" t="n">
        <v>24100002</v>
      </c>
      <c r="C47" s="314" t="s">
        <v>1614</v>
      </c>
      <c r="D47" s="314" t="s">
        <v>1512</v>
      </c>
      <c r="E47" s="314" t="s">
        <v>1593</v>
      </c>
      <c r="F47" s="314" t="s">
        <v>1594</v>
      </c>
      <c r="G47" s="314" t="s">
        <v>1515</v>
      </c>
      <c r="H47" s="314" t="s">
        <v>1495</v>
      </c>
      <c r="I47" s="314" t="s">
        <v>1601</v>
      </c>
      <c r="K47" s="314" t="s">
        <v>1602</v>
      </c>
      <c r="L47" s="324" t="s">
        <v>447</v>
      </c>
      <c r="M47" s="324" t="s">
        <v>35</v>
      </c>
      <c r="N47" s="324" t="s">
        <v>447</v>
      </c>
      <c r="O47" s="324" t="s">
        <v>1518</v>
      </c>
      <c r="P47" s="324" t="s">
        <v>35</v>
      </c>
      <c r="Q47" s="325" t="n">
        <v>0</v>
      </c>
      <c r="R47" s="325" t="n">
        <v>0</v>
      </c>
      <c r="S47" s="325" t="n">
        <v>0</v>
      </c>
      <c r="T47" s="325" t="n">
        <v>0</v>
      </c>
      <c r="U47" s="325" t="n">
        <v>0</v>
      </c>
      <c r="V47" s="325" t="n">
        <v>0</v>
      </c>
      <c r="W47" s="325" t="n">
        <v>0</v>
      </c>
      <c r="X47" s="325" t="n">
        <v>0</v>
      </c>
      <c r="Y47" s="325" t="n">
        <v>0</v>
      </c>
      <c r="Z47" s="325" t="n">
        <v>0</v>
      </c>
      <c r="AA47" s="325"/>
      <c r="AB47" s="325"/>
      <c r="AC47" s="325"/>
      <c r="AD47" s="325"/>
      <c r="AE47" s="325" t="n">
        <f aca="false">R47</f>
        <v>0</v>
      </c>
      <c r="AF47" s="325" t="n">
        <f aca="false">S47-R47</f>
        <v>0</v>
      </c>
      <c r="AG47" s="325" t="n">
        <f aca="false">T47-S47</f>
        <v>0</v>
      </c>
      <c r="AH47" s="325" t="n">
        <f aca="false">U47-T47</f>
        <v>0</v>
      </c>
      <c r="AI47" s="325" t="n">
        <f aca="false">V47-U47</f>
        <v>0</v>
      </c>
      <c r="AJ47" s="325" t="n">
        <f aca="false">W47-V47</f>
        <v>0</v>
      </c>
      <c r="AK47" s="325" t="n">
        <f aca="false">X47-W47</f>
        <v>0</v>
      </c>
      <c r="AL47" s="325" t="n">
        <f aca="false">Y47-X47</f>
        <v>0</v>
      </c>
      <c r="AM47" s="325" t="n">
        <f aca="false">Z47-Y47</f>
        <v>0</v>
      </c>
      <c r="AN47" s="325"/>
      <c r="AO47" s="325"/>
      <c r="AP47" s="325"/>
      <c r="AR47" s="314" t="str">
        <f aca="false">IFERROR(VLOOKUP(M47,'BS_DEC 2026'!$D$12:$D$109,1,FALSE()),"(미존재)")</f>
        <v>대손충당금</v>
      </c>
    </row>
    <row r="48" customFormat="false" ht="16.5" hidden="false" customHeight="false" outlineLevel="0" collapsed="false">
      <c r="A48" s="317" t="s">
        <v>446</v>
      </c>
      <c r="B48" s="314" t="n">
        <v>26000000</v>
      </c>
      <c r="C48" s="314" t="s">
        <v>1615</v>
      </c>
      <c r="G48" s="314" t="s">
        <v>1515</v>
      </c>
      <c r="H48" s="314" t="s">
        <v>1495</v>
      </c>
      <c r="I48" s="314" t="s">
        <v>1616</v>
      </c>
      <c r="K48" s="314" t="s">
        <v>1617</v>
      </c>
      <c r="L48" s="324" t="s">
        <v>447</v>
      </c>
      <c r="M48" s="324" t="s">
        <v>39</v>
      </c>
      <c r="N48" s="324" t="s">
        <v>447</v>
      </c>
      <c r="O48" s="324" t="s">
        <v>1518</v>
      </c>
      <c r="P48" s="324" t="s">
        <v>39</v>
      </c>
      <c r="Q48" s="325" t="n">
        <v>-8851971</v>
      </c>
      <c r="R48" s="325" t="n">
        <v>-709221</v>
      </c>
      <c r="S48" s="325" t="n">
        <v>-9672517</v>
      </c>
      <c r="T48" s="325" t="n">
        <v>978472424</v>
      </c>
      <c r="U48" s="325" t="n">
        <v>-9335194</v>
      </c>
      <c r="V48" s="325" t="n">
        <v>-9049424</v>
      </c>
      <c r="W48" s="325" t="n">
        <v>1819980</v>
      </c>
      <c r="X48" s="325" t="n">
        <v>1819980</v>
      </c>
      <c r="Y48" s="325" t="n">
        <v>1819980</v>
      </c>
      <c r="Z48" s="325" t="n">
        <v>1002240</v>
      </c>
      <c r="AA48" s="325"/>
      <c r="AB48" s="325"/>
      <c r="AC48" s="325"/>
      <c r="AD48" s="325"/>
      <c r="AE48" s="325" t="n">
        <f aca="false">R48</f>
        <v>-709221</v>
      </c>
      <c r="AF48" s="325" t="n">
        <f aca="false">S48-R48</f>
        <v>-8963296</v>
      </c>
      <c r="AG48" s="325" t="n">
        <f aca="false">T48-S48</f>
        <v>988144941</v>
      </c>
      <c r="AH48" s="325" t="n">
        <f aca="false">U48-T48</f>
        <v>-987807618</v>
      </c>
      <c r="AI48" s="325" t="n">
        <f aca="false">V48-U48</f>
        <v>285770</v>
      </c>
      <c r="AJ48" s="325" t="n">
        <f aca="false">W48-V48</f>
        <v>10869404</v>
      </c>
      <c r="AK48" s="325" t="n">
        <f aca="false">X48-W48</f>
        <v>0</v>
      </c>
      <c r="AL48" s="325" t="n">
        <f aca="false">Y48-X48</f>
        <v>0</v>
      </c>
      <c r="AM48" s="325" t="n">
        <f aca="false">Z48-Y48</f>
        <v>-817740</v>
      </c>
      <c r="AN48" s="325"/>
      <c r="AO48" s="325"/>
      <c r="AP48" s="325"/>
      <c r="AR48" s="314" t="str">
        <f aca="false">IFERROR(VLOOKUP(M48,'BS_DEC 2026'!$D$12:$D$109,1,FALSE()),"(미존재)")</f>
        <v>미수금</v>
      </c>
    </row>
    <row r="49" customFormat="false" ht="16.5" hidden="false" customHeight="false" outlineLevel="0" collapsed="false">
      <c r="A49" s="317" t="s">
        <v>446</v>
      </c>
      <c r="B49" s="314" t="n">
        <v>26000015</v>
      </c>
      <c r="C49" s="314" t="s">
        <v>1618</v>
      </c>
      <c r="D49" s="314" t="s">
        <v>1512</v>
      </c>
      <c r="E49" s="314" t="s">
        <v>1593</v>
      </c>
      <c r="F49" s="314" t="s">
        <v>1619</v>
      </c>
      <c r="G49" s="314" t="s">
        <v>1515</v>
      </c>
      <c r="H49" s="314" t="s">
        <v>1495</v>
      </c>
      <c r="I49" s="314" t="s">
        <v>1616</v>
      </c>
      <c r="K49" s="314" t="s">
        <v>1617</v>
      </c>
      <c r="L49" s="324" t="s">
        <v>447</v>
      </c>
      <c r="M49" s="324" t="s">
        <v>46</v>
      </c>
      <c r="N49" s="324" t="s">
        <v>447</v>
      </c>
      <c r="O49" s="324" t="s">
        <v>1518</v>
      </c>
      <c r="P49" s="324" t="s">
        <v>46</v>
      </c>
      <c r="Q49" s="325" t="n">
        <v>979522379</v>
      </c>
      <c r="R49" s="325" t="n">
        <v>1077942840</v>
      </c>
      <c r="S49" s="325" t="n">
        <v>1125785792</v>
      </c>
      <c r="T49" s="325" t="n">
        <v>280033537</v>
      </c>
      <c r="U49" s="325" t="n">
        <v>392172650</v>
      </c>
      <c r="V49" s="325" t="n">
        <v>515379905</v>
      </c>
      <c r="W49" s="325" t="n">
        <v>627623527</v>
      </c>
      <c r="X49" s="325" t="n">
        <v>742453168</v>
      </c>
      <c r="Y49" s="325" t="n">
        <v>867874852</v>
      </c>
      <c r="Z49" s="325" t="n">
        <v>981690770</v>
      </c>
      <c r="AA49" s="325"/>
      <c r="AB49" s="325"/>
      <c r="AC49" s="325"/>
      <c r="AD49" s="325"/>
      <c r="AE49" s="325" t="n">
        <f aca="false">R49</f>
        <v>1077942840</v>
      </c>
      <c r="AF49" s="325" t="n">
        <f aca="false">S49-R49</f>
        <v>47842952</v>
      </c>
      <c r="AG49" s="325" t="n">
        <f aca="false">T49-S49</f>
        <v>-845752255</v>
      </c>
      <c r="AH49" s="325" t="n">
        <f aca="false">U49-T49</f>
        <v>112139113</v>
      </c>
      <c r="AI49" s="325" t="n">
        <f aca="false">V49-U49</f>
        <v>123207255</v>
      </c>
      <c r="AJ49" s="325" t="n">
        <f aca="false">W49-V49</f>
        <v>112243622</v>
      </c>
      <c r="AK49" s="325" t="n">
        <f aca="false">X49-W49</f>
        <v>114829641</v>
      </c>
      <c r="AL49" s="325" t="n">
        <f aca="false">Y49-X49</f>
        <v>125421684</v>
      </c>
      <c r="AM49" s="325" t="n">
        <f aca="false">Z49-Y49</f>
        <v>113815918</v>
      </c>
      <c r="AN49" s="325"/>
      <c r="AO49" s="325"/>
      <c r="AP49" s="325"/>
      <c r="AR49" s="314" t="str">
        <f aca="false">IFERROR(VLOOKUP(M49,'BS_DEC 2026'!$D$12:$D$109,1,FALSE()),"(미존재)")</f>
        <v>미수수익</v>
      </c>
    </row>
    <row r="50" customFormat="false" ht="16.5" hidden="false" customHeight="false" outlineLevel="0" collapsed="false">
      <c r="A50" s="317" t="s">
        <v>446</v>
      </c>
      <c r="B50" s="314" t="n">
        <v>26000033</v>
      </c>
      <c r="C50" s="314" t="s">
        <v>1620</v>
      </c>
      <c r="D50" s="314" t="s">
        <v>1512</v>
      </c>
      <c r="E50" s="314" t="s">
        <v>1593</v>
      </c>
      <c r="F50" s="314" t="s">
        <v>1621</v>
      </c>
      <c r="G50" s="314" t="s">
        <v>1515</v>
      </c>
      <c r="H50" s="314" t="s">
        <v>1495</v>
      </c>
      <c r="I50" s="314" t="s">
        <v>1622</v>
      </c>
      <c r="K50" s="314" t="s">
        <v>563</v>
      </c>
      <c r="L50" s="324" t="s">
        <v>447</v>
      </c>
      <c r="M50" s="324" t="s">
        <v>39</v>
      </c>
      <c r="N50" s="324" t="s">
        <v>447</v>
      </c>
      <c r="O50" s="324" t="s">
        <v>1518</v>
      </c>
      <c r="P50" s="324" t="s">
        <v>39</v>
      </c>
      <c r="Q50" s="325" t="n">
        <v>0</v>
      </c>
      <c r="R50" s="325" t="n">
        <v>0</v>
      </c>
      <c r="S50" s="325" t="n">
        <v>0</v>
      </c>
      <c r="T50" s="325" t="n">
        <v>0</v>
      </c>
      <c r="U50" s="325" t="n">
        <v>0</v>
      </c>
      <c r="V50" s="325" t="n">
        <v>0</v>
      </c>
      <c r="W50" s="325" t="n">
        <v>0</v>
      </c>
      <c r="X50" s="325" t="n">
        <v>0</v>
      </c>
      <c r="Y50" s="325" t="n">
        <v>0</v>
      </c>
      <c r="Z50" s="325" t="n">
        <v>0</v>
      </c>
      <c r="AA50" s="325"/>
      <c r="AB50" s="325"/>
      <c r="AC50" s="325"/>
      <c r="AD50" s="325"/>
      <c r="AE50" s="325" t="n">
        <f aca="false">R50</f>
        <v>0</v>
      </c>
      <c r="AF50" s="325" t="n">
        <f aca="false">S50-R50</f>
        <v>0</v>
      </c>
      <c r="AG50" s="325" t="n">
        <f aca="false">T50-S50</f>
        <v>0</v>
      </c>
      <c r="AH50" s="325" t="n">
        <f aca="false">U50-T50</f>
        <v>0</v>
      </c>
      <c r="AI50" s="325" t="n">
        <f aca="false">V50-U50</f>
        <v>0</v>
      </c>
      <c r="AJ50" s="325" t="n">
        <f aca="false">W50-V50</f>
        <v>0</v>
      </c>
      <c r="AK50" s="325" t="n">
        <f aca="false">X50-W50</f>
        <v>0</v>
      </c>
      <c r="AL50" s="325" t="n">
        <f aca="false">Y50-X50</f>
        <v>0</v>
      </c>
      <c r="AM50" s="325" t="n">
        <f aca="false">Z50-Y50</f>
        <v>0</v>
      </c>
      <c r="AN50" s="325"/>
      <c r="AO50" s="325"/>
      <c r="AP50" s="325"/>
      <c r="AR50" s="314" t="str">
        <f aca="false">IFERROR(VLOOKUP(M50,'BS_DEC 2026'!$D$12:$D$109,1,FALSE()),"(미존재)")</f>
        <v>미수금</v>
      </c>
    </row>
    <row r="51" customFormat="false" ht="16.5" hidden="false" customHeight="false" outlineLevel="0" collapsed="false">
      <c r="A51" s="317" t="s">
        <v>446</v>
      </c>
      <c r="B51" s="314" t="n">
        <v>26000200</v>
      </c>
      <c r="C51" s="314" t="s">
        <v>1623</v>
      </c>
      <c r="D51" s="314" t="s">
        <v>1512</v>
      </c>
      <c r="E51" s="314" t="s">
        <v>1593</v>
      </c>
      <c r="F51" s="314" t="s">
        <v>1624</v>
      </c>
      <c r="G51" s="314" t="s">
        <v>1515</v>
      </c>
      <c r="H51" s="314" t="s">
        <v>1495</v>
      </c>
      <c r="I51" s="314" t="s">
        <v>1625</v>
      </c>
      <c r="K51" s="314" t="s">
        <v>1626</v>
      </c>
      <c r="L51" s="324" t="s">
        <v>447</v>
      </c>
      <c r="M51" s="324" t="s">
        <v>60</v>
      </c>
      <c r="N51" s="324" t="s">
        <v>447</v>
      </c>
      <c r="O51" s="324" t="s">
        <v>1518</v>
      </c>
      <c r="P51" s="324" t="s">
        <v>60</v>
      </c>
      <c r="Q51" s="325"/>
      <c r="R51" s="325" t="n">
        <v>0</v>
      </c>
      <c r="S51" s="325"/>
      <c r="T51" s="325"/>
      <c r="U51" s="325"/>
      <c r="V51" s="325"/>
      <c r="W51" s="325"/>
      <c r="X51" s="325" t="n">
        <v>706023118</v>
      </c>
      <c r="Y51" s="325" t="n">
        <v>664962455</v>
      </c>
      <c r="Z51" s="325" t="n">
        <v>656604886</v>
      </c>
      <c r="AA51" s="325"/>
      <c r="AB51" s="325"/>
      <c r="AC51" s="325"/>
      <c r="AD51" s="325"/>
      <c r="AE51" s="325"/>
      <c r="AF51" s="325"/>
      <c r="AG51" s="325"/>
      <c r="AH51" s="325"/>
      <c r="AI51" s="325"/>
      <c r="AJ51" s="325"/>
      <c r="AK51" s="325" t="n">
        <f aca="false">X51-W51</f>
        <v>706023118</v>
      </c>
      <c r="AL51" s="325" t="n">
        <f aca="false">Y51-X51</f>
        <v>-41060663</v>
      </c>
      <c r="AM51" s="325" t="n">
        <f aca="false">Z51-Y51</f>
        <v>-8357569</v>
      </c>
      <c r="AN51" s="325"/>
      <c r="AO51" s="325"/>
      <c r="AP51" s="325"/>
      <c r="AR51" s="314" t="str">
        <f aca="false">IFERROR(VLOOKUP(M51,'BS_DEC 2026'!$D$12:$D$109,1,FALSE()),"(미존재)")</f>
        <v>선급비용</v>
      </c>
    </row>
    <row r="52" customFormat="false" ht="16.5" hidden="false" customHeight="false" outlineLevel="0" collapsed="false">
      <c r="A52" s="317" t="s">
        <v>446</v>
      </c>
      <c r="B52" s="314" t="n">
        <v>26000810</v>
      </c>
      <c r="C52" s="314" t="s">
        <v>1627</v>
      </c>
      <c r="D52" s="314" t="s">
        <v>1512</v>
      </c>
      <c r="E52" s="314" t="s">
        <v>1593</v>
      </c>
      <c r="F52" s="314" t="s">
        <v>1621</v>
      </c>
      <c r="G52" s="314" t="s">
        <v>1515</v>
      </c>
      <c r="H52" s="314" t="s">
        <v>1495</v>
      </c>
      <c r="I52" s="314" t="s">
        <v>1628</v>
      </c>
      <c r="K52" s="314" t="s">
        <v>1629</v>
      </c>
      <c r="L52" s="324" t="s">
        <v>447</v>
      </c>
      <c r="M52" s="324" t="s">
        <v>50</v>
      </c>
      <c r="N52" s="324" t="s">
        <v>447</v>
      </c>
      <c r="O52" s="324" t="s">
        <v>1518</v>
      </c>
      <c r="P52" s="324" t="s">
        <v>39</v>
      </c>
      <c r="Q52" s="325" t="n">
        <v>6858752</v>
      </c>
      <c r="R52" s="325" t="n">
        <v>5564992</v>
      </c>
      <c r="S52" s="325" t="n">
        <v>1797332242</v>
      </c>
      <c r="T52" s="325" t="n">
        <v>1370773380</v>
      </c>
      <c r="U52" s="325" t="n">
        <v>-5652220</v>
      </c>
      <c r="V52" s="325" t="n">
        <v>291870</v>
      </c>
      <c r="W52" s="325" t="n">
        <v>23161190</v>
      </c>
      <c r="X52" s="325" t="n">
        <v>8878580</v>
      </c>
      <c r="Y52" s="325" t="n">
        <v>808630</v>
      </c>
      <c r="Z52" s="325" t="n">
        <v>809597490</v>
      </c>
      <c r="AA52" s="325"/>
      <c r="AB52" s="325"/>
      <c r="AC52" s="325"/>
      <c r="AD52" s="325"/>
      <c r="AE52" s="325" t="n">
        <f aca="false">R52</f>
        <v>5564992</v>
      </c>
      <c r="AF52" s="325" t="n">
        <f aca="false">S52-R52</f>
        <v>1791767250</v>
      </c>
      <c r="AG52" s="325" t="n">
        <f aca="false">T52-S52</f>
        <v>-426558862</v>
      </c>
      <c r="AH52" s="325" t="n">
        <f aca="false">U52-T52</f>
        <v>-1376425600</v>
      </c>
      <c r="AI52" s="325" t="n">
        <f aca="false">V52-U52</f>
        <v>5944090</v>
      </c>
      <c r="AJ52" s="325" t="n">
        <f aca="false">W52-V52</f>
        <v>22869320</v>
      </c>
      <c r="AK52" s="325" t="n">
        <f aca="false">X52-W52</f>
        <v>-14282610</v>
      </c>
      <c r="AL52" s="325" t="n">
        <f aca="false">Y52-X52</f>
        <v>-8069950</v>
      </c>
      <c r="AM52" s="325" t="n">
        <f aca="false">Z52-Y52</f>
        <v>808788860</v>
      </c>
      <c r="AN52" s="325"/>
      <c r="AO52" s="325"/>
      <c r="AP52" s="325"/>
      <c r="AR52" s="314" t="str">
        <f aca="false">IFERROR(VLOOKUP(M52,'BS_DEC 2026'!$D$12:$D$109,1,FALSE()),"(미존재)")</f>
        <v>선급금</v>
      </c>
    </row>
    <row r="53" customFormat="false" ht="16.5" hidden="false" customHeight="false" outlineLevel="0" collapsed="false">
      <c r="A53" s="317" t="s">
        <v>446</v>
      </c>
      <c r="B53" s="314" t="n">
        <v>26030000</v>
      </c>
      <c r="C53" s="314" t="s">
        <v>1630</v>
      </c>
      <c r="D53" s="314" t="s">
        <v>1512</v>
      </c>
      <c r="E53" s="314" t="s">
        <v>1593</v>
      </c>
      <c r="F53" s="314" t="s">
        <v>1594</v>
      </c>
      <c r="G53" s="314" t="s">
        <v>1515</v>
      </c>
      <c r="H53" s="314" t="s">
        <v>1495</v>
      </c>
      <c r="I53" s="314" t="s">
        <v>1631</v>
      </c>
      <c r="K53" s="314" t="s">
        <v>1632</v>
      </c>
      <c r="L53" s="324" t="s">
        <v>447</v>
      </c>
      <c r="M53" s="324" t="s">
        <v>35</v>
      </c>
      <c r="N53" s="324" t="s">
        <v>447</v>
      </c>
      <c r="O53" s="324" t="s">
        <v>1518</v>
      </c>
      <c r="P53" s="324" t="s">
        <v>35</v>
      </c>
      <c r="Q53" s="325" t="n">
        <v>0</v>
      </c>
      <c r="R53" s="325" t="n">
        <v>0</v>
      </c>
      <c r="S53" s="325" t="n">
        <v>0</v>
      </c>
      <c r="T53" s="325" t="n">
        <v>0</v>
      </c>
      <c r="U53" s="325" t="n">
        <v>0</v>
      </c>
      <c r="V53" s="325" t="n">
        <v>0</v>
      </c>
      <c r="W53" s="325" t="n">
        <v>0</v>
      </c>
      <c r="X53" s="325" t="n">
        <v>0</v>
      </c>
      <c r="Y53" s="325" t="n">
        <v>0</v>
      </c>
      <c r="Z53" s="325" t="n">
        <v>0</v>
      </c>
      <c r="AA53" s="325"/>
      <c r="AB53" s="325"/>
      <c r="AC53" s="325"/>
      <c r="AD53" s="325"/>
      <c r="AE53" s="325" t="n">
        <f aca="false">R53</f>
        <v>0</v>
      </c>
      <c r="AF53" s="325" t="n">
        <f aca="false">S53-R53</f>
        <v>0</v>
      </c>
      <c r="AG53" s="325" t="n">
        <f aca="false">T53-S53</f>
        <v>0</v>
      </c>
      <c r="AH53" s="325" t="n">
        <f aca="false">U53-T53</f>
        <v>0</v>
      </c>
      <c r="AI53" s="325" t="n">
        <f aca="false">V53-U53</f>
        <v>0</v>
      </c>
      <c r="AJ53" s="325" t="n">
        <f aca="false">W53-V53</f>
        <v>0</v>
      </c>
      <c r="AK53" s="325" t="n">
        <f aca="false">X53-W53</f>
        <v>0</v>
      </c>
      <c r="AL53" s="325" t="n">
        <f aca="false">Y53-X53</f>
        <v>0</v>
      </c>
      <c r="AM53" s="325" t="n">
        <f aca="false">Z53-Y53</f>
        <v>0</v>
      </c>
      <c r="AN53" s="325"/>
      <c r="AO53" s="325"/>
      <c r="AP53" s="325"/>
      <c r="AR53" s="314" t="str">
        <f aca="false">IFERROR(VLOOKUP(M53,'BS_DEC 2026'!$D$12:$D$109,1,FALSE()),"(미존재)")</f>
        <v>대손충당금</v>
      </c>
    </row>
    <row r="54" customFormat="false" ht="16.5" hidden="false" customHeight="false" outlineLevel="0" collapsed="false">
      <c r="A54" s="317" t="s">
        <v>446</v>
      </c>
      <c r="B54" s="314" t="n">
        <v>26050000</v>
      </c>
      <c r="C54" s="314" t="s">
        <v>1633</v>
      </c>
      <c r="D54" s="314" t="s">
        <v>1512</v>
      </c>
      <c r="E54" s="314" t="s">
        <v>1593</v>
      </c>
      <c r="F54" s="314" t="s">
        <v>1621</v>
      </c>
      <c r="G54" s="314" t="s">
        <v>1610</v>
      </c>
      <c r="H54" s="314" t="s">
        <v>1495</v>
      </c>
      <c r="I54" s="314" t="s">
        <v>1611</v>
      </c>
      <c r="K54" s="314" t="s">
        <v>1612</v>
      </c>
      <c r="L54" s="324" t="s">
        <v>447</v>
      </c>
      <c r="M54" s="324" t="s">
        <v>39</v>
      </c>
      <c r="N54" s="324" t="s">
        <v>447</v>
      </c>
      <c r="O54" s="324" t="s">
        <v>1518</v>
      </c>
      <c r="P54" s="324" t="s">
        <v>39</v>
      </c>
      <c r="Q54" s="325" t="n">
        <v>16694851073</v>
      </c>
      <c r="R54" s="325" t="n">
        <v>7065437572</v>
      </c>
      <c r="S54" s="325" t="n">
        <v>3216733556</v>
      </c>
      <c r="T54" s="325" t="n">
        <v>6828696225</v>
      </c>
      <c r="U54" s="325" t="n">
        <v>3660460828</v>
      </c>
      <c r="V54" s="325" t="n">
        <v>11400</v>
      </c>
      <c r="W54" s="325" t="n">
        <v>5605566971</v>
      </c>
      <c r="X54" s="325" t="n">
        <v>5605555571</v>
      </c>
      <c r="Y54" s="325" t="n">
        <v>0</v>
      </c>
      <c r="Z54" s="325" t="n">
        <v>11576676956</v>
      </c>
      <c r="AA54" s="325"/>
      <c r="AB54" s="325"/>
      <c r="AC54" s="325"/>
      <c r="AD54" s="325"/>
      <c r="AE54" s="325" t="n">
        <f aca="false">R54</f>
        <v>7065437572</v>
      </c>
      <c r="AF54" s="325" t="n">
        <f aca="false">S54-R54</f>
        <v>-3848704016</v>
      </c>
      <c r="AG54" s="325" t="n">
        <f aca="false">T54-S54</f>
        <v>3611962669</v>
      </c>
      <c r="AH54" s="325" t="n">
        <f aca="false">U54-T54</f>
        <v>-3168235397</v>
      </c>
      <c r="AI54" s="325" t="n">
        <f aca="false">V54-U54</f>
        <v>-3660449428</v>
      </c>
      <c r="AJ54" s="325" t="n">
        <f aca="false">W54-V54</f>
        <v>5605555571</v>
      </c>
      <c r="AK54" s="325" t="n">
        <f aca="false">X54-W54</f>
        <v>-11400</v>
      </c>
      <c r="AL54" s="325" t="n">
        <f aca="false">Y54-X54</f>
        <v>-5605555571</v>
      </c>
      <c r="AM54" s="325" t="n">
        <f aca="false">Z54-Y54</f>
        <v>11576676956</v>
      </c>
      <c r="AN54" s="325"/>
      <c r="AO54" s="325"/>
      <c r="AP54" s="325"/>
      <c r="AR54" s="314" t="str">
        <f aca="false">IFERROR(VLOOKUP(M54,'BS_DEC 2026'!$D$12:$D$109,1,FALSE()),"(미존재)")</f>
        <v>미수금</v>
      </c>
    </row>
    <row r="55" customFormat="false" ht="16.5" hidden="false" customHeight="false" outlineLevel="0" collapsed="false">
      <c r="A55" s="317" t="s">
        <v>446</v>
      </c>
      <c r="B55" s="314" t="n">
        <v>26220000</v>
      </c>
      <c r="C55" s="314" t="s">
        <v>1634</v>
      </c>
      <c r="G55" s="314" t="s">
        <v>1610</v>
      </c>
      <c r="H55" s="314" t="s">
        <v>1495</v>
      </c>
      <c r="I55" s="314" t="s">
        <v>1611</v>
      </c>
      <c r="K55" s="314" t="s">
        <v>1612</v>
      </c>
      <c r="L55" s="314" t="s">
        <v>1635</v>
      </c>
      <c r="M55" s="314" t="s">
        <v>1635</v>
      </c>
      <c r="N55" s="314" t="s">
        <v>1635</v>
      </c>
      <c r="O55" s="314" t="s">
        <v>1635</v>
      </c>
      <c r="P55" s="314" t="s">
        <v>1635</v>
      </c>
      <c r="Q55" s="325" t="n">
        <v>0</v>
      </c>
      <c r="R55" s="325" t="n">
        <v>0</v>
      </c>
      <c r="S55" s="325" t="n">
        <v>0</v>
      </c>
      <c r="T55" s="325" t="n">
        <v>0</v>
      </c>
      <c r="U55" s="325" t="n">
        <v>0</v>
      </c>
      <c r="V55" s="325" t="n">
        <v>0</v>
      </c>
      <c r="W55" s="325" t="n">
        <v>0</v>
      </c>
      <c r="X55" s="325" t="n">
        <v>0</v>
      </c>
      <c r="Y55" s="325" t="n">
        <v>0</v>
      </c>
      <c r="Z55" s="325" t="n">
        <v>0</v>
      </c>
      <c r="AA55" s="325"/>
      <c r="AB55" s="325"/>
      <c r="AC55" s="325"/>
      <c r="AD55" s="325"/>
      <c r="AE55" s="325" t="n">
        <f aca="false">R55</f>
        <v>0</v>
      </c>
      <c r="AF55" s="325" t="n">
        <f aca="false">S55-R55</f>
        <v>0</v>
      </c>
      <c r="AG55" s="325" t="n">
        <f aca="false">T55-S55</f>
        <v>0</v>
      </c>
      <c r="AH55" s="325" t="n">
        <f aca="false">U55-T55</f>
        <v>0</v>
      </c>
      <c r="AI55" s="325" t="n">
        <f aca="false">V55-U55</f>
        <v>0</v>
      </c>
      <c r="AJ55" s="325" t="n">
        <f aca="false">W55-V55</f>
        <v>0</v>
      </c>
      <c r="AK55" s="325" t="n">
        <f aca="false">X55-W55</f>
        <v>0</v>
      </c>
      <c r="AL55" s="325" t="n">
        <f aca="false">Y55-X55</f>
        <v>0</v>
      </c>
      <c r="AM55" s="325" t="n">
        <f aca="false">Z55-Y55</f>
        <v>0</v>
      </c>
      <c r="AN55" s="325"/>
      <c r="AO55" s="325"/>
      <c r="AP55" s="325"/>
      <c r="AR55" s="314" t="str">
        <f aca="false">IFERROR(VLOOKUP(M55,'BS_DEC 2026'!$D$12:$D$109,1,FALSE()),"(미존재)")</f>
        <v>(미존재)</v>
      </c>
    </row>
    <row r="56" customFormat="false" ht="16.5" hidden="false" customHeight="false" outlineLevel="0" collapsed="false">
      <c r="A56" s="317" t="s">
        <v>446</v>
      </c>
      <c r="B56" s="314" t="n">
        <v>26220101</v>
      </c>
      <c r="C56" s="314" t="s">
        <v>1636</v>
      </c>
      <c r="D56" s="314" t="s">
        <v>1570</v>
      </c>
      <c r="E56" s="314" t="s">
        <v>1637</v>
      </c>
      <c r="F56" s="314" t="s">
        <v>1638</v>
      </c>
      <c r="G56" s="314" t="s">
        <v>1639</v>
      </c>
      <c r="H56" s="314" t="s">
        <v>1495</v>
      </c>
      <c r="I56" s="314" t="s">
        <v>1640</v>
      </c>
      <c r="K56" s="314" t="s">
        <v>1641</v>
      </c>
      <c r="L56" s="324" t="s">
        <v>173</v>
      </c>
      <c r="M56" s="324" t="s">
        <v>191</v>
      </c>
      <c r="N56" s="324" t="s">
        <v>173</v>
      </c>
      <c r="O56" s="324" t="s">
        <v>1642</v>
      </c>
      <c r="P56" s="324" t="s">
        <v>191</v>
      </c>
      <c r="Q56" s="325" t="n">
        <v>0</v>
      </c>
      <c r="R56" s="325" t="n">
        <v>0</v>
      </c>
      <c r="S56" s="325" t="n">
        <v>0</v>
      </c>
      <c r="T56" s="325" t="n">
        <v>-6795422000</v>
      </c>
      <c r="U56" s="325" t="n">
        <v>-6795422000</v>
      </c>
      <c r="V56" s="325" t="n">
        <v>-6795422000</v>
      </c>
      <c r="W56" s="325" t="n">
        <v>-944645152</v>
      </c>
      <c r="X56" s="325" t="n">
        <v>0</v>
      </c>
      <c r="Y56" s="325" t="n">
        <v>0</v>
      </c>
      <c r="Z56" s="325" t="n">
        <v>0</v>
      </c>
      <c r="AA56" s="325"/>
      <c r="AB56" s="325"/>
      <c r="AC56" s="325"/>
      <c r="AD56" s="325"/>
      <c r="AE56" s="325" t="n">
        <f aca="false">R56</f>
        <v>0</v>
      </c>
      <c r="AF56" s="325" t="n">
        <f aca="false">S56-R56</f>
        <v>0</v>
      </c>
      <c r="AG56" s="325" t="n">
        <f aca="false">T56-S56</f>
        <v>-6795422000</v>
      </c>
      <c r="AH56" s="325" t="n">
        <f aca="false">U56-T56</f>
        <v>0</v>
      </c>
      <c r="AI56" s="325" t="n">
        <f aca="false">V56-U56</f>
        <v>0</v>
      </c>
      <c r="AJ56" s="325" t="n">
        <f aca="false">W56-V56</f>
        <v>5850776848</v>
      </c>
      <c r="AK56" s="325" t="n">
        <f aca="false">X56-W56</f>
        <v>944645152</v>
      </c>
      <c r="AL56" s="325" t="n">
        <f aca="false">Y56-X56</f>
        <v>0</v>
      </c>
      <c r="AM56" s="325" t="n">
        <f aca="false">Z56-Y56</f>
        <v>0</v>
      </c>
      <c r="AN56" s="325"/>
      <c r="AO56" s="325"/>
      <c r="AP56" s="325"/>
      <c r="AR56" s="314" t="str">
        <f aca="false">IFERROR(VLOOKUP(M56,'BS_DEC 2026'!$D$12:$D$109,1,FALSE()),"(미존재)")</f>
        <v>미지급비용</v>
      </c>
    </row>
    <row r="57" customFormat="false" ht="16.5" hidden="false" customHeight="false" outlineLevel="0" collapsed="false">
      <c r="A57" s="317" t="s">
        <v>446</v>
      </c>
      <c r="B57" s="314" t="n">
        <v>26530000</v>
      </c>
      <c r="C57" s="314" t="s">
        <v>1643</v>
      </c>
      <c r="D57" s="314" t="s">
        <v>1570</v>
      </c>
      <c r="E57" s="314" t="s">
        <v>1637</v>
      </c>
      <c r="F57" s="314" t="s">
        <v>1644</v>
      </c>
      <c r="G57" s="314" t="s">
        <v>1515</v>
      </c>
      <c r="H57" s="314" t="s">
        <v>1495</v>
      </c>
      <c r="I57" s="314" t="s">
        <v>1645</v>
      </c>
      <c r="K57" s="314" t="s">
        <v>1646</v>
      </c>
      <c r="L57" s="324" t="s">
        <v>173</v>
      </c>
      <c r="M57" s="324" t="s">
        <v>194</v>
      </c>
      <c r="N57" s="324" t="s">
        <v>173</v>
      </c>
      <c r="O57" s="324" t="s">
        <v>1642</v>
      </c>
      <c r="P57" s="324" t="s">
        <v>188</v>
      </c>
      <c r="Q57" s="325" t="n">
        <v>13474110429</v>
      </c>
      <c r="R57" s="325" t="n">
        <v>2811582736</v>
      </c>
      <c r="S57" s="325" t="n">
        <v>6626665468</v>
      </c>
      <c r="T57" s="325" t="n">
        <v>9051617494</v>
      </c>
      <c r="U57" s="325" t="n">
        <v>5944970041</v>
      </c>
      <c r="V57" s="325" t="n">
        <v>12496740386</v>
      </c>
      <c r="W57" s="325" t="n">
        <v>16163569015</v>
      </c>
      <c r="X57" s="325" t="n">
        <v>6011487310</v>
      </c>
      <c r="Y57" s="325" t="n">
        <v>15682617357</v>
      </c>
      <c r="Z57" s="325" t="n">
        <v>18421587033</v>
      </c>
      <c r="AA57" s="325"/>
      <c r="AB57" s="325"/>
      <c r="AC57" s="325"/>
      <c r="AD57" s="325"/>
      <c r="AE57" s="325" t="n">
        <f aca="false">R57</f>
        <v>2811582736</v>
      </c>
      <c r="AF57" s="325" t="n">
        <f aca="false">S57-R57</f>
        <v>3815082732</v>
      </c>
      <c r="AG57" s="325" t="n">
        <f aca="false">T57-S57</f>
        <v>2424952026</v>
      </c>
      <c r="AH57" s="325" t="n">
        <f aca="false">U57-T57</f>
        <v>-3106647453</v>
      </c>
      <c r="AI57" s="325" t="n">
        <f aca="false">V57-U57</f>
        <v>6551770345</v>
      </c>
      <c r="AJ57" s="325" t="n">
        <f aca="false">W57-V57</f>
        <v>3666828629</v>
      </c>
      <c r="AK57" s="325" t="n">
        <f aca="false">X57-W57</f>
        <v>-10152081705</v>
      </c>
      <c r="AL57" s="325" t="n">
        <f aca="false">Y57-X57</f>
        <v>9671130047</v>
      </c>
      <c r="AM57" s="325" t="n">
        <f aca="false">Z57-Y57</f>
        <v>2738969676</v>
      </c>
      <c r="AN57" s="325"/>
      <c r="AO57" s="325"/>
      <c r="AP57" s="325"/>
      <c r="AQ57" s="324" t="s">
        <v>1647</v>
      </c>
      <c r="AR57" s="314" t="str">
        <f aca="false">IFERROR(VLOOKUP(M57,'BS_DEC 2026'!$D$12:$D$109,1,FALSE()),"(미존재)")</f>
        <v>부가가치세예수금</v>
      </c>
    </row>
    <row r="58" customFormat="false" ht="16.5" hidden="false" customHeight="false" outlineLevel="0" collapsed="false">
      <c r="A58" s="317" t="s">
        <v>446</v>
      </c>
      <c r="B58" s="314" t="n">
        <v>26550000</v>
      </c>
      <c r="C58" s="314" t="s">
        <v>1648</v>
      </c>
      <c r="D58" s="314" t="s">
        <v>1512</v>
      </c>
      <c r="E58" s="314" t="s">
        <v>1593</v>
      </c>
      <c r="F58" s="314" t="s">
        <v>1624</v>
      </c>
      <c r="G58" s="314" t="s">
        <v>1515</v>
      </c>
      <c r="H58" s="314" t="s">
        <v>1495</v>
      </c>
      <c r="I58" s="314" t="s">
        <v>1625</v>
      </c>
      <c r="K58" s="314" t="s">
        <v>1626</v>
      </c>
      <c r="L58" s="324" t="s">
        <v>447</v>
      </c>
      <c r="M58" s="324" t="s">
        <v>60</v>
      </c>
      <c r="N58" s="324" t="s">
        <v>447</v>
      </c>
      <c r="O58" s="324" t="s">
        <v>1518</v>
      </c>
      <c r="P58" s="324" t="s">
        <v>60</v>
      </c>
      <c r="Q58" s="325" t="n">
        <v>0</v>
      </c>
      <c r="R58" s="325" t="n">
        <v>328225333</v>
      </c>
      <c r="S58" s="325" t="n">
        <v>314386666</v>
      </c>
      <c r="T58" s="325" t="n">
        <v>282947999</v>
      </c>
      <c r="U58" s="325" t="n">
        <v>251509332</v>
      </c>
      <c r="V58" s="325" t="n">
        <v>220070665</v>
      </c>
      <c r="W58" s="325" t="n">
        <v>188631998</v>
      </c>
      <c r="X58" s="325" t="n">
        <v>157193331</v>
      </c>
      <c r="Y58" s="325" t="n">
        <v>125754664</v>
      </c>
      <c r="Z58" s="325" t="n">
        <v>96387997</v>
      </c>
      <c r="AA58" s="325"/>
      <c r="AB58" s="325"/>
      <c r="AC58" s="325"/>
      <c r="AD58" s="325"/>
      <c r="AE58" s="325" t="n">
        <f aca="false">R58</f>
        <v>328225333</v>
      </c>
      <c r="AF58" s="325" t="n">
        <f aca="false">S58-R58</f>
        <v>-13838667</v>
      </c>
      <c r="AG58" s="325" t="n">
        <f aca="false">T58-S58</f>
        <v>-31438667</v>
      </c>
      <c r="AH58" s="325" t="n">
        <f aca="false">U58-T58</f>
        <v>-31438667</v>
      </c>
      <c r="AI58" s="325" t="n">
        <f aca="false">V58-U58</f>
        <v>-31438667</v>
      </c>
      <c r="AJ58" s="325" t="n">
        <f aca="false">W58-V58</f>
        <v>-31438667</v>
      </c>
      <c r="AK58" s="325" t="n">
        <f aca="false">X58-W58</f>
        <v>-31438667</v>
      </c>
      <c r="AL58" s="325" t="n">
        <f aca="false">Y58-X58</f>
        <v>-31438667</v>
      </c>
      <c r="AM58" s="325" t="n">
        <f aca="false">Z58-Y58</f>
        <v>-29366667</v>
      </c>
      <c r="AN58" s="325"/>
      <c r="AO58" s="325"/>
      <c r="AP58" s="325"/>
      <c r="AR58" s="314" t="str">
        <f aca="false">IFERROR(VLOOKUP(M58,'BS_DEC 2026'!$D$12:$D$109,1,FALSE()),"(미존재)")</f>
        <v>선급비용</v>
      </c>
    </row>
    <row r="59" customFormat="false" ht="16.5" hidden="false" customHeight="false" outlineLevel="0" collapsed="false">
      <c r="A59" s="317" t="s">
        <v>446</v>
      </c>
      <c r="B59" s="314" t="n">
        <v>26550001</v>
      </c>
      <c r="C59" s="314" t="s">
        <v>1649</v>
      </c>
      <c r="D59" s="314" t="s">
        <v>1512</v>
      </c>
      <c r="E59" s="314" t="s">
        <v>1593</v>
      </c>
      <c r="F59" s="314" t="s">
        <v>1624</v>
      </c>
      <c r="G59" s="314" t="s">
        <v>1515</v>
      </c>
      <c r="H59" s="314" t="s">
        <v>1495</v>
      </c>
      <c r="I59" s="314" t="s">
        <v>1625</v>
      </c>
      <c r="K59" s="314" t="s">
        <v>1626</v>
      </c>
      <c r="L59" s="324" t="s">
        <v>447</v>
      </c>
      <c r="M59" s="324" t="s">
        <v>60</v>
      </c>
      <c r="N59" s="324" t="s">
        <v>447</v>
      </c>
      <c r="O59" s="324" t="s">
        <v>1518</v>
      </c>
      <c r="P59" s="324" t="s">
        <v>60</v>
      </c>
      <c r="Q59" s="325" t="n">
        <v>307501499</v>
      </c>
      <c r="R59" s="325" t="n">
        <v>265926124</v>
      </c>
      <c r="S59" s="325" t="n">
        <v>224350749</v>
      </c>
      <c r="T59" s="325" t="n">
        <v>182775374</v>
      </c>
      <c r="U59" s="325" t="n">
        <v>194467519</v>
      </c>
      <c r="V59" s="325" t="n">
        <v>153402724</v>
      </c>
      <c r="W59" s="325" t="n">
        <v>427151676</v>
      </c>
      <c r="X59" s="325" t="n">
        <v>383679702</v>
      </c>
      <c r="Y59" s="325" t="n">
        <v>340207728</v>
      </c>
      <c r="Z59" s="325" t="n">
        <v>296735751</v>
      </c>
      <c r="AA59" s="325"/>
      <c r="AB59" s="325"/>
      <c r="AC59" s="325"/>
      <c r="AD59" s="325"/>
      <c r="AE59" s="325" t="n">
        <f aca="false">R59</f>
        <v>265926124</v>
      </c>
      <c r="AF59" s="325" t="n">
        <f aca="false">S59-R59</f>
        <v>-41575375</v>
      </c>
      <c r="AG59" s="325" t="n">
        <f aca="false">T59-S59</f>
        <v>-41575375</v>
      </c>
      <c r="AH59" s="325" t="n">
        <f aca="false">U59-T59</f>
        <v>11692145</v>
      </c>
      <c r="AI59" s="325" t="n">
        <f aca="false">V59-U59</f>
        <v>-41064795</v>
      </c>
      <c r="AJ59" s="325" t="n">
        <f aca="false">W59-V59</f>
        <v>273748952</v>
      </c>
      <c r="AK59" s="325" t="n">
        <f aca="false">X59-W59</f>
        <v>-43471974</v>
      </c>
      <c r="AL59" s="325" t="n">
        <f aca="false">Y59-X59</f>
        <v>-43471974</v>
      </c>
      <c r="AM59" s="325" t="n">
        <f aca="false">Z59-Y59</f>
        <v>-43471977</v>
      </c>
      <c r="AN59" s="325"/>
      <c r="AO59" s="325"/>
      <c r="AP59" s="325"/>
      <c r="AR59" s="314" t="str">
        <f aca="false">IFERROR(VLOOKUP(M59,'BS_DEC 2026'!$D$12:$D$109,1,FALSE()),"(미존재)")</f>
        <v>선급비용</v>
      </c>
    </row>
    <row r="60" customFormat="false" ht="16.5" hidden="false" customHeight="false" outlineLevel="0" collapsed="false">
      <c r="A60" s="317" t="s">
        <v>446</v>
      </c>
      <c r="B60" s="314" t="n">
        <v>26550002</v>
      </c>
      <c r="C60" s="314" t="s">
        <v>1650</v>
      </c>
      <c r="G60" s="314" t="s">
        <v>1515</v>
      </c>
      <c r="H60" s="314" t="s">
        <v>1495</v>
      </c>
      <c r="I60" s="314" t="s">
        <v>1625</v>
      </c>
      <c r="K60" s="314" t="s">
        <v>1626</v>
      </c>
      <c r="L60" s="314" t="s">
        <v>1635</v>
      </c>
      <c r="M60" s="314" t="s">
        <v>1635</v>
      </c>
      <c r="N60" s="314" t="s">
        <v>1635</v>
      </c>
      <c r="O60" s="314" t="s">
        <v>1635</v>
      </c>
      <c r="P60" s="314" t="s">
        <v>1635</v>
      </c>
      <c r="Q60" s="325" t="n">
        <v>0</v>
      </c>
      <c r="R60" s="325" t="n">
        <v>0</v>
      </c>
      <c r="S60" s="325" t="n">
        <v>0</v>
      </c>
      <c r="T60" s="325" t="n">
        <v>0</v>
      </c>
      <c r="U60" s="325" t="n">
        <v>0</v>
      </c>
      <c r="V60" s="325" t="n">
        <v>0</v>
      </c>
      <c r="W60" s="325" t="n">
        <v>0</v>
      </c>
      <c r="X60" s="325" t="n">
        <v>0</v>
      </c>
      <c r="Y60" s="325" t="n">
        <v>0</v>
      </c>
      <c r="Z60" s="325" t="n">
        <v>0</v>
      </c>
      <c r="AA60" s="325"/>
      <c r="AB60" s="325"/>
      <c r="AC60" s="325"/>
      <c r="AD60" s="325"/>
      <c r="AE60" s="325" t="n">
        <f aca="false">R60</f>
        <v>0</v>
      </c>
      <c r="AF60" s="325" t="n">
        <f aca="false">S60-R60</f>
        <v>0</v>
      </c>
      <c r="AG60" s="325" t="n">
        <f aca="false">T60-S60</f>
        <v>0</v>
      </c>
      <c r="AH60" s="325" t="n">
        <f aca="false">U60-T60</f>
        <v>0</v>
      </c>
      <c r="AI60" s="325" t="n">
        <f aca="false">V60-U60</f>
        <v>0</v>
      </c>
      <c r="AJ60" s="325" t="n">
        <f aca="false">W60-V60</f>
        <v>0</v>
      </c>
      <c r="AK60" s="325" t="n">
        <f aca="false">X60-W60</f>
        <v>0</v>
      </c>
      <c r="AL60" s="325" t="n">
        <f aca="false">Y60-X60</f>
        <v>0</v>
      </c>
      <c r="AM60" s="325" t="n">
        <f aca="false">Z60-Y60</f>
        <v>0</v>
      </c>
      <c r="AN60" s="325"/>
      <c r="AO60" s="325"/>
      <c r="AP60" s="325"/>
      <c r="AR60" s="314" t="str">
        <f aca="false">IFERROR(VLOOKUP(M60,'BS_DEC 2026'!$D$12:$D$109,1,FALSE()),"(미존재)")</f>
        <v>(미존재)</v>
      </c>
    </row>
    <row r="61" customFormat="false" ht="16.5" hidden="false" customHeight="false" outlineLevel="0" collapsed="false">
      <c r="A61" s="317" t="s">
        <v>446</v>
      </c>
      <c r="B61" s="314" t="n">
        <v>26550303</v>
      </c>
      <c r="C61" s="314" t="s">
        <v>1651</v>
      </c>
      <c r="D61" s="314" t="s">
        <v>1512</v>
      </c>
      <c r="E61" s="314" t="s">
        <v>1593</v>
      </c>
      <c r="F61" s="314" t="s">
        <v>1624</v>
      </c>
      <c r="G61" s="314" t="s">
        <v>1515</v>
      </c>
      <c r="H61" s="314" t="s">
        <v>1495</v>
      </c>
      <c r="I61" s="314" t="s">
        <v>1625</v>
      </c>
      <c r="K61" s="314" t="s">
        <v>1626</v>
      </c>
      <c r="L61" s="324" t="s">
        <v>447</v>
      </c>
      <c r="M61" s="324" t="s">
        <v>60</v>
      </c>
      <c r="N61" s="324" t="s">
        <v>447</v>
      </c>
      <c r="O61" s="324" t="s">
        <v>1518</v>
      </c>
      <c r="P61" s="324" t="s">
        <v>60</v>
      </c>
      <c r="Q61" s="325" t="n">
        <v>0</v>
      </c>
      <c r="R61" s="325" t="n">
        <v>0</v>
      </c>
      <c r="S61" s="325" t="n">
        <v>0</v>
      </c>
      <c r="T61" s="325" t="n">
        <v>0</v>
      </c>
      <c r="U61" s="325" t="n">
        <v>830238594</v>
      </c>
      <c r="V61" s="325" t="n">
        <v>731318606</v>
      </c>
      <c r="W61" s="325" t="n">
        <v>1409937688</v>
      </c>
      <c r="X61" s="325" t="n">
        <v>0</v>
      </c>
      <c r="Y61" s="325" t="n">
        <v>0</v>
      </c>
      <c r="Z61" s="325" t="n">
        <v>0</v>
      </c>
      <c r="AA61" s="325"/>
      <c r="AB61" s="325"/>
      <c r="AC61" s="325"/>
      <c r="AD61" s="325"/>
      <c r="AE61" s="325" t="n">
        <f aca="false">R61</f>
        <v>0</v>
      </c>
      <c r="AF61" s="325" t="n">
        <f aca="false">S61-R61</f>
        <v>0</v>
      </c>
      <c r="AG61" s="325" t="n">
        <f aca="false">T61-S61</f>
        <v>0</v>
      </c>
      <c r="AH61" s="325" t="n">
        <f aca="false">U61-T61</f>
        <v>830238594</v>
      </c>
      <c r="AI61" s="325" t="n">
        <f aca="false">V61-U61</f>
        <v>-98919988</v>
      </c>
      <c r="AJ61" s="325" t="n">
        <f aca="false">W61-V61</f>
        <v>678619082</v>
      </c>
      <c r="AK61" s="325" t="n">
        <f aca="false">X61-W61</f>
        <v>-1409937688</v>
      </c>
      <c r="AL61" s="325" t="n">
        <f aca="false">Y61-X61</f>
        <v>0</v>
      </c>
      <c r="AM61" s="325" t="n">
        <f aca="false">Z61-Y61</f>
        <v>0</v>
      </c>
      <c r="AN61" s="325"/>
      <c r="AO61" s="325"/>
      <c r="AP61" s="325"/>
      <c r="AR61" s="314" t="str">
        <f aca="false">IFERROR(VLOOKUP(M61,'BS_DEC 2026'!$D$12:$D$109,1,FALSE()),"(미존재)")</f>
        <v>선급비용</v>
      </c>
    </row>
    <row r="62" customFormat="false" ht="16.5" hidden="false" customHeight="false" outlineLevel="0" collapsed="false">
      <c r="A62" s="317" t="s">
        <v>446</v>
      </c>
      <c r="B62" s="314" t="n">
        <v>26550450</v>
      </c>
      <c r="C62" s="314" t="s">
        <v>1652</v>
      </c>
      <c r="D62" s="314" t="s">
        <v>1512</v>
      </c>
      <c r="E62" s="314" t="s">
        <v>1593</v>
      </c>
      <c r="F62" s="314" t="s">
        <v>1621</v>
      </c>
      <c r="G62" s="314" t="s">
        <v>1515</v>
      </c>
      <c r="H62" s="314" t="s">
        <v>1495</v>
      </c>
      <c r="I62" s="314" t="s">
        <v>1653</v>
      </c>
      <c r="K62" s="314" t="s">
        <v>1654</v>
      </c>
      <c r="L62" s="324" t="s">
        <v>447</v>
      </c>
      <c r="M62" s="324" t="s">
        <v>39</v>
      </c>
      <c r="N62" s="324" t="s">
        <v>447</v>
      </c>
      <c r="O62" s="324" t="s">
        <v>1518</v>
      </c>
      <c r="P62" s="324" t="s">
        <v>39</v>
      </c>
      <c r="Q62" s="325" t="n">
        <v>311870229</v>
      </c>
      <c r="R62" s="325" t="n">
        <v>261437384</v>
      </c>
      <c r="S62" s="325" t="n">
        <v>211004539</v>
      </c>
      <c r="T62" s="325" t="n">
        <v>177558870</v>
      </c>
      <c r="U62" s="325" t="n">
        <v>132574612</v>
      </c>
      <c r="V62" s="325" t="n">
        <v>88355066</v>
      </c>
      <c r="W62" s="325" t="n">
        <v>43313453</v>
      </c>
      <c r="X62" s="325" t="n">
        <v>510408090</v>
      </c>
      <c r="Y62" s="325" t="n">
        <v>467695498</v>
      </c>
      <c r="Z62" s="325" t="n">
        <v>424982906</v>
      </c>
      <c r="AA62" s="325"/>
      <c r="AB62" s="325"/>
      <c r="AC62" s="325"/>
      <c r="AD62" s="325"/>
      <c r="AE62" s="325" t="n">
        <f aca="false">R62</f>
        <v>261437384</v>
      </c>
      <c r="AF62" s="325" t="n">
        <f aca="false">S62-R62</f>
        <v>-50432845</v>
      </c>
      <c r="AG62" s="325" t="n">
        <f aca="false">T62-S62</f>
        <v>-33445669</v>
      </c>
      <c r="AH62" s="325" t="n">
        <f aca="false">U62-T62</f>
        <v>-44984258</v>
      </c>
      <c r="AI62" s="325" t="n">
        <f aca="false">V62-U62</f>
        <v>-44219546</v>
      </c>
      <c r="AJ62" s="325" t="n">
        <f aca="false">W62-V62</f>
        <v>-45041613</v>
      </c>
      <c r="AK62" s="325" t="n">
        <f aca="false">X62-W62</f>
        <v>467094637</v>
      </c>
      <c r="AL62" s="325" t="n">
        <f aca="false">Y62-X62</f>
        <v>-42712592</v>
      </c>
      <c r="AM62" s="325" t="n">
        <f aca="false">Z62-Y62</f>
        <v>-42712592</v>
      </c>
      <c r="AN62" s="325"/>
      <c r="AO62" s="325"/>
      <c r="AP62" s="325"/>
      <c r="AR62" s="314" t="str">
        <f aca="false">IFERROR(VLOOKUP(M62,'BS_DEC 2026'!$D$12:$D$109,1,FALSE()),"(미존재)")</f>
        <v>미수금</v>
      </c>
    </row>
    <row r="63" customFormat="false" ht="16.5" hidden="false" customHeight="false" outlineLevel="0" collapsed="false">
      <c r="A63" s="317" t="s">
        <v>446</v>
      </c>
      <c r="B63" s="314" t="n">
        <v>26650000</v>
      </c>
      <c r="C63" s="314" t="s">
        <v>1655</v>
      </c>
      <c r="D63" s="314" t="s">
        <v>1512</v>
      </c>
      <c r="E63" s="314" t="s">
        <v>1593</v>
      </c>
      <c r="F63" s="314" t="s">
        <v>1656</v>
      </c>
      <c r="G63" s="314" t="s">
        <v>1515</v>
      </c>
      <c r="H63" s="314" t="s">
        <v>1495</v>
      </c>
      <c r="I63" s="314" t="s">
        <v>1657</v>
      </c>
      <c r="K63" s="314" t="s">
        <v>1658</v>
      </c>
      <c r="L63" s="324" t="s">
        <v>447</v>
      </c>
      <c r="M63" s="324" t="s">
        <v>50</v>
      </c>
      <c r="N63" s="324" t="s">
        <v>447</v>
      </c>
      <c r="O63" s="324" t="s">
        <v>1518</v>
      </c>
      <c r="P63" s="324" t="s">
        <v>50</v>
      </c>
      <c r="Q63" s="325" t="n">
        <v>14382500</v>
      </c>
      <c r="R63" s="325" t="n">
        <v>134916960</v>
      </c>
      <c r="S63" s="325" t="n">
        <v>60617995</v>
      </c>
      <c r="T63" s="325" t="n">
        <v>225440723</v>
      </c>
      <c r="U63" s="325" t="n">
        <v>380328349</v>
      </c>
      <c r="V63" s="325" t="n">
        <v>373074381</v>
      </c>
      <c r="W63" s="325" t="n">
        <v>285912800</v>
      </c>
      <c r="X63" s="325" t="n">
        <v>470895240</v>
      </c>
      <c r="Y63" s="325" t="n">
        <v>327256800</v>
      </c>
      <c r="Z63" s="325" t="n">
        <v>415218875</v>
      </c>
      <c r="AA63" s="325"/>
      <c r="AB63" s="325"/>
      <c r="AC63" s="325"/>
      <c r="AD63" s="325"/>
      <c r="AE63" s="325" t="n">
        <f aca="false">R63</f>
        <v>134916960</v>
      </c>
      <c r="AF63" s="325" t="n">
        <f aca="false">S63-R63</f>
        <v>-74298965</v>
      </c>
      <c r="AG63" s="325" t="n">
        <f aca="false">T63-S63</f>
        <v>164822728</v>
      </c>
      <c r="AH63" s="325" t="n">
        <f aca="false">U63-T63</f>
        <v>154887626</v>
      </c>
      <c r="AI63" s="325" t="n">
        <f aca="false">V63-U63</f>
        <v>-7253968</v>
      </c>
      <c r="AJ63" s="325" t="n">
        <f aca="false">W63-V63</f>
        <v>-87161581</v>
      </c>
      <c r="AK63" s="325" t="n">
        <f aca="false">X63-W63</f>
        <v>184982440</v>
      </c>
      <c r="AL63" s="325" t="n">
        <f aca="false">Y63-X63</f>
        <v>-143638440</v>
      </c>
      <c r="AM63" s="325" t="n">
        <f aca="false">Z63-Y63</f>
        <v>87962075</v>
      </c>
      <c r="AN63" s="325"/>
      <c r="AO63" s="325"/>
      <c r="AP63" s="325"/>
      <c r="AR63" s="314" t="str">
        <f aca="false">IFERROR(VLOOKUP(M63,'BS_DEC 2026'!$D$12:$D$109,1,FALSE()),"(미존재)")</f>
        <v>선급금</v>
      </c>
    </row>
    <row r="64" customFormat="false" ht="16.5" hidden="false" customHeight="false" outlineLevel="0" collapsed="false">
      <c r="A64" s="317" t="s">
        <v>446</v>
      </c>
      <c r="B64" s="314" t="n">
        <v>26650851</v>
      </c>
      <c r="C64" s="314" t="s">
        <v>1659</v>
      </c>
      <c r="G64" s="314" t="s">
        <v>1515</v>
      </c>
      <c r="H64" s="314" t="s">
        <v>1495</v>
      </c>
      <c r="I64" s="314" t="s">
        <v>1657</v>
      </c>
      <c r="K64" s="314" t="s">
        <v>1658</v>
      </c>
      <c r="L64" s="314" t="s">
        <v>1635</v>
      </c>
      <c r="M64" s="314" t="s">
        <v>1635</v>
      </c>
      <c r="N64" s="314" t="s">
        <v>1635</v>
      </c>
      <c r="O64" s="314" t="s">
        <v>1635</v>
      </c>
      <c r="P64" s="314" t="s">
        <v>1635</v>
      </c>
      <c r="Q64" s="325" t="n">
        <v>0</v>
      </c>
      <c r="R64" s="325" t="n">
        <v>0</v>
      </c>
      <c r="S64" s="325" t="n">
        <v>0</v>
      </c>
      <c r="T64" s="325" t="n">
        <v>0</v>
      </c>
      <c r="U64" s="325" t="n">
        <v>0</v>
      </c>
      <c r="V64" s="325" t="n">
        <v>0</v>
      </c>
      <c r="W64" s="325" t="n">
        <v>0</v>
      </c>
      <c r="X64" s="325" t="n">
        <v>0</v>
      </c>
      <c r="Y64" s="325" t="n">
        <v>0</v>
      </c>
      <c r="Z64" s="325" t="n">
        <v>0</v>
      </c>
      <c r="AA64" s="325"/>
      <c r="AB64" s="325"/>
      <c r="AC64" s="325"/>
      <c r="AD64" s="325"/>
      <c r="AE64" s="325" t="n">
        <f aca="false">R64</f>
        <v>0</v>
      </c>
      <c r="AF64" s="325" t="n">
        <f aca="false">S64-R64</f>
        <v>0</v>
      </c>
      <c r="AG64" s="325" t="n">
        <f aca="false">T64-S64</f>
        <v>0</v>
      </c>
      <c r="AH64" s="325" t="n">
        <f aca="false">U64-T64</f>
        <v>0</v>
      </c>
      <c r="AI64" s="325" t="n">
        <f aca="false">V64-U64</f>
        <v>0</v>
      </c>
      <c r="AJ64" s="325" t="n">
        <f aca="false">W64-V64</f>
        <v>0</v>
      </c>
      <c r="AK64" s="325" t="n">
        <f aca="false">X64-W64</f>
        <v>0</v>
      </c>
      <c r="AL64" s="325" t="n">
        <f aca="false">Y64-X64</f>
        <v>0</v>
      </c>
      <c r="AM64" s="325" t="n">
        <f aca="false">Z64-Y64</f>
        <v>0</v>
      </c>
      <c r="AN64" s="325"/>
      <c r="AO64" s="325"/>
      <c r="AP64" s="325"/>
      <c r="AR64" s="314" t="str">
        <f aca="false">IFERROR(VLOOKUP(M64,'BS_DEC 2026'!$D$12:$D$109,1,FALSE()),"(미존재)")</f>
        <v>(미존재)</v>
      </c>
    </row>
    <row r="65" customFormat="false" ht="16.5" hidden="false" customHeight="false" outlineLevel="0" collapsed="false">
      <c r="A65" s="317" t="s">
        <v>446</v>
      </c>
      <c r="B65" s="314" t="n">
        <v>26650852</v>
      </c>
      <c r="C65" s="314" t="s">
        <v>1660</v>
      </c>
      <c r="D65" s="314" t="s">
        <v>1512</v>
      </c>
      <c r="E65" s="314" t="s">
        <v>1593</v>
      </c>
      <c r="F65" s="314" t="s">
        <v>1656</v>
      </c>
      <c r="G65" s="314" t="s">
        <v>1515</v>
      </c>
      <c r="H65" s="314" t="s">
        <v>1495</v>
      </c>
      <c r="I65" s="314" t="s">
        <v>1616</v>
      </c>
      <c r="K65" s="314" t="s">
        <v>1617</v>
      </c>
      <c r="L65" s="324" t="s">
        <v>447</v>
      </c>
      <c r="M65" s="324" t="s">
        <v>50</v>
      </c>
      <c r="N65" s="324" t="s">
        <v>447</v>
      </c>
      <c r="O65" s="324" t="s">
        <v>1518</v>
      </c>
      <c r="P65" s="324" t="s">
        <v>50</v>
      </c>
      <c r="Q65" s="325" t="n">
        <v>0</v>
      </c>
      <c r="R65" s="325" t="n">
        <v>0</v>
      </c>
      <c r="S65" s="325" t="n">
        <v>0</v>
      </c>
      <c r="T65" s="325" t="n">
        <v>0</v>
      </c>
      <c r="U65" s="325" t="n">
        <v>0</v>
      </c>
      <c r="V65" s="325" t="n">
        <v>0</v>
      </c>
      <c r="W65" s="325" t="n">
        <v>0</v>
      </c>
      <c r="X65" s="325" t="n">
        <v>0</v>
      </c>
      <c r="Y65" s="325" t="n">
        <v>0</v>
      </c>
      <c r="Z65" s="325" t="n">
        <v>0</v>
      </c>
      <c r="AA65" s="325"/>
      <c r="AB65" s="325"/>
      <c r="AC65" s="325"/>
      <c r="AD65" s="325"/>
      <c r="AE65" s="325" t="n">
        <f aca="false">R65</f>
        <v>0</v>
      </c>
      <c r="AF65" s="325" t="n">
        <f aca="false">S65-R65</f>
        <v>0</v>
      </c>
      <c r="AG65" s="325" t="n">
        <f aca="false">T65-S65</f>
        <v>0</v>
      </c>
      <c r="AH65" s="325" t="n">
        <f aca="false">U65-T65</f>
        <v>0</v>
      </c>
      <c r="AI65" s="325" t="n">
        <f aca="false">V65-U65</f>
        <v>0</v>
      </c>
      <c r="AJ65" s="325" t="n">
        <f aca="false">W65-V65</f>
        <v>0</v>
      </c>
      <c r="AK65" s="325" t="n">
        <f aca="false">X65-W65</f>
        <v>0</v>
      </c>
      <c r="AL65" s="325" t="n">
        <f aca="false">Y65-X65</f>
        <v>0</v>
      </c>
      <c r="AM65" s="325" t="n">
        <f aca="false">Z65-Y65</f>
        <v>0</v>
      </c>
      <c r="AN65" s="325"/>
      <c r="AO65" s="325"/>
      <c r="AP65" s="325"/>
      <c r="AR65" s="314" t="str">
        <f aca="false">IFERROR(VLOOKUP(M65,'BS_DEC 2026'!$D$12:$D$109,1,FALSE()),"(미존재)")</f>
        <v>선급금</v>
      </c>
    </row>
    <row r="66" customFormat="false" ht="16.5" hidden="false" customHeight="false" outlineLevel="0" collapsed="false">
      <c r="A66" s="317" t="s">
        <v>446</v>
      </c>
      <c r="B66" s="314" t="n">
        <v>26650854</v>
      </c>
      <c r="C66" s="314" t="s">
        <v>1661</v>
      </c>
      <c r="D66" s="314" t="s">
        <v>1512</v>
      </c>
      <c r="E66" s="314" t="s">
        <v>1593</v>
      </c>
      <c r="F66" s="314" t="s">
        <v>1656</v>
      </c>
      <c r="G66" s="314" t="s">
        <v>1515</v>
      </c>
      <c r="H66" s="314" t="s">
        <v>1495</v>
      </c>
      <c r="I66" s="314" t="s">
        <v>1645</v>
      </c>
      <c r="K66" s="314" t="s">
        <v>1646</v>
      </c>
      <c r="L66" s="324" t="s">
        <v>447</v>
      </c>
      <c r="M66" s="324" t="s">
        <v>43</v>
      </c>
      <c r="N66" s="324" t="s">
        <v>447</v>
      </c>
      <c r="O66" s="324" t="s">
        <v>1518</v>
      </c>
      <c r="P66" s="324" t="s">
        <v>50</v>
      </c>
      <c r="Q66" s="325" t="n">
        <v>9</v>
      </c>
      <c r="R66" s="325" t="n">
        <v>9</v>
      </c>
      <c r="S66" s="325" t="n">
        <v>9</v>
      </c>
      <c r="T66" s="325" t="n">
        <v>9</v>
      </c>
      <c r="U66" s="325" t="n">
        <v>0</v>
      </c>
      <c r="V66" s="325" t="n">
        <v>0</v>
      </c>
      <c r="W66" s="325" t="n">
        <v>0</v>
      </c>
      <c r="X66" s="325" t="n">
        <v>0</v>
      </c>
      <c r="Y66" s="325" t="n">
        <v>0</v>
      </c>
      <c r="Z66" s="325" t="n">
        <v>0</v>
      </c>
      <c r="AA66" s="325"/>
      <c r="AB66" s="325"/>
      <c r="AC66" s="325"/>
      <c r="AD66" s="325"/>
      <c r="AE66" s="325" t="n">
        <f aca="false">R66</f>
        <v>9</v>
      </c>
      <c r="AF66" s="325" t="n">
        <f aca="false">S66-R66</f>
        <v>0</v>
      </c>
      <c r="AG66" s="325" t="n">
        <f aca="false">T66-S66</f>
        <v>0</v>
      </c>
      <c r="AH66" s="325" t="n">
        <f aca="false">U66-T66</f>
        <v>-9</v>
      </c>
      <c r="AI66" s="325" t="n">
        <f aca="false">V66-U66</f>
        <v>0</v>
      </c>
      <c r="AJ66" s="325" t="n">
        <f aca="false">W66-V66</f>
        <v>0</v>
      </c>
      <c r="AK66" s="325" t="n">
        <f aca="false">X66-W66</f>
        <v>0</v>
      </c>
      <c r="AL66" s="325" t="n">
        <f aca="false">Y66-X66</f>
        <v>0</v>
      </c>
      <c r="AM66" s="325" t="n">
        <f aca="false">Z66-Y66</f>
        <v>0</v>
      </c>
      <c r="AN66" s="325"/>
      <c r="AO66" s="325"/>
      <c r="AP66" s="325"/>
      <c r="AR66" s="314" t="str">
        <f aca="false">IFERROR(VLOOKUP(M66,'BS_DEC 2026'!$D$12:$D$109,1,FALSE()),"(미존재)")</f>
        <v>부가가치세미수금</v>
      </c>
    </row>
    <row r="67" customFormat="false" ht="16.5" hidden="false" customHeight="false" outlineLevel="0" collapsed="false">
      <c r="A67" s="317" t="s">
        <v>446</v>
      </c>
      <c r="B67" s="314" t="n">
        <v>28100821</v>
      </c>
      <c r="C67" s="314" t="s">
        <v>1662</v>
      </c>
      <c r="D67" s="314" t="s">
        <v>1512</v>
      </c>
      <c r="E67" s="314" t="s">
        <v>1593</v>
      </c>
      <c r="F67" s="314" t="s">
        <v>1605</v>
      </c>
      <c r="G67" s="314" t="s">
        <v>1606</v>
      </c>
      <c r="H67" s="314" t="s">
        <v>1495</v>
      </c>
      <c r="I67" s="314" t="s">
        <v>1663</v>
      </c>
      <c r="K67" s="314" t="s">
        <v>1664</v>
      </c>
      <c r="L67" s="324" t="s">
        <v>447</v>
      </c>
      <c r="M67" s="324" t="s">
        <v>27</v>
      </c>
      <c r="N67" s="324" t="s">
        <v>447</v>
      </c>
      <c r="O67" s="324" t="s">
        <v>1518</v>
      </c>
      <c r="P67" s="324" t="s">
        <v>27</v>
      </c>
      <c r="Q67" s="325" t="n">
        <v>0</v>
      </c>
      <c r="R67" s="325" t="n">
        <v>0</v>
      </c>
      <c r="S67" s="325" t="n">
        <v>0</v>
      </c>
      <c r="T67" s="325" t="n">
        <v>0</v>
      </c>
      <c r="U67" s="325" t="n">
        <v>0</v>
      </c>
      <c r="V67" s="325" t="n">
        <v>0</v>
      </c>
      <c r="W67" s="325" t="n">
        <v>0</v>
      </c>
      <c r="X67" s="325" t="n">
        <v>0</v>
      </c>
      <c r="Y67" s="325" t="n">
        <v>0</v>
      </c>
      <c r="Z67" s="325" t="n">
        <v>0</v>
      </c>
      <c r="AA67" s="325"/>
      <c r="AB67" s="325"/>
      <c r="AC67" s="325"/>
      <c r="AD67" s="325"/>
      <c r="AE67" s="325" t="n">
        <f aca="false">R67</f>
        <v>0</v>
      </c>
      <c r="AF67" s="325" t="n">
        <f aca="false">S67-R67</f>
        <v>0</v>
      </c>
      <c r="AG67" s="325" t="n">
        <f aca="false">T67-S67</f>
        <v>0</v>
      </c>
      <c r="AH67" s="325" t="n">
        <f aca="false">U67-T67</f>
        <v>0</v>
      </c>
      <c r="AI67" s="325" t="n">
        <f aca="false">V67-U67</f>
        <v>0</v>
      </c>
      <c r="AJ67" s="325" t="n">
        <f aca="false">W67-V67</f>
        <v>0</v>
      </c>
      <c r="AK67" s="325" t="n">
        <f aca="false">X67-W67</f>
        <v>0</v>
      </c>
      <c r="AL67" s="325" t="n">
        <f aca="false">Y67-X67</f>
        <v>0</v>
      </c>
      <c r="AM67" s="325" t="n">
        <f aca="false">Z67-Y67</f>
        <v>0</v>
      </c>
      <c r="AN67" s="325"/>
      <c r="AO67" s="325"/>
      <c r="AP67" s="325"/>
      <c r="AR67" s="314" t="str">
        <f aca="false">IFERROR(VLOOKUP(M67,'BS_DEC 2026'!$D$12:$D$109,1,FALSE()),"(미존재)")</f>
        <v>현금및현금등가물</v>
      </c>
    </row>
    <row r="68" customFormat="false" ht="16.5" hidden="false" customHeight="false" outlineLevel="0" collapsed="false">
      <c r="A68" s="317" t="s">
        <v>446</v>
      </c>
      <c r="B68" s="314" t="n">
        <v>28100861</v>
      </c>
      <c r="C68" s="314" t="s">
        <v>1665</v>
      </c>
      <c r="D68" s="314" t="s">
        <v>1512</v>
      </c>
      <c r="E68" s="314" t="s">
        <v>1593</v>
      </c>
      <c r="F68" s="314" t="s">
        <v>1605</v>
      </c>
      <c r="G68" s="314" t="s">
        <v>1606</v>
      </c>
      <c r="H68" s="314" t="s">
        <v>1495</v>
      </c>
      <c r="I68" s="314" t="s">
        <v>1607</v>
      </c>
      <c r="K68" s="314" t="s">
        <v>1608</v>
      </c>
      <c r="L68" s="324" t="s">
        <v>447</v>
      </c>
      <c r="M68" s="324" t="s">
        <v>27</v>
      </c>
      <c r="N68" s="324" t="s">
        <v>447</v>
      </c>
      <c r="O68" s="324" t="s">
        <v>1518</v>
      </c>
      <c r="P68" s="324" t="s">
        <v>27</v>
      </c>
      <c r="Q68" s="325" t="n">
        <v>0</v>
      </c>
      <c r="R68" s="325" t="n">
        <v>0</v>
      </c>
      <c r="S68" s="325" t="n">
        <v>0</v>
      </c>
      <c r="T68" s="325" t="n">
        <v>0</v>
      </c>
      <c r="U68" s="325" t="n">
        <v>0</v>
      </c>
      <c r="V68" s="325" t="n">
        <v>0</v>
      </c>
      <c r="W68" s="325" t="n">
        <v>0</v>
      </c>
      <c r="X68" s="325" t="n">
        <v>0</v>
      </c>
      <c r="Y68" s="325" t="n">
        <v>0</v>
      </c>
      <c r="Z68" s="325" t="n">
        <v>0</v>
      </c>
      <c r="AA68" s="325"/>
      <c r="AB68" s="325"/>
      <c r="AC68" s="325"/>
      <c r="AD68" s="325"/>
      <c r="AE68" s="325" t="n">
        <f aca="false">R68</f>
        <v>0</v>
      </c>
      <c r="AF68" s="325" t="n">
        <f aca="false">S68-R68</f>
        <v>0</v>
      </c>
      <c r="AG68" s="325" t="n">
        <f aca="false">T68-S68</f>
        <v>0</v>
      </c>
      <c r="AH68" s="325" t="n">
        <f aca="false">U68-T68</f>
        <v>0</v>
      </c>
      <c r="AI68" s="325" t="n">
        <f aca="false">V68-U68</f>
        <v>0</v>
      </c>
      <c r="AJ68" s="325" t="n">
        <f aca="false">W68-V68</f>
        <v>0</v>
      </c>
      <c r="AK68" s="325" t="n">
        <f aca="false">X68-W68</f>
        <v>0</v>
      </c>
      <c r="AL68" s="325" t="n">
        <f aca="false">Y68-X68</f>
        <v>0</v>
      </c>
      <c r="AM68" s="325" t="n">
        <f aca="false">Z68-Y68</f>
        <v>0</v>
      </c>
      <c r="AN68" s="325"/>
      <c r="AO68" s="325"/>
      <c r="AP68" s="325"/>
      <c r="AR68" s="314" t="str">
        <f aca="false">IFERROR(VLOOKUP(M68,'BS_DEC 2026'!$D$12:$D$109,1,FALSE()),"(미존재)")</f>
        <v>현금및현금등가물</v>
      </c>
    </row>
    <row r="69" customFormat="false" ht="16.5" hidden="false" customHeight="false" outlineLevel="0" collapsed="false">
      <c r="A69" s="317" t="s">
        <v>446</v>
      </c>
      <c r="B69" s="314" t="n">
        <v>28101193</v>
      </c>
      <c r="C69" s="314" t="s">
        <v>1666</v>
      </c>
      <c r="D69" s="314" t="s">
        <v>1512</v>
      </c>
      <c r="E69" s="314" t="s">
        <v>1593</v>
      </c>
      <c r="F69" s="314" t="s">
        <v>1605</v>
      </c>
      <c r="G69" s="314" t="s">
        <v>1606</v>
      </c>
      <c r="H69" s="314" t="s">
        <v>1495</v>
      </c>
      <c r="I69" s="314" t="s">
        <v>1663</v>
      </c>
      <c r="K69" s="314" t="s">
        <v>1664</v>
      </c>
      <c r="L69" s="324" t="s">
        <v>447</v>
      </c>
      <c r="M69" s="324" t="s">
        <v>27</v>
      </c>
      <c r="N69" s="324" t="s">
        <v>447</v>
      </c>
      <c r="O69" s="324" t="s">
        <v>1518</v>
      </c>
      <c r="P69" s="324" t="s">
        <v>27</v>
      </c>
      <c r="Q69" s="325" t="n">
        <v>0</v>
      </c>
      <c r="R69" s="325" t="n">
        <v>0</v>
      </c>
      <c r="S69" s="325" t="n">
        <v>0</v>
      </c>
      <c r="T69" s="325" t="n">
        <v>0</v>
      </c>
      <c r="U69" s="325" t="n">
        <v>0</v>
      </c>
      <c r="V69" s="325" t="n">
        <v>0</v>
      </c>
      <c r="W69" s="325" t="n">
        <v>0</v>
      </c>
      <c r="X69" s="325" t="n">
        <v>0</v>
      </c>
      <c r="Y69" s="325" t="n">
        <v>0</v>
      </c>
      <c r="Z69" s="325" t="n">
        <v>0</v>
      </c>
      <c r="AA69" s="325"/>
      <c r="AB69" s="325"/>
      <c r="AC69" s="325"/>
      <c r="AD69" s="325"/>
      <c r="AE69" s="325" t="n">
        <f aca="false">R69</f>
        <v>0</v>
      </c>
      <c r="AF69" s="325" t="n">
        <f aca="false">S69-R69</f>
        <v>0</v>
      </c>
      <c r="AG69" s="325" t="n">
        <f aca="false">T69-S69</f>
        <v>0</v>
      </c>
      <c r="AH69" s="325" t="n">
        <f aca="false">U69-T69</f>
        <v>0</v>
      </c>
      <c r="AI69" s="325" t="n">
        <f aca="false">V69-U69</f>
        <v>0</v>
      </c>
      <c r="AJ69" s="325" t="n">
        <f aca="false">W69-V69</f>
        <v>0</v>
      </c>
      <c r="AK69" s="325" t="n">
        <f aca="false">X69-W69</f>
        <v>0</v>
      </c>
      <c r="AL69" s="325" t="n">
        <f aca="false">Y69-X69</f>
        <v>0</v>
      </c>
      <c r="AM69" s="325" t="n">
        <f aca="false">Z69-Y69</f>
        <v>0</v>
      </c>
      <c r="AN69" s="325"/>
      <c r="AO69" s="325"/>
      <c r="AP69" s="325"/>
      <c r="AR69" s="314" t="str">
        <f aca="false">IFERROR(VLOOKUP(M69,'BS_DEC 2026'!$D$12:$D$109,1,FALSE()),"(미존재)")</f>
        <v>현금및현금등가물</v>
      </c>
    </row>
    <row r="70" customFormat="false" ht="16.5" hidden="false" customHeight="false" outlineLevel="0" collapsed="false">
      <c r="A70" s="317" t="s">
        <v>446</v>
      </c>
      <c r="B70" s="314" t="n">
        <v>28330000</v>
      </c>
      <c r="C70" s="313" t="s">
        <v>1667</v>
      </c>
      <c r="D70" s="314" t="s">
        <v>1512</v>
      </c>
      <c r="E70" s="314" t="s">
        <v>1593</v>
      </c>
      <c r="F70" s="314" t="s">
        <v>1605</v>
      </c>
      <c r="G70" s="314" t="s">
        <v>1606</v>
      </c>
      <c r="H70" s="314" t="s">
        <v>1495</v>
      </c>
      <c r="I70" s="314" t="s">
        <v>1668</v>
      </c>
      <c r="K70" s="314" t="s">
        <v>1669</v>
      </c>
      <c r="L70" s="324" t="s">
        <v>447</v>
      </c>
      <c r="M70" s="324" t="s">
        <v>27</v>
      </c>
      <c r="N70" s="324" t="s">
        <v>447</v>
      </c>
      <c r="O70" s="324" t="s">
        <v>1518</v>
      </c>
      <c r="P70" s="324" t="s">
        <v>27</v>
      </c>
      <c r="Q70" s="325" t="n">
        <v>135</v>
      </c>
      <c r="R70" s="325" t="n">
        <v>0</v>
      </c>
      <c r="S70" s="325" t="n">
        <v>0</v>
      </c>
      <c r="T70" s="325" t="n">
        <v>0</v>
      </c>
      <c r="U70" s="325" t="n">
        <v>0</v>
      </c>
      <c r="V70" s="325" t="n">
        <v>0</v>
      </c>
      <c r="W70" s="325" t="n">
        <v>84</v>
      </c>
      <c r="X70" s="325" t="n">
        <v>0</v>
      </c>
      <c r="Y70" s="325" t="n">
        <v>0</v>
      </c>
      <c r="Z70" s="325" t="n">
        <v>0</v>
      </c>
      <c r="AA70" s="325"/>
      <c r="AB70" s="325"/>
      <c r="AC70" s="325"/>
      <c r="AD70" s="325"/>
      <c r="AE70" s="325" t="n">
        <f aca="false">R70</f>
        <v>0</v>
      </c>
      <c r="AF70" s="325" t="n">
        <f aca="false">S70-R70</f>
        <v>0</v>
      </c>
      <c r="AG70" s="325" t="n">
        <f aca="false">T70-S70</f>
        <v>0</v>
      </c>
      <c r="AH70" s="325" t="n">
        <f aca="false">U70-T70</f>
        <v>0</v>
      </c>
      <c r="AI70" s="325" t="n">
        <f aca="false">V70-U70</f>
        <v>0</v>
      </c>
      <c r="AJ70" s="325" t="n">
        <f aca="false">W70-V70</f>
        <v>84</v>
      </c>
      <c r="AK70" s="325" t="n">
        <f aca="false">X70-W70</f>
        <v>-84</v>
      </c>
      <c r="AL70" s="325" t="n">
        <f aca="false">Y70-X70</f>
        <v>0</v>
      </c>
      <c r="AM70" s="325" t="n">
        <f aca="false">Z70-Y70</f>
        <v>0</v>
      </c>
      <c r="AN70" s="325"/>
      <c r="AO70" s="325"/>
      <c r="AP70" s="325"/>
      <c r="AR70" s="314" t="str">
        <f aca="false">IFERROR(VLOOKUP(M70,'BS_DEC 2026'!$D$12:$D$109,1,FALSE()),"(미존재)")</f>
        <v>현금및현금등가물</v>
      </c>
    </row>
    <row r="71" customFormat="false" ht="16.5" hidden="false" customHeight="false" outlineLevel="0" collapsed="false">
      <c r="A71" s="317" t="s">
        <v>446</v>
      </c>
      <c r="B71" s="314" t="n">
        <v>28330001</v>
      </c>
      <c r="C71" s="314" t="s">
        <v>1670</v>
      </c>
      <c r="D71" s="314" t="s">
        <v>1512</v>
      </c>
      <c r="E71" s="314" t="s">
        <v>1593</v>
      </c>
      <c r="F71" s="314" t="s">
        <v>1605</v>
      </c>
      <c r="G71" s="314" t="s">
        <v>1606</v>
      </c>
      <c r="H71" s="314" t="s">
        <v>1495</v>
      </c>
      <c r="I71" s="314" t="s">
        <v>1668</v>
      </c>
      <c r="K71" s="314" t="s">
        <v>1669</v>
      </c>
      <c r="L71" s="324" t="s">
        <v>447</v>
      </c>
      <c r="M71" s="324" t="s">
        <v>27</v>
      </c>
      <c r="N71" s="324" t="s">
        <v>447</v>
      </c>
      <c r="O71" s="324" t="s">
        <v>1518</v>
      </c>
      <c r="P71" s="324" t="s">
        <v>27</v>
      </c>
      <c r="Q71" s="325" t="n">
        <v>0</v>
      </c>
      <c r="R71" s="325" t="n">
        <v>0</v>
      </c>
      <c r="S71" s="325" t="n">
        <v>0</v>
      </c>
      <c r="T71" s="325" t="n">
        <v>0</v>
      </c>
      <c r="U71" s="325" t="n">
        <v>0</v>
      </c>
      <c r="V71" s="325" t="n">
        <v>0</v>
      </c>
      <c r="W71" s="325" t="n">
        <v>0</v>
      </c>
      <c r="X71" s="325" t="n">
        <v>0</v>
      </c>
      <c r="Y71" s="325" t="n">
        <v>0</v>
      </c>
      <c r="Z71" s="325" t="n">
        <v>0</v>
      </c>
      <c r="AA71" s="325"/>
      <c r="AB71" s="325"/>
      <c r="AC71" s="325"/>
      <c r="AD71" s="325"/>
      <c r="AE71" s="325" t="n">
        <f aca="false">R71</f>
        <v>0</v>
      </c>
      <c r="AF71" s="325" t="n">
        <f aca="false">S71-R71</f>
        <v>0</v>
      </c>
      <c r="AG71" s="325" t="n">
        <f aca="false">T71-S71</f>
        <v>0</v>
      </c>
      <c r="AH71" s="325" t="n">
        <f aca="false">U71-T71</f>
        <v>0</v>
      </c>
      <c r="AI71" s="325" t="n">
        <f aca="false">V71-U71</f>
        <v>0</v>
      </c>
      <c r="AJ71" s="325" t="n">
        <f aca="false">W71-V71</f>
        <v>0</v>
      </c>
      <c r="AK71" s="325" t="n">
        <f aca="false">X71-W71</f>
        <v>0</v>
      </c>
      <c r="AL71" s="325" t="n">
        <f aca="false">Y71-X71</f>
        <v>0</v>
      </c>
      <c r="AM71" s="325" t="n">
        <f aca="false">Z71-Y71</f>
        <v>0</v>
      </c>
      <c r="AN71" s="325"/>
      <c r="AO71" s="325"/>
      <c r="AP71" s="325"/>
      <c r="AR71" s="314" t="str">
        <f aca="false">IFERROR(VLOOKUP(M71,'BS_DEC 2026'!$D$12:$D$109,1,FALSE()),"(미존재)")</f>
        <v>현금및현금등가물</v>
      </c>
    </row>
    <row r="72" customFormat="false" ht="16.5" hidden="false" customHeight="false" outlineLevel="0" collapsed="false">
      <c r="A72" s="317" t="s">
        <v>446</v>
      </c>
      <c r="B72" s="314" t="n">
        <v>28330002</v>
      </c>
      <c r="C72" s="314" t="s">
        <v>1671</v>
      </c>
      <c r="D72" s="314" t="s">
        <v>1512</v>
      </c>
      <c r="E72" s="314" t="s">
        <v>1593</v>
      </c>
      <c r="F72" s="314" t="s">
        <v>1605</v>
      </c>
      <c r="G72" s="314" t="s">
        <v>1606</v>
      </c>
      <c r="H72" s="314" t="s">
        <v>1495</v>
      </c>
      <c r="I72" s="314" t="s">
        <v>1668</v>
      </c>
      <c r="K72" s="314" t="s">
        <v>1669</v>
      </c>
      <c r="L72" s="324" t="s">
        <v>447</v>
      </c>
      <c r="M72" s="324" t="s">
        <v>27</v>
      </c>
      <c r="N72" s="324" t="s">
        <v>447</v>
      </c>
      <c r="O72" s="324" t="s">
        <v>1518</v>
      </c>
      <c r="P72" s="324" t="s">
        <v>27</v>
      </c>
      <c r="Q72" s="325" t="n">
        <v>0</v>
      </c>
      <c r="R72" s="325" t="n">
        <v>0</v>
      </c>
      <c r="S72" s="325" t="n">
        <v>0</v>
      </c>
      <c r="T72" s="325" t="n">
        <v>0</v>
      </c>
      <c r="U72" s="325" t="n">
        <v>0</v>
      </c>
      <c r="V72" s="325" t="n">
        <v>0</v>
      </c>
      <c r="W72" s="325" t="n">
        <v>0</v>
      </c>
      <c r="X72" s="325" t="n">
        <v>0</v>
      </c>
      <c r="Y72" s="325" t="n">
        <v>0</v>
      </c>
      <c r="Z72" s="325" t="n">
        <v>0</v>
      </c>
      <c r="AA72" s="325"/>
      <c r="AB72" s="325"/>
      <c r="AC72" s="325"/>
      <c r="AD72" s="325"/>
      <c r="AE72" s="325" t="n">
        <f aca="false">R72</f>
        <v>0</v>
      </c>
      <c r="AF72" s="325" t="n">
        <f aca="false">S72-R72</f>
        <v>0</v>
      </c>
      <c r="AG72" s="325" t="n">
        <f aca="false">T72-S72</f>
        <v>0</v>
      </c>
      <c r="AH72" s="325" t="n">
        <f aca="false">U72-T72</f>
        <v>0</v>
      </c>
      <c r="AI72" s="325" t="n">
        <f aca="false">V72-U72</f>
        <v>0</v>
      </c>
      <c r="AJ72" s="325" t="n">
        <f aca="false">W72-V72</f>
        <v>0</v>
      </c>
      <c r="AK72" s="325" t="n">
        <f aca="false">X72-W72</f>
        <v>0</v>
      </c>
      <c r="AL72" s="325" t="n">
        <f aca="false">Y72-X72</f>
        <v>0</v>
      </c>
      <c r="AM72" s="325" t="n">
        <f aca="false">Z72-Y72</f>
        <v>0</v>
      </c>
      <c r="AN72" s="325"/>
      <c r="AO72" s="325"/>
      <c r="AP72" s="325"/>
      <c r="AR72" s="314" t="str">
        <f aca="false">IFERROR(VLOOKUP(M72,'BS_DEC 2026'!$D$12:$D$109,1,FALSE()),"(미존재)")</f>
        <v>현금및현금등가물</v>
      </c>
    </row>
    <row r="73" customFormat="false" ht="16.5" hidden="false" customHeight="false" outlineLevel="0" collapsed="false">
      <c r="A73" s="317" t="s">
        <v>446</v>
      </c>
      <c r="B73" s="314" t="n">
        <v>28330010</v>
      </c>
      <c r="C73" s="313" t="s">
        <v>1672</v>
      </c>
      <c r="D73" s="314" t="s">
        <v>1512</v>
      </c>
      <c r="E73" s="314" t="s">
        <v>1593</v>
      </c>
      <c r="F73" s="314" t="s">
        <v>1605</v>
      </c>
      <c r="G73" s="314" t="s">
        <v>1606</v>
      </c>
      <c r="H73" s="314" t="s">
        <v>1495</v>
      </c>
      <c r="I73" s="314" t="s">
        <v>1668</v>
      </c>
      <c r="K73" s="314" t="s">
        <v>1669</v>
      </c>
      <c r="L73" s="324" t="s">
        <v>447</v>
      </c>
      <c r="M73" s="324" t="s">
        <v>27</v>
      </c>
      <c r="N73" s="324" t="s">
        <v>447</v>
      </c>
      <c r="O73" s="324" t="s">
        <v>1518</v>
      </c>
      <c r="P73" s="324" t="s">
        <v>27</v>
      </c>
      <c r="Q73" s="325" t="n">
        <v>14</v>
      </c>
      <c r="R73" s="325" t="n">
        <v>0</v>
      </c>
      <c r="S73" s="325" t="n">
        <v>0</v>
      </c>
      <c r="T73" s="325" t="n">
        <v>0</v>
      </c>
      <c r="U73" s="325" t="n">
        <v>0</v>
      </c>
      <c r="V73" s="325" t="n">
        <v>0</v>
      </c>
      <c r="W73" s="325" t="n">
        <v>5430</v>
      </c>
      <c r="X73" s="325" t="n">
        <v>0</v>
      </c>
      <c r="Y73" s="325" t="n">
        <v>0</v>
      </c>
      <c r="Z73" s="325" t="n">
        <v>0</v>
      </c>
      <c r="AA73" s="325"/>
      <c r="AB73" s="325"/>
      <c r="AC73" s="325"/>
      <c r="AD73" s="325"/>
      <c r="AE73" s="325" t="n">
        <f aca="false">R73</f>
        <v>0</v>
      </c>
      <c r="AF73" s="325" t="n">
        <f aca="false">S73-R73</f>
        <v>0</v>
      </c>
      <c r="AG73" s="325" t="n">
        <f aca="false">T73-S73</f>
        <v>0</v>
      </c>
      <c r="AH73" s="325" t="n">
        <f aca="false">U73-T73</f>
        <v>0</v>
      </c>
      <c r="AI73" s="325" t="n">
        <f aca="false">V73-U73</f>
        <v>0</v>
      </c>
      <c r="AJ73" s="325" t="n">
        <f aca="false">W73-V73</f>
        <v>5430</v>
      </c>
      <c r="AK73" s="325" t="n">
        <f aca="false">X73-W73</f>
        <v>-5430</v>
      </c>
      <c r="AL73" s="325" t="n">
        <f aca="false">Y73-X73</f>
        <v>0</v>
      </c>
      <c r="AM73" s="325" t="n">
        <f aca="false">Z73-Y73</f>
        <v>0</v>
      </c>
      <c r="AN73" s="325"/>
      <c r="AO73" s="325"/>
      <c r="AP73" s="325"/>
      <c r="AR73" s="314" t="str">
        <f aca="false">IFERROR(VLOOKUP(M73,'BS_DEC 2026'!$D$12:$D$109,1,FALSE()),"(미존재)")</f>
        <v>현금및현금등가물</v>
      </c>
    </row>
    <row r="74" customFormat="false" ht="16.5" hidden="false" customHeight="false" outlineLevel="0" collapsed="false">
      <c r="A74" s="317" t="s">
        <v>446</v>
      </c>
      <c r="B74" s="314" t="n">
        <v>28330011</v>
      </c>
      <c r="C74" s="314" t="s">
        <v>1673</v>
      </c>
      <c r="D74" s="314" t="s">
        <v>1512</v>
      </c>
      <c r="E74" s="314" t="s">
        <v>1593</v>
      </c>
      <c r="F74" s="314" t="s">
        <v>1605</v>
      </c>
      <c r="G74" s="314" t="s">
        <v>1606</v>
      </c>
      <c r="H74" s="314" t="s">
        <v>1495</v>
      </c>
      <c r="I74" s="314" t="s">
        <v>1668</v>
      </c>
      <c r="K74" s="314" t="s">
        <v>1669</v>
      </c>
      <c r="L74" s="324" t="s">
        <v>447</v>
      </c>
      <c r="M74" s="324" t="s">
        <v>27</v>
      </c>
      <c r="N74" s="324" t="s">
        <v>447</v>
      </c>
      <c r="O74" s="324" t="s">
        <v>1518</v>
      </c>
      <c r="P74" s="324" t="s">
        <v>27</v>
      </c>
      <c r="Q74" s="325" t="n">
        <v>0</v>
      </c>
      <c r="R74" s="325" t="n">
        <v>0</v>
      </c>
      <c r="S74" s="325" t="n">
        <v>0</v>
      </c>
      <c r="T74" s="325" t="n">
        <v>0</v>
      </c>
      <c r="U74" s="325" t="n">
        <v>0</v>
      </c>
      <c r="V74" s="325" t="n">
        <v>0</v>
      </c>
      <c r="W74" s="325" t="n">
        <v>0</v>
      </c>
      <c r="X74" s="325" t="n">
        <v>0</v>
      </c>
      <c r="Y74" s="325" t="n">
        <v>0</v>
      </c>
      <c r="Z74" s="325" t="n">
        <v>0</v>
      </c>
      <c r="AA74" s="325"/>
      <c r="AB74" s="325"/>
      <c r="AC74" s="325"/>
      <c r="AD74" s="325"/>
      <c r="AE74" s="325" t="n">
        <f aca="false">R74</f>
        <v>0</v>
      </c>
      <c r="AF74" s="325" t="n">
        <f aca="false">S74-R74</f>
        <v>0</v>
      </c>
      <c r="AG74" s="325" t="n">
        <f aca="false">T74-S74</f>
        <v>0</v>
      </c>
      <c r="AH74" s="325" t="n">
        <f aca="false">U74-T74</f>
        <v>0</v>
      </c>
      <c r="AI74" s="325" t="n">
        <f aca="false">V74-U74</f>
        <v>0</v>
      </c>
      <c r="AJ74" s="325" t="n">
        <f aca="false">W74-V74</f>
        <v>0</v>
      </c>
      <c r="AK74" s="325" t="n">
        <f aca="false">X74-W74</f>
        <v>0</v>
      </c>
      <c r="AL74" s="325" t="n">
        <f aca="false">Y74-X74</f>
        <v>0</v>
      </c>
      <c r="AM74" s="325" t="n">
        <f aca="false">Z74-Y74</f>
        <v>0</v>
      </c>
      <c r="AN74" s="325"/>
      <c r="AO74" s="325"/>
      <c r="AP74" s="325"/>
      <c r="AR74" s="314" t="str">
        <f aca="false">IFERROR(VLOOKUP(M74,'BS_DEC 2026'!$D$12:$D$109,1,FALSE()),"(미존재)")</f>
        <v>현금및현금등가물</v>
      </c>
    </row>
    <row r="75" customFormat="false" ht="16.5" hidden="false" customHeight="false" outlineLevel="0" collapsed="false">
      <c r="A75" s="317" t="s">
        <v>446</v>
      </c>
      <c r="B75" s="314" t="n">
        <v>28330990</v>
      </c>
      <c r="C75" s="314" t="s">
        <v>1674</v>
      </c>
      <c r="D75" s="314" t="s">
        <v>1512</v>
      </c>
      <c r="E75" s="314" t="s">
        <v>1593</v>
      </c>
      <c r="F75" s="314" t="s">
        <v>1605</v>
      </c>
      <c r="G75" s="314" t="s">
        <v>1606</v>
      </c>
      <c r="H75" s="314" t="s">
        <v>1495</v>
      </c>
      <c r="I75" s="314" t="s">
        <v>1607</v>
      </c>
      <c r="K75" s="314" t="s">
        <v>1608</v>
      </c>
      <c r="L75" s="324" t="s">
        <v>447</v>
      </c>
      <c r="M75" s="324" t="s">
        <v>27</v>
      </c>
      <c r="N75" s="324" t="s">
        <v>447</v>
      </c>
      <c r="O75" s="324" t="s">
        <v>1518</v>
      </c>
      <c r="P75" s="324" t="s">
        <v>27</v>
      </c>
      <c r="Q75" s="325" t="n">
        <v>11105202195</v>
      </c>
      <c r="R75" s="325" t="n">
        <v>49471618364</v>
      </c>
      <c r="S75" s="325" t="n">
        <v>42980820239</v>
      </c>
      <c r="T75" s="325" t="n">
        <v>42437933542</v>
      </c>
      <c r="U75" s="325" t="n">
        <v>11228414742</v>
      </c>
      <c r="V75" s="325" t="n">
        <v>24908566662</v>
      </c>
      <c r="W75" s="325" t="n">
        <v>6624241878</v>
      </c>
      <c r="X75" s="325" t="n">
        <v>11103221799</v>
      </c>
      <c r="Y75" s="325" t="n">
        <v>6235120849</v>
      </c>
      <c r="Z75" s="325" t="n">
        <v>8328079411</v>
      </c>
      <c r="AA75" s="325"/>
      <c r="AB75" s="325"/>
      <c r="AC75" s="325"/>
      <c r="AD75" s="325"/>
      <c r="AE75" s="325" t="n">
        <f aca="false">R75</f>
        <v>49471618364</v>
      </c>
      <c r="AF75" s="325" t="n">
        <f aca="false">S75-R75</f>
        <v>-6490798125</v>
      </c>
      <c r="AG75" s="325" t="n">
        <f aca="false">T75-S75</f>
        <v>-542886697</v>
      </c>
      <c r="AH75" s="325" t="n">
        <f aca="false">U75-T75</f>
        <v>-31209518800</v>
      </c>
      <c r="AI75" s="325" t="n">
        <f aca="false">V75-U75</f>
        <v>13680151920</v>
      </c>
      <c r="AJ75" s="325" t="n">
        <f aca="false">W75-V75</f>
        <v>-18284324784</v>
      </c>
      <c r="AK75" s="325" t="n">
        <f aca="false">X75-W75</f>
        <v>4478979921</v>
      </c>
      <c r="AL75" s="325" t="n">
        <f aca="false">Y75-X75</f>
        <v>-4868100950</v>
      </c>
      <c r="AM75" s="325" t="n">
        <f aca="false">Z75-Y75</f>
        <v>2092958562</v>
      </c>
      <c r="AN75" s="325"/>
      <c r="AO75" s="325"/>
      <c r="AP75" s="325"/>
      <c r="AR75" s="314" t="str">
        <f aca="false">IFERROR(VLOOKUP(M75,'BS_DEC 2026'!$D$12:$D$109,1,FALSE()),"(미존재)")</f>
        <v>현금및현금등가물</v>
      </c>
    </row>
    <row r="76" customFormat="false" ht="16.5" hidden="false" customHeight="false" outlineLevel="0" collapsed="false">
      <c r="A76" s="317" t="s">
        <v>446</v>
      </c>
      <c r="B76" s="314" t="n">
        <v>29100000</v>
      </c>
      <c r="C76" s="314" t="s">
        <v>1675</v>
      </c>
      <c r="D76" s="314" t="s">
        <v>1512</v>
      </c>
      <c r="E76" s="314" t="s">
        <v>1593</v>
      </c>
      <c r="F76" s="314" t="s">
        <v>1676</v>
      </c>
      <c r="G76" s="314" t="s">
        <v>1494</v>
      </c>
      <c r="H76" s="314" t="s">
        <v>1495</v>
      </c>
      <c r="I76" s="314" t="s">
        <v>1677</v>
      </c>
      <c r="K76" s="314" t="s">
        <v>1678</v>
      </c>
      <c r="L76" s="324" t="s">
        <v>447</v>
      </c>
      <c r="M76" s="324" t="s">
        <v>64</v>
      </c>
      <c r="N76" s="324" t="s">
        <v>447</v>
      </c>
      <c r="O76" s="324" t="s">
        <v>1518</v>
      </c>
      <c r="P76" s="324" t="s">
        <v>64</v>
      </c>
      <c r="Q76" s="325" t="n">
        <v>24413452320</v>
      </c>
      <c r="R76" s="325" t="n">
        <v>24413452320</v>
      </c>
      <c r="S76" s="325" t="n">
        <v>24413452320</v>
      </c>
      <c r="T76" s="325" t="n">
        <v>20300794341</v>
      </c>
      <c r="U76" s="325" t="n">
        <v>20519643421</v>
      </c>
      <c r="V76" s="325" t="n">
        <v>20519643421</v>
      </c>
      <c r="W76" s="325" t="n">
        <v>20519643421</v>
      </c>
      <c r="X76" s="325" t="n">
        <v>19485272641</v>
      </c>
      <c r="Y76" s="325" t="n">
        <v>19485272641</v>
      </c>
      <c r="Z76" s="325" t="n">
        <v>19784758242</v>
      </c>
      <c r="AA76" s="325"/>
      <c r="AB76" s="325"/>
      <c r="AC76" s="325"/>
      <c r="AD76" s="325"/>
      <c r="AE76" s="325" t="n">
        <f aca="false">R76</f>
        <v>24413452320</v>
      </c>
      <c r="AF76" s="325" t="n">
        <f aca="false">S76-R76</f>
        <v>0</v>
      </c>
      <c r="AG76" s="325" t="n">
        <f aca="false">T76-S76</f>
        <v>-4112657979</v>
      </c>
      <c r="AH76" s="325" t="n">
        <f aca="false">U76-T76</f>
        <v>218849080</v>
      </c>
      <c r="AI76" s="325" t="n">
        <f aca="false">V76-U76</f>
        <v>0</v>
      </c>
      <c r="AJ76" s="325" t="n">
        <f aca="false">W76-V76</f>
        <v>0</v>
      </c>
      <c r="AK76" s="325" t="n">
        <f aca="false">X76-W76</f>
        <v>-1034370780</v>
      </c>
      <c r="AL76" s="325" t="n">
        <f aca="false">Y76-X76</f>
        <v>0</v>
      </c>
      <c r="AM76" s="325" t="n">
        <f aca="false">Z76-Y76</f>
        <v>299485601</v>
      </c>
      <c r="AN76" s="325" t="s">
        <v>1679</v>
      </c>
      <c r="AO76" s="325" t="n">
        <f aca="false">AB76-AA76</f>
        <v>0</v>
      </c>
      <c r="AP76" s="325" t="n">
        <f aca="false">AC76-AB76</f>
        <v>0</v>
      </c>
      <c r="AR76" s="314" t="str">
        <f aca="false">IFERROR(VLOOKUP(M76,'BS_DEC 2026'!$D$12:$D$109,1,FALSE()),"(미존재)")</f>
        <v>유동성이연법인세자산</v>
      </c>
    </row>
    <row r="77" customFormat="false" ht="16.5" hidden="false" customHeight="false" outlineLevel="0" collapsed="false">
      <c r="A77" s="317" t="s">
        <v>446</v>
      </c>
      <c r="B77" s="313" t="n">
        <v>29150000</v>
      </c>
      <c r="C77" s="313" t="s">
        <v>1680</v>
      </c>
      <c r="D77" s="314" t="s">
        <v>1512</v>
      </c>
      <c r="E77" s="314" t="s">
        <v>1593</v>
      </c>
      <c r="F77" s="314" t="s">
        <v>1676</v>
      </c>
      <c r="G77" s="314" t="s">
        <v>1494</v>
      </c>
      <c r="H77" s="314" t="s">
        <v>1495</v>
      </c>
      <c r="I77" s="314" t="s">
        <v>1677</v>
      </c>
      <c r="K77" s="314" t="s">
        <v>1678</v>
      </c>
      <c r="L77" s="324" t="s">
        <v>447</v>
      </c>
      <c r="M77" s="324" t="s">
        <v>64</v>
      </c>
      <c r="N77" s="324" t="s">
        <v>447</v>
      </c>
      <c r="O77" s="324" t="s">
        <v>1518</v>
      </c>
      <c r="P77" s="324" t="s">
        <v>64</v>
      </c>
      <c r="Q77" s="326" t="n">
        <v>0</v>
      </c>
      <c r="R77" s="325" t="n">
        <v>0</v>
      </c>
      <c r="S77" s="326" t="n">
        <v>0</v>
      </c>
      <c r="T77" s="326" t="n">
        <v>422237592</v>
      </c>
      <c r="U77" s="325" t="n">
        <v>0</v>
      </c>
      <c r="V77" s="325" t="n">
        <v>0</v>
      </c>
      <c r="W77" s="325" t="n">
        <v>0</v>
      </c>
      <c r="X77" s="325" t="n">
        <v>0</v>
      </c>
      <c r="Y77" s="325" t="n">
        <v>0</v>
      </c>
      <c r="Z77" s="325" t="n">
        <v>0</v>
      </c>
      <c r="AA77" s="325"/>
      <c r="AB77" s="325"/>
      <c r="AC77" s="325"/>
      <c r="AD77" s="325"/>
      <c r="AE77" s="325" t="n">
        <f aca="false">R77</f>
        <v>0</v>
      </c>
      <c r="AF77" s="325" t="n">
        <f aca="false">S77-R77</f>
        <v>0</v>
      </c>
      <c r="AG77" s="325" t="n">
        <f aca="false">T77-S77</f>
        <v>422237592</v>
      </c>
      <c r="AH77" s="325" t="n">
        <f aca="false">U77-T77</f>
        <v>-422237592</v>
      </c>
      <c r="AI77" s="325" t="n">
        <f aca="false">V77-U77</f>
        <v>0</v>
      </c>
      <c r="AJ77" s="325" t="n">
        <f aca="false">W77-V77</f>
        <v>0</v>
      </c>
      <c r="AK77" s="325" t="n">
        <f aca="false">X77-W77</f>
        <v>0</v>
      </c>
      <c r="AL77" s="325" t="n">
        <f aca="false">Y77-X77</f>
        <v>0</v>
      </c>
      <c r="AM77" s="325" t="n">
        <f aca="false">Z77-Y77</f>
        <v>0</v>
      </c>
      <c r="AN77" s="325" t="s">
        <v>1679</v>
      </c>
      <c r="AO77" s="325" t="n">
        <f aca="false">AB77-AA77</f>
        <v>0</v>
      </c>
      <c r="AP77" s="325" t="n">
        <f aca="false">AC77-AB77</f>
        <v>0</v>
      </c>
      <c r="AR77" s="314" t="str">
        <f aca="false">IFERROR(VLOOKUP(M77,'BS_DEC 2026'!$D$12:$D$109,1,FALSE()),"(미존재)")</f>
        <v>유동성이연법인세자산</v>
      </c>
    </row>
    <row r="78" customFormat="false" ht="16.5" hidden="false" customHeight="false" outlineLevel="0" collapsed="false">
      <c r="A78" s="317" t="s">
        <v>446</v>
      </c>
      <c r="B78" s="314" t="n">
        <v>30000000</v>
      </c>
      <c r="C78" s="314" t="s">
        <v>1681</v>
      </c>
      <c r="D78" s="314" t="s">
        <v>1682</v>
      </c>
      <c r="E78" s="314" t="s">
        <v>1683</v>
      </c>
      <c r="F78" s="314" t="n">
        <v>0</v>
      </c>
      <c r="G78" s="314" t="s">
        <v>1684</v>
      </c>
      <c r="H78" s="314" t="s">
        <v>1495</v>
      </c>
      <c r="I78" s="314" t="s">
        <v>1685</v>
      </c>
      <c r="K78" s="314" t="s">
        <v>1686</v>
      </c>
      <c r="L78" s="324" t="s">
        <v>227</v>
      </c>
      <c r="M78" s="324" t="s">
        <v>231</v>
      </c>
      <c r="N78" s="324" t="s">
        <v>227</v>
      </c>
      <c r="O78" s="324" t="s">
        <v>1687</v>
      </c>
      <c r="P78" s="324" t="s">
        <v>1687</v>
      </c>
      <c r="Q78" s="325" t="n">
        <v>-4287180000</v>
      </c>
      <c r="R78" s="325" t="n">
        <v>-4287180000</v>
      </c>
      <c r="S78" s="325" t="n">
        <v>-4287180000</v>
      </c>
      <c r="T78" s="325" t="n">
        <v>-4287180000</v>
      </c>
      <c r="U78" s="325" t="n">
        <v>-4287180000</v>
      </c>
      <c r="V78" s="325" t="n">
        <v>-4287180000</v>
      </c>
      <c r="W78" s="325" t="n">
        <v>-4287180000</v>
      </c>
      <c r="X78" s="325" t="n">
        <v>-4287180000</v>
      </c>
      <c r="Y78" s="325" t="n">
        <v>-4287180000</v>
      </c>
      <c r="Z78" s="325" t="n">
        <v>-4287180000</v>
      </c>
      <c r="AA78" s="325"/>
      <c r="AB78" s="325"/>
      <c r="AC78" s="325"/>
      <c r="AD78" s="325"/>
      <c r="AE78" s="325" t="n">
        <f aca="false">R78</f>
        <v>-4287180000</v>
      </c>
      <c r="AF78" s="325" t="n">
        <f aca="false">S78-R78</f>
        <v>0</v>
      </c>
      <c r="AG78" s="325" t="n">
        <f aca="false">T78-S78</f>
        <v>0</v>
      </c>
      <c r="AH78" s="325" t="n">
        <f aca="false">U78-T78</f>
        <v>0</v>
      </c>
      <c r="AI78" s="325" t="n">
        <f aca="false">V78-U78</f>
        <v>0</v>
      </c>
      <c r="AJ78" s="325" t="n">
        <f aca="false">W78-V78</f>
        <v>0</v>
      </c>
      <c r="AK78" s="325" t="n">
        <f aca="false">X78-W78</f>
        <v>0</v>
      </c>
      <c r="AL78" s="325" t="n">
        <f aca="false">Y78-X78</f>
        <v>0</v>
      </c>
      <c r="AM78" s="325" t="n">
        <f aca="false">Z78-Y78</f>
        <v>0</v>
      </c>
      <c r="AN78" s="325" t="s">
        <v>1679</v>
      </c>
      <c r="AO78" s="325" t="n">
        <f aca="false">AB78-AA78</f>
        <v>0</v>
      </c>
      <c r="AP78" s="325" t="n">
        <f aca="false">AC78-AB78</f>
        <v>0</v>
      </c>
      <c r="AR78" s="314" t="str">
        <f aca="false">IFERROR(VLOOKUP(M78,'BS_DEC 2026'!$D$12:$D$109,1,FALSE()),"(미존재)")</f>
        <v>보통주자본금</v>
      </c>
    </row>
    <row r="79" customFormat="false" ht="16.5" hidden="false" customHeight="false" outlineLevel="0" collapsed="false">
      <c r="A79" s="317" t="s">
        <v>446</v>
      </c>
      <c r="B79" s="314" t="n">
        <v>30000100</v>
      </c>
      <c r="C79" s="314" t="s">
        <v>1688</v>
      </c>
      <c r="D79" s="314" t="s">
        <v>1682</v>
      </c>
      <c r="E79" s="314" t="s">
        <v>1689</v>
      </c>
      <c r="F79" s="314" t="s">
        <v>1690</v>
      </c>
      <c r="G79" s="314" t="s">
        <v>1684</v>
      </c>
      <c r="H79" s="314" t="s">
        <v>1495</v>
      </c>
      <c r="I79" s="314" t="s">
        <v>1691</v>
      </c>
      <c r="K79" s="314" t="s">
        <v>1692</v>
      </c>
      <c r="L79" s="324" t="s">
        <v>227</v>
      </c>
      <c r="M79" s="324" t="s">
        <v>235</v>
      </c>
      <c r="N79" s="324" t="s">
        <v>227</v>
      </c>
      <c r="O79" s="324" t="s">
        <v>1693</v>
      </c>
      <c r="P79" s="324" t="s">
        <v>1693</v>
      </c>
      <c r="Q79" s="325" t="n">
        <v>-122441812567</v>
      </c>
      <c r="R79" s="325" t="n">
        <v>-122441812567</v>
      </c>
      <c r="S79" s="325" t="n">
        <v>-122441812567</v>
      </c>
      <c r="T79" s="325" t="n">
        <v>-122441812567</v>
      </c>
      <c r="U79" s="325" t="n">
        <v>-122441812567</v>
      </c>
      <c r="V79" s="325" t="n">
        <v>-122441812567</v>
      </c>
      <c r="W79" s="325" t="n">
        <v>-122441812567</v>
      </c>
      <c r="X79" s="325" t="n">
        <v>-122441812567</v>
      </c>
      <c r="Y79" s="325" t="n">
        <v>-122441812567</v>
      </c>
      <c r="Z79" s="325" t="n">
        <v>-122441812567</v>
      </c>
      <c r="AA79" s="325"/>
      <c r="AB79" s="325"/>
      <c r="AC79" s="325"/>
      <c r="AD79" s="325"/>
      <c r="AE79" s="325" t="n">
        <f aca="false">R79</f>
        <v>-122441812567</v>
      </c>
      <c r="AF79" s="325" t="n">
        <f aca="false">S79-R79</f>
        <v>0</v>
      </c>
      <c r="AG79" s="325" t="n">
        <f aca="false">T79-S79</f>
        <v>0</v>
      </c>
      <c r="AH79" s="325" t="n">
        <f aca="false">U79-T79</f>
        <v>0</v>
      </c>
      <c r="AI79" s="325" t="n">
        <f aca="false">V79-U79</f>
        <v>0</v>
      </c>
      <c r="AJ79" s="325" t="n">
        <f aca="false">W79-V79</f>
        <v>0</v>
      </c>
      <c r="AK79" s="325" t="n">
        <f aca="false">X79-W79</f>
        <v>0</v>
      </c>
      <c r="AL79" s="325" t="n">
        <f aca="false">Y79-X79</f>
        <v>0</v>
      </c>
      <c r="AM79" s="325" t="n">
        <f aca="false">Z79-Y79</f>
        <v>0</v>
      </c>
      <c r="AN79" s="325" t="s">
        <v>1679</v>
      </c>
      <c r="AO79" s="325" t="n">
        <f aca="false">AB79-AA79</f>
        <v>0</v>
      </c>
      <c r="AP79" s="325" t="n">
        <f aca="false">AC79-AB79</f>
        <v>0</v>
      </c>
      <c r="AR79" s="314" t="str">
        <f aca="false">IFERROR(VLOOKUP(M79,'BS_DEC 2026'!$D$12:$D$109,1,FALSE()),"(미존재)")</f>
        <v>주식발행초과금</v>
      </c>
    </row>
    <row r="80" customFormat="false" ht="16.5" hidden="false" customHeight="false" outlineLevel="0" collapsed="false">
      <c r="A80" s="317" t="s">
        <v>446</v>
      </c>
      <c r="B80" s="314" t="n">
        <v>31000001</v>
      </c>
      <c r="C80" s="314" t="s">
        <v>1694</v>
      </c>
      <c r="D80" s="314" t="s">
        <v>1682</v>
      </c>
      <c r="E80" s="314" t="s">
        <v>1689</v>
      </c>
      <c r="F80" s="314" t="s">
        <v>1690</v>
      </c>
      <c r="G80" s="314" t="s">
        <v>1684</v>
      </c>
      <c r="H80" s="314" t="s">
        <v>1495</v>
      </c>
      <c r="I80" s="314" t="s">
        <v>1691</v>
      </c>
      <c r="K80" s="314" t="s">
        <v>1692</v>
      </c>
      <c r="L80" s="324" t="s">
        <v>227</v>
      </c>
      <c r="M80" s="324" t="s">
        <v>237</v>
      </c>
      <c r="N80" s="324" t="s">
        <v>227</v>
      </c>
      <c r="O80" s="324" t="s">
        <v>1693</v>
      </c>
      <c r="P80" s="324" t="s">
        <v>1693</v>
      </c>
      <c r="Q80" s="325" t="n">
        <v>21035577720</v>
      </c>
      <c r="R80" s="325" t="n">
        <v>21035577720</v>
      </c>
      <c r="S80" s="325" t="n">
        <v>21035577720</v>
      </c>
      <c r="T80" s="325" t="n">
        <v>21035577720</v>
      </c>
      <c r="U80" s="325" t="n">
        <v>21035577720</v>
      </c>
      <c r="V80" s="325" t="n">
        <v>21035577720</v>
      </c>
      <c r="W80" s="325" t="n">
        <v>21035577720</v>
      </c>
      <c r="X80" s="325" t="n">
        <v>21035577720</v>
      </c>
      <c r="Y80" s="325" t="n">
        <v>21035577720</v>
      </c>
      <c r="Z80" s="325" t="n">
        <v>21035577720</v>
      </c>
      <c r="AA80" s="325"/>
      <c r="AB80" s="325"/>
      <c r="AC80" s="325"/>
      <c r="AD80" s="325"/>
      <c r="AE80" s="325" t="n">
        <f aca="false">R80</f>
        <v>21035577720</v>
      </c>
      <c r="AF80" s="325" t="n">
        <f aca="false">S80-R80</f>
        <v>0</v>
      </c>
      <c r="AG80" s="325" t="n">
        <f aca="false">T80-S80</f>
        <v>0</v>
      </c>
      <c r="AH80" s="325" t="n">
        <f aca="false">U80-T80</f>
        <v>0</v>
      </c>
      <c r="AI80" s="325" t="n">
        <f aca="false">V80-U80</f>
        <v>0</v>
      </c>
      <c r="AJ80" s="325" t="n">
        <f aca="false">W80-V80</f>
        <v>0</v>
      </c>
      <c r="AK80" s="325" t="n">
        <f aca="false">X80-W80</f>
        <v>0</v>
      </c>
      <c r="AL80" s="325" t="n">
        <f aca="false">Y80-X80</f>
        <v>0</v>
      </c>
      <c r="AM80" s="325" t="n">
        <f aca="false">Z80-Y80</f>
        <v>0</v>
      </c>
      <c r="AN80" s="325" t="s">
        <v>1679</v>
      </c>
      <c r="AO80" s="325" t="n">
        <f aca="false">AB80-AA80</f>
        <v>0</v>
      </c>
      <c r="AP80" s="325" t="n">
        <f aca="false">AC80-AB80</f>
        <v>0</v>
      </c>
      <c r="AR80" s="314" t="str">
        <f aca="false">IFERROR(VLOOKUP(M80,'BS_DEC 2026'!$D$12:$D$109,1,FALSE()),"(미존재)")</f>
        <v>기타자본잉여금</v>
      </c>
    </row>
    <row r="81" customFormat="false" ht="16.5" hidden="false" customHeight="false" outlineLevel="0" collapsed="false">
      <c r="A81" s="317" t="s">
        <v>446</v>
      </c>
      <c r="B81" s="314" t="n">
        <v>32100000</v>
      </c>
      <c r="C81" s="314" t="s">
        <v>1695</v>
      </c>
      <c r="D81" s="314" t="s">
        <v>1682</v>
      </c>
      <c r="E81" s="314" t="s">
        <v>1696</v>
      </c>
      <c r="F81" s="314" t="s">
        <v>1697</v>
      </c>
      <c r="G81" s="314" t="s">
        <v>1684</v>
      </c>
      <c r="H81" s="314" t="s">
        <v>1495</v>
      </c>
      <c r="I81" s="314" t="s">
        <v>1698</v>
      </c>
      <c r="K81" s="314" t="s">
        <v>1699</v>
      </c>
      <c r="L81" s="324" t="s">
        <v>227</v>
      </c>
      <c r="M81" s="324" t="s">
        <v>243</v>
      </c>
      <c r="N81" s="324" t="s">
        <v>227</v>
      </c>
      <c r="O81" s="324" t="s">
        <v>248</v>
      </c>
      <c r="P81" s="324" t="s">
        <v>243</v>
      </c>
      <c r="Q81" s="325" t="n">
        <v>-1886200000</v>
      </c>
      <c r="R81" s="325" t="n">
        <v>-1886200000</v>
      </c>
      <c r="S81" s="325" t="n">
        <v>-1886200000</v>
      </c>
      <c r="T81" s="325" t="n">
        <v>-2168590000</v>
      </c>
      <c r="U81" s="325" t="n">
        <v>-2168590000</v>
      </c>
      <c r="V81" s="325" t="n">
        <v>-2168590000</v>
      </c>
      <c r="W81" s="325" t="n">
        <v>-2168590000</v>
      </c>
      <c r="X81" s="325" t="n">
        <v>-2168590000</v>
      </c>
      <c r="Y81" s="325" t="n">
        <v>-2168590000</v>
      </c>
      <c r="Z81" s="325" t="n">
        <v>-2168590000</v>
      </c>
      <c r="AA81" s="325"/>
      <c r="AB81" s="325"/>
      <c r="AC81" s="325"/>
      <c r="AD81" s="325"/>
      <c r="AE81" s="325" t="n">
        <f aca="false">R81</f>
        <v>-1886200000</v>
      </c>
      <c r="AF81" s="325" t="n">
        <f aca="false">S81-R81</f>
        <v>0</v>
      </c>
      <c r="AG81" s="325" t="n">
        <f aca="false">T81-S81</f>
        <v>-282390000</v>
      </c>
      <c r="AH81" s="325" t="n">
        <f aca="false">U81-T81</f>
        <v>0</v>
      </c>
      <c r="AI81" s="325" t="n">
        <f aca="false">V81-U81</f>
        <v>0</v>
      </c>
      <c r="AJ81" s="325" t="n">
        <f aca="false">W81-V81</f>
        <v>0</v>
      </c>
      <c r="AK81" s="325" t="n">
        <f aca="false">X81-W81</f>
        <v>0</v>
      </c>
      <c r="AL81" s="325" t="n">
        <f aca="false">Y81-X81</f>
        <v>0</v>
      </c>
      <c r="AM81" s="325" t="n">
        <f aca="false">Z81-Y81</f>
        <v>0</v>
      </c>
      <c r="AN81" s="325" t="s">
        <v>1679</v>
      </c>
      <c r="AO81" s="325" t="n">
        <f aca="false">AB81-AA81</f>
        <v>0</v>
      </c>
      <c r="AP81" s="325" t="n">
        <f aca="false">AC81-AB81</f>
        <v>0</v>
      </c>
      <c r="AR81" s="314" t="str">
        <f aca="false">IFERROR(VLOOKUP(M81,'BS_DEC 2026'!$D$12:$D$109,1,FALSE()),"(미존재)")</f>
        <v>이익준비금</v>
      </c>
    </row>
    <row r="82" customFormat="false" ht="16.5" hidden="false" customHeight="false" outlineLevel="0" collapsed="false">
      <c r="A82" s="317" t="s">
        <v>446</v>
      </c>
      <c r="B82" s="314" t="n">
        <v>32200000</v>
      </c>
      <c r="C82" s="314" t="s">
        <v>1700</v>
      </c>
      <c r="D82" s="314" t="s">
        <v>1682</v>
      </c>
      <c r="E82" s="314" t="s">
        <v>1696</v>
      </c>
      <c r="F82" s="314" t="s">
        <v>1701</v>
      </c>
      <c r="G82" s="314" t="s">
        <v>1684</v>
      </c>
      <c r="H82" s="314" t="s">
        <v>1495</v>
      </c>
      <c r="I82" s="314" t="s">
        <v>1698</v>
      </c>
      <c r="K82" s="314" t="s">
        <v>1699</v>
      </c>
      <c r="L82" s="324" t="s">
        <v>227</v>
      </c>
      <c r="M82" s="324" t="s">
        <v>248</v>
      </c>
      <c r="N82" s="324" t="s">
        <v>227</v>
      </c>
      <c r="O82" s="324" t="s">
        <v>248</v>
      </c>
      <c r="P82" s="324" t="s">
        <v>1702</v>
      </c>
      <c r="Q82" s="325" t="n">
        <v>-113587447204</v>
      </c>
      <c r="R82" s="325" t="n">
        <v>-153446688682</v>
      </c>
      <c r="S82" s="325" t="n">
        <v>-153446688682</v>
      </c>
      <c r="T82" s="325" t="n">
        <v>-153164298682</v>
      </c>
      <c r="U82" s="325" t="n">
        <v>-153164298682</v>
      </c>
      <c r="V82" s="325" t="n">
        <v>-153164298682</v>
      </c>
      <c r="W82" s="325" t="n">
        <v>-153164298682</v>
      </c>
      <c r="X82" s="325" t="n">
        <v>-153164298682</v>
      </c>
      <c r="Y82" s="325" t="n">
        <v>-153164298682</v>
      </c>
      <c r="Z82" s="325" t="n">
        <v>-153164298682</v>
      </c>
      <c r="AA82" s="325"/>
      <c r="AB82" s="325"/>
      <c r="AC82" s="325"/>
      <c r="AD82" s="325"/>
      <c r="AE82" s="325" t="n">
        <f aca="false">R82</f>
        <v>-153446688682</v>
      </c>
      <c r="AF82" s="325" t="n">
        <f aca="false">S82-R82</f>
        <v>0</v>
      </c>
      <c r="AG82" s="325" t="n">
        <f aca="false">T82-S82</f>
        <v>282390000</v>
      </c>
      <c r="AH82" s="325" t="n">
        <f aca="false">U82-T82</f>
        <v>0</v>
      </c>
      <c r="AI82" s="325" t="n">
        <f aca="false">V82-U82</f>
        <v>0</v>
      </c>
      <c r="AJ82" s="325" t="n">
        <f aca="false">W82-V82</f>
        <v>0</v>
      </c>
      <c r="AK82" s="325" t="n">
        <f aca="false">X82-W82</f>
        <v>0</v>
      </c>
      <c r="AL82" s="325" t="n">
        <f aca="false">Y82-X82</f>
        <v>0</v>
      </c>
      <c r="AM82" s="325" t="n">
        <f aca="false">Z82-Y82</f>
        <v>0</v>
      </c>
      <c r="AN82" s="325" t="s">
        <v>1679</v>
      </c>
      <c r="AO82" s="325" t="n">
        <f aca="false">AB82-AA82</f>
        <v>0</v>
      </c>
      <c r="AP82" s="325" t="n">
        <f aca="false">AC82-AB82</f>
        <v>0</v>
      </c>
      <c r="AR82" s="314" t="str">
        <f aca="false">IFERROR(VLOOKUP(M82,'BS_DEC 2026'!$D$12:$D$109,1,FALSE()),"(미존재)")</f>
        <v>이익잉여금</v>
      </c>
    </row>
    <row r="83" customFormat="false" ht="16.5" hidden="false" customHeight="false" outlineLevel="0" collapsed="false">
      <c r="A83" s="317" t="s">
        <v>446</v>
      </c>
      <c r="B83" s="314" t="n">
        <v>32200001</v>
      </c>
      <c r="C83" s="314" t="s">
        <v>1703</v>
      </c>
      <c r="D83" s="314" t="s">
        <v>1682</v>
      </c>
      <c r="E83" s="314" t="s">
        <v>1696</v>
      </c>
      <c r="F83" s="314" t="s">
        <v>1701</v>
      </c>
      <c r="G83" s="314" t="s">
        <v>1684</v>
      </c>
      <c r="H83" s="314" t="s">
        <v>1495</v>
      </c>
      <c r="I83" s="314" t="s">
        <v>1698</v>
      </c>
      <c r="K83" s="314" t="s">
        <v>1699</v>
      </c>
      <c r="L83" s="324" t="s">
        <v>227</v>
      </c>
      <c r="M83" s="324" t="s">
        <v>248</v>
      </c>
      <c r="N83" s="324" t="s">
        <v>227</v>
      </c>
      <c r="O83" s="324" t="s">
        <v>248</v>
      </c>
      <c r="P83" s="324" t="s">
        <v>1702</v>
      </c>
      <c r="Q83" s="325" t="n">
        <v>6453000000</v>
      </c>
      <c r="R83" s="325" t="n">
        <v>6453000000</v>
      </c>
      <c r="S83" s="325" t="n">
        <v>6453000000</v>
      </c>
      <c r="T83" s="325" t="n">
        <v>58453000000</v>
      </c>
      <c r="U83" s="325" t="n">
        <v>58453000000</v>
      </c>
      <c r="V83" s="325" t="n">
        <v>58453000000</v>
      </c>
      <c r="W83" s="325" t="n">
        <v>58453000000</v>
      </c>
      <c r="X83" s="325" t="n">
        <v>58453000000</v>
      </c>
      <c r="Y83" s="325" t="n">
        <v>58453000000</v>
      </c>
      <c r="Z83" s="325" t="n">
        <v>58453000000</v>
      </c>
      <c r="AA83" s="325"/>
      <c r="AB83" s="325"/>
      <c r="AC83" s="325"/>
      <c r="AD83" s="325"/>
      <c r="AE83" s="325" t="n">
        <f aca="false">R83</f>
        <v>6453000000</v>
      </c>
      <c r="AF83" s="325" t="n">
        <f aca="false">S83-R83</f>
        <v>0</v>
      </c>
      <c r="AG83" s="325" t="n">
        <f aca="false">T83-S83</f>
        <v>52000000000</v>
      </c>
      <c r="AH83" s="325" t="n">
        <f aca="false">U83-T83</f>
        <v>0</v>
      </c>
      <c r="AI83" s="325" t="n">
        <f aca="false">V83-U83</f>
        <v>0</v>
      </c>
      <c r="AJ83" s="325" t="n">
        <f aca="false">W83-V83</f>
        <v>0</v>
      </c>
      <c r="AK83" s="325" t="n">
        <f aca="false">X83-W83</f>
        <v>0</v>
      </c>
      <c r="AL83" s="325" t="n">
        <f aca="false">Y83-X83</f>
        <v>0</v>
      </c>
      <c r="AM83" s="325" t="n">
        <f aca="false">Z83-Y83</f>
        <v>0</v>
      </c>
      <c r="AN83" s="325" t="s">
        <v>1679</v>
      </c>
      <c r="AO83" s="325" t="n">
        <f aca="false">AB83-AA83</f>
        <v>0</v>
      </c>
      <c r="AP83" s="325" t="n">
        <f aca="false">AC83-AB83</f>
        <v>0</v>
      </c>
      <c r="AR83" s="314" t="str">
        <f aca="false">IFERROR(VLOOKUP(M83,'BS_DEC 2026'!$D$12:$D$109,1,FALSE()),"(미존재)")</f>
        <v>이익잉여금</v>
      </c>
    </row>
    <row r="84" customFormat="false" ht="16.5" hidden="false" customHeight="false" outlineLevel="0" collapsed="false">
      <c r="A84" s="317" t="s">
        <v>446</v>
      </c>
      <c r="B84" s="314" t="n">
        <v>32300000</v>
      </c>
      <c r="C84" s="314" t="s">
        <v>1704</v>
      </c>
      <c r="D84" s="314" t="s">
        <v>1682</v>
      </c>
      <c r="E84" s="314" t="s">
        <v>1705</v>
      </c>
      <c r="F84" s="314" t="n">
        <v>0</v>
      </c>
      <c r="G84" s="314" t="s">
        <v>1684</v>
      </c>
      <c r="H84" s="314" t="s">
        <v>1495</v>
      </c>
      <c r="I84" s="314" t="s">
        <v>1698</v>
      </c>
      <c r="K84" s="314" t="s">
        <v>1699</v>
      </c>
      <c r="L84" s="324" t="s">
        <v>227</v>
      </c>
      <c r="M84" s="324" t="s">
        <v>248</v>
      </c>
      <c r="N84" s="324" t="s">
        <v>227</v>
      </c>
      <c r="O84" s="324" t="s">
        <v>1706</v>
      </c>
      <c r="P84" s="324" t="s">
        <v>248</v>
      </c>
      <c r="Q84" s="325" t="n">
        <v>-2041430576</v>
      </c>
      <c r="R84" s="325" t="n">
        <v>-2041430576</v>
      </c>
      <c r="S84" s="325" t="n">
        <v>-2041430576</v>
      </c>
      <c r="T84" s="325" t="n">
        <v>-2041430576</v>
      </c>
      <c r="U84" s="325" t="n">
        <v>-2041430576</v>
      </c>
      <c r="V84" s="325" t="n">
        <v>-2041430576</v>
      </c>
      <c r="W84" s="325" t="n">
        <v>-2041430576</v>
      </c>
      <c r="X84" s="325" t="n">
        <v>-2041430576</v>
      </c>
      <c r="Y84" s="325" t="n">
        <v>-2041430576</v>
      </c>
      <c r="Z84" s="325" t="n">
        <v>-2041430576</v>
      </c>
      <c r="AA84" s="325"/>
      <c r="AB84" s="325"/>
      <c r="AC84" s="325"/>
      <c r="AD84" s="325"/>
      <c r="AE84" s="325" t="n">
        <f aca="false">R84</f>
        <v>-2041430576</v>
      </c>
      <c r="AF84" s="325" t="n">
        <f aca="false">S84-R84</f>
        <v>0</v>
      </c>
      <c r="AG84" s="325" t="n">
        <f aca="false">T84-S84</f>
        <v>0</v>
      </c>
      <c r="AH84" s="325" t="n">
        <f aca="false">U84-T84</f>
        <v>0</v>
      </c>
      <c r="AI84" s="325" t="n">
        <f aca="false">V84-U84</f>
        <v>0</v>
      </c>
      <c r="AJ84" s="325" t="n">
        <f aca="false">W84-V84</f>
        <v>0</v>
      </c>
      <c r="AK84" s="325" t="n">
        <f aca="false">X84-W84</f>
        <v>0</v>
      </c>
      <c r="AL84" s="325" t="n">
        <f aca="false">Y84-X84</f>
        <v>0</v>
      </c>
      <c r="AM84" s="325" t="n">
        <f aca="false">Z84-Y84</f>
        <v>0</v>
      </c>
      <c r="AN84" s="325" t="s">
        <v>1679</v>
      </c>
      <c r="AO84" s="325" t="n">
        <f aca="false">AB84-AA84</f>
        <v>0</v>
      </c>
      <c r="AP84" s="325" t="n">
        <f aca="false">AC84-AB84</f>
        <v>0</v>
      </c>
      <c r="AR84" s="314" t="str">
        <f aca="false">IFERROR(VLOOKUP(M84,'BS_DEC 2026'!$D$12:$D$109,1,FALSE()),"(미존재)")</f>
        <v>이익잉여금</v>
      </c>
    </row>
    <row r="85" customFormat="false" ht="16.5" hidden="false" customHeight="false" outlineLevel="0" collapsed="false">
      <c r="A85" s="317" t="s">
        <v>446</v>
      </c>
      <c r="B85" s="314" t="n">
        <v>32900000</v>
      </c>
      <c r="C85" s="314" t="s">
        <v>1707</v>
      </c>
      <c r="D85" s="314" t="s">
        <v>1682</v>
      </c>
      <c r="E85" s="314" t="s">
        <v>1705</v>
      </c>
      <c r="F85" s="314" t="n">
        <v>0</v>
      </c>
      <c r="G85" s="314" t="s">
        <v>1684</v>
      </c>
      <c r="H85" s="314" t="s">
        <v>1495</v>
      </c>
      <c r="I85" s="314" t="s">
        <v>1708</v>
      </c>
      <c r="K85" s="314" t="s">
        <v>1709</v>
      </c>
      <c r="L85" s="324" t="s">
        <v>227</v>
      </c>
      <c r="M85" s="324" t="s">
        <v>248</v>
      </c>
      <c r="N85" s="324" t="s">
        <v>227</v>
      </c>
      <c r="O85" s="324" t="s">
        <v>1706</v>
      </c>
      <c r="P85" s="324" t="s">
        <v>248</v>
      </c>
      <c r="Q85" s="325" t="n">
        <v>-2187462000</v>
      </c>
      <c r="R85" s="325" t="n">
        <v>-2187462000</v>
      </c>
      <c r="S85" s="325" t="n">
        <v>-2187462000</v>
      </c>
      <c r="T85" s="325" t="n">
        <v>-2187462000</v>
      </c>
      <c r="U85" s="325" t="n">
        <v>-2187462000</v>
      </c>
      <c r="V85" s="325" t="n">
        <v>-2187462000</v>
      </c>
      <c r="W85" s="325" t="n">
        <v>-2187462000</v>
      </c>
      <c r="X85" s="325" t="n">
        <v>-2187462000</v>
      </c>
      <c r="Y85" s="325" t="n">
        <v>-2187462000</v>
      </c>
      <c r="Z85" s="325" t="n">
        <v>-2187462000</v>
      </c>
      <c r="AA85" s="325"/>
      <c r="AB85" s="325"/>
      <c r="AC85" s="325"/>
      <c r="AD85" s="325"/>
      <c r="AE85" s="325" t="n">
        <f aca="false">R85</f>
        <v>-2187462000</v>
      </c>
      <c r="AF85" s="325" t="n">
        <f aca="false">S85-R85</f>
        <v>0</v>
      </c>
      <c r="AG85" s="325" t="n">
        <f aca="false">T85-S85</f>
        <v>0</v>
      </c>
      <c r="AH85" s="325" t="n">
        <f aca="false">U85-T85</f>
        <v>0</v>
      </c>
      <c r="AI85" s="325" t="n">
        <f aca="false">V85-U85</f>
        <v>0</v>
      </c>
      <c r="AJ85" s="325" t="n">
        <f aca="false">W85-V85</f>
        <v>0</v>
      </c>
      <c r="AK85" s="325" t="n">
        <f aca="false">X85-W85</f>
        <v>0</v>
      </c>
      <c r="AL85" s="325" t="n">
        <f aca="false">Y85-X85</f>
        <v>0</v>
      </c>
      <c r="AM85" s="325" t="n">
        <f aca="false">Z85-Y85</f>
        <v>0</v>
      </c>
      <c r="AN85" s="325" t="s">
        <v>1679</v>
      </c>
      <c r="AO85" s="325" t="n">
        <f aca="false">AB85-AA85</f>
        <v>0</v>
      </c>
      <c r="AP85" s="325" t="n">
        <f aca="false">AC85-AB85</f>
        <v>0</v>
      </c>
      <c r="AR85" s="314" t="str">
        <f aca="false">IFERROR(VLOOKUP(M85,'BS_DEC 2026'!$D$12:$D$109,1,FALSE()),"(미존재)")</f>
        <v>이익잉여금</v>
      </c>
    </row>
    <row r="86" customFormat="false" ht="16.5" hidden="false" customHeight="false" outlineLevel="0" collapsed="false">
      <c r="A86" s="317" t="s">
        <v>446</v>
      </c>
      <c r="B86" s="314" t="n">
        <v>32910000</v>
      </c>
      <c r="C86" s="314" t="s">
        <v>1710</v>
      </c>
      <c r="D86" s="314" t="s">
        <v>1682</v>
      </c>
      <c r="E86" s="314" t="s">
        <v>1705</v>
      </c>
      <c r="F86" s="314" t="n">
        <v>0</v>
      </c>
      <c r="G86" s="314" t="s">
        <v>1684</v>
      </c>
      <c r="H86" s="314" t="s">
        <v>1495</v>
      </c>
      <c r="I86" s="314" t="s">
        <v>1711</v>
      </c>
      <c r="K86" s="314" t="s">
        <v>1712</v>
      </c>
      <c r="L86" s="324" t="s">
        <v>227</v>
      </c>
      <c r="M86" s="324" t="s">
        <v>248</v>
      </c>
      <c r="N86" s="324" t="s">
        <v>227</v>
      </c>
      <c r="O86" s="324" t="s">
        <v>1706</v>
      </c>
      <c r="P86" s="324" t="s">
        <v>248</v>
      </c>
      <c r="Q86" s="325" t="n">
        <v>1258532858</v>
      </c>
      <c r="R86" s="325" t="n">
        <v>1258532858</v>
      </c>
      <c r="S86" s="325" t="n">
        <v>1258532858</v>
      </c>
      <c r="T86" s="325" t="n">
        <v>1258532858</v>
      </c>
      <c r="U86" s="325" t="n">
        <v>1258532858</v>
      </c>
      <c r="V86" s="325" t="n">
        <v>1258532858</v>
      </c>
      <c r="W86" s="325" t="n">
        <v>1258532858</v>
      </c>
      <c r="X86" s="325" t="n">
        <v>1258532858</v>
      </c>
      <c r="Y86" s="325" t="n">
        <v>1258532858</v>
      </c>
      <c r="Z86" s="325" t="n">
        <v>1258532858</v>
      </c>
      <c r="AA86" s="325"/>
      <c r="AB86" s="325"/>
      <c r="AC86" s="325"/>
      <c r="AD86" s="325"/>
      <c r="AE86" s="325" t="n">
        <f aca="false">R86</f>
        <v>1258532858</v>
      </c>
      <c r="AF86" s="325" t="n">
        <f aca="false">S86-R86</f>
        <v>0</v>
      </c>
      <c r="AG86" s="325" t="n">
        <f aca="false">T86-S86</f>
        <v>0</v>
      </c>
      <c r="AH86" s="325" t="n">
        <f aca="false">U86-T86</f>
        <v>0</v>
      </c>
      <c r="AI86" s="325" t="n">
        <f aca="false">V86-U86</f>
        <v>0</v>
      </c>
      <c r="AJ86" s="325" t="n">
        <f aca="false">W86-V86</f>
        <v>0</v>
      </c>
      <c r="AK86" s="325" t="n">
        <f aca="false">X86-W86</f>
        <v>0</v>
      </c>
      <c r="AL86" s="325" t="n">
        <f aca="false">Y86-X86</f>
        <v>0</v>
      </c>
      <c r="AM86" s="325" t="n">
        <f aca="false">Z86-Y86</f>
        <v>0</v>
      </c>
      <c r="AN86" s="325" t="s">
        <v>1679</v>
      </c>
      <c r="AO86" s="325" t="n">
        <f aca="false">AB86-AA86</f>
        <v>0</v>
      </c>
      <c r="AP86" s="325" t="n">
        <f aca="false">AC86-AB86</f>
        <v>0</v>
      </c>
      <c r="AR86" s="314" t="str">
        <f aca="false">IFERROR(VLOOKUP(M86,'BS_DEC 2026'!$D$12:$D$109,1,FALSE()),"(미존재)")</f>
        <v>이익잉여금</v>
      </c>
    </row>
    <row r="87" customFormat="false" ht="16.5" hidden="false" customHeight="false" outlineLevel="0" collapsed="false">
      <c r="A87" s="317" t="s">
        <v>446</v>
      </c>
      <c r="B87" s="314" t="n">
        <v>38010000</v>
      </c>
      <c r="C87" s="314" t="s">
        <v>1713</v>
      </c>
      <c r="D87" s="314" t="s">
        <v>1570</v>
      </c>
      <c r="E87" s="314" t="s">
        <v>1637</v>
      </c>
      <c r="F87" s="314" t="s">
        <v>1714</v>
      </c>
      <c r="G87" s="314" t="s">
        <v>1639</v>
      </c>
      <c r="H87" s="314" t="s">
        <v>1495</v>
      </c>
      <c r="I87" s="314" t="s">
        <v>1715</v>
      </c>
      <c r="K87" s="314" t="s">
        <v>1716</v>
      </c>
      <c r="L87" s="324" t="s">
        <v>173</v>
      </c>
      <c r="M87" s="324" t="s">
        <v>206</v>
      </c>
      <c r="N87" s="324" t="s">
        <v>173</v>
      </c>
      <c r="O87" s="324" t="s">
        <v>1642</v>
      </c>
      <c r="P87" s="324" t="s">
        <v>206</v>
      </c>
      <c r="Q87" s="325" t="n">
        <v>-7662339101</v>
      </c>
      <c r="R87" s="325" t="n">
        <v>-7811126280</v>
      </c>
      <c r="S87" s="325" t="n">
        <v>-7894289713</v>
      </c>
      <c r="T87" s="325" t="n">
        <v>-8099635071</v>
      </c>
      <c r="U87" s="325" t="n">
        <v>-8129405443</v>
      </c>
      <c r="V87" s="325" t="n">
        <v>-7651614265</v>
      </c>
      <c r="W87" s="325" t="n">
        <v>-6405690581</v>
      </c>
      <c r="X87" s="325" t="n">
        <v>-6019476466</v>
      </c>
      <c r="Y87" s="325" t="n">
        <v>-5735385714</v>
      </c>
      <c r="Z87" s="325" t="n">
        <v>-6930294786</v>
      </c>
      <c r="AA87" s="325"/>
      <c r="AB87" s="325"/>
      <c r="AC87" s="325"/>
      <c r="AD87" s="325"/>
      <c r="AE87" s="325" t="n">
        <f aca="false">R87</f>
        <v>-7811126280</v>
      </c>
      <c r="AF87" s="325" t="n">
        <f aca="false">S87-R87</f>
        <v>-83163433</v>
      </c>
      <c r="AG87" s="325" t="n">
        <f aca="false">T87-S87</f>
        <v>-205345358</v>
      </c>
      <c r="AH87" s="325" t="n">
        <f aca="false">U87-T87</f>
        <v>-29770372</v>
      </c>
      <c r="AI87" s="325" t="n">
        <f aca="false">V87-U87</f>
        <v>477791178</v>
      </c>
      <c r="AJ87" s="325" t="n">
        <f aca="false">W87-V87</f>
        <v>1245923684</v>
      </c>
      <c r="AK87" s="325" t="n">
        <f aca="false">X87-W87</f>
        <v>386214115</v>
      </c>
      <c r="AL87" s="325" t="n">
        <f aca="false">Y87-X87</f>
        <v>284090752</v>
      </c>
      <c r="AM87" s="325" t="n">
        <f aca="false">Z87-Y87</f>
        <v>-1194909072</v>
      </c>
      <c r="AN87" s="325" t="s">
        <v>1679</v>
      </c>
      <c r="AO87" s="325" t="n">
        <f aca="false">AB87-AA87</f>
        <v>0</v>
      </c>
      <c r="AP87" s="325" t="n">
        <f aca="false">AC87-AB87</f>
        <v>0</v>
      </c>
      <c r="AR87" s="314" t="str">
        <f aca="false">IFERROR(VLOOKUP(M87,'BS_DEC 2026'!$D$12:$D$109,1,FALSE()),"(미존재)")</f>
        <v>반품충당금유동</v>
      </c>
    </row>
    <row r="88" customFormat="false" ht="16.5" hidden="false" customHeight="false" outlineLevel="0" collapsed="false">
      <c r="A88" s="317" t="s">
        <v>446</v>
      </c>
      <c r="B88" s="314" t="n">
        <v>38100001</v>
      </c>
      <c r="C88" s="314" t="s">
        <v>1717</v>
      </c>
      <c r="D88" s="314" t="s">
        <v>1570</v>
      </c>
      <c r="E88" s="314" t="s">
        <v>1637</v>
      </c>
      <c r="F88" s="314" t="s">
        <v>1638</v>
      </c>
      <c r="G88" s="314" t="s">
        <v>1718</v>
      </c>
      <c r="H88" s="314" t="s">
        <v>1495</v>
      </c>
      <c r="I88" s="314" t="s">
        <v>1719</v>
      </c>
      <c r="K88" s="314" t="s">
        <v>1720</v>
      </c>
      <c r="L88" s="324" t="s">
        <v>173</v>
      </c>
      <c r="M88" s="324" t="s">
        <v>191</v>
      </c>
      <c r="N88" s="324" t="s">
        <v>173</v>
      </c>
      <c r="O88" s="324" t="s">
        <v>1642</v>
      </c>
      <c r="P88" s="324" t="s">
        <v>191</v>
      </c>
      <c r="Q88" s="325" t="n">
        <v>0</v>
      </c>
      <c r="R88" s="325" t="n">
        <v>0</v>
      </c>
      <c r="S88" s="325" t="n">
        <v>0</v>
      </c>
      <c r="T88" s="325" t="n">
        <v>0</v>
      </c>
      <c r="U88" s="325" t="n">
        <v>0</v>
      </c>
      <c r="V88" s="325" t="n">
        <v>0</v>
      </c>
      <c r="W88" s="325" t="n">
        <v>0</v>
      </c>
      <c r="X88" s="325" t="n">
        <v>0</v>
      </c>
      <c r="Y88" s="325" t="n">
        <v>0</v>
      </c>
      <c r="Z88" s="325" t="n">
        <v>0</v>
      </c>
      <c r="AA88" s="325"/>
      <c r="AB88" s="325"/>
      <c r="AC88" s="325"/>
      <c r="AD88" s="325"/>
      <c r="AE88" s="325" t="n">
        <f aca="false">R88</f>
        <v>0</v>
      </c>
      <c r="AF88" s="325" t="n">
        <f aca="false">S88-R88</f>
        <v>0</v>
      </c>
      <c r="AG88" s="325" t="n">
        <f aca="false">T88-S88</f>
        <v>0</v>
      </c>
      <c r="AH88" s="325" t="n">
        <f aca="false">U88-T88</f>
        <v>0</v>
      </c>
      <c r="AI88" s="325" t="n">
        <f aca="false">V88-U88</f>
        <v>0</v>
      </c>
      <c r="AJ88" s="325" t="n">
        <f aca="false">W88-V88</f>
        <v>0</v>
      </c>
      <c r="AK88" s="325" t="n">
        <f aca="false">X88-W88</f>
        <v>0</v>
      </c>
      <c r="AL88" s="325" t="n">
        <f aca="false">Y88-X88</f>
        <v>0</v>
      </c>
      <c r="AM88" s="325" t="n">
        <f aca="false">Z88-Y88</f>
        <v>0</v>
      </c>
      <c r="AN88" s="325" t="s">
        <v>1679</v>
      </c>
      <c r="AO88" s="325" t="n">
        <f aca="false">AB88-AA88</f>
        <v>0</v>
      </c>
      <c r="AP88" s="325" t="n">
        <f aca="false">AC88-AB88</f>
        <v>0</v>
      </c>
      <c r="AR88" s="314" t="str">
        <f aca="false">IFERROR(VLOOKUP(M88,'BS_DEC 2026'!$D$12:$D$109,1,FALSE()),"(미존재)")</f>
        <v>미지급비용</v>
      </c>
    </row>
    <row r="89" customFormat="false" ht="16.5" hidden="false" customHeight="false" outlineLevel="0" collapsed="false">
      <c r="A89" s="317" t="s">
        <v>446</v>
      </c>
      <c r="B89" s="314" t="n">
        <v>38160000</v>
      </c>
      <c r="C89" s="314" t="s">
        <v>1721</v>
      </c>
      <c r="D89" s="314" t="s">
        <v>1570</v>
      </c>
      <c r="E89" s="314" t="s">
        <v>1637</v>
      </c>
      <c r="F89" s="314" t="s">
        <v>1638</v>
      </c>
      <c r="G89" s="314" t="s">
        <v>1639</v>
      </c>
      <c r="H89" s="314" t="s">
        <v>1495</v>
      </c>
      <c r="I89" s="314" t="s">
        <v>1722</v>
      </c>
      <c r="K89" s="314" t="s">
        <v>1723</v>
      </c>
      <c r="L89" s="324" t="s">
        <v>173</v>
      </c>
      <c r="M89" s="324" t="s">
        <v>191</v>
      </c>
      <c r="N89" s="324" t="s">
        <v>173</v>
      </c>
      <c r="O89" s="324" t="s">
        <v>1642</v>
      </c>
      <c r="P89" s="324" t="s">
        <v>191</v>
      </c>
      <c r="Q89" s="325" t="n">
        <v>-16873571611</v>
      </c>
      <c r="R89" s="325" t="n">
        <v>-7843692983</v>
      </c>
      <c r="S89" s="325" t="n">
        <v>-7079882252</v>
      </c>
      <c r="T89" s="325" t="n">
        <v>-4808530380</v>
      </c>
      <c r="U89" s="325" t="n">
        <v>-5262628149</v>
      </c>
      <c r="V89" s="325" t="n">
        <v>-5799086075</v>
      </c>
      <c r="W89" s="325" t="n">
        <v>-5799086075</v>
      </c>
      <c r="X89" s="325" t="n">
        <v>-5056586075</v>
      </c>
      <c r="Y89" s="325" t="n">
        <v>-5056586075</v>
      </c>
      <c r="Z89" s="325" t="n">
        <v>-4473184387</v>
      </c>
      <c r="AA89" s="325"/>
      <c r="AB89" s="325"/>
      <c r="AC89" s="325"/>
      <c r="AD89" s="325"/>
      <c r="AE89" s="325" t="n">
        <f aca="false">R89</f>
        <v>-7843692983</v>
      </c>
      <c r="AF89" s="325" t="n">
        <f aca="false">S89-R89</f>
        <v>763810731</v>
      </c>
      <c r="AG89" s="325" t="n">
        <f aca="false">T89-S89</f>
        <v>2271351872</v>
      </c>
      <c r="AH89" s="325" t="n">
        <f aca="false">U89-T89</f>
        <v>-454097769</v>
      </c>
      <c r="AI89" s="325" t="n">
        <f aca="false">V89-U89</f>
        <v>-536457926</v>
      </c>
      <c r="AJ89" s="325" t="n">
        <f aca="false">W89-V89</f>
        <v>0</v>
      </c>
      <c r="AK89" s="325" t="n">
        <f aca="false">X89-W89</f>
        <v>742500000</v>
      </c>
      <c r="AL89" s="325" t="n">
        <f aca="false">Y89-X89</f>
        <v>0</v>
      </c>
      <c r="AM89" s="325" t="n">
        <f aca="false">Z89-Y89</f>
        <v>583401688</v>
      </c>
      <c r="AN89" s="325" t="s">
        <v>1679</v>
      </c>
      <c r="AO89" s="325" t="n">
        <f aca="false">AB89-AA89</f>
        <v>0</v>
      </c>
      <c r="AP89" s="325" t="n">
        <f aca="false">AC89-AB89</f>
        <v>0</v>
      </c>
      <c r="AR89" s="314" t="str">
        <f aca="false">IFERROR(VLOOKUP(M89,'BS_DEC 2026'!$D$12:$D$109,1,FALSE()),"(미존재)")</f>
        <v>미지급비용</v>
      </c>
    </row>
    <row r="90" customFormat="false" ht="16.5" hidden="false" customHeight="false" outlineLevel="0" collapsed="false">
      <c r="A90" s="317" t="s">
        <v>446</v>
      </c>
      <c r="B90" s="314" t="n">
        <v>38170010</v>
      </c>
      <c r="C90" s="314" t="s">
        <v>1724</v>
      </c>
      <c r="D90" s="314" t="s">
        <v>1570</v>
      </c>
      <c r="E90" s="314" t="s">
        <v>1637</v>
      </c>
      <c r="F90" s="314" t="s">
        <v>1638</v>
      </c>
      <c r="G90" s="314" t="s">
        <v>1639</v>
      </c>
      <c r="H90" s="314" t="s">
        <v>1495</v>
      </c>
      <c r="I90" s="314" t="s">
        <v>1725</v>
      </c>
      <c r="K90" s="314" t="s">
        <v>1726</v>
      </c>
      <c r="L90" s="324" t="s">
        <v>173</v>
      </c>
      <c r="M90" s="324" t="s">
        <v>191</v>
      </c>
      <c r="N90" s="324" t="s">
        <v>173</v>
      </c>
      <c r="O90" s="324" t="s">
        <v>1642</v>
      </c>
      <c r="P90" s="324" t="s">
        <v>191</v>
      </c>
      <c r="Q90" s="325" t="n">
        <v>-1200612826</v>
      </c>
      <c r="R90" s="325" t="n">
        <v>-130733519</v>
      </c>
      <c r="S90" s="325" t="n">
        <v>-261467038</v>
      </c>
      <c r="T90" s="325" t="n">
        <v>-392200557</v>
      </c>
      <c r="U90" s="325" t="n">
        <v>-503939420</v>
      </c>
      <c r="V90" s="325" t="n">
        <v>-623621855</v>
      </c>
      <c r="W90" s="325" t="n">
        <v>-748346226</v>
      </c>
      <c r="X90" s="325" t="n">
        <v>-877267041</v>
      </c>
      <c r="Y90" s="325" t="n">
        <v>-1002590904</v>
      </c>
      <c r="Z90" s="325" t="n">
        <v>-1127914767</v>
      </c>
      <c r="AA90" s="325"/>
      <c r="AB90" s="325"/>
      <c r="AC90" s="325"/>
      <c r="AD90" s="325"/>
      <c r="AE90" s="325" t="n">
        <f aca="false">R90</f>
        <v>-130733519</v>
      </c>
      <c r="AF90" s="325" t="n">
        <f aca="false">S90-R90</f>
        <v>-130733519</v>
      </c>
      <c r="AG90" s="325" t="n">
        <f aca="false">T90-S90</f>
        <v>-130733519</v>
      </c>
      <c r="AH90" s="325" t="n">
        <f aca="false">U90-T90</f>
        <v>-111738863</v>
      </c>
      <c r="AI90" s="325" t="n">
        <f aca="false">V90-U90</f>
        <v>-119682435</v>
      </c>
      <c r="AJ90" s="325" t="n">
        <f aca="false">W90-V90</f>
        <v>-124724371</v>
      </c>
      <c r="AK90" s="325" t="n">
        <f aca="false">X90-W90</f>
        <v>-128920815</v>
      </c>
      <c r="AL90" s="325" t="n">
        <f aca="false">Y90-X90</f>
        <v>-125323863</v>
      </c>
      <c r="AM90" s="325" t="n">
        <f aca="false">Z90-Y90</f>
        <v>-125323863</v>
      </c>
      <c r="AN90" s="325" t="s">
        <v>1679</v>
      </c>
      <c r="AO90" s="325" t="n">
        <f aca="false">AB90-AA90</f>
        <v>0</v>
      </c>
      <c r="AP90" s="325" t="n">
        <f aca="false">AC90-AB90</f>
        <v>0</v>
      </c>
      <c r="AR90" s="314" t="str">
        <f aca="false">IFERROR(VLOOKUP(M90,'BS_DEC 2026'!$D$12:$D$109,1,FALSE()),"(미존재)")</f>
        <v>미지급비용</v>
      </c>
    </row>
    <row r="91" customFormat="false" ht="16.5" hidden="false" customHeight="false" outlineLevel="0" collapsed="false">
      <c r="A91" s="317" t="s">
        <v>446</v>
      </c>
      <c r="B91" s="314" t="n">
        <v>39070851</v>
      </c>
      <c r="C91" s="314" t="s">
        <v>1727</v>
      </c>
      <c r="D91" s="314" t="s">
        <v>1570</v>
      </c>
      <c r="E91" s="314" t="s">
        <v>1571</v>
      </c>
      <c r="F91" s="314" t="s">
        <v>1728</v>
      </c>
      <c r="G91" s="314" t="s">
        <v>1718</v>
      </c>
      <c r="H91" s="314" t="s">
        <v>1495</v>
      </c>
      <c r="I91" s="314" t="s">
        <v>1729</v>
      </c>
      <c r="K91" s="314" t="s">
        <v>1730</v>
      </c>
      <c r="L91" s="324" t="s">
        <v>173</v>
      </c>
      <c r="M91" s="324" t="s">
        <v>204</v>
      </c>
      <c r="N91" s="324" t="s">
        <v>173</v>
      </c>
      <c r="O91" s="324" t="s">
        <v>1575</v>
      </c>
      <c r="P91" s="324" t="s">
        <v>204</v>
      </c>
      <c r="Q91" s="325" t="n">
        <v>0</v>
      </c>
      <c r="R91" s="325" t="n">
        <v>0</v>
      </c>
      <c r="S91" s="325" t="n">
        <v>0</v>
      </c>
      <c r="T91" s="325" t="n">
        <v>0</v>
      </c>
      <c r="U91" s="325" t="n">
        <v>0</v>
      </c>
      <c r="V91" s="325" t="n">
        <v>0</v>
      </c>
      <c r="W91" s="325" t="n">
        <v>0</v>
      </c>
      <c r="X91" s="325" t="n">
        <v>0</v>
      </c>
      <c r="Y91" s="325" t="n">
        <v>0</v>
      </c>
      <c r="Z91" s="325" t="n">
        <v>0</v>
      </c>
      <c r="AA91" s="325"/>
      <c r="AB91" s="325"/>
      <c r="AC91" s="325"/>
      <c r="AD91" s="325"/>
      <c r="AE91" s="325" t="n">
        <f aca="false">R91</f>
        <v>0</v>
      </c>
      <c r="AF91" s="325" t="n">
        <f aca="false">S91-R91</f>
        <v>0</v>
      </c>
      <c r="AG91" s="325" t="n">
        <f aca="false">T91-S91</f>
        <v>0</v>
      </c>
      <c r="AH91" s="325" t="n">
        <f aca="false">U91-T91</f>
        <v>0</v>
      </c>
      <c r="AI91" s="325" t="n">
        <f aca="false">V91-U91</f>
        <v>0</v>
      </c>
      <c r="AJ91" s="325" t="n">
        <f aca="false">W91-V91</f>
        <v>0</v>
      </c>
      <c r="AK91" s="325" t="n">
        <f aca="false">X91-W91</f>
        <v>0</v>
      </c>
      <c r="AL91" s="325" t="n">
        <f aca="false">Y91-X91</f>
        <v>0</v>
      </c>
      <c r="AM91" s="325" t="n">
        <f aca="false">Z91-Y91</f>
        <v>0</v>
      </c>
      <c r="AN91" s="325" t="s">
        <v>1679</v>
      </c>
      <c r="AO91" s="325" t="n">
        <f aca="false">AB91-AA91</f>
        <v>0</v>
      </c>
      <c r="AP91" s="325" t="n">
        <f aca="false">AC91-AB91</f>
        <v>0</v>
      </c>
      <c r="AR91" s="314" t="str">
        <f aca="false">IFERROR(VLOOKUP(M91,'BS_DEC 2026'!$D$12:$D$109,1,FALSE()),"(미존재)")</f>
        <v>임대보증금</v>
      </c>
    </row>
    <row r="92" customFormat="false" ht="16.5" hidden="false" customHeight="false" outlineLevel="0" collapsed="false">
      <c r="A92" s="317" t="s">
        <v>446</v>
      </c>
      <c r="B92" s="314" t="n">
        <v>39200800</v>
      </c>
      <c r="C92" s="314" t="s">
        <v>1731</v>
      </c>
      <c r="D92" s="314" t="s">
        <v>1570</v>
      </c>
      <c r="E92" s="314" t="s">
        <v>1637</v>
      </c>
      <c r="F92" s="314" t="s">
        <v>1638</v>
      </c>
      <c r="G92" s="314" t="s">
        <v>1718</v>
      </c>
      <c r="H92" s="314" t="s">
        <v>1495</v>
      </c>
      <c r="I92" s="314" t="s">
        <v>1732</v>
      </c>
      <c r="K92" s="314" t="s">
        <v>1256</v>
      </c>
      <c r="L92" s="324" t="s">
        <v>173</v>
      </c>
      <c r="M92" s="324" t="s">
        <v>191</v>
      </c>
      <c r="N92" s="324" t="s">
        <v>173</v>
      </c>
      <c r="O92" s="324" t="s">
        <v>1642</v>
      </c>
      <c r="P92" s="324" t="s">
        <v>191</v>
      </c>
      <c r="Q92" s="325" t="n">
        <v>4</v>
      </c>
      <c r="R92" s="325" t="n">
        <v>4</v>
      </c>
      <c r="S92" s="325" t="n">
        <v>4</v>
      </c>
      <c r="T92" s="325" t="n">
        <v>0</v>
      </c>
      <c r="U92" s="325" t="n">
        <v>0</v>
      </c>
      <c r="V92" s="325" t="n">
        <v>0</v>
      </c>
      <c r="W92" s="325" t="n">
        <v>0</v>
      </c>
      <c r="X92" s="325" t="n">
        <v>0</v>
      </c>
      <c r="Y92" s="325" t="n">
        <v>0</v>
      </c>
      <c r="Z92" s="325" t="n">
        <v>0</v>
      </c>
      <c r="AA92" s="325"/>
      <c r="AB92" s="325"/>
      <c r="AC92" s="325"/>
      <c r="AD92" s="325"/>
      <c r="AE92" s="325" t="n">
        <f aca="false">R92</f>
        <v>4</v>
      </c>
      <c r="AF92" s="325" t="n">
        <f aca="false">S92-R92</f>
        <v>0</v>
      </c>
      <c r="AG92" s="325" t="n">
        <f aca="false">T92-S92</f>
        <v>-4</v>
      </c>
      <c r="AH92" s="325" t="n">
        <f aca="false">U92-T92</f>
        <v>0</v>
      </c>
      <c r="AI92" s="325" t="n">
        <f aca="false">V92-U92</f>
        <v>0</v>
      </c>
      <c r="AJ92" s="325" t="n">
        <f aca="false">W92-V92</f>
        <v>0</v>
      </c>
      <c r="AK92" s="325" t="n">
        <f aca="false">X92-W92</f>
        <v>0</v>
      </c>
      <c r="AL92" s="325" t="n">
        <f aca="false">Y92-X92</f>
        <v>0</v>
      </c>
      <c r="AM92" s="325" t="n">
        <f aca="false">Z92-Y92</f>
        <v>0</v>
      </c>
      <c r="AN92" s="325" t="s">
        <v>1679</v>
      </c>
      <c r="AO92" s="325" t="n">
        <f aca="false">AB92-AA92</f>
        <v>0</v>
      </c>
      <c r="AP92" s="325" t="n">
        <f aca="false">AC92-AB92</f>
        <v>0</v>
      </c>
      <c r="AR92" s="314" t="str">
        <f aca="false">IFERROR(VLOOKUP(M92,'BS_DEC 2026'!$D$12:$D$109,1,FALSE()),"(미존재)")</f>
        <v>미지급비용</v>
      </c>
    </row>
    <row r="93" customFormat="false" ht="16.5" hidden="false" customHeight="false" outlineLevel="0" collapsed="false">
      <c r="A93" s="317" t="s">
        <v>446</v>
      </c>
      <c r="B93" s="314" t="n">
        <v>40000000</v>
      </c>
      <c r="C93" s="314" t="s">
        <v>1733</v>
      </c>
      <c r="D93" s="314" t="s">
        <v>1570</v>
      </c>
      <c r="E93" s="314" t="s">
        <v>1637</v>
      </c>
      <c r="F93" s="314" t="s">
        <v>1734</v>
      </c>
      <c r="G93" s="314" t="s">
        <v>1639</v>
      </c>
      <c r="H93" s="314" t="s">
        <v>1495</v>
      </c>
      <c r="I93" s="314" t="s">
        <v>1735</v>
      </c>
      <c r="K93" s="314" t="s">
        <v>1736</v>
      </c>
      <c r="L93" s="324" t="s">
        <v>173</v>
      </c>
      <c r="M93" s="324" t="s">
        <v>178</v>
      </c>
      <c r="N93" s="324" t="s">
        <v>173</v>
      </c>
      <c r="O93" s="324" t="s">
        <v>1642</v>
      </c>
      <c r="P93" s="324" t="s">
        <v>1737</v>
      </c>
      <c r="Q93" s="325" t="n">
        <v>-13530627993</v>
      </c>
      <c r="R93" s="325" t="n">
        <v>-16054738733</v>
      </c>
      <c r="S93" s="325" t="n">
        <v>-13503626674</v>
      </c>
      <c r="T93" s="325" t="n">
        <v>-11382563929</v>
      </c>
      <c r="U93" s="325" t="n">
        <v>-18704621529</v>
      </c>
      <c r="V93" s="325" t="n">
        <v>-9999667134</v>
      </c>
      <c r="W93" s="325" t="n">
        <v>-11186700694</v>
      </c>
      <c r="X93" s="325" t="n">
        <v>-16411868331</v>
      </c>
      <c r="Y93" s="325" t="n">
        <v>-5472974326</v>
      </c>
      <c r="Z93" s="325" t="n">
        <v>-2711048610</v>
      </c>
      <c r="AA93" s="325"/>
      <c r="AB93" s="325"/>
      <c r="AC93" s="325"/>
      <c r="AD93" s="325"/>
      <c r="AE93" s="325" t="n">
        <f aca="false">R93</f>
        <v>-16054738733</v>
      </c>
      <c r="AF93" s="325" t="n">
        <f aca="false">S93-R93</f>
        <v>2551112059</v>
      </c>
      <c r="AG93" s="325" t="n">
        <f aca="false">T93-S93</f>
        <v>2121062745</v>
      </c>
      <c r="AH93" s="325" t="n">
        <f aca="false">U93-T93</f>
        <v>-7322057600</v>
      </c>
      <c r="AI93" s="325" t="n">
        <f aca="false">V93-U93</f>
        <v>8704954395</v>
      </c>
      <c r="AJ93" s="325" t="n">
        <f aca="false">W93-V93</f>
        <v>-1187033560</v>
      </c>
      <c r="AK93" s="325" t="n">
        <f aca="false">X93-W93</f>
        <v>-5225167637</v>
      </c>
      <c r="AL93" s="325" t="n">
        <f aca="false">Y93-X93</f>
        <v>10938894005</v>
      </c>
      <c r="AM93" s="325" t="n">
        <f aca="false">Z93-Y93</f>
        <v>2761925716</v>
      </c>
      <c r="AN93" s="325" t="s">
        <v>1679</v>
      </c>
      <c r="AO93" s="325" t="n">
        <f aca="false">AB93-AA93</f>
        <v>0</v>
      </c>
      <c r="AP93" s="325" t="n">
        <f aca="false">AC93-AB93</f>
        <v>0</v>
      </c>
      <c r="AR93" s="314" t="str">
        <f aca="false">IFERROR(VLOOKUP(M93,'BS_DEC 2026'!$D$12:$D$109,1,FALSE()),"(미존재)")</f>
        <v>매입채무</v>
      </c>
    </row>
    <row r="94" customFormat="false" ht="16.5" hidden="false" customHeight="false" outlineLevel="0" collapsed="false">
      <c r="A94" s="317" t="s">
        <v>446</v>
      </c>
      <c r="B94" s="314" t="n">
        <v>40000001</v>
      </c>
      <c r="C94" s="314" t="s">
        <v>1738</v>
      </c>
      <c r="D94" s="314" t="s">
        <v>1570</v>
      </c>
      <c r="E94" s="314" t="s">
        <v>1637</v>
      </c>
      <c r="F94" s="314" t="s">
        <v>1734</v>
      </c>
      <c r="G94" s="314" t="s">
        <v>1639</v>
      </c>
      <c r="H94" s="314" t="s">
        <v>1495</v>
      </c>
      <c r="I94" s="314" t="s">
        <v>1735</v>
      </c>
      <c r="K94" s="314" t="s">
        <v>1736</v>
      </c>
      <c r="L94" s="324" t="s">
        <v>173</v>
      </c>
      <c r="M94" s="324" t="s">
        <v>178</v>
      </c>
      <c r="N94" s="324" t="s">
        <v>173</v>
      </c>
      <c r="O94" s="324" t="s">
        <v>1642</v>
      </c>
      <c r="P94" s="324" t="s">
        <v>1737</v>
      </c>
      <c r="Q94" s="325" t="n">
        <v>2032298</v>
      </c>
      <c r="R94" s="325" t="n">
        <v>2032298</v>
      </c>
      <c r="S94" s="325" t="n">
        <v>2032298</v>
      </c>
      <c r="T94" s="325" t="n">
        <v>2032298</v>
      </c>
      <c r="U94" s="325" t="n">
        <v>0</v>
      </c>
      <c r="V94" s="325" t="n">
        <v>0</v>
      </c>
      <c r="W94" s="325" t="n">
        <v>0</v>
      </c>
      <c r="X94" s="325" t="n">
        <v>0</v>
      </c>
      <c r="Y94" s="325" t="n">
        <v>0</v>
      </c>
      <c r="Z94" s="325" t="n">
        <v>0</v>
      </c>
      <c r="AA94" s="325"/>
      <c r="AB94" s="325"/>
      <c r="AC94" s="325"/>
      <c r="AD94" s="325"/>
      <c r="AE94" s="325" t="n">
        <f aca="false">R94</f>
        <v>2032298</v>
      </c>
      <c r="AF94" s="325" t="n">
        <f aca="false">S94-R94</f>
        <v>0</v>
      </c>
      <c r="AG94" s="325" t="n">
        <f aca="false">T94-S94</f>
        <v>0</v>
      </c>
      <c r="AH94" s="325" t="n">
        <f aca="false">U94-T94</f>
        <v>-2032298</v>
      </c>
      <c r="AI94" s="325" t="n">
        <f aca="false">V94-U94</f>
        <v>0</v>
      </c>
      <c r="AJ94" s="325" t="n">
        <f aca="false">W94-V94</f>
        <v>0</v>
      </c>
      <c r="AK94" s="325" t="n">
        <f aca="false">X94-W94</f>
        <v>0</v>
      </c>
      <c r="AL94" s="325" t="n">
        <f aca="false">Y94-X94</f>
        <v>0</v>
      </c>
      <c r="AM94" s="325" t="n">
        <f aca="false">Z94-Y94</f>
        <v>0</v>
      </c>
      <c r="AN94" s="325" t="s">
        <v>1679</v>
      </c>
      <c r="AO94" s="325" t="n">
        <f aca="false">AB94-AA94</f>
        <v>0</v>
      </c>
      <c r="AP94" s="325" t="n">
        <f aca="false">AC94-AB94</f>
        <v>0</v>
      </c>
      <c r="AR94" s="314" t="str">
        <f aca="false">IFERROR(VLOOKUP(M94,'BS_DEC 2026'!$D$12:$D$109,1,FALSE()),"(미존재)")</f>
        <v>매입채무</v>
      </c>
    </row>
    <row r="95" customFormat="false" ht="16.5" hidden="false" customHeight="false" outlineLevel="0" collapsed="false">
      <c r="A95" s="317" t="s">
        <v>446</v>
      </c>
      <c r="B95" s="314" t="n">
        <v>40000003</v>
      </c>
      <c r="C95" s="314" t="s">
        <v>1739</v>
      </c>
      <c r="D95" s="314" t="s">
        <v>1570</v>
      </c>
      <c r="E95" s="314" t="s">
        <v>1637</v>
      </c>
      <c r="F95" s="314" t="s">
        <v>1734</v>
      </c>
      <c r="G95" s="314" t="s">
        <v>1639</v>
      </c>
      <c r="H95" s="314" t="s">
        <v>1495</v>
      </c>
      <c r="I95" s="314" t="s">
        <v>1735</v>
      </c>
      <c r="K95" s="314" t="s">
        <v>1736</v>
      </c>
      <c r="L95" s="324" t="s">
        <v>173</v>
      </c>
      <c r="M95" s="324" t="s">
        <v>183</v>
      </c>
      <c r="N95" s="324" t="s">
        <v>173</v>
      </c>
      <c r="O95" s="324" t="s">
        <v>1642</v>
      </c>
      <c r="P95" s="324" t="s">
        <v>1737</v>
      </c>
      <c r="Q95" s="325" t="n">
        <v>1051034</v>
      </c>
      <c r="R95" s="325" t="n">
        <v>3116783</v>
      </c>
      <c r="S95" s="325" t="n">
        <v>3113162</v>
      </c>
      <c r="T95" s="325" t="n">
        <v>-3674992</v>
      </c>
      <c r="U95" s="325" t="n">
        <v>6090852</v>
      </c>
      <c r="V95" s="325" t="n">
        <v>-80474126</v>
      </c>
      <c r="W95" s="325" t="n">
        <v>0</v>
      </c>
      <c r="X95" s="325" t="n">
        <v>119277272</v>
      </c>
      <c r="Y95" s="325" t="n">
        <v>20156623</v>
      </c>
      <c r="Z95" s="325" t="n">
        <v>5693788</v>
      </c>
      <c r="AA95" s="325"/>
      <c r="AB95" s="325"/>
      <c r="AC95" s="325"/>
      <c r="AD95" s="325"/>
      <c r="AE95" s="325" t="n">
        <f aca="false">R95</f>
        <v>3116783</v>
      </c>
      <c r="AF95" s="325" t="n">
        <f aca="false">S95-R95</f>
        <v>-3621</v>
      </c>
      <c r="AG95" s="325" t="n">
        <f aca="false">T95-S95</f>
        <v>-6788154</v>
      </c>
      <c r="AH95" s="325" t="n">
        <f aca="false">U95-T95</f>
        <v>9765844</v>
      </c>
      <c r="AI95" s="325" t="n">
        <f aca="false">V95-U95</f>
        <v>-86564978</v>
      </c>
      <c r="AJ95" s="325" t="n">
        <f aca="false">W95-V95</f>
        <v>80474126</v>
      </c>
      <c r="AK95" s="325" t="n">
        <f aca="false">X95-W95</f>
        <v>119277272</v>
      </c>
      <c r="AL95" s="325" t="n">
        <f aca="false">Y95-X95</f>
        <v>-99120649</v>
      </c>
      <c r="AM95" s="325" t="n">
        <f aca="false">Z95-Y95</f>
        <v>-14462835</v>
      </c>
      <c r="AN95" s="325" t="s">
        <v>1679</v>
      </c>
      <c r="AO95" s="325" t="n">
        <f aca="false">AB95-AA95</f>
        <v>0</v>
      </c>
      <c r="AP95" s="325" t="n">
        <f aca="false">AC95-AB95</f>
        <v>0</v>
      </c>
      <c r="AR95" s="314" t="str">
        <f aca="false">IFERROR(VLOOKUP(M95,'BS_DEC 2026'!$D$12:$D$109,1,FALSE()),"(미존재)")</f>
        <v>미지급금</v>
      </c>
    </row>
    <row r="96" customFormat="false" ht="16.5" hidden="false" customHeight="false" outlineLevel="0" collapsed="false">
      <c r="A96" s="317" t="s">
        <v>446</v>
      </c>
      <c r="B96" s="314" t="n">
        <v>40000004</v>
      </c>
      <c r="C96" s="314" t="s">
        <v>1740</v>
      </c>
      <c r="D96" s="314" t="s">
        <v>1570</v>
      </c>
      <c r="E96" s="314" t="s">
        <v>1637</v>
      </c>
      <c r="F96" s="314" t="s">
        <v>1734</v>
      </c>
      <c r="G96" s="314" t="s">
        <v>1639</v>
      </c>
      <c r="H96" s="314" t="s">
        <v>1495</v>
      </c>
      <c r="I96" s="314" t="s">
        <v>1640</v>
      </c>
      <c r="K96" s="314" t="s">
        <v>1641</v>
      </c>
      <c r="L96" s="324" t="s">
        <v>173</v>
      </c>
      <c r="M96" s="324" t="s">
        <v>183</v>
      </c>
      <c r="N96" s="324" t="s">
        <v>173</v>
      </c>
      <c r="O96" s="324" t="s">
        <v>1642</v>
      </c>
      <c r="P96" s="324" t="s">
        <v>1737</v>
      </c>
      <c r="Q96" s="325" t="n">
        <v>0</v>
      </c>
      <c r="R96" s="325" t="n">
        <v>0</v>
      </c>
      <c r="S96" s="325" t="n">
        <v>0</v>
      </c>
      <c r="T96" s="325" t="n">
        <v>0</v>
      </c>
      <c r="U96" s="325" t="n">
        <v>0</v>
      </c>
      <c r="V96" s="325" t="n">
        <v>0</v>
      </c>
      <c r="W96" s="325" t="n">
        <v>0</v>
      </c>
      <c r="X96" s="325" t="n">
        <v>0</v>
      </c>
      <c r="Y96" s="325" t="n">
        <v>0</v>
      </c>
      <c r="Z96" s="325" t="n">
        <v>8838853</v>
      </c>
      <c r="AA96" s="325"/>
      <c r="AB96" s="325"/>
      <c r="AC96" s="325"/>
      <c r="AD96" s="325"/>
      <c r="AE96" s="325" t="n">
        <f aca="false">R96</f>
        <v>0</v>
      </c>
      <c r="AF96" s="325" t="n">
        <f aca="false">S96-R96</f>
        <v>0</v>
      </c>
      <c r="AG96" s="325" t="n">
        <f aca="false">T96-S96</f>
        <v>0</v>
      </c>
      <c r="AH96" s="325" t="n">
        <f aca="false">U96-T96</f>
        <v>0</v>
      </c>
      <c r="AI96" s="325" t="n">
        <f aca="false">V96-U96</f>
        <v>0</v>
      </c>
      <c r="AJ96" s="325" t="n">
        <f aca="false">W96-V96</f>
        <v>0</v>
      </c>
      <c r="AK96" s="325" t="n">
        <f aca="false">X96-W96</f>
        <v>0</v>
      </c>
      <c r="AL96" s="325" t="n">
        <f aca="false">Y96-X96</f>
        <v>0</v>
      </c>
      <c r="AM96" s="325" t="n">
        <f aca="false">Z96-Y96</f>
        <v>8838853</v>
      </c>
      <c r="AN96" s="325" t="s">
        <v>1679</v>
      </c>
      <c r="AO96" s="325" t="n">
        <f aca="false">AB96-AA96</f>
        <v>0</v>
      </c>
      <c r="AP96" s="325" t="n">
        <f aca="false">AC96-AB96</f>
        <v>0</v>
      </c>
      <c r="AR96" s="314" t="str">
        <f aca="false">IFERROR(VLOOKUP(M96,'BS_DEC 2026'!$D$12:$D$109,1,FALSE()),"(미존재)")</f>
        <v>미지급금</v>
      </c>
    </row>
    <row r="97" customFormat="false" ht="16.5" hidden="false" customHeight="false" outlineLevel="0" collapsed="false">
      <c r="A97" s="317" t="s">
        <v>446</v>
      </c>
      <c r="B97" s="314" t="n">
        <v>40000005</v>
      </c>
      <c r="C97" s="314" t="s">
        <v>1741</v>
      </c>
      <c r="G97" s="314" t="s">
        <v>1639</v>
      </c>
      <c r="H97" s="314" t="s">
        <v>1495</v>
      </c>
      <c r="I97" s="314" t="s">
        <v>1640</v>
      </c>
      <c r="K97" s="314" t="s">
        <v>1641</v>
      </c>
      <c r="L97" s="324" t="s">
        <v>173</v>
      </c>
      <c r="M97" s="324" t="s">
        <v>183</v>
      </c>
      <c r="N97" s="324" t="s">
        <v>173</v>
      </c>
      <c r="O97" s="324" t="s">
        <v>1642</v>
      </c>
      <c r="P97" s="324" t="s">
        <v>1737</v>
      </c>
      <c r="Q97" s="325" t="n">
        <v>-21174</v>
      </c>
      <c r="R97" s="325" t="n">
        <v>745707</v>
      </c>
      <c r="S97" s="325" t="n">
        <v>1281245</v>
      </c>
      <c r="T97" s="325" t="n">
        <v>-1780678</v>
      </c>
      <c r="U97" s="325" t="n">
        <v>-761470</v>
      </c>
      <c r="V97" s="325" t="n">
        <v>0</v>
      </c>
      <c r="W97" s="325" t="n">
        <v>0</v>
      </c>
      <c r="X97" s="325" t="n">
        <v>0</v>
      </c>
      <c r="Y97" s="325" t="n">
        <v>0</v>
      </c>
      <c r="Z97" s="325" t="n">
        <v>0</v>
      </c>
      <c r="AA97" s="325"/>
      <c r="AB97" s="325"/>
      <c r="AC97" s="325"/>
      <c r="AD97" s="325"/>
      <c r="AE97" s="325" t="n">
        <f aca="false">R97</f>
        <v>745707</v>
      </c>
      <c r="AF97" s="325" t="n">
        <f aca="false">S97-R97</f>
        <v>535538</v>
      </c>
      <c r="AG97" s="325" t="n">
        <f aca="false">T97-S97</f>
        <v>-3061923</v>
      </c>
      <c r="AH97" s="325" t="n">
        <f aca="false">U97-T97</f>
        <v>1019208</v>
      </c>
      <c r="AI97" s="325" t="n">
        <f aca="false">V97-U97</f>
        <v>761470</v>
      </c>
      <c r="AJ97" s="325" t="n">
        <f aca="false">W97-V97</f>
        <v>0</v>
      </c>
      <c r="AK97" s="325" t="n">
        <f aca="false">X97-W97</f>
        <v>0</v>
      </c>
      <c r="AL97" s="325" t="n">
        <f aca="false">Y97-X97</f>
        <v>0</v>
      </c>
      <c r="AM97" s="325" t="n">
        <f aca="false">Z97-Y97</f>
        <v>0</v>
      </c>
      <c r="AN97" s="325" t="s">
        <v>1679</v>
      </c>
      <c r="AO97" s="325" t="n">
        <f aca="false">AB97-AA97</f>
        <v>0</v>
      </c>
      <c r="AP97" s="325" t="n">
        <f aca="false">AC97-AB97</f>
        <v>0</v>
      </c>
      <c r="AR97" s="314" t="str">
        <f aca="false">IFERROR(VLOOKUP(M97,'BS_DEC 2026'!$D$12:$D$109,1,FALSE()),"(미존재)")</f>
        <v>미지급금</v>
      </c>
    </row>
    <row r="98" customFormat="false" ht="16.5" hidden="false" customHeight="false" outlineLevel="0" collapsed="false">
      <c r="A98" s="317" t="s">
        <v>446</v>
      </c>
      <c r="B98" s="314" t="n">
        <v>40000012</v>
      </c>
      <c r="C98" s="314" t="s">
        <v>1742</v>
      </c>
      <c r="D98" s="314" t="s">
        <v>1570</v>
      </c>
      <c r="E98" s="314" t="s">
        <v>1637</v>
      </c>
      <c r="F98" s="314" t="s">
        <v>1743</v>
      </c>
      <c r="G98" s="314" t="s">
        <v>1639</v>
      </c>
      <c r="H98" s="314" t="s">
        <v>1495</v>
      </c>
      <c r="I98" s="314" t="s">
        <v>1735</v>
      </c>
      <c r="K98" s="314" t="s">
        <v>1736</v>
      </c>
      <c r="L98" s="324" t="s">
        <v>173</v>
      </c>
      <c r="M98" s="324" t="s">
        <v>183</v>
      </c>
      <c r="N98" s="324" t="s">
        <v>173</v>
      </c>
      <c r="O98" s="324" t="s">
        <v>1642</v>
      </c>
      <c r="P98" s="324" t="s">
        <v>183</v>
      </c>
      <c r="Q98" s="325" t="n">
        <v>-12776261877</v>
      </c>
      <c r="R98" s="325" t="n">
        <v>-12631555947</v>
      </c>
      <c r="S98" s="325" t="n">
        <v>-9672756719</v>
      </c>
      <c r="T98" s="325" t="n">
        <v>-10464382484</v>
      </c>
      <c r="U98" s="325" t="n">
        <v>-9319990558</v>
      </c>
      <c r="V98" s="325" t="n">
        <v>-21302520896</v>
      </c>
      <c r="W98" s="325" t="n">
        <v>-15356642892</v>
      </c>
      <c r="X98" s="325" t="n">
        <v>-10476178887</v>
      </c>
      <c r="Y98" s="325" t="n">
        <v>-14118573583</v>
      </c>
      <c r="Z98" s="325" t="n">
        <v>-7686947311</v>
      </c>
      <c r="AA98" s="325"/>
      <c r="AB98" s="325"/>
      <c r="AC98" s="325"/>
      <c r="AD98" s="325"/>
      <c r="AE98" s="325" t="n">
        <f aca="false">R98</f>
        <v>-12631555947</v>
      </c>
      <c r="AF98" s="325" t="n">
        <f aca="false">S98-R98</f>
        <v>2958799228</v>
      </c>
      <c r="AG98" s="325" t="n">
        <f aca="false">T98-S98</f>
        <v>-791625765</v>
      </c>
      <c r="AH98" s="325" t="n">
        <f aca="false">U98-T98</f>
        <v>1144391926</v>
      </c>
      <c r="AI98" s="325" t="n">
        <f aca="false">V98-U98</f>
        <v>-11982530338</v>
      </c>
      <c r="AJ98" s="325" t="n">
        <f aca="false">W98-V98</f>
        <v>5945878004</v>
      </c>
      <c r="AK98" s="325" t="n">
        <f aca="false">X98-W98</f>
        <v>4880464005</v>
      </c>
      <c r="AL98" s="325" t="n">
        <f aca="false">Y98-X98</f>
        <v>-3642394696</v>
      </c>
      <c r="AM98" s="325" t="n">
        <f aca="false">Z98-Y98</f>
        <v>6431626272</v>
      </c>
      <c r="AN98" s="325" t="s">
        <v>1679</v>
      </c>
      <c r="AO98" s="325" t="n">
        <f aca="false">AB98-AA98</f>
        <v>0</v>
      </c>
      <c r="AP98" s="325" t="n">
        <f aca="false">AC98-AB98</f>
        <v>0</v>
      </c>
      <c r="AR98" s="314" t="str">
        <f aca="false">IFERROR(VLOOKUP(M98,'BS_DEC 2026'!$D$12:$D$109,1,FALSE()),"(미존재)")</f>
        <v>미지급금</v>
      </c>
    </row>
    <row r="99" customFormat="false" ht="16.5" hidden="false" customHeight="false" outlineLevel="0" collapsed="false">
      <c r="A99" s="317" t="s">
        <v>446</v>
      </c>
      <c r="B99" s="314" t="n">
        <v>40000850</v>
      </c>
      <c r="C99" s="314" t="s">
        <v>1744</v>
      </c>
      <c r="E99" s="314" t="s">
        <v>1637</v>
      </c>
      <c r="G99" s="314" t="s">
        <v>1639</v>
      </c>
      <c r="H99" s="314" t="s">
        <v>1495</v>
      </c>
      <c r="I99" s="314" t="s">
        <v>1735</v>
      </c>
      <c r="L99" s="324" t="s">
        <v>173</v>
      </c>
      <c r="M99" s="324" t="s">
        <v>191</v>
      </c>
      <c r="Q99" s="325"/>
      <c r="R99" s="325" t="n">
        <v>0</v>
      </c>
      <c r="S99" s="325"/>
      <c r="T99" s="325"/>
      <c r="U99" s="325"/>
      <c r="V99" s="325"/>
      <c r="W99" s="325"/>
      <c r="X99" s="325" t="n">
        <v>-8588931019</v>
      </c>
      <c r="Y99" s="325" t="n">
        <v>-12751438695</v>
      </c>
      <c r="Z99" s="325" t="n">
        <v>-13141943761</v>
      </c>
      <c r="AA99" s="325"/>
      <c r="AB99" s="325"/>
      <c r="AC99" s="325"/>
      <c r="AD99" s="325"/>
      <c r="AE99" s="325" t="n">
        <f aca="false">R99</f>
        <v>0</v>
      </c>
      <c r="AF99" s="325" t="n">
        <f aca="false">S99-R99</f>
        <v>0</v>
      </c>
      <c r="AG99" s="325" t="n">
        <f aca="false">T99-S99</f>
        <v>0</v>
      </c>
      <c r="AH99" s="325" t="n">
        <f aca="false">U99-T99</f>
        <v>0</v>
      </c>
      <c r="AI99" s="325" t="n">
        <f aca="false">V99-U99</f>
        <v>0</v>
      </c>
      <c r="AJ99" s="325" t="n">
        <f aca="false">W99-V99</f>
        <v>0</v>
      </c>
      <c r="AK99" s="325" t="n">
        <f aca="false">X99-W99</f>
        <v>-8588931019</v>
      </c>
      <c r="AL99" s="325" t="n">
        <f aca="false">Y99-X99</f>
        <v>-4162507676</v>
      </c>
      <c r="AM99" s="325" t="n">
        <f aca="false">Z99-Y99</f>
        <v>-390505066</v>
      </c>
      <c r="AN99" s="325" t="s">
        <v>1679</v>
      </c>
      <c r="AO99" s="325" t="n">
        <f aca="false">AB99-AA99</f>
        <v>0</v>
      </c>
      <c r="AP99" s="325" t="n">
        <f aca="false">AC99-AB99</f>
        <v>0</v>
      </c>
      <c r="AR99" s="314" t="str">
        <f aca="false">IFERROR(VLOOKUP(M99,'BS_DEC 2026'!$D$12:$D$109,1,FALSE()),"(미존재)")</f>
        <v>미지급비용</v>
      </c>
    </row>
    <row r="100" customFormat="false" ht="16.5" hidden="false" customHeight="false" outlineLevel="0" collapsed="false">
      <c r="A100" s="317" t="s">
        <v>446</v>
      </c>
      <c r="B100" s="314" t="n">
        <v>40000851</v>
      </c>
      <c r="C100" s="314" t="s">
        <v>1745</v>
      </c>
      <c r="D100" s="314" t="s">
        <v>1570</v>
      </c>
      <c r="E100" s="314" t="s">
        <v>1637</v>
      </c>
      <c r="F100" s="314" t="s">
        <v>1734</v>
      </c>
      <c r="G100" s="314" t="s">
        <v>1746</v>
      </c>
      <c r="H100" s="314" t="s">
        <v>1495</v>
      </c>
      <c r="I100" s="314" t="s">
        <v>1735</v>
      </c>
      <c r="K100" s="314" t="s">
        <v>1736</v>
      </c>
      <c r="L100" s="324" t="s">
        <v>173</v>
      </c>
      <c r="M100" s="324" t="s">
        <v>191</v>
      </c>
      <c r="N100" s="324" t="s">
        <v>173</v>
      </c>
      <c r="O100" s="324" t="s">
        <v>1642</v>
      </c>
      <c r="P100" s="324" t="s">
        <v>1737</v>
      </c>
      <c r="Q100" s="325" t="n">
        <v>-210450356</v>
      </c>
      <c r="R100" s="325" t="n">
        <v>-153864109</v>
      </c>
      <c r="S100" s="325" t="n">
        <v>-155707347</v>
      </c>
      <c r="T100" s="325" t="n">
        <v>-369320590</v>
      </c>
      <c r="U100" s="325" t="n">
        <v>-100585538</v>
      </c>
      <c r="V100" s="325" t="n">
        <v>-399266002</v>
      </c>
      <c r="W100" s="325" t="n">
        <v>-707398378</v>
      </c>
      <c r="X100" s="325" t="n">
        <v>-1011749990</v>
      </c>
      <c r="Y100" s="325" t="n">
        <v>-1416291883</v>
      </c>
      <c r="Z100" s="325" t="n">
        <v>-1794368419</v>
      </c>
      <c r="AA100" s="325"/>
      <c r="AB100" s="325"/>
      <c r="AC100" s="325"/>
      <c r="AD100" s="325"/>
      <c r="AE100" s="325" t="n">
        <f aca="false">R100</f>
        <v>-153864109</v>
      </c>
      <c r="AF100" s="325" t="n">
        <f aca="false">S100-R100</f>
        <v>-1843238</v>
      </c>
      <c r="AG100" s="325" t="n">
        <f aca="false">T100-S100</f>
        <v>-213613243</v>
      </c>
      <c r="AH100" s="325" t="n">
        <f aca="false">U100-T100</f>
        <v>268735052</v>
      </c>
      <c r="AI100" s="325" t="n">
        <f aca="false">V100-U100</f>
        <v>-298680464</v>
      </c>
      <c r="AJ100" s="325" t="n">
        <f aca="false">W100-V100</f>
        <v>-308132376</v>
      </c>
      <c r="AK100" s="325" t="n">
        <f aca="false">X100-W100</f>
        <v>-304351612</v>
      </c>
      <c r="AL100" s="325" t="n">
        <f aca="false">Y100-X100</f>
        <v>-404541893</v>
      </c>
      <c r="AM100" s="325" t="n">
        <f aca="false">Z100-Y100</f>
        <v>-378076536</v>
      </c>
      <c r="AN100" s="325" t="s">
        <v>1679</v>
      </c>
      <c r="AO100" s="325" t="n">
        <f aca="false">AB100-AA100</f>
        <v>0</v>
      </c>
      <c r="AP100" s="325" t="n">
        <f aca="false">AC100-AB100</f>
        <v>0</v>
      </c>
      <c r="AR100" s="314" t="str">
        <f aca="false">IFERROR(VLOOKUP(M100,'BS_DEC 2026'!$D$12:$D$109,1,FALSE()),"(미존재)")</f>
        <v>미지급비용</v>
      </c>
    </row>
    <row r="101" customFormat="false" ht="16.5" hidden="false" customHeight="false" outlineLevel="0" collapsed="false">
      <c r="A101" s="317" t="s">
        <v>446</v>
      </c>
      <c r="B101" s="314" t="n">
        <v>40000852</v>
      </c>
      <c r="C101" s="314" t="s">
        <v>1747</v>
      </c>
      <c r="G101" s="314" t="s">
        <v>1639</v>
      </c>
      <c r="H101" s="314" t="s">
        <v>1495</v>
      </c>
      <c r="I101" s="314" t="s">
        <v>1735</v>
      </c>
      <c r="K101" s="314" t="s">
        <v>1736</v>
      </c>
      <c r="L101" s="324" t="s">
        <v>173</v>
      </c>
      <c r="M101" s="324" t="s">
        <v>178</v>
      </c>
      <c r="N101" s="324" t="s">
        <v>173</v>
      </c>
      <c r="O101" s="324" t="s">
        <v>1642</v>
      </c>
      <c r="P101" s="324" t="s">
        <v>1737</v>
      </c>
      <c r="Q101" s="325" t="n">
        <v>0</v>
      </c>
      <c r="R101" s="325" t="n">
        <v>0</v>
      </c>
      <c r="S101" s="325" t="n">
        <v>0</v>
      </c>
      <c r="T101" s="325" t="n">
        <v>0</v>
      </c>
      <c r="U101" s="325" t="n">
        <v>0</v>
      </c>
      <c r="V101" s="325" t="n">
        <v>0</v>
      </c>
      <c r="W101" s="325" t="n">
        <v>0</v>
      </c>
      <c r="X101" s="325" t="n">
        <v>0</v>
      </c>
      <c r="Y101" s="325" t="n">
        <v>0</v>
      </c>
      <c r="Z101" s="325" t="n">
        <v>-8609260</v>
      </c>
      <c r="AA101" s="325"/>
      <c r="AB101" s="325"/>
      <c r="AC101" s="325"/>
      <c r="AD101" s="325"/>
      <c r="AE101" s="325" t="n">
        <f aca="false">R101</f>
        <v>0</v>
      </c>
      <c r="AF101" s="325" t="n">
        <f aca="false">S101-R101</f>
        <v>0</v>
      </c>
      <c r="AG101" s="325" t="n">
        <f aca="false">T101-S101</f>
        <v>0</v>
      </c>
      <c r="AH101" s="325" t="n">
        <f aca="false">U101-T101</f>
        <v>0</v>
      </c>
      <c r="AI101" s="325" t="n">
        <f aca="false">V101-U101</f>
        <v>0</v>
      </c>
      <c r="AJ101" s="325" t="n">
        <f aca="false">W101-V101</f>
        <v>0</v>
      </c>
      <c r="AK101" s="325" t="n">
        <f aca="false">X101-W101</f>
        <v>0</v>
      </c>
      <c r="AL101" s="325" t="n">
        <f aca="false">Y101-X101</f>
        <v>0</v>
      </c>
      <c r="AM101" s="325" t="n">
        <f aca="false">Z101-Y101</f>
        <v>-8609260</v>
      </c>
      <c r="AN101" s="325" t="s">
        <v>1679</v>
      </c>
      <c r="AO101" s="325" t="n">
        <f aca="false">AB101-AA101</f>
        <v>0</v>
      </c>
      <c r="AP101" s="325" t="n">
        <f aca="false">AC101-AB101</f>
        <v>0</v>
      </c>
      <c r="AR101" s="314" t="str">
        <f aca="false">IFERROR(VLOOKUP(M101,'BS_DEC 2026'!$D$12:$D$109,1,FALSE()),"(미존재)")</f>
        <v>매입채무</v>
      </c>
    </row>
    <row r="102" customFormat="false" ht="16.5" hidden="false" customHeight="false" outlineLevel="0" collapsed="false">
      <c r="A102" s="317" t="s">
        <v>446</v>
      </c>
      <c r="B102" s="314" t="n">
        <v>40100000</v>
      </c>
      <c r="C102" s="314" t="s">
        <v>1748</v>
      </c>
      <c r="D102" s="314" t="s">
        <v>1570</v>
      </c>
      <c r="E102" s="314" t="s">
        <v>1637</v>
      </c>
      <c r="F102" s="314" t="s">
        <v>1734</v>
      </c>
      <c r="G102" s="314" t="s">
        <v>1639</v>
      </c>
      <c r="H102" s="314" t="s">
        <v>1495</v>
      </c>
      <c r="I102" s="314" t="s">
        <v>1640</v>
      </c>
      <c r="K102" s="314" t="s">
        <v>1641</v>
      </c>
      <c r="L102" s="324" t="s">
        <v>173</v>
      </c>
      <c r="M102" s="324" t="s">
        <v>178</v>
      </c>
      <c r="N102" s="324" t="s">
        <v>173</v>
      </c>
      <c r="O102" s="324" t="s">
        <v>1642</v>
      </c>
      <c r="P102" s="324" t="s">
        <v>1737</v>
      </c>
      <c r="Q102" s="325" t="n">
        <v>0</v>
      </c>
      <c r="R102" s="325" t="n">
        <v>-27872461883</v>
      </c>
      <c r="S102" s="325" t="n">
        <v>-9842716629</v>
      </c>
      <c r="T102" s="325" t="n">
        <v>-3722543090</v>
      </c>
      <c r="U102" s="325" t="n">
        <v>-8830333670</v>
      </c>
      <c r="V102" s="325" t="n">
        <v>-39592158887</v>
      </c>
      <c r="W102" s="325" t="n">
        <v>-32461766582</v>
      </c>
      <c r="X102" s="325" t="n">
        <v>-70187431824</v>
      </c>
      <c r="Y102" s="325" t="n">
        <v>-91046530749</v>
      </c>
      <c r="Z102" s="325" t="n">
        <v>-87544156013</v>
      </c>
      <c r="AA102" s="325"/>
      <c r="AB102" s="325"/>
      <c r="AC102" s="325"/>
      <c r="AD102" s="325"/>
      <c r="AE102" s="325" t="n">
        <f aca="false">R102</f>
        <v>-27872461883</v>
      </c>
      <c r="AF102" s="325" t="n">
        <f aca="false">S102-R102</f>
        <v>18029745254</v>
      </c>
      <c r="AG102" s="325" t="n">
        <f aca="false">T102-S102</f>
        <v>6120173539</v>
      </c>
      <c r="AH102" s="325" t="n">
        <f aca="false">U102-T102</f>
        <v>-5107790580</v>
      </c>
      <c r="AI102" s="325" t="n">
        <f aca="false">V102-U102</f>
        <v>-30761825217</v>
      </c>
      <c r="AJ102" s="325" t="n">
        <f aca="false">W102-V102</f>
        <v>7130392305</v>
      </c>
      <c r="AK102" s="325" t="n">
        <f aca="false">X102-W102</f>
        <v>-37725665242</v>
      </c>
      <c r="AL102" s="325" t="n">
        <f aca="false">Y102-X102</f>
        <v>-20859098925</v>
      </c>
      <c r="AM102" s="325" t="n">
        <f aca="false">Z102-Y102</f>
        <v>3502374736</v>
      </c>
      <c r="AN102" s="325" t="s">
        <v>1679</v>
      </c>
      <c r="AO102" s="325" t="n">
        <f aca="false">AB102-AA102</f>
        <v>0</v>
      </c>
      <c r="AP102" s="325" t="n">
        <f aca="false">AC102-AB102</f>
        <v>0</v>
      </c>
      <c r="AR102" s="314" t="str">
        <f aca="false">IFERROR(VLOOKUP(M102,'BS_DEC 2026'!$D$12:$D$109,1,FALSE()),"(미존재)")</f>
        <v>매입채무</v>
      </c>
    </row>
    <row r="103" customFormat="false" ht="16.5" hidden="false" customHeight="false" outlineLevel="0" collapsed="false">
      <c r="A103" s="317" t="s">
        <v>446</v>
      </c>
      <c r="B103" s="314" t="n">
        <v>40100856</v>
      </c>
      <c r="C103" s="314" t="s">
        <v>1749</v>
      </c>
      <c r="G103" s="314" t="s">
        <v>1639</v>
      </c>
      <c r="H103" s="314" t="s">
        <v>1495</v>
      </c>
      <c r="I103" s="314" t="s">
        <v>1640</v>
      </c>
      <c r="K103" s="314" t="s">
        <v>1641</v>
      </c>
      <c r="L103" s="324" t="s">
        <v>173</v>
      </c>
      <c r="M103" s="324" t="s">
        <v>178</v>
      </c>
      <c r="N103" s="324" t="s">
        <v>173</v>
      </c>
      <c r="O103" s="324" t="s">
        <v>1642</v>
      </c>
      <c r="P103" s="324" t="s">
        <v>1737</v>
      </c>
      <c r="Q103" s="325" t="n">
        <v>0</v>
      </c>
      <c r="R103" s="325" t="n">
        <v>0</v>
      </c>
      <c r="S103" s="325" t="n">
        <v>0</v>
      </c>
      <c r="T103" s="325" t="n">
        <v>0</v>
      </c>
      <c r="U103" s="325" t="n">
        <v>0</v>
      </c>
      <c r="V103" s="325" t="n">
        <v>0</v>
      </c>
      <c r="W103" s="325" t="n">
        <v>0</v>
      </c>
      <c r="X103" s="325" t="n">
        <v>0</v>
      </c>
      <c r="Y103" s="325" t="n">
        <v>0</v>
      </c>
      <c r="Z103" s="325" t="n">
        <v>0</v>
      </c>
      <c r="AA103" s="325"/>
      <c r="AB103" s="325"/>
      <c r="AC103" s="325"/>
      <c r="AD103" s="325"/>
      <c r="AE103" s="325" t="n">
        <f aca="false">R103</f>
        <v>0</v>
      </c>
      <c r="AF103" s="325" t="n">
        <f aca="false">S103-R103</f>
        <v>0</v>
      </c>
      <c r="AG103" s="325" t="n">
        <f aca="false">T103-S103</f>
        <v>0</v>
      </c>
      <c r="AH103" s="325" t="n">
        <f aca="false">U103-T103</f>
        <v>0</v>
      </c>
      <c r="AI103" s="325" t="n">
        <f aca="false">V103-U103</f>
        <v>0</v>
      </c>
      <c r="AJ103" s="325" t="n">
        <f aca="false">W103-V103</f>
        <v>0</v>
      </c>
      <c r="AK103" s="325" t="n">
        <f aca="false">X103-W103</f>
        <v>0</v>
      </c>
      <c r="AL103" s="325" t="n">
        <f aca="false">Y103-X103</f>
        <v>0</v>
      </c>
      <c r="AM103" s="325" t="n">
        <f aca="false">Z103-Y103</f>
        <v>0</v>
      </c>
      <c r="AN103" s="325" t="s">
        <v>1679</v>
      </c>
      <c r="AO103" s="325" t="n">
        <f aca="false">AB103-AA103</f>
        <v>0</v>
      </c>
      <c r="AP103" s="325" t="n">
        <f aca="false">AC103-AB103</f>
        <v>0</v>
      </c>
      <c r="AR103" s="314" t="str">
        <f aca="false">IFERROR(VLOOKUP(M103,'BS_DEC 2026'!$D$12:$D$109,1,FALSE()),"(미존재)")</f>
        <v>매입채무</v>
      </c>
    </row>
    <row r="104" customFormat="false" ht="16.5" hidden="false" customHeight="false" outlineLevel="0" collapsed="false">
      <c r="A104" s="317" t="s">
        <v>446</v>
      </c>
      <c r="B104" s="314" t="n">
        <v>40500000</v>
      </c>
      <c r="C104" s="314" t="s">
        <v>1750</v>
      </c>
      <c r="D104" s="314" t="s">
        <v>1512</v>
      </c>
      <c r="E104" s="314" t="s">
        <v>1513</v>
      </c>
      <c r="F104" s="314" t="s">
        <v>1751</v>
      </c>
      <c r="G104" s="314" t="s">
        <v>1639</v>
      </c>
      <c r="H104" s="314" t="s">
        <v>1495</v>
      </c>
      <c r="I104" s="314" t="s">
        <v>1735</v>
      </c>
      <c r="K104" s="314" t="s">
        <v>1736</v>
      </c>
      <c r="L104" s="324" t="s">
        <v>676</v>
      </c>
      <c r="M104" s="324" t="s">
        <v>676</v>
      </c>
      <c r="N104" s="324" t="s">
        <v>447</v>
      </c>
      <c r="O104" s="324" t="s">
        <v>1518</v>
      </c>
      <c r="P104" s="324" t="s">
        <v>94</v>
      </c>
      <c r="Q104" s="325" t="n">
        <v>20691651164</v>
      </c>
      <c r="R104" s="325" t="n">
        <v>30433840707</v>
      </c>
      <c r="S104" s="325" t="n">
        <v>25505981853</v>
      </c>
      <c r="T104" s="325" t="n">
        <v>24154739684</v>
      </c>
      <c r="U104" s="325" t="n">
        <v>13962872882</v>
      </c>
      <c r="V104" s="325" t="n">
        <v>47491182298</v>
      </c>
      <c r="W104" s="325" t="n">
        <v>53529456912</v>
      </c>
      <c r="X104" s="325" t="n">
        <v>50203880378</v>
      </c>
      <c r="Y104" s="325" t="n">
        <v>18886915434</v>
      </c>
      <c r="Z104" s="325" t="n">
        <v>17852337563</v>
      </c>
      <c r="AA104" s="325"/>
      <c r="AB104" s="325"/>
      <c r="AC104" s="325"/>
      <c r="AD104" s="325"/>
      <c r="AE104" s="325" t="n">
        <f aca="false">R104</f>
        <v>30433840707</v>
      </c>
      <c r="AF104" s="325" t="n">
        <f aca="false">S104-R104</f>
        <v>-4927858854</v>
      </c>
      <c r="AG104" s="325" t="n">
        <f aca="false">T104-S104</f>
        <v>-1351242169</v>
      </c>
      <c r="AH104" s="325" t="n">
        <f aca="false">U104-T104</f>
        <v>-10191866802</v>
      </c>
      <c r="AI104" s="325" t="n">
        <f aca="false">V104-U104</f>
        <v>33528309416</v>
      </c>
      <c r="AJ104" s="325" t="n">
        <f aca="false">W104-V104</f>
        <v>6038274614</v>
      </c>
      <c r="AK104" s="325" t="n">
        <f aca="false">X104-W104</f>
        <v>-3325576534</v>
      </c>
      <c r="AL104" s="325" t="n">
        <f aca="false">Y104-X104</f>
        <v>-31316964944</v>
      </c>
      <c r="AM104" s="325" t="n">
        <f aca="false">Z104-Y104</f>
        <v>-1034577871</v>
      </c>
      <c r="AN104" s="325" t="s">
        <v>1679</v>
      </c>
      <c r="AO104" s="325" t="n">
        <f aca="false">AB104-AA104</f>
        <v>0</v>
      </c>
      <c r="AP104" s="325" t="n">
        <f aca="false">AC104-AB104</f>
        <v>0</v>
      </c>
    </row>
    <row r="105" customFormat="false" ht="16.5" hidden="false" customHeight="false" outlineLevel="0" collapsed="false">
      <c r="A105" s="317" t="s">
        <v>446</v>
      </c>
      <c r="B105" s="314" t="n">
        <v>40500001</v>
      </c>
      <c r="C105" s="314" t="s">
        <v>1752</v>
      </c>
      <c r="D105" s="314" t="s">
        <v>1512</v>
      </c>
      <c r="E105" s="314" t="s">
        <v>1513</v>
      </c>
      <c r="F105" s="314" t="s">
        <v>1751</v>
      </c>
      <c r="G105" s="314" t="s">
        <v>1639</v>
      </c>
      <c r="H105" s="314" t="s">
        <v>1495</v>
      </c>
      <c r="I105" s="314" t="s">
        <v>1735</v>
      </c>
      <c r="K105" s="314" t="s">
        <v>1736</v>
      </c>
      <c r="L105" s="324" t="s">
        <v>447</v>
      </c>
      <c r="M105" s="324" t="s">
        <v>94</v>
      </c>
      <c r="N105" s="324" t="s">
        <v>447</v>
      </c>
      <c r="O105" s="324" t="s">
        <v>1518</v>
      </c>
      <c r="P105" s="324" t="s">
        <v>94</v>
      </c>
      <c r="Q105" s="325" t="n">
        <v>20691651164</v>
      </c>
      <c r="R105" s="325" t="n">
        <v>30433840707</v>
      </c>
      <c r="S105" s="325" t="n">
        <v>25505981853</v>
      </c>
      <c r="T105" s="325" t="n">
        <v>24154739684</v>
      </c>
      <c r="U105" s="325" t="n">
        <v>13962872882</v>
      </c>
      <c r="V105" s="325" t="n">
        <v>47491182298</v>
      </c>
      <c r="W105" s="325" t="n">
        <v>53529456912</v>
      </c>
      <c r="X105" s="325" t="n">
        <v>50203880378</v>
      </c>
      <c r="Y105" s="325" t="n">
        <v>18886915434</v>
      </c>
      <c r="Z105" s="325" t="n">
        <v>17852337563</v>
      </c>
      <c r="AA105" s="325"/>
      <c r="AB105" s="325"/>
      <c r="AC105" s="325"/>
      <c r="AD105" s="325"/>
      <c r="AE105" s="325" t="n">
        <f aca="false">R105</f>
        <v>30433840707</v>
      </c>
      <c r="AF105" s="325" t="n">
        <f aca="false">S105-R105</f>
        <v>-4927858854</v>
      </c>
      <c r="AG105" s="325" t="n">
        <f aca="false">T105-S105</f>
        <v>-1351242169</v>
      </c>
      <c r="AH105" s="325" t="n">
        <f aca="false">U105-T105</f>
        <v>-10191866802</v>
      </c>
      <c r="AI105" s="325" t="n">
        <f aca="false">V105-U105</f>
        <v>33528309416</v>
      </c>
      <c r="AJ105" s="325" t="n">
        <f aca="false">W105-V105</f>
        <v>6038274614</v>
      </c>
      <c r="AK105" s="325" t="n">
        <f aca="false">X105-W105</f>
        <v>-3325576534</v>
      </c>
      <c r="AL105" s="325" t="n">
        <f aca="false">Y105-X105</f>
        <v>-31316964944</v>
      </c>
      <c r="AM105" s="325" t="n">
        <f aca="false">Z105-Y105</f>
        <v>-1034577871</v>
      </c>
      <c r="AN105" s="325" t="s">
        <v>1679</v>
      </c>
      <c r="AO105" s="325" t="n">
        <f aca="false">AB105-AA105</f>
        <v>0</v>
      </c>
      <c r="AP105" s="325" t="n">
        <f aca="false">AC105-AB105</f>
        <v>0</v>
      </c>
    </row>
    <row r="106" customFormat="false" ht="16.5" hidden="false" customHeight="false" outlineLevel="0" collapsed="false">
      <c r="A106" s="317" t="s">
        <v>446</v>
      </c>
      <c r="B106" s="314" t="n">
        <v>40500002</v>
      </c>
      <c r="C106" s="314" t="s">
        <v>1753</v>
      </c>
      <c r="D106" s="314" t="s">
        <v>1570</v>
      </c>
      <c r="E106" s="314" t="s">
        <v>1637</v>
      </c>
      <c r="F106" s="314" t="s">
        <v>1734</v>
      </c>
      <c r="G106" s="314" t="s">
        <v>1639</v>
      </c>
      <c r="H106" s="314" t="s">
        <v>1495</v>
      </c>
      <c r="I106" s="314" t="s">
        <v>1735</v>
      </c>
      <c r="K106" s="314" t="s">
        <v>1736</v>
      </c>
      <c r="L106" s="324" t="s">
        <v>173</v>
      </c>
      <c r="M106" s="324" t="s">
        <v>178</v>
      </c>
      <c r="N106" s="324" t="s">
        <v>173</v>
      </c>
      <c r="O106" s="324" t="s">
        <v>1642</v>
      </c>
      <c r="P106" s="324" t="s">
        <v>178</v>
      </c>
      <c r="Q106" s="325" t="n">
        <v>-1386404</v>
      </c>
      <c r="R106" s="325" t="n">
        <v>-5652388</v>
      </c>
      <c r="S106" s="325" t="n">
        <v>-1386404</v>
      </c>
      <c r="T106" s="325" t="n">
        <v>-39737058</v>
      </c>
      <c r="U106" s="325" t="n">
        <v>-92248005</v>
      </c>
      <c r="V106" s="325" t="n">
        <v>-398087752</v>
      </c>
      <c r="W106" s="325" t="n">
        <v>-340397392</v>
      </c>
      <c r="X106" s="325" t="n">
        <v>-458314185</v>
      </c>
      <c r="Y106" s="325" t="n">
        <v>-459632895</v>
      </c>
      <c r="Z106" s="325" t="n">
        <v>-360236150</v>
      </c>
      <c r="AA106" s="325"/>
      <c r="AB106" s="325"/>
      <c r="AC106" s="325"/>
      <c r="AD106" s="325"/>
      <c r="AE106" s="325" t="n">
        <f aca="false">R106</f>
        <v>-5652388</v>
      </c>
      <c r="AF106" s="325" t="n">
        <f aca="false">S106-R106</f>
        <v>4265984</v>
      </c>
      <c r="AG106" s="325" t="n">
        <f aca="false">T106-S106</f>
        <v>-38350654</v>
      </c>
      <c r="AH106" s="325" t="n">
        <f aca="false">U106-T106</f>
        <v>-52510947</v>
      </c>
      <c r="AI106" s="325" t="n">
        <f aca="false">V106-U106</f>
        <v>-305839747</v>
      </c>
      <c r="AJ106" s="325" t="n">
        <f aca="false">W106-V106</f>
        <v>57690360</v>
      </c>
      <c r="AK106" s="325" t="n">
        <f aca="false">X106-W106</f>
        <v>-117916793</v>
      </c>
      <c r="AL106" s="325" t="n">
        <f aca="false">Y106-X106</f>
        <v>-1318710</v>
      </c>
      <c r="AM106" s="325" t="n">
        <f aca="false">Z106-Y106</f>
        <v>99396745</v>
      </c>
      <c r="AN106" s="325" t="s">
        <v>1679</v>
      </c>
      <c r="AO106" s="325" t="n">
        <f aca="false">AB106-AA106</f>
        <v>0</v>
      </c>
      <c r="AP106" s="325" t="n">
        <f aca="false">AC106-AB106</f>
        <v>0</v>
      </c>
    </row>
    <row r="107" customFormat="false" ht="16.5" hidden="false" customHeight="false" outlineLevel="0" collapsed="false">
      <c r="A107" s="317" t="s">
        <v>446</v>
      </c>
      <c r="B107" s="314" t="n">
        <v>40500003</v>
      </c>
      <c r="C107" s="314" t="s">
        <v>1754</v>
      </c>
      <c r="D107" s="314" t="s">
        <v>1512</v>
      </c>
      <c r="E107" s="314" t="s">
        <v>1513</v>
      </c>
      <c r="F107" s="314" t="s">
        <v>1751</v>
      </c>
      <c r="G107" s="314" t="s">
        <v>1639</v>
      </c>
      <c r="H107" s="314" t="s">
        <v>1495</v>
      </c>
      <c r="I107" s="314" t="s">
        <v>1735</v>
      </c>
      <c r="K107" s="314" t="s">
        <v>1736</v>
      </c>
      <c r="L107" s="324" t="s">
        <v>676</v>
      </c>
      <c r="M107" s="324" t="s">
        <v>676</v>
      </c>
      <c r="N107" s="324" t="s">
        <v>447</v>
      </c>
      <c r="O107" s="324" t="s">
        <v>1518</v>
      </c>
      <c r="P107" s="324" t="s">
        <v>94</v>
      </c>
      <c r="Q107" s="325" t="n">
        <v>-20690264760</v>
      </c>
      <c r="R107" s="325" t="n">
        <v>-30428188319</v>
      </c>
      <c r="S107" s="325" t="n">
        <v>-25504595449</v>
      </c>
      <c r="T107" s="325" t="n">
        <v>-24115002626</v>
      </c>
      <c r="U107" s="325" t="n">
        <v>-13870624877</v>
      </c>
      <c r="V107" s="325" t="n">
        <v>-47093094546</v>
      </c>
      <c r="W107" s="325" t="n">
        <v>-53189059520</v>
      </c>
      <c r="X107" s="325" t="n">
        <v>-49745566193</v>
      </c>
      <c r="Y107" s="325" t="n">
        <v>-18427282539</v>
      </c>
      <c r="Z107" s="325" t="n">
        <v>-17492101413</v>
      </c>
      <c r="AA107" s="325"/>
      <c r="AB107" s="325"/>
      <c r="AC107" s="325"/>
      <c r="AD107" s="325"/>
      <c r="AE107" s="325" t="n">
        <f aca="false">R107</f>
        <v>-30428188319</v>
      </c>
      <c r="AF107" s="325" t="n">
        <f aca="false">S107-R107</f>
        <v>4923592870</v>
      </c>
      <c r="AG107" s="325" t="n">
        <f aca="false">T107-S107</f>
        <v>1389592823</v>
      </c>
      <c r="AH107" s="325" t="n">
        <f aca="false">U107-T107</f>
        <v>10244377749</v>
      </c>
      <c r="AI107" s="325" t="n">
        <f aca="false">V107-U107</f>
        <v>-33222469669</v>
      </c>
      <c r="AJ107" s="325" t="n">
        <f aca="false">W107-V107</f>
        <v>-6095964974</v>
      </c>
      <c r="AK107" s="325" t="n">
        <f aca="false">X107-W107</f>
        <v>3443493327</v>
      </c>
      <c r="AL107" s="325" t="n">
        <f aca="false">Y107-X107</f>
        <v>31318283654</v>
      </c>
      <c r="AM107" s="325" t="n">
        <f aca="false">Z107-Y107</f>
        <v>935181126</v>
      </c>
      <c r="AN107" s="325" t="s">
        <v>1679</v>
      </c>
      <c r="AO107" s="325" t="n">
        <f aca="false">AB107-AA107</f>
        <v>0</v>
      </c>
      <c r="AP107" s="325" t="n">
        <f aca="false">AC107-AB107</f>
        <v>0</v>
      </c>
    </row>
    <row r="108" customFormat="false" ht="16.5" hidden="false" customHeight="false" outlineLevel="0" collapsed="false">
      <c r="A108" s="317" t="s">
        <v>446</v>
      </c>
      <c r="B108" s="314" t="n">
        <v>40500004</v>
      </c>
      <c r="C108" s="314" t="s">
        <v>1755</v>
      </c>
      <c r="D108" s="314" t="s">
        <v>1512</v>
      </c>
      <c r="E108" s="314" t="s">
        <v>1513</v>
      </c>
      <c r="F108" s="314" t="s">
        <v>1751</v>
      </c>
      <c r="G108" s="314" t="s">
        <v>1639</v>
      </c>
      <c r="H108" s="314" t="s">
        <v>1495</v>
      </c>
      <c r="I108" s="314" t="s">
        <v>1735</v>
      </c>
      <c r="K108" s="314" t="s">
        <v>1736</v>
      </c>
      <c r="L108" s="324" t="s">
        <v>676</v>
      </c>
      <c r="M108" s="324" t="s">
        <v>676</v>
      </c>
      <c r="N108" s="324" t="s">
        <v>447</v>
      </c>
      <c r="O108" s="324" t="s">
        <v>1518</v>
      </c>
      <c r="P108" s="324" t="s">
        <v>94</v>
      </c>
      <c r="Q108" s="325" t="n">
        <v>-1149824</v>
      </c>
      <c r="R108" s="325" t="n">
        <v>-1149824</v>
      </c>
      <c r="S108" s="325" t="n">
        <v>-1149824</v>
      </c>
      <c r="T108" s="325" t="n">
        <v>-31085767</v>
      </c>
      <c r="U108" s="325" t="n">
        <v>-92248005</v>
      </c>
      <c r="V108" s="325" t="n">
        <v>-398087752</v>
      </c>
      <c r="W108" s="325" t="n">
        <v>-340397392</v>
      </c>
      <c r="X108" s="325" t="n">
        <v>-458314185</v>
      </c>
      <c r="Y108" s="325" t="n">
        <v>-459632895</v>
      </c>
      <c r="Z108" s="325" t="n">
        <v>-360236150</v>
      </c>
      <c r="AA108" s="325"/>
      <c r="AB108" s="325"/>
      <c r="AC108" s="325"/>
      <c r="AD108" s="325"/>
      <c r="AE108" s="325" t="n">
        <f aca="false">R108</f>
        <v>-1149824</v>
      </c>
      <c r="AF108" s="325" t="n">
        <f aca="false">S108-R108</f>
        <v>0</v>
      </c>
      <c r="AG108" s="325" t="n">
        <f aca="false">T108-S108</f>
        <v>-29935943</v>
      </c>
      <c r="AH108" s="325" t="n">
        <f aca="false">U108-T108</f>
        <v>-61162238</v>
      </c>
      <c r="AI108" s="325" t="n">
        <f aca="false">V108-U108</f>
        <v>-305839747</v>
      </c>
      <c r="AJ108" s="325" t="n">
        <f aca="false">W108-V108</f>
        <v>57690360</v>
      </c>
      <c r="AK108" s="325" t="n">
        <f aca="false">X108-W108</f>
        <v>-117916793</v>
      </c>
      <c r="AL108" s="325" t="n">
        <f aca="false">Y108-X108</f>
        <v>-1318710</v>
      </c>
      <c r="AM108" s="325" t="n">
        <f aca="false">Z108-Y108</f>
        <v>99396745</v>
      </c>
      <c r="AN108" s="325" t="s">
        <v>1679</v>
      </c>
      <c r="AO108" s="325" t="n">
        <f aca="false">AB108-AA108</f>
        <v>0</v>
      </c>
      <c r="AP108" s="325" t="n">
        <f aca="false">AC108-AB108</f>
        <v>0</v>
      </c>
    </row>
    <row r="109" customFormat="false" ht="16.5" hidden="false" customHeight="false" outlineLevel="0" collapsed="false">
      <c r="A109" s="317" t="s">
        <v>446</v>
      </c>
      <c r="B109" s="314" t="n">
        <v>40500005</v>
      </c>
      <c r="C109" s="314" t="s">
        <v>1756</v>
      </c>
      <c r="D109" s="314" t="s">
        <v>1512</v>
      </c>
      <c r="E109" s="314" t="s">
        <v>1513</v>
      </c>
      <c r="F109" s="314" t="s">
        <v>1751</v>
      </c>
      <c r="G109" s="314" t="s">
        <v>1639</v>
      </c>
      <c r="H109" s="314" t="s">
        <v>1495</v>
      </c>
      <c r="I109" s="314" t="s">
        <v>1735</v>
      </c>
      <c r="K109" s="314" t="s">
        <v>1736</v>
      </c>
      <c r="L109" s="324" t="s">
        <v>676</v>
      </c>
      <c r="M109" s="324" t="s">
        <v>676</v>
      </c>
      <c r="N109" s="324" t="s">
        <v>447</v>
      </c>
      <c r="O109" s="324" t="s">
        <v>1518</v>
      </c>
      <c r="P109" s="324" t="s">
        <v>94</v>
      </c>
      <c r="Q109" s="325" t="n">
        <v>-1871052780</v>
      </c>
      <c r="R109" s="325" t="n">
        <v>-2793603966</v>
      </c>
      <c r="S109" s="325" t="n">
        <v>-2863924326</v>
      </c>
      <c r="T109" s="325" t="n">
        <v>-2355759888</v>
      </c>
      <c r="U109" s="325" t="n">
        <v>-1771064581</v>
      </c>
      <c r="V109" s="325" t="n">
        <v>-1575994011</v>
      </c>
      <c r="W109" s="325" t="n">
        <v>-1986781887</v>
      </c>
      <c r="X109" s="325" t="n">
        <v>-1704132566</v>
      </c>
      <c r="Y109" s="325" t="n">
        <v>-1665064635</v>
      </c>
      <c r="Z109" s="325" t="n">
        <v>-1864310651</v>
      </c>
      <c r="AA109" s="325"/>
      <c r="AB109" s="325"/>
      <c r="AC109" s="325"/>
      <c r="AD109" s="325"/>
      <c r="AE109" s="325" t="n">
        <f aca="false">R109</f>
        <v>-2793603966</v>
      </c>
      <c r="AF109" s="325" t="n">
        <f aca="false">S109-R109</f>
        <v>-70320360</v>
      </c>
      <c r="AG109" s="325" t="n">
        <f aca="false">T109-S109</f>
        <v>508164438</v>
      </c>
      <c r="AH109" s="325" t="n">
        <f aca="false">U109-T109</f>
        <v>584695307</v>
      </c>
      <c r="AI109" s="325" t="n">
        <f aca="false">V109-U109</f>
        <v>195070570</v>
      </c>
      <c r="AJ109" s="325" t="n">
        <f aca="false">W109-V109</f>
        <v>-410787876</v>
      </c>
      <c r="AK109" s="325" t="n">
        <f aca="false">X109-W109</f>
        <v>282649321</v>
      </c>
      <c r="AL109" s="325" t="n">
        <f aca="false">Y109-X109</f>
        <v>39067931</v>
      </c>
      <c r="AM109" s="325" t="n">
        <f aca="false">Z109-Y109</f>
        <v>-199246016</v>
      </c>
      <c r="AN109" s="325" t="s">
        <v>1679</v>
      </c>
      <c r="AO109" s="325" t="n">
        <f aca="false">AB109-AA109</f>
        <v>0</v>
      </c>
      <c r="AP109" s="325" t="n">
        <f aca="false">AC109-AB109</f>
        <v>0</v>
      </c>
    </row>
    <row r="110" customFormat="false" ht="16.5" hidden="false" customHeight="false" outlineLevel="0" collapsed="false">
      <c r="A110" s="317" t="s">
        <v>446</v>
      </c>
      <c r="B110" s="314" t="n">
        <v>40500006</v>
      </c>
      <c r="C110" s="314" t="s">
        <v>1757</v>
      </c>
      <c r="D110" s="314" t="s">
        <v>1512</v>
      </c>
      <c r="E110" s="314" t="s">
        <v>1513</v>
      </c>
      <c r="F110" s="314" t="s">
        <v>1751</v>
      </c>
      <c r="G110" s="314" t="s">
        <v>1639</v>
      </c>
      <c r="H110" s="314" t="s">
        <v>1495</v>
      </c>
      <c r="I110" s="314" t="s">
        <v>1735</v>
      </c>
      <c r="K110" s="314" t="s">
        <v>1736</v>
      </c>
      <c r="L110" s="324" t="s">
        <v>447</v>
      </c>
      <c r="M110" s="324" t="s">
        <v>50</v>
      </c>
      <c r="N110" s="324" t="s">
        <v>447</v>
      </c>
      <c r="O110" s="324" t="s">
        <v>1518</v>
      </c>
      <c r="P110" s="324" t="s">
        <v>94</v>
      </c>
      <c r="Q110" s="325" t="n">
        <v>46265404</v>
      </c>
      <c r="R110" s="325" t="n">
        <v>29171042</v>
      </c>
      <c r="S110" s="325" t="n">
        <v>-307368883</v>
      </c>
      <c r="T110" s="325" t="n">
        <v>-437897642</v>
      </c>
      <c r="U110" s="325" t="n">
        <v>-61444164</v>
      </c>
      <c r="V110" s="325" t="n">
        <v>20045920</v>
      </c>
      <c r="W110" s="325" t="n">
        <v>90481470</v>
      </c>
      <c r="X110" s="325" t="n">
        <v>35242607</v>
      </c>
      <c r="Y110" s="325" t="n">
        <v>-84151472</v>
      </c>
      <c r="Z110" s="325" t="n">
        <v>-65382929</v>
      </c>
      <c r="AA110" s="325"/>
      <c r="AB110" s="325"/>
      <c r="AC110" s="325"/>
      <c r="AD110" s="325"/>
      <c r="AE110" s="325" t="n">
        <f aca="false">R110</f>
        <v>29171042</v>
      </c>
      <c r="AF110" s="325" t="n">
        <f aca="false">S110-R110</f>
        <v>-336539925</v>
      </c>
      <c r="AG110" s="325" t="n">
        <f aca="false">T110-S110</f>
        <v>-130528759</v>
      </c>
      <c r="AH110" s="325" t="n">
        <f aca="false">U110-T110</f>
        <v>376453478</v>
      </c>
      <c r="AI110" s="325" t="n">
        <f aca="false">V110-U110</f>
        <v>81490084</v>
      </c>
      <c r="AJ110" s="325" t="n">
        <f aca="false">W110-V110</f>
        <v>70435550</v>
      </c>
      <c r="AK110" s="325" t="n">
        <f aca="false">X110-W110</f>
        <v>-55238863</v>
      </c>
      <c r="AL110" s="325" t="n">
        <f aca="false">Y110-X110</f>
        <v>-119394079</v>
      </c>
      <c r="AM110" s="325" t="n">
        <f aca="false">Z110-Y110</f>
        <v>18768543</v>
      </c>
      <c r="AN110" s="325" t="s">
        <v>1679</v>
      </c>
      <c r="AO110" s="325" t="n">
        <f aca="false">AB110-AA110</f>
        <v>0</v>
      </c>
      <c r="AP110" s="325" t="n">
        <f aca="false">AC110-AB110</f>
        <v>0</v>
      </c>
      <c r="AR110" s="314" t="str">
        <f aca="false">IFERROR(VLOOKUP(M110,'BS_DEC 2026'!$D$12:$D$109,1,FALSE()),"(미존재)")</f>
        <v>선급금</v>
      </c>
    </row>
    <row r="111" customFormat="false" ht="16.5" hidden="false" customHeight="false" outlineLevel="0" collapsed="false">
      <c r="A111" s="317" t="s">
        <v>446</v>
      </c>
      <c r="B111" s="314" t="n">
        <v>40500007</v>
      </c>
      <c r="C111" s="314" t="s">
        <v>1758</v>
      </c>
      <c r="D111" s="314" t="s">
        <v>1570</v>
      </c>
      <c r="E111" s="314" t="s">
        <v>1637</v>
      </c>
      <c r="F111" s="314" t="s">
        <v>1743</v>
      </c>
      <c r="G111" s="314" t="s">
        <v>1639</v>
      </c>
      <c r="H111" s="314" t="s">
        <v>1495</v>
      </c>
      <c r="I111" s="314" t="s">
        <v>1735</v>
      </c>
      <c r="K111" s="314" t="s">
        <v>1736</v>
      </c>
      <c r="L111" s="324" t="s">
        <v>173</v>
      </c>
      <c r="M111" s="324" t="s">
        <v>183</v>
      </c>
      <c r="N111" s="324" t="s">
        <v>173</v>
      </c>
      <c r="O111" s="324" t="s">
        <v>1642</v>
      </c>
      <c r="P111" s="324" t="s">
        <v>183</v>
      </c>
      <c r="Q111" s="325" t="n">
        <v>-1917318184</v>
      </c>
      <c r="R111" s="325" t="n">
        <v>-2822775008</v>
      </c>
      <c r="S111" s="325" t="n">
        <v>-2556555443</v>
      </c>
      <c r="T111" s="325" t="n">
        <v>-1917862246</v>
      </c>
      <c r="U111" s="325" t="n">
        <v>-1709620417</v>
      </c>
      <c r="V111" s="325" t="n">
        <v>-1596039931</v>
      </c>
      <c r="W111" s="325" t="n">
        <v>-2077263357</v>
      </c>
      <c r="X111" s="325" t="n">
        <v>-1739375173</v>
      </c>
      <c r="Y111" s="325" t="n">
        <v>-1580913163</v>
      </c>
      <c r="Z111" s="325" t="n">
        <v>-1798927722</v>
      </c>
      <c r="AA111" s="325"/>
      <c r="AB111" s="325"/>
      <c r="AC111" s="325"/>
      <c r="AD111" s="325"/>
      <c r="AE111" s="325" t="n">
        <f aca="false">R111</f>
        <v>-2822775008</v>
      </c>
      <c r="AF111" s="325" t="n">
        <f aca="false">S111-R111</f>
        <v>266219565</v>
      </c>
      <c r="AG111" s="325" t="n">
        <f aca="false">T111-S111</f>
        <v>638693197</v>
      </c>
      <c r="AH111" s="325" t="n">
        <f aca="false">U111-T111</f>
        <v>208241829</v>
      </c>
      <c r="AI111" s="325" t="n">
        <f aca="false">V111-U111</f>
        <v>113580486</v>
      </c>
      <c r="AJ111" s="325" t="n">
        <f aca="false">W111-V111</f>
        <v>-481223426</v>
      </c>
      <c r="AK111" s="325" t="n">
        <f aca="false">X111-W111</f>
        <v>337888184</v>
      </c>
      <c r="AL111" s="325" t="n">
        <f aca="false">Y111-X111</f>
        <v>158462010</v>
      </c>
      <c r="AM111" s="325" t="n">
        <f aca="false">Z111-Y111</f>
        <v>-218014559</v>
      </c>
      <c r="AN111" s="325" t="s">
        <v>1679</v>
      </c>
      <c r="AO111" s="325" t="n">
        <f aca="false">AB111-AA111</f>
        <v>0</v>
      </c>
      <c r="AP111" s="325" t="n">
        <f aca="false">AC111-AB111</f>
        <v>0</v>
      </c>
      <c r="AR111" s="314" t="str">
        <f aca="false">IFERROR(VLOOKUP(M111,'BS_DEC 2026'!$D$12:$D$109,1,FALSE()),"(미존재)")</f>
        <v>미지급금</v>
      </c>
    </row>
    <row r="112" customFormat="false" ht="16.5" hidden="false" customHeight="false" outlineLevel="0" collapsed="false">
      <c r="A112" s="317" t="s">
        <v>446</v>
      </c>
      <c r="B112" s="314" t="n">
        <v>40500008</v>
      </c>
      <c r="C112" s="314" t="s">
        <v>1759</v>
      </c>
      <c r="D112" s="314" t="s">
        <v>1512</v>
      </c>
      <c r="E112" s="314" t="s">
        <v>1513</v>
      </c>
      <c r="F112" s="314" t="s">
        <v>1751</v>
      </c>
      <c r="G112" s="314" t="s">
        <v>1639</v>
      </c>
      <c r="H112" s="314" t="s">
        <v>1495</v>
      </c>
      <c r="I112" s="314" t="s">
        <v>1735</v>
      </c>
      <c r="K112" s="314" t="s">
        <v>1736</v>
      </c>
      <c r="L112" s="324" t="s">
        <v>676</v>
      </c>
      <c r="M112" s="324" t="s">
        <v>676</v>
      </c>
      <c r="N112" s="324" t="s">
        <v>447</v>
      </c>
      <c r="O112" s="324" t="s">
        <v>1518</v>
      </c>
      <c r="P112" s="324" t="s">
        <v>94</v>
      </c>
      <c r="Q112" s="325" t="n">
        <v>1871052780</v>
      </c>
      <c r="R112" s="325" t="n">
        <v>2793603966</v>
      </c>
      <c r="S112" s="325" t="n">
        <v>2863924326</v>
      </c>
      <c r="T112" s="325" t="n">
        <v>2355759888</v>
      </c>
      <c r="U112" s="325" t="n">
        <v>1771064581</v>
      </c>
      <c r="V112" s="325" t="n">
        <v>1575994011</v>
      </c>
      <c r="W112" s="325" t="n">
        <v>1986781887</v>
      </c>
      <c r="X112" s="325" t="n">
        <v>1704132566</v>
      </c>
      <c r="Y112" s="325" t="n">
        <v>1665064635</v>
      </c>
      <c r="Z112" s="325" t="n">
        <v>1864310651</v>
      </c>
      <c r="AA112" s="325"/>
      <c r="AB112" s="325"/>
      <c r="AC112" s="325"/>
      <c r="AD112" s="325"/>
      <c r="AE112" s="325" t="n">
        <f aca="false">R112</f>
        <v>2793603966</v>
      </c>
      <c r="AF112" s="325" t="n">
        <f aca="false">S112-R112</f>
        <v>70320360</v>
      </c>
      <c r="AG112" s="325" t="n">
        <f aca="false">T112-S112</f>
        <v>-508164438</v>
      </c>
      <c r="AH112" s="325" t="n">
        <f aca="false">U112-T112</f>
        <v>-584695307</v>
      </c>
      <c r="AI112" s="325" t="n">
        <f aca="false">V112-U112</f>
        <v>-195070570</v>
      </c>
      <c r="AJ112" s="325" t="n">
        <f aca="false">W112-V112</f>
        <v>410787876</v>
      </c>
      <c r="AK112" s="325" t="n">
        <f aca="false">X112-W112</f>
        <v>-282649321</v>
      </c>
      <c r="AL112" s="325" t="n">
        <f aca="false">Y112-X112</f>
        <v>-39067931</v>
      </c>
      <c r="AM112" s="325" t="n">
        <f aca="false">Z112-Y112</f>
        <v>199246016</v>
      </c>
      <c r="AN112" s="325" t="s">
        <v>1679</v>
      </c>
      <c r="AO112" s="325" t="n">
        <f aca="false">AB112-AA112</f>
        <v>0</v>
      </c>
      <c r="AP112" s="325" t="n">
        <f aca="false">AC112-AB112</f>
        <v>0</v>
      </c>
    </row>
    <row r="113" customFormat="false" ht="16.5" hidden="false" customHeight="false" outlineLevel="0" collapsed="false">
      <c r="A113" s="317" t="s">
        <v>446</v>
      </c>
      <c r="B113" s="314" t="n">
        <v>40500009</v>
      </c>
      <c r="C113" s="314" t="s">
        <v>1760</v>
      </c>
      <c r="D113" s="314" t="s">
        <v>1512</v>
      </c>
      <c r="E113" s="314" t="s">
        <v>1513</v>
      </c>
      <c r="F113" s="314" t="s">
        <v>1751</v>
      </c>
      <c r="G113" s="314" t="s">
        <v>1639</v>
      </c>
      <c r="H113" s="314" t="s">
        <v>1495</v>
      </c>
      <c r="I113" s="314" t="s">
        <v>1735</v>
      </c>
      <c r="K113" s="314" t="s">
        <v>1736</v>
      </c>
      <c r="L113" s="324" t="s">
        <v>676</v>
      </c>
      <c r="M113" s="324" t="s">
        <v>676</v>
      </c>
      <c r="N113" s="324" t="s">
        <v>447</v>
      </c>
      <c r="O113" s="324" t="s">
        <v>1518</v>
      </c>
      <c r="P113" s="324" t="s">
        <v>94</v>
      </c>
      <c r="Q113" s="325" t="n">
        <v>-236580</v>
      </c>
      <c r="R113" s="325" t="n">
        <v>-4502564</v>
      </c>
      <c r="S113" s="325" t="n">
        <v>-236580</v>
      </c>
      <c r="T113" s="325" t="n">
        <v>-8651291</v>
      </c>
      <c r="U113" s="325" t="n">
        <v>0</v>
      </c>
      <c r="V113" s="325" t="n">
        <v>0</v>
      </c>
      <c r="W113" s="325" t="n">
        <v>0</v>
      </c>
      <c r="X113" s="325" t="n">
        <v>0</v>
      </c>
      <c r="Y113" s="325" t="n">
        <v>0</v>
      </c>
      <c r="Z113" s="325" t="n">
        <v>0</v>
      </c>
      <c r="AA113" s="325"/>
      <c r="AB113" s="325"/>
      <c r="AC113" s="325"/>
      <c r="AD113" s="325"/>
      <c r="AE113" s="325" t="n">
        <f aca="false">R113</f>
        <v>-4502564</v>
      </c>
      <c r="AF113" s="325" t="n">
        <f aca="false">S113-R113</f>
        <v>4265984</v>
      </c>
      <c r="AG113" s="325" t="n">
        <f aca="false">T113-S113</f>
        <v>-8414711</v>
      </c>
      <c r="AH113" s="325" t="n">
        <f aca="false">U113-T113</f>
        <v>8651291</v>
      </c>
      <c r="AI113" s="325" t="n">
        <f aca="false">V113-U113</f>
        <v>0</v>
      </c>
      <c r="AJ113" s="325" t="n">
        <f aca="false">W113-V113</f>
        <v>0</v>
      </c>
      <c r="AK113" s="325" t="n">
        <f aca="false">X113-W113</f>
        <v>0</v>
      </c>
      <c r="AL113" s="325" t="n">
        <f aca="false">Y113-X113</f>
        <v>0</v>
      </c>
      <c r="AM113" s="325" t="n">
        <f aca="false">Z113-Y113</f>
        <v>0</v>
      </c>
      <c r="AN113" s="325" t="s">
        <v>1679</v>
      </c>
      <c r="AO113" s="325" t="n">
        <f aca="false">AB113-AA113</f>
        <v>0</v>
      </c>
      <c r="AP113" s="325" t="n">
        <f aca="false">AC113-AB113</f>
        <v>0</v>
      </c>
      <c r="AR113" s="314" t="str">
        <f aca="false">IFERROR(VLOOKUP(M113,'BS_DEC 2026'!$D$12:$D$109,1,FALSE()),"(미존재)")</f>
        <v>(미존재)</v>
      </c>
    </row>
    <row r="114" customFormat="false" ht="16.5" hidden="false" customHeight="false" outlineLevel="0" collapsed="false">
      <c r="A114" s="317" t="s">
        <v>446</v>
      </c>
      <c r="B114" s="314" t="n">
        <v>40500017</v>
      </c>
      <c r="C114" s="314" t="s">
        <v>1761</v>
      </c>
      <c r="D114" s="314" t="s">
        <v>1512</v>
      </c>
      <c r="E114" s="314" t="s">
        <v>1513</v>
      </c>
      <c r="F114" s="314" t="s">
        <v>1751</v>
      </c>
      <c r="G114" s="314" t="s">
        <v>1635</v>
      </c>
      <c r="H114" s="314" t="s">
        <v>1495</v>
      </c>
      <c r="I114" s="314" t="s">
        <v>1735</v>
      </c>
      <c r="K114" s="314" t="s">
        <v>1736</v>
      </c>
      <c r="L114" s="324" t="s">
        <v>447</v>
      </c>
      <c r="M114" s="324" t="s">
        <v>94</v>
      </c>
      <c r="N114" s="324" t="s">
        <v>447</v>
      </c>
      <c r="O114" s="324" t="s">
        <v>1518</v>
      </c>
      <c r="P114" s="324" t="s">
        <v>94</v>
      </c>
      <c r="Q114" s="325" t="n">
        <v>-20691651164</v>
      </c>
      <c r="R114" s="325" t="n">
        <v>-30433840707</v>
      </c>
      <c r="S114" s="325" t="n">
        <v>-25505981853</v>
      </c>
      <c r="T114" s="325" t="n">
        <v>-24154739684</v>
      </c>
      <c r="U114" s="325" t="n">
        <v>-13962872882</v>
      </c>
      <c r="V114" s="325" t="n">
        <v>-47491182298</v>
      </c>
      <c r="W114" s="325" t="n">
        <v>0</v>
      </c>
      <c r="X114" s="325" t="n">
        <v>-50203880378</v>
      </c>
      <c r="Y114" s="325" t="n">
        <v>-16785550434</v>
      </c>
      <c r="Z114" s="325" t="n">
        <v>-17908151541</v>
      </c>
      <c r="AA114" s="325"/>
      <c r="AB114" s="325"/>
      <c r="AC114" s="325"/>
      <c r="AD114" s="325"/>
      <c r="AE114" s="325" t="n">
        <f aca="false">R114</f>
        <v>-30433840707</v>
      </c>
      <c r="AF114" s="325" t="n">
        <f aca="false">S114-R114</f>
        <v>4927858854</v>
      </c>
      <c r="AG114" s="325" t="n">
        <f aca="false">T114-S114</f>
        <v>1351242169</v>
      </c>
      <c r="AH114" s="325" t="n">
        <f aca="false">U114-T114</f>
        <v>10191866802</v>
      </c>
      <c r="AI114" s="325" t="n">
        <f aca="false">V114-U114</f>
        <v>-33528309416</v>
      </c>
      <c r="AJ114" s="325" t="n">
        <f aca="false">W114-V114</f>
        <v>47491182298</v>
      </c>
      <c r="AK114" s="325" t="n">
        <f aca="false">X114-W114</f>
        <v>-50203880378</v>
      </c>
      <c r="AL114" s="325" t="n">
        <f aca="false">Y114-X114</f>
        <v>33418329944</v>
      </c>
      <c r="AM114" s="325" t="n">
        <f aca="false">Z114-Y114</f>
        <v>-1122601107</v>
      </c>
      <c r="AN114" s="325" t="s">
        <v>1679</v>
      </c>
      <c r="AO114" s="325" t="n">
        <f aca="false">AB114-AA114</f>
        <v>0</v>
      </c>
      <c r="AP114" s="325" t="n">
        <f aca="false">AC114-AB114</f>
        <v>0</v>
      </c>
      <c r="AR114" s="314" t="str">
        <f aca="false">IFERROR(VLOOKUP(M114,'BS_DEC 2026'!$D$12:$D$109,1,FALSE()),"(미존재)")</f>
        <v>미착품</v>
      </c>
    </row>
    <row r="115" customFormat="false" ht="16.5" hidden="false" customHeight="false" outlineLevel="0" collapsed="false">
      <c r="A115" s="317" t="s">
        <v>446</v>
      </c>
      <c r="B115" s="314" t="n">
        <v>40500018</v>
      </c>
      <c r="C115" s="314" t="s">
        <v>1762</v>
      </c>
      <c r="G115" s="314" t="s">
        <v>1635</v>
      </c>
      <c r="H115" s="314" t="s">
        <v>1495</v>
      </c>
      <c r="I115" s="314" t="s">
        <v>1640</v>
      </c>
      <c r="K115" s="314" t="s">
        <v>1641</v>
      </c>
      <c r="L115" s="324" t="s">
        <v>447</v>
      </c>
      <c r="M115" s="324" t="s">
        <v>94</v>
      </c>
      <c r="N115" s="324" t="s">
        <v>447</v>
      </c>
      <c r="O115" s="324" t="s">
        <v>1518</v>
      </c>
      <c r="P115" s="324" t="s">
        <v>94</v>
      </c>
      <c r="Q115" s="325" t="n">
        <v>0</v>
      </c>
      <c r="R115" s="325" t="n">
        <v>0</v>
      </c>
      <c r="S115" s="325" t="n">
        <v>0</v>
      </c>
      <c r="T115" s="325" t="n">
        <v>0</v>
      </c>
      <c r="U115" s="325" t="n">
        <v>0</v>
      </c>
      <c r="V115" s="325" t="n">
        <v>0</v>
      </c>
      <c r="W115" s="325" t="n">
        <v>0</v>
      </c>
      <c r="X115" s="325" t="n">
        <v>0</v>
      </c>
      <c r="Y115" s="325" t="n">
        <v>0</v>
      </c>
      <c r="Z115" s="325" t="n">
        <v>0</v>
      </c>
      <c r="AA115" s="325"/>
      <c r="AB115" s="325"/>
      <c r="AC115" s="325"/>
      <c r="AD115" s="325"/>
      <c r="AE115" s="325" t="n">
        <f aca="false">R115</f>
        <v>0</v>
      </c>
      <c r="AF115" s="325" t="n">
        <f aca="false">S115-R115</f>
        <v>0</v>
      </c>
      <c r="AG115" s="325" t="n">
        <f aca="false">T115-S115</f>
        <v>0</v>
      </c>
      <c r="AH115" s="325" t="n">
        <f aca="false">U115-T115</f>
        <v>0</v>
      </c>
      <c r="AI115" s="325" t="n">
        <f aca="false">V115-U115</f>
        <v>0</v>
      </c>
      <c r="AJ115" s="325" t="n">
        <f aca="false">W115-V115</f>
        <v>0</v>
      </c>
      <c r="AK115" s="325" t="n">
        <f aca="false">X115-W115</f>
        <v>0</v>
      </c>
      <c r="AL115" s="325" t="n">
        <f aca="false">Y115-X115</f>
        <v>0</v>
      </c>
      <c r="AM115" s="325" t="n">
        <f aca="false">Z115-Y115</f>
        <v>0</v>
      </c>
      <c r="AN115" s="325" t="s">
        <v>1679</v>
      </c>
      <c r="AO115" s="325" t="n">
        <f aca="false">AB115-AA115</f>
        <v>0</v>
      </c>
      <c r="AP115" s="325" t="n">
        <f aca="false">AC115-AB115</f>
        <v>0</v>
      </c>
      <c r="AR115" s="314" t="str">
        <f aca="false">IFERROR(VLOOKUP(M115,'BS_DEC 2026'!$D$12:$D$109,1,FALSE()),"(미존재)")</f>
        <v>미착품</v>
      </c>
    </row>
    <row r="116" customFormat="false" ht="16.5" hidden="false" customHeight="false" outlineLevel="0" collapsed="false">
      <c r="A116" s="317" t="s">
        <v>446</v>
      </c>
      <c r="B116" s="314" t="n">
        <v>42000007</v>
      </c>
      <c r="C116" s="314" t="s">
        <v>1763</v>
      </c>
      <c r="D116" s="314" t="s">
        <v>1570</v>
      </c>
      <c r="E116" s="314" t="s">
        <v>1637</v>
      </c>
      <c r="F116" s="314" t="s">
        <v>1734</v>
      </c>
      <c r="G116" s="314" t="s">
        <v>1639</v>
      </c>
      <c r="H116" s="314" t="s">
        <v>1495</v>
      </c>
      <c r="I116" s="314" t="s">
        <v>1735</v>
      </c>
      <c r="K116" s="314" t="s">
        <v>1736</v>
      </c>
      <c r="L116" s="324" t="s">
        <v>173</v>
      </c>
      <c r="M116" s="324" t="s">
        <v>178</v>
      </c>
      <c r="N116" s="324" t="s">
        <v>173</v>
      </c>
      <c r="O116" s="324" t="s">
        <v>1642</v>
      </c>
      <c r="P116" s="324" t="s">
        <v>1737</v>
      </c>
      <c r="Q116" s="325" t="n">
        <v>0</v>
      </c>
      <c r="R116" s="325" t="n">
        <v>0</v>
      </c>
      <c r="S116" s="325" t="n">
        <v>0</v>
      </c>
      <c r="T116" s="325" t="n">
        <v>0</v>
      </c>
      <c r="U116" s="325" t="n">
        <v>0</v>
      </c>
      <c r="V116" s="325" t="n">
        <v>-6051696989</v>
      </c>
      <c r="W116" s="325" t="n">
        <v>-6051696989</v>
      </c>
      <c r="X116" s="325" t="n">
        <v>-6051696989</v>
      </c>
      <c r="Y116" s="325" t="n">
        <v>0</v>
      </c>
      <c r="Z116" s="325" t="n">
        <v>0</v>
      </c>
      <c r="AA116" s="325"/>
      <c r="AB116" s="325"/>
      <c r="AC116" s="325"/>
      <c r="AD116" s="325"/>
      <c r="AE116" s="325" t="n">
        <f aca="false">R116</f>
        <v>0</v>
      </c>
      <c r="AF116" s="325" t="n">
        <f aca="false">S116-R116</f>
        <v>0</v>
      </c>
      <c r="AG116" s="325" t="n">
        <f aca="false">T116-S116</f>
        <v>0</v>
      </c>
      <c r="AH116" s="325" t="n">
        <f aca="false">U116-T116</f>
        <v>0</v>
      </c>
      <c r="AI116" s="325" t="n">
        <f aca="false">V116-U116</f>
        <v>-6051696989</v>
      </c>
      <c r="AJ116" s="325" t="n">
        <f aca="false">W116-V116</f>
        <v>0</v>
      </c>
      <c r="AK116" s="325" t="n">
        <f aca="false">X116-W116</f>
        <v>0</v>
      </c>
      <c r="AL116" s="325" t="n">
        <f aca="false">Y116-X116</f>
        <v>6051696989</v>
      </c>
      <c r="AM116" s="325" t="n">
        <f aca="false">Z116-Y116</f>
        <v>0</v>
      </c>
      <c r="AN116" s="325" t="s">
        <v>1679</v>
      </c>
      <c r="AO116" s="325" t="n">
        <f aca="false">AB116-AA116</f>
        <v>0</v>
      </c>
      <c r="AP116" s="325" t="n">
        <f aca="false">AC116-AB116</f>
        <v>0</v>
      </c>
      <c r="AR116" s="314" t="str">
        <f aca="false">IFERROR(VLOOKUP(M116,'BS_DEC 2026'!$D$12:$D$109,1,FALSE()),"(미존재)")</f>
        <v>매입채무</v>
      </c>
    </row>
    <row r="117" customFormat="false" ht="16.5" hidden="false" customHeight="false" outlineLevel="0" collapsed="false">
      <c r="A117" s="317" t="s">
        <v>446</v>
      </c>
      <c r="B117" s="314" t="n">
        <v>42000705</v>
      </c>
      <c r="C117" s="314" t="s">
        <v>1764</v>
      </c>
      <c r="D117" s="314" t="s">
        <v>1570</v>
      </c>
      <c r="E117" s="314" t="s">
        <v>1637</v>
      </c>
      <c r="F117" s="314" t="s">
        <v>1743</v>
      </c>
      <c r="G117" s="314" t="s">
        <v>1639</v>
      </c>
      <c r="H117" s="314" t="s">
        <v>1495</v>
      </c>
      <c r="I117" s="314" t="s">
        <v>1735</v>
      </c>
      <c r="K117" s="314" t="s">
        <v>1736</v>
      </c>
      <c r="L117" s="324" t="s">
        <v>173</v>
      </c>
      <c r="M117" s="324" t="s">
        <v>191</v>
      </c>
      <c r="N117" s="324" t="s">
        <v>173</v>
      </c>
      <c r="O117" s="324" t="s">
        <v>1642</v>
      </c>
      <c r="P117" s="324" t="s">
        <v>183</v>
      </c>
      <c r="Q117" s="325" t="n">
        <v>-213282707</v>
      </c>
      <c r="R117" s="325" t="n">
        <v>-163144363</v>
      </c>
      <c r="S117" s="325" t="n">
        <v>-190836735</v>
      </c>
      <c r="T117" s="325" t="n">
        <v>-185262781</v>
      </c>
      <c r="U117" s="325" t="n">
        <v>-161088245</v>
      </c>
      <c r="V117" s="325" t="n">
        <v>-93696025</v>
      </c>
      <c r="W117" s="325" t="n">
        <v>-1540000</v>
      </c>
      <c r="X117" s="325" t="n">
        <v>-75277460</v>
      </c>
      <c r="Y117" s="325" t="n">
        <v>-194313608</v>
      </c>
      <c r="Z117" s="325" t="n">
        <v>0</v>
      </c>
      <c r="AA117" s="325"/>
      <c r="AB117" s="325"/>
      <c r="AC117" s="325"/>
      <c r="AD117" s="325"/>
      <c r="AE117" s="325" t="n">
        <f aca="false">R117</f>
        <v>-163144363</v>
      </c>
      <c r="AF117" s="325" t="n">
        <f aca="false">S117-R117</f>
        <v>-27692372</v>
      </c>
      <c r="AG117" s="325" t="n">
        <f aca="false">T117-S117</f>
        <v>5573954</v>
      </c>
      <c r="AH117" s="325" t="n">
        <f aca="false">U117-T117</f>
        <v>24174536</v>
      </c>
      <c r="AI117" s="325" t="n">
        <f aca="false">V117-U117</f>
        <v>67392220</v>
      </c>
      <c r="AJ117" s="325" t="n">
        <f aca="false">W117-V117</f>
        <v>92156025</v>
      </c>
      <c r="AK117" s="325" t="n">
        <f aca="false">X117-W117</f>
        <v>-73737460</v>
      </c>
      <c r="AL117" s="325" t="n">
        <f aca="false">Y117-X117</f>
        <v>-119036148</v>
      </c>
      <c r="AM117" s="325" t="n">
        <f aca="false">Z117-Y117</f>
        <v>194313608</v>
      </c>
      <c r="AN117" s="325" t="s">
        <v>1679</v>
      </c>
      <c r="AO117" s="325" t="n">
        <f aca="false">AB117-AA117</f>
        <v>0</v>
      </c>
      <c r="AP117" s="325" t="n">
        <f aca="false">AC117-AB117</f>
        <v>0</v>
      </c>
      <c r="AR117" s="314" t="str">
        <f aca="false">IFERROR(VLOOKUP(M117,'BS_DEC 2026'!$D$12:$D$109,1,FALSE()),"(미존재)")</f>
        <v>미지급비용</v>
      </c>
    </row>
    <row r="118" customFormat="false" ht="16.5" hidden="false" customHeight="false" outlineLevel="0" collapsed="false">
      <c r="A118" s="317" t="s">
        <v>446</v>
      </c>
      <c r="B118" s="314" t="n">
        <v>42000851</v>
      </c>
      <c r="C118" s="314" t="s">
        <v>1765</v>
      </c>
      <c r="G118" s="314" t="s">
        <v>1639</v>
      </c>
      <c r="H118" s="314" t="s">
        <v>1495</v>
      </c>
      <c r="I118" s="314" t="s">
        <v>1640</v>
      </c>
      <c r="K118" s="314" t="s">
        <v>1641</v>
      </c>
      <c r="L118" s="314" t="s">
        <v>1635</v>
      </c>
      <c r="M118" s="314" t="s">
        <v>1635</v>
      </c>
      <c r="N118" s="314" t="s">
        <v>1635</v>
      </c>
      <c r="O118" s="314" t="s">
        <v>1635</v>
      </c>
      <c r="P118" s="314" t="s">
        <v>1635</v>
      </c>
      <c r="Q118" s="325" t="n">
        <v>0</v>
      </c>
      <c r="R118" s="325" t="n">
        <v>0</v>
      </c>
      <c r="S118" s="325" t="n">
        <v>0</v>
      </c>
      <c r="T118" s="325" t="n">
        <v>0</v>
      </c>
      <c r="U118" s="325" t="n">
        <v>0</v>
      </c>
      <c r="V118" s="325" t="n">
        <v>0</v>
      </c>
      <c r="W118" s="325" t="n">
        <v>0</v>
      </c>
      <c r="X118" s="325" t="n">
        <v>0</v>
      </c>
      <c r="Y118" s="325" t="n">
        <v>0</v>
      </c>
      <c r="Z118" s="325" t="n">
        <v>0</v>
      </c>
      <c r="AA118" s="325"/>
      <c r="AB118" s="325"/>
      <c r="AC118" s="325"/>
      <c r="AD118" s="325"/>
      <c r="AE118" s="325" t="n">
        <f aca="false">R118</f>
        <v>0</v>
      </c>
      <c r="AF118" s="325" t="n">
        <f aca="false">S118-R118</f>
        <v>0</v>
      </c>
      <c r="AG118" s="325" t="n">
        <f aca="false">T118-S118</f>
        <v>0</v>
      </c>
      <c r="AH118" s="325" t="n">
        <f aca="false">U118-T118</f>
        <v>0</v>
      </c>
      <c r="AI118" s="325" t="n">
        <f aca="false">V118-U118</f>
        <v>0</v>
      </c>
      <c r="AJ118" s="325" t="n">
        <f aca="false">W118-V118</f>
        <v>0</v>
      </c>
      <c r="AK118" s="325" t="n">
        <f aca="false">X118-W118</f>
        <v>0</v>
      </c>
      <c r="AL118" s="325" t="n">
        <f aca="false">Y118-X118</f>
        <v>0</v>
      </c>
      <c r="AM118" s="325" t="n">
        <f aca="false">Z118-Y118</f>
        <v>0</v>
      </c>
      <c r="AN118" s="325" t="s">
        <v>1679</v>
      </c>
      <c r="AO118" s="325" t="n">
        <f aca="false">AB118-AA118</f>
        <v>0</v>
      </c>
      <c r="AP118" s="325" t="n">
        <f aca="false">AC118-AB118</f>
        <v>0</v>
      </c>
      <c r="AR118" s="314" t="str">
        <f aca="false">IFERROR(VLOOKUP(M118,'BS_DEC 2026'!$D$12:$D$109,1,FALSE()),"(미존재)")</f>
        <v>(미존재)</v>
      </c>
    </row>
    <row r="119" customFormat="false" ht="16.5" hidden="false" customHeight="false" outlineLevel="0" collapsed="false">
      <c r="A119" s="317" t="s">
        <v>446</v>
      </c>
      <c r="B119" s="314" t="n">
        <v>42000852</v>
      </c>
      <c r="C119" s="314" t="s">
        <v>1766</v>
      </c>
      <c r="D119" s="314" t="s">
        <v>1570</v>
      </c>
      <c r="E119" s="314" t="s">
        <v>1637</v>
      </c>
      <c r="F119" s="314" t="s">
        <v>1743</v>
      </c>
      <c r="G119" s="314" t="s">
        <v>1639</v>
      </c>
      <c r="H119" s="314" t="s">
        <v>1495</v>
      </c>
      <c r="I119" s="314" t="s">
        <v>1767</v>
      </c>
      <c r="K119" s="314" t="s">
        <v>1768</v>
      </c>
      <c r="L119" s="324" t="s">
        <v>173</v>
      </c>
      <c r="M119" s="324" t="s">
        <v>183</v>
      </c>
      <c r="N119" s="324" t="s">
        <v>173</v>
      </c>
      <c r="O119" s="324" t="s">
        <v>1642</v>
      </c>
      <c r="P119" s="324" t="s">
        <v>183</v>
      </c>
      <c r="Q119" s="325" t="n">
        <v>-26726065</v>
      </c>
      <c r="R119" s="325" t="n">
        <v>-25631906</v>
      </c>
      <c r="S119" s="325" t="n">
        <v>-75716701</v>
      </c>
      <c r="T119" s="325" t="n">
        <v>-58699521</v>
      </c>
      <c r="U119" s="325" t="n">
        <v>-11652691</v>
      </c>
      <c r="V119" s="325" t="n">
        <v>-88433592</v>
      </c>
      <c r="W119" s="325" t="n">
        <v>-107998754</v>
      </c>
      <c r="X119" s="325" t="n">
        <v>-23194933</v>
      </c>
      <c r="Y119" s="325" t="n">
        <v>-75699704</v>
      </c>
      <c r="Z119" s="325" t="n">
        <v>-17491972</v>
      </c>
      <c r="AA119" s="325"/>
      <c r="AB119" s="325"/>
      <c r="AC119" s="325"/>
      <c r="AD119" s="325"/>
      <c r="AE119" s="325" t="n">
        <f aca="false">R119</f>
        <v>-25631906</v>
      </c>
      <c r="AF119" s="325" t="n">
        <f aca="false">S119-R119</f>
        <v>-50084795</v>
      </c>
      <c r="AG119" s="325" t="n">
        <f aca="false">T119-S119</f>
        <v>17017180</v>
      </c>
      <c r="AH119" s="325" t="n">
        <f aca="false">U119-T119</f>
        <v>47046830</v>
      </c>
      <c r="AI119" s="325" t="n">
        <f aca="false">V119-U119</f>
        <v>-76780901</v>
      </c>
      <c r="AJ119" s="325" t="n">
        <f aca="false">W119-V119</f>
        <v>-19565162</v>
      </c>
      <c r="AK119" s="325" t="n">
        <f aca="false">X119-W119</f>
        <v>84803821</v>
      </c>
      <c r="AL119" s="325" t="n">
        <f aca="false">Y119-X119</f>
        <v>-52504771</v>
      </c>
      <c r="AM119" s="325" t="n">
        <f aca="false">Z119-Y119</f>
        <v>58207732</v>
      </c>
      <c r="AN119" s="325" t="s">
        <v>1679</v>
      </c>
      <c r="AO119" s="325" t="n">
        <f aca="false">AB119-AA119</f>
        <v>0</v>
      </c>
      <c r="AP119" s="325" t="n">
        <f aca="false">AC119-AB119</f>
        <v>0</v>
      </c>
      <c r="AR119" s="314" t="str">
        <f aca="false">IFERROR(VLOOKUP(M119,'BS_DEC 2026'!$D$12:$D$109,1,FALSE()),"(미존재)")</f>
        <v>미지급금</v>
      </c>
    </row>
    <row r="120" customFormat="false" ht="16.5" hidden="false" customHeight="false" outlineLevel="0" collapsed="false">
      <c r="A120" s="317" t="s">
        <v>446</v>
      </c>
      <c r="B120" s="314" t="n">
        <v>42000856</v>
      </c>
      <c r="C120" s="314" t="s">
        <v>1769</v>
      </c>
      <c r="G120" s="314" t="s">
        <v>1639</v>
      </c>
      <c r="H120" s="314" t="s">
        <v>1495</v>
      </c>
      <c r="I120" s="314" t="s">
        <v>1640</v>
      </c>
      <c r="K120" s="314" t="s">
        <v>1641</v>
      </c>
      <c r="L120" s="314" t="s">
        <v>1635</v>
      </c>
      <c r="M120" s="314" t="s">
        <v>1635</v>
      </c>
      <c r="N120" s="314" t="s">
        <v>1635</v>
      </c>
      <c r="O120" s="314" t="s">
        <v>1635</v>
      </c>
      <c r="P120" s="314" t="s">
        <v>1635</v>
      </c>
      <c r="Q120" s="325" t="n">
        <v>0</v>
      </c>
      <c r="R120" s="325" t="n">
        <v>0</v>
      </c>
      <c r="S120" s="325" t="n">
        <v>0</v>
      </c>
      <c r="T120" s="325" t="n">
        <v>0</v>
      </c>
      <c r="U120" s="325" t="n">
        <v>0</v>
      </c>
      <c r="V120" s="325" t="n">
        <v>0</v>
      </c>
      <c r="W120" s="325" t="n">
        <v>0</v>
      </c>
      <c r="X120" s="325" t="n">
        <v>0</v>
      </c>
      <c r="Y120" s="325" t="n">
        <v>0</v>
      </c>
      <c r="Z120" s="325" t="n">
        <v>0</v>
      </c>
      <c r="AA120" s="325"/>
      <c r="AB120" s="325"/>
      <c r="AC120" s="325"/>
      <c r="AD120" s="325"/>
      <c r="AE120" s="325" t="n">
        <f aca="false">R120</f>
        <v>0</v>
      </c>
      <c r="AF120" s="325" t="n">
        <f aca="false">S120-R120</f>
        <v>0</v>
      </c>
      <c r="AG120" s="325" t="n">
        <f aca="false">T120-S120</f>
        <v>0</v>
      </c>
      <c r="AH120" s="325" t="n">
        <f aca="false">U120-T120</f>
        <v>0</v>
      </c>
      <c r="AI120" s="325" t="n">
        <f aca="false">V120-U120</f>
        <v>0</v>
      </c>
      <c r="AJ120" s="325" t="n">
        <f aca="false">W120-V120</f>
        <v>0</v>
      </c>
      <c r="AK120" s="325" t="n">
        <f aca="false">X120-W120</f>
        <v>0</v>
      </c>
      <c r="AL120" s="325" t="n">
        <f aca="false">Y120-X120</f>
        <v>0</v>
      </c>
      <c r="AM120" s="325" t="n">
        <f aca="false">Z120-Y120</f>
        <v>0</v>
      </c>
      <c r="AN120" s="325" t="s">
        <v>1679</v>
      </c>
      <c r="AO120" s="325" t="n">
        <f aca="false">AB120-AA120</f>
        <v>0</v>
      </c>
      <c r="AP120" s="325" t="n">
        <f aca="false">AC120-AB120</f>
        <v>0</v>
      </c>
      <c r="AR120" s="314" t="str">
        <f aca="false">IFERROR(VLOOKUP(M120,'BS_DEC 2026'!$D$12:$D$109,1,FALSE()),"(미존재)")</f>
        <v>(미존재)</v>
      </c>
    </row>
    <row r="121" customFormat="false" ht="16.5" hidden="false" customHeight="false" outlineLevel="0" collapsed="false">
      <c r="A121" s="317" t="s">
        <v>446</v>
      </c>
      <c r="B121" s="314" t="n">
        <v>42050000</v>
      </c>
      <c r="C121" s="314" t="s">
        <v>1770</v>
      </c>
      <c r="D121" s="314" t="s">
        <v>1570</v>
      </c>
      <c r="E121" s="314" t="s">
        <v>1637</v>
      </c>
      <c r="F121" s="314" t="s">
        <v>1743</v>
      </c>
      <c r="G121" s="314" t="s">
        <v>1639</v>
      </c>
      <c r="H121" s="314" t="s">
        <v>1495</v>
      </c>
      <c r="I121" s="314" t="s">
        <v>1640</v>
      </c>
      <c r="K121" s="314" t="s">
        <v>1641</v>
      </c>
      <c r="L121" s="324" t="s">
        <v>173</v>
      </c>
      <c r="M121" s="324" t="s">
        <v>183</v>
      </c>
      <c r="N121" s="324" t="s">
        <v>173</v>
      </c>
      <c r="O121" s="324" t="s">
        <v>1642</v>
      </c>
      <c r="P121" s="324" t="s">
        <v>183</v>
      </c>
      <c r="Q121" s="325" t="n">
        <v>-410271</v>
      </c>
      <c r="R121" s="325" t="n">
        <v>-72135744</v>
      </c>
      <c r="S121" s="325" t="n">
        <v>6723286256</v>
      </c>
      <c r="T121" s="325" t="n">
        <v>-39946654739</v>
      </c>
      <c r="U121" s="325" t="n">
        <v>6752070472</v>
      </c>
      <c r="V121" s="325" t="n">
        <v>-12496342420</v>
      </c>
      <c r="W121" s="325" t="n">
        <v>-31106389140</v>
      </c>
      <c r="X121" s="325" t="n">
        <v>-13298216332</v>
      </c>
      <c r="Y121" s="325" t="n">
        <v>-1483591612</v>
      </c>
      <c r="Z121" s="325" t="n">
        <v>-2484939960</v>
      </c>
      <c r="AA121" s="325"/>
      <c r="AB121" s="325"/>
      <c r="AC121" s="325"/>
      <c r="AD121" s="325"/>
      <c r="AE121" s="325" t="n">
        <f aca="false">R121</f>
        <v>-72135744</v>
      </c>
      <c r="AF121" s="325" t="n">
        <f aca="false">S121-R121</f>
        <v>6795422000</v>
      </c>
      <c r="AG121" s="325" t="n">
        <f aca="false">T121-S121</f>
        <v>-46669940995</v>
      </c>
      <c r="AH121" s="325" t="n">
        <f aca="false">U121-T121</f>
        <v>46698725211</v>
      </c>
      <c r="AI121" s="325" t="n">
        <f aca="false">V121-U121</f>
        <v>-19248412892</v>
      </c>
      <c r="AJ121" s="325" t="n">
        <f aca="false">W121-V121</f>
        <v>-18610046720</v>
      </c>
      <c r="AK121" s="325" t="n">
        <f aca="false">X121-W121</f>
        <v>17808172808</v>
      </c>
      <c r="AL121" s="325" t="n">
        <f aca="false">Y121-X121</f>
        <v>11814624720</v>
      </c>
      <c r="AM121" s="325" t="n">
        <f aca="false">Z121-Y121</f>
        <v>-1001348348</v>
      </c>
      <c r="AN121" s="325" t="s">
        <v>1679</v>
      </c>
      <c r="AO121" s="325" t="n">
        <f aca="false">AB121-AA121</f>
        <v>0</v>
      </c>
      <c r="AP121" s="325" t="n">
        <f aca="false">AC121-AB121</f>
        <v>0</v>
      </c>
      <c r="AR121" s="314" t="str">
        <f aca="false">IFERROR(VLOOKUP(M121,'BS_DEC 2026'!$D$12:$D$109,1,FALSE()),"(미존재)")</f>
        <v>미지급금</v>
      </c>
    </row>
    <row r="122" customFormat="false" ht="16.5" hidden="false" customHeight="false" outlineLevel="0" collapsed="false">
      <c r="A122" s="317" t="s">
        <v>446</v>
      </c>
      <c r="B122" s="314" t="n">
        <v>42400000</v>
      </c>
      <c r="C122" s="314" t="s">
        <v>1771</v>
      </c>
      <c r="D122" s="314" t="s">
        <v>1570</v>
      </c>
      <c r="E122" s="314" t="s">
        <v>1637</v>
      </c>
      <c r="F122" s="314" t="s">
        <v>1638</v>
      </c>
      <c r="G122" s="314" t="s">
        <v>1639</v>
      </c>
      <c r="H122" s="314" t="s">
        <v>1495</v>
      </c>
      <c r="I122" s="314" t="s">
        <v>1725</v>
      </c>
      <c r="K122" s="314" t="s">
        <v>1726</v>
      </c>
      <c r="L122" s="324" t="s">
        <v>173</v>
      </c>
      <c r="M122" s="324" t="s">
        <v>191</v>
      </c>
      <c r="N122" s="324" t="s">
        <v>173</v>
      </c>
      <c r="O122" s="324" t="s">
        <v>1642</v>
      </c>
      <c r="P122" s="324" t="s">
        <v>191</v>
      </c>
      <c r="Q122" s="325" t="n">
        <v>0</v>
      </c>
      <c r="R122" s="325" t="n">
        <v>0</v>
      </c>
      <c r="S122" s="325" t="n">
        <v>0</v>
      </c>
      <c r="T122" s="325" t="n">
        <v>0</v>
      </c>
      <c r="U122" s="325" t="n">
        <v>0</v>
      </c>
      <c r="V122" s="325" t="n">
        <v>0</v>
      </c>
      <c r="W122" s="325" t="n">
        <v>0</v>
      </c>
      <c r="X122" s="325" t="n">
        <v>0</v>
      </c>
      <c r="Y122" s="325" t="n">
        <v>0</v>
      </c>
      <c r="Z122" s="325" t="n">
        <v>0</v>
      </c>
      <c r="AA122" s="325"/>
      <c r="AB122" s="325"/>
      <c r="AC122" s="325"/>
      <c r="AD122" s="325"/>
      <c r="AE122" s="325" t="n">
        <f aca="false">R122</f>
        <v>0</v>
      </c>
      <c r="AF122" s="325" t="n">
        <f aca="false">S122-R122</f>
        <v>0</v>
      </c>
      <c r="AG122" s="325" t="n">
        <f aca="false">T122-S122</f>
        <v>0</v>
      </c>
      <c r="AH122" s="325" t="n">
        <f aca="false">U122-T122</f>
        <v>0</v>
      </c>
      <c r="AI122" s="325" t="n">
        <f aca="false">V122-U122</f>
        <v>0</v>
      </c>
      <c r="AJ122" s="325" t="n">
        <f aca="false">W122-V122</f>
        <v>0</v>
      </c>
      <c r="AK122" s="325" t="n">
        <f aca="false">X122-W122</f>
        <v>0</v>
      </c>
      <c r="AL122" s="325" t="n">
        <f aca="false">Y122-X122</f>
        <v>0</v>
      </c>
      <c r="AM122" s="325" t="n">
        <f aca="false">Z122-Y122</f>
        <v>0</v>
      </c>
      <c r="AN122" s="325" t="s">
        <v>1679</v>
      </c>
      <c r="AO122" s="325" t="n">
        <f aca="false">AB122-AA122</f>
        <v>0</v>
      </c>
      <c r="AP122" s="325" t="n">
        <f aca="false">AC122-AB122</f>
        <v>0</v>
      </c>
      <c r="AR122" s="314" t="str">
        <f aca="false">IFERROR(VLOOKUP(M122,'BS_DEC 2026'!$D$12:$D$109,1,FALSE()),"(미존재)")</f>
        <v>미지급비용</v>
      </c>
    </row>
    <row r="123" customFormat="false" ht="16.5" hidden="false" customHeight="false" outlineLevel="0" collapsed="false">
      <c r="A123" s="317" t="s">
        <v>446</v>
      </c>
      <c r="B123" s="314" t="n">
        <v>42400700</v>
      </c>
      <c r="C123" s="314" t="s">
        <v>1772</v>
      </c>
      <c r="G123" s="314" t="s">
        <v>1639</v>
      </c>
      <c r="H123" s="314" t="s">
        <v>1495</v>
      </c>
      <c r="I123" s="314" t="s">
        <v>1725</v>
      </c>
      <c r="K123" s="314" t="s">
        <v>1726</v>
      </c>
      <c r="L123" s="324" t="s">
        <v>173</v>
      </c>
      <c r="M123" s="324" t="s">
        <v>191</v>
      </c>
      <c r="N123" s="324" t="s">
        <v>173</v>
      </c>
      <c r="O123" s="324" t="s">
        <v>1642</v>
      </c>
      <c r="P123" s="324" t="s">
        <v>191</v>
      </c>
      <c r="Q123" s="325" t="n">
        <v>0</v>
      </c>
      <c r="R123" s="325" t="n">
        <v>0</v>
      </c>
      <c r="S123" s="325" t="n">
        <v>0</v>
      </c>
      <c r="T123" s="325" t="n">
        <v>0</v>
      </c>
      <c r="U123" s="325" t="n">
        <v>0</v>
      </c>
      <c r="V123" s="325" t="n">
        <v>0</v>
      </c>
      <c r="W123" s="325" t="n">
        <v>0</v>
      </c>
      <c r="X123" s="325" t="n">
        <v>0</v>
      </c>
      <c r="Y123" s="325" t="n">
        <v>0</v>
      </c>
      <c r="Z123" s="325" t="n">
        <v>0</v>
      </c>
      <c r="AA123" s="325"/>
      <c r="AB123" s="325"/>
      <c r="AC123" s="325"/>
      <c r="AD123" s="325"/>
      <c r="AE123" s="325" t="n">
        <f aca="false">R123</f>
        <v>0</v>
      </c>
      <c r="AF123" s="325" t="n">
        <f aca="false">S123-R123</f>
        <v>0</v>
      </c>
      <c r="AG123" s="325" t="n">
        <f aca="false">T123-S123</f>
        <v>0</v>
      </c>
      <c r="AH123" s="325" t="n">
        <f aca="false">U123-T123</f>
        <v>0</v>
      </c>
      <c r="AI123" s="325" t="n">
        <f aca="false">V123-U123</f>
        <v>0</v>
      </c>
      <c r="AJ123" s="325" t="n">
        <f aca="false">W123-V123</f>
        <v>0</v>
      </c>
      <c r="AK123" s="325" t="n">
        <f aca="false">X123-W123</f>
        <v>0</v>
      </c>
      <c r="AL123" s="325" t="n">
        <f aca="false">Y123-X123</f>
        <v>0</v>
      </c>
      <c r="AM123" s="325" t="n">
        <f aca="false">Z123-Y123</f>
        <v>0</v>
      </c>
      <c r="AN123" s="325" t="s">
        <v>1679</v>
      </c>
      <c r="AO123" s="325" t="n">
        <f aca="false">AB123-AA123</f>
        <v>0</v>
      </c>
      <c r="AP123" s="325" t="n">
        <f aca="false">AC123-AB123</f>
        <v>0</v>
      </c>
      <c r="AR123" s="314" t="str">
        <f aca="false">IFERROR(VLOOKUP(M123,'BS_DEC 2026'!$D$12:$D$109,1,FALSE()),"(미존재)")</f>
        <v>미지급비용</v>
      </c>
    </row>
    <row r="124" customFormat="false" ht="16.5" hidden="false" customHeight="false" outlineLevel="0" collapsed="false">
      <c r="A124" s="317" t="s">
        <v>446</v>
      </c>
      <c r="B124" s="314" t="n">
        <v>42400702</v>
      </c>
      <c r="C124" s="314" t="s">
        <v>1773</v>
      </c>
      <c r="D124" s="314" t="s">
        <v>1570</v>
      </c>
      <c r="E124" s="314" t="s">
        <v>1637</v>
      </c>
      <c r="F124" s="314" t="s">
        <v>1774</v>
      </c>
      <c r="G124" s="314" t="s">
        <v>1639</v>
      </c>
      <c r="H124" s="314" t="s">
        <v>1495</v>
      </c>
      <c r="I124" s="314" t="s">
        <v>1725</v>
      </c>
      <c r="K124" s="314" t="s">
        <v>1726</v>
      </c>
      <c r="L124" s="324" t="s">
        <v>173</v>
      </c>
      <c r="M124" s="324" t="s">
        <v>191</v>
      </c>
      <c r="N124" s="324" t="s">
        <v>173</v>
      </c>
      <c r="O124" s="324" t="s">
        <v>1642</v>
      </c>
      <c r="P124" s="324" t="s">
        <v>1775</v>
      </c>
      <c r="Q124" s="325" t="n">
        <v>-5865973511</v>
      </c>
      <c r="R124" s="325" t="n">
        <v>-6304194413</v>
      </c>
      <c r="S124" s="325" t="n">
        <v>-6784735514</v>
      </c>
      <c r="T124" s="325" t="n">
        <v>-2263581444</v>
      </c>
      <c r="U124" s="325" t="n">
        <v>-2804149796</v>
      </c>
      <c r="V124" s="325" t="n">
        <v>-3229500469</v>
      </c>
      <c r="W124" s="325" t="n">
        <v>-3527531473</v>
      </c>
      <c r="X124" s="325" t="n">
        <v>-3741714912</v>
      </c>
      <c r="Y124" s="325" t="n">
        <v>-4233475899</v>
      </c>
      <c r="Z124" s="325" t="n">
        <v>-4573948770</v>
      </c>
      <c r="AA124" s="325"/>
      <c r="AB124" s="325"/>
      <c r="AC124" s="325"/>
      <c r="AD124" s="325"/>
      <c r="AE124" s="325" t="n">
        <f aca="false">R124</f>
        <v>-6304194413</v>
      </c>
      <c r="AF124" s="325" t="n">
        <f aca="false">S124-R124</f>
        <v>-480541101</v>
      </c>
      <c r="AG124" s="325" t="n">
        <f aca="false">T124-S124</f>
        <v>4521154070</v>
      </c>
      <c r="AH124" s="325" t="n">
        <f aca="false">U124-T124</f>
        <v>-540568352</v>
      </c>
      <c r="AI124" s="325" t="n">
        <f aca="false">V124-U124</f>
        <v>-425350673</v>
      </c>
      <c r="AJ124" s="325" t="n">
        <f aca="false">W124-V124</f>
        <v>-298031004</v>
      </c>
      <c r="AK124" s="325" t="n">
        <f aca="false">X124-W124</f>
        <v>-214183439</v>
      </c>
      <c r="AL124" s="325" t="n">
        <f aca="false">Y124-X124</f>
        <v>-491760987</v>
      </c>
      <c r="AM124" s="325" t="n">
        <f aca="false">Z124-Y124</f>
        <v>-340472871</v>
      </c>
      <c r="AN124" s="325" t="s">
        <v>1679</v>
      </c>
      <c r="AO124" s="325" t="n">
        <f aca="false">AB124-AA124</f>
        <v>0</v>
      </c>
      <c r="AP124" s="325" t="n">
        <f aca="false">AC124-AB124</f>
        <v>0</v>
      </c>
      <c r="AR124" s="314" t="str">
        <f aca="false">IFERROR(VLOOKUP(M124,'BS_DEC 2026'!$D$12:$D$109,1,FALSE()),"(미존재)")</f>
        <v>미지급비용</v>
      </c>
    </row>
    <row r="125" customFormat="false" ht="16.5" hidden="false" customHeight="false" outlineLevel="0" collapsed="false">
      <c r="A125" s="317" t="s">
        <v>446</v>
      </c>
      <c r="B125" s="314" t="n">
        <v>42400800</v>
      </c>
      <c r="C125" s="314" t="s">
        <v>1776</v>
      </c>
      <c r="D125" s="314" t="s">
        <v>1570</v>
      </c>
      <c r="E125" s="314" t="s">
        <v>1637</v>
      </c>
      <c r="F125" s="314" t="s">
        <v>1638</v>
      </c>
      <c r="G125" s="314" t="s">
        <v>1718</v>
      </c>
      <c r="H125" s="314" t="s">
        <v>1495</v>
      </c>
      <c r="I125" s="314" t="s">
        <v>1777</v>
      </c>
      <c r="K125" s="314" t="s">
        <v>1778</v>
      </c>
      <c r="L125" s="324" t="s">
        <v>173</v>
      </c>
      <c r="M125" s="324" t="s">
        <v>219</v>
      </c>
      <c r="N125" s="324" t="s">
        <v>173</v>
      </c>
      <c r="O125" s="324" t="s">
        <v>1642</v>
      </c>
      <c r="P125" s="324" t="s">
        <v>191</v>
      </c>
      <c r="Q125" s="325" t="n">
        <v>0</v>
      </c>
      <c r="R125" s="325" t="n">
        <v>0</v>
      </c>
      <c r="S125" s="325" t="n">
        <v>0</v>
      </c>
      <c r="T125" s="325" t="n">
        <v>0</v>
      </c>
      <c r="U125" s="325" t="n">
        <v>0</v>
      </c>
      <c r="V125" s="325" t="n">
        <v>0</v>
      </c>
      <c r="W125" s="325" t="n">
        <v>0</v>
      </c>
      <c r="X125" s="325" t="n">
        <v>0</v>
      </c>
      <c r="Y125" s="325" t="n">
        <v>0</v>
      </c>
      <c r="Z125" s="325" t="n">
        <v>0</v>
      </c>
      <c r="AA125" s="325"/>
      <c r="AB125" s="325"/>
      <c r="AC125" s="325"/>
      <c r="AD125" s="325"/>
      <c r="AE125" s="325" t="n">
        <f aca="false">R125</f>
        <v>0</v>
      </c>
      <c r="AF125" s="325" t="n">
        <f aca="false">S125-R125</f>
        <v>0</v>
      </c>
      <c r="AG125" s="325" t="n">
        <f aca="false">T125-S125</f>
        <v>0</v>
      </c>
      <c r="AH125" s="325" t="n">
        <f aca="false">U125-T125</f>
        <v>0</v>
      </c>
      <c r="AI125" s="325" t="n">
        <f aca="false">V125-U125</f>
        <v>0</v>
      </c>
      <c r="AJ125" s="325" t="n">
        <f aca="false">W125-V125</f>
        <v>0</v>
      </c>
      <c r="AK125" s="325" t="n">
        <f aca="false">X125-W125</f>
        <v>0</v>
      </c>
      <c r="AL125" s="325" t="n">
        <f aca="false">Y125-X125</f>
        <v>0</v>
      </c>
      <c r="AM125" s="325" t="n">
        <f aca="false">Z125-Y125</f>
        <v>0</v>
      </c>
      <c r="AN125" s="325" t="s">
        <v>1679</v>
      </c>
      <c r="AO125" s="325" t="n">
        <f aca="false">AB125-AA125</f>
        <v>0</v>
      </c>
      <c r="AP125" s="325" t="n">
        <f aca="false">AC125-AB125</f>
        <v>0</v>
      </c>
      <c r="AR125" s="314" t="str">
        <f aca="false">IFERROR(VLOOKUP(M125,'BS_DEC 2026'!$D$12:$D$109,1,FALSE()),"(미존재)")</f>
        <v>복구충당부채</v>
      </c>
    </row>
    <row r="126" customFormat="false" ht="16.5" hidden="false" customHeight="false" outlineLevel="0" collapsed="false">
      <c r="A126" s="317" t="s">
        <v>446</v>
      </c>
      <c r="B126" s="314" t="n">
        <v>42420000</v>
      </c>
      <c r="C126" s="314" t="s">
        <v>1779</v>
      </c>
      <c r="D126" s="314" t="s">
        <v>1570</v>
      </c>
      <c r="E126" s="314" t="s">
        <v>1637</v>
      </c>
      <c r="F126" s="314" t="s">
        <v>1644</v>
      </c>
      <c r="G126" s="314" t="s">
        <v>1639</v>
      </c>
      <c r="H126" s="314" t="s">
        <v>1495</v>
      </c>
      <c r="I126" s="314" t="s">
        <v>1780</v>
      </c>
      <c r="K126" s="314" t="s">
        <v>1781</v>
      </c>
      <c r="L126" s="324" t="s">
        <v>173</v>
      </c>
      <c r="M126" s="324" t="s">
        <v>188</v>
      </c>
      <c r="N126" s="324" t="s">
        <v>173</v>
      </c>
      <c r="O126" s="324" t="s">
        <v>1642</v>
      </c>
      <c r="P126" s="324" t="s">
        <v>188</v>
      </c>
      <c r="Q126" s="325" t="n">
        <v>-615989310</v>
      </c>
      <c r="R126" s="325" t="n">
        <v>-625289870</v>
      </c>
      <c r="S126" s="325" t="n">
        <v>-598053570</v>
      </c>
      <c r="T126" s="325" t="n">
        <v>-640952390</v>
      </c>
      <c r="U126" s="325" t="n">
        <v>-814996520</v>
      </c>
      <c r="V126" s="325" t="n">
        <v>-663272510</v>
      </c>
      <c r="W126" s="325" t="n">
        <v>-8873870</v>
      </c>
      <c r="X126" s="325" t="n">
        <v>-624590670</v>
      </c>
      <c r="Y126" s="325" t="n">
        <v>-478441140</v>
      </c>
      <c r="Z126" s="325" t="n">
        <v>-608855770</v>
      </c>
      <c r="AA126" s="325"/>
      <c r="AB126" s="325"/>
      <c r="AC126" s="325"/>
      <c r="AD126" s="325"/>
      <c r="AE126" s="325" t="n">
        <f aca="false">R126</f>
        <v>-625289870</v>
      </c>
      <c r="AF126" s="325" t="n">
        <f aca="false">S126-R126</f>
        <v>27236300</v>
      </c>
      <c r="AG126" s="325" t="n">
        <f aca="false">T126-S126</f>
        <v>-42898820</v>
      </c>
      <c r="AH126" s="325" t="n">
        <f aca="false">U126-T126</f>
        <v>-174044130</v>
      </c>
      <c r="AI126" s="325" t="n">
        <f aca="false">V126-U126</f>
        <v>151724010</v>
      </c>
      <c r="AJ126" s="325" t="n">
        <f aca="false">W126-V126</f>
        <v>654398640</v>
      </c>
      <c r="AK126" s="325" t="n">
        <f aca="false">X126-W126</f>
        <v>-615716800</v>
      </c>
      <c r="AL126" s="325" t="n">
        <f aca="false">Y126-X126</f>
        <v>146149530</v>
      </c>
      <c r="AM126" s="325" t="n">
        <f aca="false">Z126-Y126</f>
        <v>-130414630</v>
      </c>
      <c r="AN126" s="325" t="s">
        <v>1679</v>
      </c>
      <c r="AO126" s="325" t="n">
        <f aca="false">AB126-AA126</f>
        <v>0</v>
      </c>
      <c r="AP126" s="325" t="n">
        <f aca="false">AC126-AB126</f>
        <v>0</v>
      </c>
      <c r="AR126" s="314" t="str">
        <f aca="false">IFERROR(VLOOKUP(M126,'BS_DEC 2026'!$D$12:$D$109,1,FALSE()),"(미존재)")</f>
        <v>예수금</v>
      </c>
    </row>
    <row r="127" customFormat="false" ht="16.5" hidden="false" customHeight="false" outlineLevel="0" collapsed="false">
      <c r="A127" s="317" t="s">
        <v>446</v>
      </c>
      <c r="B127" s="314" t="n">
        <v>42420851</v>
      </c>
      <c r="C127" s="314" t="s">
        <v>1782</v>
      </c>
      <c r="G127" s="314" t="s">
        <v>1639</v>
      </c>
      <c r="H127" s="314" t="s">
        <v>1495</v>
      </c>
      <c r="I127" s="314" t="s">
        <v>1780</v>
      </c>
      <c r="K127" s="314" t="s">
        <v>1781</v>
      </c>
      <c r="L127" s="314" t="s">
        <v>1635</v>
      </c>
      <c r="M127" s="314" t="s">
        <v>1635</v>
      </c>
      <c r="N127" s="314" t="s">
        <v>1635</v>
      </c>
      <c r="O127" s="314" t="s">
        <v>1635</v>
      </c>
      <c r="P127" s="314" t="s">
        <v>1635</v>
      </c>
      <c r="Q127" s="325" t="n">
        <v>0</v>
      </c>
      <c r="R127" s="325" t="n">
        <v>0</v>
      </c>
      <c r="S127" s="325" t="n">
        <v>0</v>
      </c>
      <c r="T127" s="325" t="n">
        <v>0</v>
      </c>
      <c r="U127" s="325" t="n">
        <v>0</v>
      </c>
      <c r="V127" s="325" t="n">
        <v>0</v>
      </c>
      <c r="W127" s="325" t="n">
        <v>0</v>
      </c>
      <c r="X127" s="325" t="n">
        <v>0</v>
      </c>
      <c r="Y127" s="325" t="n">
        <v>0</v>
      </c>
      <c r="Z127" s="325" t="n">
        <v>0</v>
      </c>
      <c r="AA127" s="325"/>
      <c r="AB127" s="325"/>
      <c r="AC127" s="325"/>
      <c r="AD127" s="325"/>
      <c r="AE127" s="325" t="n">
        <f aca="false">R127</f>
        <v>0</v>
      </c>
      <c r="AF127" s="325" t="n">
        <f aca="false">S127-R127</f>
        <v>0</v>
      </c>
      <c r="AG127" s="325" t="n">
        <f aca="false">T127-S127</f>
        <v>0</v>
      </c>
      <c r="AH127" s="325" t="n">
        <f aca="false">U127-T127</f>
        <v>0</v>
      </c>
      <c r="AI127" s="325" t="n">
        <f aca="false">V127-U127</f>
        <v>0</v>
      </c>
      <c r="AJ127" s="325" t="n">
        <f aca="false">W127-V127</f>
        <v>0</v>
      </c>
      <c r="AK127" s="325" t="n">
        <f aca="false">X127-W127</f>
        <v>0</v>
      </c>
      <c r="AL127" s="325" t="n">
        <f aca="false">Y127-X127</f>
        <v>0</v>
      </c>
      <c r="AM127" s="325" t="n">
        <f aca="false">Z127-Y127</f>
        <v>0</v>
      </c>
      <c r="AN127" s="325" t="s">
        <v>1679</v>
      </c>
      <c r="AO127" s="325" t="n">
        <f aca="false">AB127-AA127</f>
        <v>0</v>
      </c>
      <c r="AP127" s="325" t="n">
        <f aca="false">AC127-AB127</f>
        <v>0</v>
      </c>
      <c r="AR127" s="314" t="str">
        <f aca="false">IFERROR(VLOOKUP(M127,'BS_DEC 2026'!$D$12:$D$109,1,FALSE()),"(미존재)")</f>
        <v>(미존재)</v>
      </c>
    </row>
    <row r="128" customFormat="false" ht="16.5" hidden="false" customHeight="false" outlineLevel="0" collapsed="false">
      <c r="A128" s="317" t="s">
        <v>446</v>
      </c>
      <c r="B128" s="314" t="n">
        <v>42420852</v>
      </c>
      <c r="C128" s="314" t="s">
        <v>1783</v>
      </c>
      <c r="G128" s="314" t="s">
        <v>1639</v>
      </c>
      <c r="H128" s="314" t="s">
        <v>1495</v>
      </c>
      <c r="I128" s="314" t="s">
        <v>1780</v>
      </c>
      <c r="K128" s="314" t="s">
        <v>1781</v>
      </c>
      <c r="L128" s="314" t="s">
        <v>1635</v>
      </c>
      <c r="M128" s="314" t="s">
        <v>1635</v>
      </c>
      <c r="N128" s="314" t="s">
        <v>1635</v>
      </c>
      <c r="O128" s="314" t="s">
        <v>1635</v>
      </c>
      <c r="P128" s="314" t="s">
        <v>1635</v>
      </c>
      <c r="Q128" s="325" t="n">
        <v>0</v>
      </c>
      <c r="R128" s="325" t="n">
        <v>0</v>
      </c>
      <c r="S128" s="325" t="n">
        <v>0</v>
      </c>
      <c r="T128" s="325" t="n">
        <v>0</v>
      </c>
      <c r="U128" s="325" t="n">
        <v>0</v>
      </c>
      <c r="V128" s="325" t="n">
        <v>0</v>
      </c>
      <c r="W128" s="325" t="n">
        <v>0</v>
      </c>
      <c r="X128" s="325" t="n">
        <v>0</v>
      </c>
      <c r="Y128" s="325" t="n">
        <v>0</v>
      </c>
      <c r="Z128" s="325" t="n">
        <v>0</v>
      </c>
      <c r="AA128" s="325"/>
      <c r="AB128" s="325"/>
      <c r="AC128" s="325"/>
      <c r="AD128" s="325"/>
      <c r="AE128" s="325" t="n">
        <f aca="false">R128</f>
        <v>0</v>
      </c>
      <c r="AF128" s="325" t="n">
        <f aca="false">S128-R128</f>
        <v>0</v>
      </c>
      <c r="AG128" s="325" t="n">
        <f aca="false">T128-S128</f>
        <v>0</v>
      </c>
      <c r="AH128" s="325" t="n">
        <f aca="false">U128-T128</f>
        <v>0</v>
      </c>
      <c r="AI128" s="325" t="n">
        <f aca="false">V128-U128</f>
        <v>0</v>
      </c>
      <c r="AJ128" s="325" t="n">
        <f aca="false">W128-V128</f>
        <v>0</v>
      </c>
      <c r="AK128" s="325" t="n">
        <f aca="false">X128-W128</f>
        <v>0</v>
      </c>
      <c r="AL128" s="325" t="n">
        <f aca="false">Y128-X128</f>
        <v>0</v>
      </c>
      <c r="AM128" s="325" t="n">
        <f aca="false">Z128-Y128</f>
        <v>0</v>
      </c>
      <c r="AN128" s="325" t="s">
        <v>1679</v>
      </c>
      <c r="AO128" s="325" t="n">
        <f aca="false">AB128-AA128</f>
        <v>0</v>
      </c>
      <c r="AP128" s="325" t="n">
        <f aca="false">AC128-AB128</f>
        <v>0</v>
      </c>
      <c r="AR128" s="314" t="str">
        <f aca="false">IFERROR(VLOOKUP(M128,'BS_DEC 2026'!$D$12:$D$109,1,FALSE()),"(미존재)")</f>
        <v>(미존재)</v>
      </c>
    </row>
    <row r="129" customFormat="false" ht="16.5" hidden="false" customHeight="false" outlineLevel="0" collapsed="false">
      <c r="A129" s="317" t="s">
        <v>446</v>
      </c>
      <c r="B129" s="314" t="n">
        <v>42440000</v>
      </c>
      <c r="C129" s="314" t="s">
        <v>1784</v>
      </c>
      <c r="G129" s="314" t="s">
        <v>1639</v>
      </c>
      <c r="H129" s="314" t="s">
        <v>1495</v>
      </c>
      <c r="I129" s="314" t="s">
        <v>1725</v>
      </c>
      <c r="K129" s="314" t="s">
        <v>1726</v>
      </c>
      <c r="L129" s="314" t="s">
        <v>1635</v>
      </c>
      <c r="M129" s="314" t="s">
        <v>1635</v>
      </c>
      <c r="N129" s="314" t="s">
        <v>1635</v>
      </c>
      <c r="O129" s="314" t="s">
        <v>1635</v>
      </c>
      <c r="P129" s="314" t="s">
        <v>1635</v>
      </c>
      <c r="Q129" s="325" t="n">
        <v>0</v>
      </c>
      <c r="R129" s="325" t="n">
        <v>0</v>
      </c>
      <c r="S129" s="325" t="n">
        <v>0</v>
      </c>
      <c r="T129" s="325" t="n">
        <v>0</v>
      </c>
      <c r="U129" s="325" t="n">
        <v>0</v>
      </c>
      <c r="V129" s="325" t="n">
        <v>0</v>
      </c>
      <c r="W129" s="325" t="n">
        <v>0</v>
      </c>
      <c r="X129" s="325" t="n">
        <v>0</v>
      </c>
      <c r="Y129" s="325" t="n">
        <v>0</v>
      </c>
      <c r="Z129" s="325" t="n">
        <v>0</v>
      </c>
      <c r="AA129" s="325"/>
      <c r="AB129" s="325"/>
      <c r="AC129" s="325"/>
      <c r="AD129" s="325"/>
      <c r="AE129" s="325" t="n">
        <f aca="false">R129</f>
        <v>0</v>
      </c>
      <c r="AF129" s="325" t="n">
        <f aca="false">S129-R129</f>
        <v>0</v>
      </c>
      <c r="AG129" s="325" t="n">
        <f aca="false">T129-S129</f>
        <v>0</v>
      </c>
      <c r="AH129" s="325" t="n">
        <f aca="false">U129-T129</f>
        <v>0</v>
      </c>
      <c r="AI129" s="325" t="n">
        <f aca="false">V129-U129</f>
        <v>0</v>
      </c>
      <c r="AJ129" s="325" t="n">
        <f aca="false">W129-V129</f>
        <v>0</v>
      </c>
      <c r="AK129" s="325" t="n">
        <f aca="false">X129-W129</f>
        <v>0</v>
      </c>
      <c r="AL129" s="325" t="n">
        <f aca="false">Y129-X129</f>
        <v>0</v>
      </c>
      <c r="AM129" s="325" t="n">
        <f aca="false">Z129-Y129</f>
        <v>0</v>
      </c>
      <c r="AN129" s="325" t="s">
        <v>1679</v>
      </c>
      <c r="AO129" s="325" t="n">
        <f aca="false">AB129-AA129</f>
        <v>0</v>
      </c>
      <c r="AP129" s="325" t="n">
        <f aca="false">AC129-AB129</f>
        <v>0</v>
      </c>
      <c r="AR129" s="314" t="str">
        <f aca="false">IFERROR(VLOOKUP(M129,'BS_DEC 2026'!$D$12:$D$109,1,FALSE()),"(미존재)")</f>
        <v>(미존재)</v>
      </c>
    </row>
    <row r="130" customFormat="false" ht="16.5" hidden="false" customHeight="false" outlineLevel="0" collapsed="false">
      <c r="A130" s="317" t="s">
        <v>446</v>
      </c>
      <c r="B130" s="314" t="n">
        <v>42490000</v>
      </c>
      <c r="C130" s="314" t="s">
        <v>1785</v>
      </c>
      <c r="G130" s="314" t="s">
        <v>1639</v>
      </c>
      <c r="H130" s="314" t="s">
        <v>1495</v>
      </c>
      <c r="I130" s="314" t="s">
        <v>1786</v>
      </c>
      <c r="K130" s="314" t="s">
        <v>1787</v>
      </c>
      <c r="L130" s="314" t="s">
        <v>1635</v>
      </c>
      <c r="M130" s="314" t="s">
        <v>1635</v>
      </c>
      <c r="N130" s="314" t="s">
        <v>1635</v>
      </c>
      <c r="O130" s="314" t="s">
        <v>1635</v>
      </c>
      <c r="P130" s="314" t="s">
        <v>1635</v>
      </c>
      <c r="Q130" s="325" t="n">
        <v>0</v>
      </c>
      <c r="R130" s="325" t="n">
        <v>0</v>
      </c>
      <c r="S130" s="325" t="n">
        <v>0</v>
      </c>
      <c r="T130" s="325" t="n">
        <v>0</v>
      </c>
      <c r="U130" s="325" t="n">
        <v>0</v>
      </c>
      <c r="V130" s="325" t="n">
        <v>0</v>
      </c>
      <c r="W130" s="325" t="n">
        <v>0</v>
      </c>
      <c r="X130" s="325" t="n">
        <v>0</v>
      </c>
      <c r="Y130" s="325" t="n">
        <v>0</v>
      </c>
      <c r="Z130" s="325" t="n">
        <v>0</v>
      </c>
      <c r="AA130" s="325"/>
      <c r="AB130" s="325"/>
      <c r="AC130" s="325"/>
      <c r="AD130" s="325"/>
      <c r="AE130" s="325" t="n">
        <f aca="false">R130</f>
        <v>0</v>
      </c>
      <c r="AF130" s="325" t="n">
        <f aca="false">S130-R130</f>
        <v>0</v>
      </c>
      <c r="AG130" s="325" t="n">
        <f aca="false">T130-S130</f>
        <v>0</v>
      </c>
      <c r="AH130" s="325" t="n">
        <f aca="false">U130-T130</f>
        <v>0</v>
      </c>
      <c r="AI130" s="325" t="n">
        <f aca="false">V130-U130</f>
        <v>0</v>
      </c>
      <c r="AJ130" s="325" t="n">
        <f aca="false">W130-V130</f>
        <v>0</v>
      </c>
      <c r="AK130" s="325" t="n">
        <f aca="false">X130-W130</f>
        <v>0</v>
      </c>
      <c r="AL130" s="325" t="n">
        <f aca="false">Y130-X130</f>
        <v>0</v>
      </c>
      <c r="AM130" s="325" t="n">
        <f aca="false">Z130-Y130</f>
        <v>0</v>
      </c>
      <c r="AN130" s="325" t="s">
        <v>1679</v>
      </c>
      <c r="AO130" s="325" t="n">
        <f aca="false">AB130-AA130</f>
        <v>0</v>
      </c>
      <c r="AP130" s="325" t="n">
        <f aca="false">AC130-AB130</f>
        <v>0</v>
      </c>
      <c r="AR130" s="314" t="str">
        <f aca="false">IFERROR(VLOOKUP(M130,'BS_DEC 2026'!$D$12:$D$109,1,FALSE()),"(미존재)")</f>
        <v>(미존재)</v>
      </c>
    </row>
    <row r="131" customFormat="false" ht="16.5" hidden="false" customHeight="false" outlineLevel="0" collapsed="false">
      <c r="A131" s="317" t="s">
        <v>446</v>
      </c>
      <c r="B131" s="314" t="n">
        <v>42490100</v>
      </c>
      <c r="C131" s="314" t="s">
        <v>1788</v>
      </c>
      <c r="G131" s="314" t="s">
        <v>1639</v>
      </c>
      <c r="H131" s="314" t="s">
        <v>1495</v>
      </c>
      <c r="I131" s="314" t="s">
        <v>1640</v>
      </c>
      <c r="K131" s="314" t="s">
        <v>1641</v>
      </c>
      <c r="L131" s="314" t="s">
        <v>1635</v>
      </c>
      <c r="M131" s="314" t="s">
        <v>1635</v>
      </c>
      <c r="N131" s="314" t="s">
        <v>1635</v>
      </c>
      <c r="O131" s="314" t="s">
        <v>1635</v>
      </c>
      <c r="P131" s="314" t="s">
        <v>1635</v>
      </c>
      <c r="Q131" s="325" t="n">
        <v>0</v>
      </c>
      <c r="R131" s="325" t="n">
        <v>0</v>
      </c>
      <c r="S131" s="325" t="n">
        <v>0</v>
      </c>
      <c r="T131" s="325" t="n">
        <v>0</v>
      </c>
      <c r="U131" s="325" t="n">
        <v>0</v>
      </c>
      <c r="V131" s="325" t="n">
        <v>0</v>
      </c>
      <c r="W131" s="325" t="n">
        <v>0</v>
      </c>
      <c r="X131" s="325" t="n">
        <v>0</v>
      </c>
      <c r="Y131" s="325" t="n">
        <v>0</v>
      </c>
      <c r="Z131" s="325" t="n">
        <v>0</v>
      </c>
      <c r="AA131" s="325"/>
      <c r="AB131" s="325"/>
      <c r="AC131" s="325"/>
      <c r="AD131" s="325"/>
      <c r="AE131" s="325" t="n">
        <f aca="false">R131</f>
        <v>0</v>
      </c>
      <c r="AF131" s="325" t="n">
        <f aca="false">S131-R131</f>
        <v>0</v>
      </c>
      <c r="AG131" s="325" t="n">
        <f aca="false">T131-S131</f>
        <v>0</v>
      </c>
      <c r="AH131" s="325" t="n">
        <f aca="false">U131-T131</f>
        <v>0</v>
      </c>
      <c r="AI131" s="325" t="n">
        <f aca="false">V131-U131</f>
        <v>0</v>
      </c>
      <c r="AJ131" s="325" t="n">
        <f aca="false">W131-V131</f>
        <v>0</v>
      </c>
      <c r="AK131" s="325" t="n">
        <f aca="false">X131-W131</f>
        <v>0</v>
      </c>
      <c r="AL131" s="325" t="n">
        <f aca="false">Y131-X131</f>
        <v>0</v>
      </c>
      <c r="AM131" s="325" t="n">
        <f aca="false">Z131-Y131</f>
        <v>0</v>
      </c>
      <c r="AN131" s="325" t="s">
        <v>1679</v>
      </c>
      <c r="AO131" s="325" t="n">
        <f aca="false">AB131-AA131</f>
        <v>0</v>
      </c>
      <c r="AP131" s="325" t="n">
        <f aca="false">AC131-AB131</f>
        <v>0</v>
      </c>
      <c r="AR131" s="314" t="str">
        <f aca="false">IFERROR(VLOOKUP(M131,'BS_DEC 2026'!$D$12:$D$109,1,FALSE()),"(미존재)")</f>
        <v>(미존재)</v>
      </c>
    </row>
    <row r="132" customFormat="false" ht="16.5" hidden="false" customHeight="false" outlineLevel="0" collapsed="false">
      <c r="A132" s="317" t="s">
        <v>446</v>
      </c>
      <c r="B132" s="314" t="n">
        <v>42490240</v>
      </c>
      <c r="C132" s="314" t="s">
        <v>1789</v>
      </c>
      <c r="D132" s="314" t="s">
        <v>1570</v>
      </c>
      <c r="E132" s="314" t="s">
        <v>1637</v>
      </c>
      <c r="F132" s="314" t="s">
        <v>1644</v>
      </c>
      <c r="G132" s="314" t="s">
        <v>1639</v>
      </c>
      <c r="H132" s="314" t="s">
        <v>1495</v>
      </c>
      <c r="I132" s="314" t="s">
        <v>1767</v>
      </c>
      <c r="K132" s="314" t="s">
        <v>1768</v>
      </c>
      <c r="L132" s="324" t="s">
        <v>173</v>
      </c>
      <c r="M132" s="324" t="s">
        <v>188</v>
      </c>
      <c r="N132" s="324" t="s">
        <v>173</v>
      </c>
      <c r="O132" s="324" t="s">
        <v>1642</v>
      </c>
      <c r="P132" s="324" t="s">
        <v>188</v>
      </c>
      <c r="Q132" s="325" t="n">
        <v>-560663980</v>
      </c>
      <c r="R132" s="325" t="n">
        <v>-902123270</v>
      </c>
      <c r="S132" s="325" t="n">
        <v>-467891860</v>
      </c>
      <c r="T132" s="325" t="n">
        <v>-2244732730</v>
      </c>
      <c r="U132" s="325" t="n">
        <v>-517269120</v>
      </c>
      <c r="V132" s="325" t="n">
        <v>-510618510</v>
      </c>
      <c r="W132" s="325" t="n">
        <v>-572766850</v>
      </c>
      <c r="X132" s="325" t="n">
        <v>-526460180</v>
      </c>
      <c r="Y132" s="325" t="n">
        <v>-507009600</v>
      </c>
      <c r="Z132" s="325" t="n">
        <v>-1404290230</v>
      </c>
      <c r="AA132" s="325"/>
      <c r="AB132" s="325"/>
      <c r="AC132" s="325"/>
      <c r="AD132" s="325"/>
      <c r="AE132" s="325" t="n">
        <f aca="false">R132</f>
        <v>-902123270</v>
      </c>
      <c r="AF132" s="325" t="n">
        <f aca="false">S132-R132</f>
        <v>434231410</v>
      </c>
      <c r="AG132" s="325" t="n">
        <f aca="false">T132-S132</f>
        <v>-1776840870</v>
      </c>
      <c r="AH132" s="325" t="n">
        <f aca="false">U132-T132</f>
        <v>1727463610</v>
      </c>
      <c r="AI132" s="325" t="n">
        <f aca="false">V132-U132</f>
        <v>6650610</v>
      </c>
      <c r="AJ132" s="325" t="n">
        <f aca="false">W132-V132</f>
        <v>-62148340</v>
      </c>
      <c r="AK132" s="325" t="n">
        <f aca="false">X132-W132</f>
        <v>46306670</v>
      </c>
      <c r="AL132" s="325" t="n">
        <f aca="false">Y132-X132</f>
        <v>19450580</v>
      </c>
      <c r="AM132" s="325" t="n">
        <f aca="false">Z132-Y132</f>
        <v>-897280630</v>
      </c>
      <c r="AN132" s="325" t="s">
        <v>1679</v>
      </c>
      <c r="AO132" s="325" t="n">
        <f aca="false">AB132-AA132</f>
        <v>0</v>
      </c>
      <c r="AP132" s="325" t="n">
        <f aca="false">AC132-AB132</f>
        <v>0</v>
      </c>
      <c r="AR132" s="314" t="str">
        <f aca="false">IFERROR(VLOOKUP(M132,'BS_DEC 2026'!$D$12:$D$109,1,FALSE()),"(미존재)")</f>
        <v>예수금</v>
      </c>
    </row>
    <row r="133" customFormat="false" ht="16.5" hidden="false" customHeight="false" outlineLevel="0" collapsed="false">
      <c r="A133" s="317" t="s">
        <v>446</v>
      </c>
      <c r="B133" s="314" t="n">
        <v>42490336</v>
      </c>
      <c r="C133" s="314" t="s">
        <v>1790</v>
      </c>
      <c r="G133" s="314" t="s">
        <v>1639</v>
      </c>
      <c r="H133" s="314" t="s">
        <v>1495</v>
      </c>
      <c r="I133" s="314" t="s">
        <v>1725</v>
      </c>
      <c r="K133" s="314" t="s">
        <v>1726</v>
      </c>
      <c r="L133" s="314" t="s">
        <v>1635</v>
      </c>
      <c r="M133" s="314" t="s">
        <v>1635</v>
      </c>
      <c r="N133" s="314" t="s">
        <v>1635</v>
      </c>
      <c r="O133" s="314" t="s">
        <v>1635</v>
      </c>
      <c r="P133" s="314" t="s">
        <v>1635</v>
      </c>
      <c r="Q133" s="325" t="n">
        <v>0</v>
      </c>
      <c r="R133" s="325" t="n">
        <v>0</v>
      </c>
      <c r="S133" s="325" t="n">
        <v>0</v>
      </c>
      <c r="T133" s="325" t="n">
        <v>0</v>
      </c>
      <c r="U133" s="325" t="n">
        <v>0</v>
      </c>
      <c r="V133" s="325" t="n">
        <v>0</v>
      </c>
      <c r="W133" s="325" t="n">
        <v>0</v>
      </c>
      <c r="X133" s="325" t="n">
        <v>0</v>
      </c>
      <c r="Y133" s="325" t="n">
        <v>0</v>
      </c>
      <c r="Z133" s="325" t="n">
        <v>0</v>
      </c>
      <c r="AA133" s="325"/>
      <c r="AB133" s="325"/>
      <c r="AC133" s="325"/>
      <c r="AD133" s="325"/>
      <c r="AE133" s="325" t="n">
        <f aca="false">R133</f>
        <v>0</v>
      </c>
      <c r="AF133" s="325" t="n">
        <f aca="false">S133-R133</f>
        <v>0</v>
      </c>
      <c r="AG133" s="325" t="n">
        <f aca="false">T133-S133</f>
        <v>0</v>
      </c>
      <c r="AH133" s="325" t="n">
        <f aca="false">U133-T133</f>
        <v>0</v>
      </c>
      <c r="AI133" s="325" t="n">
        <f aca="false">V133-U133</f>
        <v>0</v>
      </c>
      <c r="AJ133" s="325" t="n">
        <f aca="false">W133-V133</f>
        <v>0</v>
      </c>
      <c r="AK133" s="325" t="n">
        <f aca="false">X133-W133</f>
        <v>0</v>
      </c>
      <c r="AL133" s="325" t="n">
        <f aca="false">Y133-X133</f>
        <v>0</v>
      </c>
      <c r="AM133" s="325" t="n">
        <f aca="false">Z133-Y133</f>
        <v>0</v>
      </c>
      <c r="AN133" s="325" t="s">
        <v>1679</v>
      </c>
      <c r="AO133" s="325" t="n">
        <f aca="false">AB133-AA133</f>
        <v>0</v>
      </c>
      <c r="AP133" s="325" t="n">
        <f aca="false">AC133-AB133</f>
        <v>0</v>
      </c>
      <c r="AR133" s="314" t="str">
        <f aca="false">IFERROR(VLOOKUP(M133,'BS_DEC 2026'!$D$12:$D$109,1,FALSE()),"(미존재)")</f>
        <v>(미존재)</v>
      </c>
    </row>
    <row r="134" customFormat="false" ht="16.5" hidden="false" customHeight="false" outlineLevel="0" collapsed="false">
      <c r="A134" s="317" t="s">
        <v>446</v>
      </c>
      <c r="B134" s="314" t="n">
        <v>42570000</v>
      </c>
      <c r="C134" s="314" t="s">
        <v>1791</v>
      </c>
      <c r="G134" s="314" t="s">
        <v>1639</v>
      </c>
      <c r="H134" s="314" t="s">
        <v>1495</v>
      </c>
      <c r="I134" s="314" t="s">
        <v>1792</v>
      </c>
      <c r="K134" s="314" t="s">
        <v>1793</v>
      </c>
      <c r="L134" s="314" t="s">
        <v>1635</v>
      </c>
      <c r="M134" s="314" t="s">
        <v>1635</v>
      </c>
      <c r="N134" s="314" t="s">
        <v>1635</v>
      </c>
      <c r="O134" s="314" t="s">
        <v>1635</v>
      </c>
      <c r="P134" s="314" t="s">
        <v>1635</v>
      </c>
      <c r="Q134" s="325" t="n">
        <v>0</v>
      </c>
      <c r="R134" s="325" t="n">
        <v>0</v>
      </c>
      <c r="S134" s="325" t="n">
        <v>0</v>
      </c>
      <c r="T134" s="325" t="n">
        <v>0</v>
      </c>
      <c r="U134" s="325" t="n">
        <v>0</v>
      </c>
      <c r="V134" s="325" t="n">
        <v>0</v>
      </c>
      <c r="W134" s="325" t="n">
        <v>0</v>
      </c>
      <c r="X134" s="325" t="n">
        <v>0</v>
      </c>
      <c r="Y134" s="325" t="n">
        <v>0</v>
      </c>
      <c r="Z134" s="325" t="n">
        <v>0</v>
      </c>
      <c r="AA134" s="325"/>
      <c r="AB134" s="325"/>
      <c r="AC134" s="325"/>
      <c r="AD134" s="325"/>
      <c r="AE134" s="325" t="n">
        <f aca="false">R134</f>
        <v>0</v>
      </c>
      <c r="AF134" s="325" t="n">
        <f aca="false">S134-R134</f>
        <v>0</v>
      </c>
      <c r="AG134" s="325" t="n">
        <f aca="false">T134-S134</f>
        <v>0</v>
      </c>
      <c r="AH134" s="325" t="n">
        <f aca="false">U134-T134</f>
        <v>0</v>
      </c>
      <c r="AI134" s="325" t="n">
        <f aca="false">V134-U134</f>
        <v>0</v>
      </c>
      <c r="AJ134" s="325" t="n">
        <f aca="false">W134-V134</f>
        <v>0</v>
      </c>
      <c r="AK134" s="325" t="n">
        <f aca="false">X134-W134</f>
        <v>0</v>
      </c>
      <c r="AL134" s="325" t="n">
        <f aca="false">Y134-X134</f>
        <v>0</v>
      </c>
      <c r="AM134" s="325" t="n">
        <f aca="false">Z134-Y134</f>
        <v>0</v>
      </c>
      <c r="AN134" s="325" t="s">
        <v>1679</v>
      </c>
      <c r="AO134" s="325" t="n">
        <f aca="false">AB134-AA134</f>
        <v>0</v>
      </c>
      <c r="AP134" s="325" t="n">
        <f aca="false">AC134-AB134</f>
        <v>0</v>
      </c>
      <c r="AR134" s="314" t="str">
        <f aca="false">IFERROR(VLOOKUP(M134,'BS_DEC 2026'!$D$12:$D$109,1,FALSE()),"(미존재)")</f>
        <v>(미존재)</v>
      </c>
    </row>
    <row r="135" customFormat="false" ht="16.5" hidden="false" customHeight="false" outlineLevel="0" collapsed="false">
      <c r="A135" s="317" t="s">
        <v>446</v>
      </c>
      <c r="B135" s="314" t="n">
        <v>42910000</v>
      </c>
      <c r="C135" s="314" t="s">
        <v>1794</v>
      </c>
      <c r="D135" s="314" t="s">
        <v>1570</v>
      </c>
      <c r="E135" s="314" t="s">
        <v>1637</v>
      </c>
      <c r="F135" s="314" t="s">
        <v>1638</v>
      </c>
      <c r="G135" s="314" t="s">
        <v>1639</v>
      </c>
      <c r="H135" s="314" t="s">
        <v>1495</v>
      </c>
      <c r="I135" s="314" t="s">
        <v>1735</v>
      </c>
      <c r="K135" s="314" t="s">
        <v>1736</v>
      </c>
      <c r="L135" s="324" t="s">
        <v>173</v>
      </c>
      <c r="M135" s="324" t="s">
        <v>191</v>
      </c>
      <c r="N135" s="324" t="s">
        <v>173</v>
      </c>
      <c r="O135" s="324" t="s">
        <v>1642</v>
      </c>
      <c r="P135" s="324" t="s">
        <v>191</v>
      </c>
      <c r="Q135" s="325" t="n">
        <v>-11574162239</v>
      </c>
      <c r="R135" s="325" t="n">
        <v>-8614006018</v>
      </c>
      <c r="S135" s="325" t="n">
        <v>-8766112097</v>
      </c>
      <c r="T135" s="325" t="n">
        <v>-7803742869</v>
      </c>
      <c r="U135" s="325" t="n">
        <v>-11386594580</v>
      </c>
      <c r="V135" s="325" t="n">
        <v>-5825195027</v>
      </c>
      <c r="W135" s="325" t="n">
        <v>-5917982171</v>
      </c>
      <c r="X135" s="325" t="n">
        <v>4206529668</v>
      </c>
      <c r="Y135" s="325" t="n">
        <v>1257160025</v>
      </c>
      <c r="Z135" s="325" t="n">
        <v>-1472152548</v>
      </c>
      <c r="AA135" s="325"/>
      <c r="AB135" s="325"/>
      <c r="AC135" s="325"/>
      <c r="AD135" s="325"/>
      <c r="AE135" s="325" t="n">
        <f aca="false">R135</f>
        <v>-8614006018</v>
      </c>
      <c r="AF135" s="325" t="n">
        <f aca="false">S135-R135</f>
        <v>-152106079</v>
      </c>
      <c r="AG135" s="325" t="n">
        <f aca="false">T135-S135</f>
        <v>962369228</v>
      </c>
      <c r="AH135" s="325" t="n">
        <f aca="false">U135-T135</f>
        <v>-3582851711</v>
      </c>
      <c r="AI135" s="325" t="n">
        <f aca="false">V135-U135</f>
        <v>5561399553</v>
      </c>
      <c r="AJ135" s="325" t="n">
        <f aca="false">W135-V135</f>
        <v>-92787144</v>
      </c>
      <c r="AK135" s="325" t="n">
        <f aca="false">X135-W135</f>
        <v>10124511839</v>
      </c>
      <c r="AL135" s="325" t="n">
        <f aca="false">Y135-X135</f>
        <v>-2949369643</v>
      </c>
      <c r="AM135" s="325" t="n">
        <f aca="false">Z135-Y135</f>
        <v>-2729312573</v>
      </c>
      <c r="AN135" s="325" t="s">
        <v>1679</v>
      </c>
      <c r="AO135" s="325" t="n">
        <f aca="false">AB135-AA135</f>
        <v>0</v>
      </c>
      <c r="AP135" s="325" t="n">
        <f aca="false">AC135-AB135</f>
        <v>0</v>
      </c>
      <c r="AR135" s="314" t="str">
        <f aca="false">IFERROR(VLOOKUP(M135,'BS_DEC 2026'!$D$12:$D$109,1,FALSE()),"(미존재)")</f>
        <v>미지급비용</v>
      </c>
    </row>
    <row r="136" customFormat="false" ht="16.5" hidden="false" customHeight="false" outlineLevel="0" collapsed="false">
      <c r="A136" s="317" t="s">
        <v>446</v>
      </c>
      <c r="B136" s="314" t="n">
        <v>42910012</v>
      </c>
      <c r="C136" s="314" t="s">
        <v>1795</v>
      </c>
      <c r="D136" s="314" t="s">
        <v>1570</v>
      </c>
      <c r="E136" s="314" t="s">
        <v>1637</v>
      </c>
      <c r="F136" s="314" t="s">
        <v>1638</v>
      </c>
      <c r="G136" s="314" t="s">
        <v>1639</v>
      </c>
      <c r="H136" s="314" t="s">
        <v>1495</v>
      </c>
      <c r="I136" s="314" t="s">
        <v>1796</v>
      </c>
      <c r="K136" s="314" t="s">
        <v>1797</v>
      </c>
      <c r="L136" s="324" t="s">
        <v>173</v>
      </c>
      <c r="M136" s="324" t="s">
        <v>191</v>
      </c>
      <c r="N136" s="324" t="s">
        <v>173</v>
      </c>
      <c r="O136" s="324" t="s">
        <v>1642</v>
      </c>
      <c r="P136" s="324" t="s">
        <v>191</v>
      </c>
      <c r="Q136" s="325" t="n">
        <v>0</v>
      </c>
      <c r="R136" s="325" t="n">
        <v>0</v>
      </c>
      <c r="S136" s="325" t="n">
        <v>0</v>
      </c>
      <c r="T136" s="325" t="n">
        <v>0</v>
      </c>
      <c r="U136" s="325" t="n">
        <v>0</v>
      </c>
      <c r="V136" s="325" t="n">
        <v>0</v>
      </c>
      <c r="W136" s="325" t="n">
        <v>0</v>
      </c>
      <c r="X136" s="325" t="n">
        <v>0</v>
      </c>
      <c r="Y136" s="325" t="n">
        <v>0</v>
      </c>
      <c r="Z136" s="325" t="n">
        <v>0</v>
      </c>
      <c r="AA136" s="325"/>
      <c r="AB136" s="325"/>
      <c r="AC136" s="325"/>
      <c r="AD136" s="325"/>
      <c r="AE136" s="325" t="n">
        <f aca="false">R136</f>
        <v>0</v>
      </c>
      <c r="AF136" s="325" t="n">
        <f aca="false">S136-R136</f>
        <v>0</v>
      </c>
      <c r="AG136" s="325" t="n">
        <f aca="false">T136-S136</f>
        <v>0</v>
      </c>
      <c r="AH136" s="325" t="n">
        <f aca="false">U136-T136</f>
        <v>0</v>
      </c>
      <c r="AI136" s="325" t="n">
        <f aca="false">V136-U136</f>
        <v>0</v>
      </c>
      <c r="AJ136" s="325" t="n">
        <f aca="false">W136-V136</f>
        <v>0</v>
      </c>
      <c r="AK136" s="325" t="n">
        <f aca="false">X136-W136</f>
        <v>0</v>
      </c>
      <c r="AL136" s="325" t="n">
        <f aca="false">Y136-X136</f>
        <v>0</v>
      </c>
      <c r="AM136" s="325" t="n">
        <f aca="false">Z136-Y136</f>
        <v>0</v>
      </c>
      <c r="AN136" s="325" t="s">
        <v>1679</v>
      </c>
      <c r="AO136" s="325" t="n">
        <f aca="false">AB136-AA136</f>
        <v>0</v>
      </c>
      <c r="AP136" s="325" t="n">
        <f aca="false">AC136-AB136</f>
        <v>0</v>
      </c>
      <c r="AR136" s="314" t="str">
        <f aca="false">IFERROR(VLOOKUP(M136,'BS_DEC 2026'!$D$12:$D$109,1,FALSE()),"(미존재)")</f>
        <v>미지급비용</v>
      </c>
    </row>
    <row r="137" customFormat="false" ht="16.5" hidden="false" customHeight="false" outlineLevel="0" collapsed="false">
      <c r="A137" s="317" t="s">
        <v>446</v>
      </c>
      <c r="B137" s="314" t="n">
        <v>42910018</v>
      </c>
      <c r="C137" s="314" t="s">
        <v>1798</v>
      </c>
      <c r="G137" s="314" t="s">
        <v>1639</v>
      </c>
      <c r="H137" s="314" t="s">
        <v>1495</v>
      </c>
      <c r="I137" s="314" t="s">
        <v>1735</v>
      </c>
      <c r="K137" s="314" t="s">
        <v>1736</v>
      </c>
      <c r="L137" s="324" t="s">
        <v>173</v>
      </c>
      <c r="M137" s="324" t="s">
        <v>191</v>
      </c>
      <c r="N137" s="324" t="s">
        <v>173</v>
      </c>
      <c r="O137" s="324" t="s">
        <v>1642</v>
      </c>
      <c r="P137" s="324" t="s">
        <v>188</v>
      </c>
      <c r="Q137" s="325" t="n">
        <v>-25740</v>
      </c>
      <c r="R137" s="325" t="n">
        <v>-182490</v>
      </c>
      <c r="S137" s="325" t="n">
        <v>-156750</v>
      </c>
      <c r="T137" s="325" t="n">
        <v>0</v>
      </c>
      <c r="U137" s="325" t="n">
        <v>0</v>
      </c>
      <c r="V137" s="325" t="n">
        <v>0</v>
      </c>
      <c r="W137" s="325" t="n">
        <v>0</v>
      </c>
      <c r="X137" s="325" t="n">
        <v>0</v>
      </c>
      <c r="Y137" s="325" t="n">
        <v>0</v>
      </c>
      <c r="Z137" s="325" t="n">
        <v>-207900</v>
      </c>
      <c r="AA137" s="325"/>
      <c r="AB137" s="325"/>
      <c r="AC137" s="325"/>
      <c r="AD137" s="325"/>
      <c r="AE137" s="325" t="n">
        <f aca="false">R137</f>
        <v>-182490</v>
      </c>
      <c r="AF137" s="325" t="n">
        <f aca="false">S137-R137</f>
        <v>25740</v>
      </c>
      <c r="AG137" s="325" t="n">
        <f aca="false">T137-S137</f>
        <v>156750</v>
      </c>
      <c r="AH137" s="325" t="n">
        <f aca="false">U137-T137</f>
        <v>0</v>
      </c>
      <c r="AI137" s="325" t="n">
        <f aca="false">V137-U137</f>
        <v>0</v>
      </c>
      <c r="AJ137" s="325" t="n">
        <f aca="false">W137-V137</f>
        <v>0</v>
      </c>
      <c r="AK137" s="325" t="n">
        <f aca="false">X137-W137</f>
        <v>0</v>
      </c>
      <c r="AL137" s="325" t="n">
        <f aca="false">Y137-X137</f>
        <v>0</v>
      </c>
      <c r="AM137" s="325" t="n">
        <f aca="false">Z137-Y137</f>
        <v>-207900</v>
      </c>
      <c r="AN137" s="325" t="s">
        <v>1679</v>
      </c>
      <c r="AO137" s="325" t="n">
        <f aca="false">AB137-AA137</f>
        <v>0</v>
      </c>
      <c r="AP137" s="325" t="n">
        <f aca="false">AC137-AB137</f>
        <v>0</v>
      </c>
      <c r="AR137" s="314" t="str">
        <f aca="false">IFERROR(VLOOKUP(M137,'BS_DEC 2026'!$D$12:$D$109,1,FALSE()),"(미존재)")</f>
        <v>미지급비용</v>
      </c>
    </row>
    <row r="138" customFormat="false" ht="16.5" hidden="false" customHeight="false" outlineLevel="0" collapsed="false">
      <c r="A138" s="317" t="s">
        <v>446</v>
      </c>
      <c r="B138" s="314" t="n">
        <v>42910102</v>
      </c>
      <c r="C138" s="314" t="s">
        <v>1799</v>
      </c>
      <c r="D138" s="314" t="s">
        <v>1570</v>
      </c>
      <c r="E138" s="314" t="s">
        <v>1637</v>
      </c>
      <c r="F138" s="314" t="s">
        <v>1638</v>
      </c>
      <c r="G138" s="314" t="s">
        <v>1639</v>
      </c>
      <c r="H138" s="314" t="s">
        <v>1495</v>
      </c>
      <c r="I138" s="314" t="s">
        <v>1800</v>
      </c>
      <c r="K138" s="314" t="s">
        <v>1801</v>
      </c>
      <c r="L138" s="324" t="s">
        <v>173</v>
      </c>
      <c r="M138" s="324" t="s">
        <v>191</v>
      </c>
      <c r="N138" s="324" t="s">
        <v>173</v>
      </c>
      <c r="O138" s="324" t="s">
        <v>1642</v>
      </c>
      <c r="P138" s="324" t="s">
        <v>191</v>
      </c>
      <c r="Q138" s="325" t="n">
        <v>-52227560299</v>
      </c>
      <c r="R138" s="325" t="n">
        <v>-57016250594</v>
      </c>
      <c r="S138" s="325" t="n">
        <v>-62527363257</v>
      </c>
      <c r="T138" s="325" t="n">
        <v>-54543696892</v>
      </c>
      <c r="U138" s="325" t="n">
        <v>-59484075204</v>
      </c>
      <c r="V138" s="325" t="n">
        <v>-65036492188</v>
      </c>
      <c r="W138" s="325" t="n">
        <v>-46085730884</v>
      </c>
      <c r="X138" s="325" t="n">
        <v>-50978115219</v>
      </c>
      <c r="Y138" s="325" t="n">
        <v>-56329077858</v>
      </c>
      <c r="Z138" s="325" t="n">
        <v>-50044282649</v>
      </c>
      <c r="AA138" s="325"/>
      <c r="AB138" s="325"/>
      <c r="AC138" s="325"/>
      <c r="AD138" s="325"/>
      <c r="AE138" s="325" t="n">
        <f aca="false">R138</f>
        <v>-57016250594</v>
      </c>
      <c r="AF138" s="325" t="n">
        <f aca="false">S138-R138</f>
        <v>-5511112663</v>
      </c>
      <c r="AG138" s="325" t="n">
        <f aca="false">T138-S138</f>
        <v>7983666365</v>
      </c>
      <c r="AH138" s="325" t="n">
        <f aca="false">U138-T138</f>
        <v>-4940378312</v>
      </c>
      <c r="AI138" s="325" t="n">
        <f aca="false">V138-U138</f>
        <v>-5552416984</v>
      </c>
      <c r="AJ138" s="325" t="n">
        <f aca="false">W138-V138</f>
        <v>18950761304</v>
      </c>
      <c r="AK138" s="325" t="n">
        <f aca="false">X138-W138</f>
        <v>-4892384335</v>
      </c>
      <c r="AL138" s="325" t="n">
        <f aca="false">Y138-X138</f>
        <v>-5350962639</v>
      </c>
      <c r="AM138" s="325" t="n">
        <f aca="false">Z138-Y138</f>
        <v>6284795209</v>
      </c>
      <c r="AN138" s="325" t="s">
        <v>1679</v>
      </c>
      <c r="AO138" s="325" t="n">
        <f aca="false">AB138-AA138</f>
        <v>0</v>
      </c>
      <c r="AP138" s="325" t="n">
        <f aca="false">AC138-AB138</f>
        <v>0</v>
      </c>
      <c r="AR138" s="314" t="str">
        <f aca="false">IFERROR(VLOOKUP(M138,'BS_DEC 2026'!$D$12:$D$109,1,FALSE()),"(미존재)")</f>
        <v>미지급비용</v>
      </c>
    </row>
    <row r="139" customFormat="false" ht="16.5" hidden="false" customHeight="false" outlineLevel="0" collapsed="false">
      <c r="A139" s="317" t="s">
        <v>446</v>
      </c>
      <c r="B139" s="314" t="n">
        <v>42910311</v>
      </c>
      <c r="C139" s="314" t="s">
        <v>1802</v>
      </c>
      <c r="D139" s="314" t="s">
        <v>1570</v>
      </c>
      <c r="E139" s="314" t="s">
        <v>1637</v>
      </c>
      <c r="F139" s="314" t="s">
        <v>1638</v>
      </c>
      <c r="G139" s="314" t="s">
        <v>1639</v>
      </c>
      <c r="H139" s="314" t="s">
        <v>1495</v>
      </c>
      <c r="I139" s="314" t="s">
        <v>1803</v>
      </c>
      <c r="K139" s="314" t="s">
        <v>1804</v>
      </c>
      <c r="L139" s="324" t="s">
        <v>173</v>
      </c>
      <c r="M139" s="324" t="s">
        <v>191</v>
      </c>
      <c r="N139" s="324" t="s">
        <v>173</v>
      </c>
      <c r="O139" s="324" t="s">
        <v>1642</v>
      </c>
      <c r="P139" s="324" t="s">
        <v>191</v>
      </c>
      <c r="Q139" s="325" t="n">
        <v>-122500000</v>
      </c>
      <c r="R139" s="325" t="n">
        <v>-122500000</v>
      </c>
      <c r="S139" s="325" t="n">
        <v>-122500000</v>
      </c>
      <c r="T139" s="325" t="n">
        <v>-108500000</v>
      </c>
      <c r="U139" s="325" t="n">
        <v>-101500000</v>
      </c>
      <c r="V139" s="325" t="n">
        <v>-108500000</v>
      </c>
      <c r="W139" s="325" t="n">
        <v>-49000000</v>
      </c>
      <c r="X139" s="325" t="n">
        <v>-49000000</v>
      </c>
      <c r="Y139" s="325" t="n">
        <v>-49000000</v>
      </c>
      <c r="Z139" s="325" t="n">
        <v>-42000000</v>
      </c>
      <c r="AA139" s="325"/>
      <c r="AB139" s="325"/>
      <c r="AC139" s="325"/>
      <c r="AD139" s="325"/>
      <c r="AE139" s="325" t="n">
        <f aca="false">R139</f>
        <v>-122500000</v>
      </c>
      <c r="AF139" s="325" t="n">
        <f aca="false">S139-R139</f>
        <v>0</v>
      </c>
      <c r="AG139" s="325" t="n">
        <f aca="false">T139-S139</f>
        <v>14000000</v>
      </c>
      <c r="AH139" s="325" t="n">
        <f aca="false">U139-T139</f>
        <v>7000000</v>
      </c>
      <c r="AI139" s="325" t="n">
        <f aca="false">V139-U139</f>
        <v>-7000000</v>
      </c>
      <c r="AJ139" s="325" t="n">
        <f aca="false">W139-V139</f>
        <v>59500000</v>
      </c>
      <c r="AK139" s="325" t="n">
        <f aca="false">X139-W139</f>
        <v>0</v>
      </c>
      <c r="AL139" s="325" t="n">
        <f aca="false">Y139-X139</f>
        <v>0</v>
      </c>
      <c r="AM139" s="325" t="n">
        <f aca="false">Z139-Y139</f>
        <v>7000000</v>
      </c>
      <c r="AN139" s="325" t="s">
        <v>1679</v>
      </c>
      <c r="AO139" s="325" t="n">
        <f aca="false">AB139-AA139</f>
        <v>0</v>
      </c>
      <c r="AP139" s="325" t="n">
        <f aca="false">AC139-AB139</f>
        <v>0</v>
      </c>
      <c r="AR139" s="314" t="str">
        <f aca="false">IFERROR(VLOOKUP(M139,'BS_DEC 2026'!$D$12:$D$109,1,FALSE()),"(미존재)")</f>
        <v>미지급비용</v>
      </c>
    </row>
    <row r="140" customFormat="false" ht="16.5" hidden="false" customHeight="false" outlineLevel="0" collapsed="false">
      <c r="A140" s="317" t="s">
        <v>446</v>
      </c>
      <c r="B140" s="314" t="n">
        <v>42910850</v>
      </c>
      <c r="C140" s="314" t="s">
        <v>1805</v>
      </c>
      <c r="D140" s="314" t="s">
        <v>1570</v>
      </c>
      <c r="E140" s="314" t="s">
        <v>1637</v>
      </c>
      <c r="F140" s="314" t="s">
        <v>1638</v>
      </c>
      <c r="G140" s="314" t="s">
        <v>1639</v>
      </c>
      <c r="H140" s="314" t="s">
        <v>1495</v>
      </c>
      <c r="I140" s="314" t="s">
        <v>1800</v>
      </c>
      <c r="K140" s="314" t="s">
        <v>1801</v>
      </c>
      <c r="L140" s="324" t="s">
        <v>173</v>
      </c>
      <c r="M140" s="324" t="s">
        <v>191</v>
      </c>
      <c r="N140" s="324" t="s">
        <v>173</v>
      </c>
      <c r="O140" s="324" t="s">
        <v>1642</v>
      </c>
      <c r="P140" s="324" t="s">
        <v>191</v>
      </c>
      <c r="Q140" s="325" t="n">
        <v>-1003866748</v>
      </c>
      <c r="R140" s="325" t="n">
        <v>-865871412</v>
      </c>
      <c r="S140" s="325" t="n">
        <v>-735134999</v>
      </c>
      <c r="T140" s="325" t="n">
        <v>-737930784</v>
      </c>
      <c r="U140" s="325" t="n">
        <v>-734266941</v>
      </c>
      <c r="V140" s="325" t="n">
        <v>-709811321</v>
      </c>
      <c r="W140" s="325" t="n">
        <v>-670236662</v>
      </c>
      <c r="X140" s="325" t="n">
        <v>-686356100</v>
      </c>
      <c r="Y140" s="325" t="n">
        <v>-750938418</v>
      </c>
      <c r="Z140" s="325" t="n">
        <v>-758423387</v>
      </c>
      <c r="AA140" s="325"/>
      <c r="AB140" s="325"/>
      <c r="AC140" s="325"/>
      <c r="AD140" s="325"/>
      <c r="AE140" s="325" t="n">
        <f aca="false">R140</f>
        <v>-865871412</v>
      </c>
      <c r="AF140" s="325" t="n">
        <f aca="false">S140-R140</f>
        <v>130736413</v>
      </c>
      <c r="AG140" s="325" t="n">
        <f aca="false">T140-S140</f>
        <v>-2795785</v>
      </c>
      <c r="AH140" s="325" t="n">
        <f aca="false">U140-T140</f>
        <v>3663843</v>
      </c>
      <c r="AI140" s="325" t="n">
        <f aca="false">V140-U140</f>
        <v>24455620</v>
      </c>
      <c r="AJ140" s="325" t="n">
        <f aca="false">W140-V140</f>
        <v>39574659</v>
      </c>
      <c r="AK140" s="325" t="n">
        <f aca="false">X140-W140</f>
        <v>-16119438</v>
      </c>
      <c r="AL140" s="325" t="n">
        <f aca="false">Y140-X140</f>
        <v>-64582318</v>
      </c>
      <c r="AM140" s="325" t="n">
        <f aca="false">Z140-Y140</f>
        <v>-7484969</v>
      </c>
      <c r="AN140" s="325" t="s">
        <v>1679</v>
      </c>
      <c r="AO140" s="325" t="n">
        <f aca="false">AB140-AA140</f>
        <v>0</v>
      </c>
      <c r="AP140" s="325" t="n">
        <f aca="false">AC140-AB140</f>
        <v>0</v>
      </c>
      <c r="AR140" s="314" t="str">
        <f aca="false">IFERROR(VLOOKUP(M140,'BS_DEC 2026'!$D$12:$D$109,1,FALSE()),"(미존재)")</f>
        <v>미지급비용</v>
      </c>
    </row>
    <row r="141" customFormat="false" ht="16.5" hidden="false" customHeight="false" outlineLevel="0" collapsed="false">
      <c r="A141" s="317" t="s">
        <v>446</v>
      </c>
      <c r="B141" s="314" t="n">
        <v>42910851</v>
      </c>
      <c r="C141" s="314" t="s">
        <v>1806</v>
      </c>
      <c r="D141" s="314" t="s">
        <v>1570</v>
      </c>
      <c r="E141" s="314" t="s">
        <v>1637</v>
      </c>
      <c r="F141" s="314" t="s">
        <v>1638</v>
      </c>
      <c r="G141" s="314" t="s">
        <v>1639</v>
      </c>
      <c r="H141" s="314" t="s">
        <v>1495</v>
      </c>
      <c r="I141" s="314" t="s">
        <v>1807</v>
      </c>
      <c r="L141" s="324" t="s">
        <v>173</v>
      </c>
      <c r="M141" s="324" t="s">
        <v>191</v>
      </c>
      <c r="N141" s="324" t="s">
        <v>173</v>
      </c>
      <c r="O141" s="324" t="s">
        <v>1642</v>
      </c>
      <c r="P141" s="324" t="s">
        <v>191</v>
      </c>
      <c r="Q141" s="325"/>
      <c r="R141" s="325" t="n">
        <v>0</v>
      </c>
      <c r="S141" s="325"/>
      <c r="T141" s="325"/>
      <c r="U141" s="325"/>
      <c r="V141" s="325"/>
      <c r="W141" s="325"/>
      <c r="X141" s="325" t="n">
        <v>-738932000</v>
      </c>
      <c r="Y141" s="325" t="n">
        <v>-4741360545</v>
      </c>
      <c r="Z141" s="325" t="n">
        <v>-5015243935</v>
      </c>
      <c r="AA141" s="325"/>
      <c r="AB141" s="325"/>
      <c r="AC141" s="325"/>
      <c r="AD141" s="325"/>
      <c r="AE141" s="325"/>
      <c r="AF141" s="325"/>
      <c r="AG141" s="325"/>
      <c r="AH141" s="325"/>
      <c r="AI141" s="325"/>
      <c r="AJ141" s="325" t="n">
        <f aca="false">W141-V141</f>
        <v>0</v>
      </c>
      <c r="AK141" s="325" t="n">
        <f aca="false">X141-W141</f>
        <v>-738932000</v>
      </c>
      <c r="AL141" s="325" t="n">
        <f aca="false">Y141-X141</f>
        <v>-4002428545</v>
      </c>
      <c r="AM141" s="325" t="n">
        <f aca="false">Z141-Y141</f>
        <v>-273883390</v>
      </c>
      <c r="AN141" s="325" t="s">
        <v>1679</v>
      </c>
      <c r="AO141" s="325" t="n">
        <f aca="false">AB141-AA141</f>
        <v>0</v>
      </c>
      <c r="AP141" s="325" t="n">
        <f aca="false">AC141-AB141</f>
        <v>0</v>
      </c>
      <c r="AR141" s="314" t="str">
        <f aca="false">IFERROR(VLOOKUP(M141,'BS_DEC 2026'!$D$12:$D$109,1,FALSE()),"(미존재)")</f>
        <v>미지급비용</v>
      </c>
    </row>
    <row r="142" customFormat="false" ht="16.5" hidden="false" customHeight="false" outlineLevel="0" collapsed="false">
      <c r="A142" s="317" t="s">
        <v>446</v>
      </c>
      <c r="B142" s="314" t="n">
        <v>42910852</v>
      </c>
      <c r="C142" s="314" t="s">
        <v>1808</v>
      </c>
      <c r="D142" s="314" t="s">
        <v>1570</v>
      </c>
      <c r="E142" s="314" t="s">
        <v>1637</v>
      </c>
      <c r="F142" s="314" t="s">
        <v>1638</v>
      </c>
      <c r="G142" s="314" t="s">
        <v>1639</v>
      </c>
      <c r="H142" s="314" t="s">
        <v>1495</v>
      </c>
      <c r="I142" s="314" t="s">
        <v>1800</v>
      </c>
      <c r="K142" s="314" t="s">
        <v>1801</v>
      </c>
      <c r="L142" s="324" t="s">
        <v>173</v>
      </c>
      <c r="M142" s="324" t="s">
        <v>191</v>
      </c>
      <c r="N142" s="324" t="s">
        <v>173</v>
      </c>
      <c r="O142" s="324" t="s">
        <v>1642</v>
      </c>
      <c r="P142" s="324" t="s">
        <v>191</v>
      </c>
      <c r="Q142" s="325" t="n">
        <v>-5108547535</v>
      </c>
      <c r="R142" s="325" t="n">
        <v>-5827346736</v>
      </c>
      <c r="S142" s="325" t="n">
        <v>-5446879002</v>
      </c>
      <c r="T142" s="325" t="n">
        <v>-5387407897</v>
      </c>
      <c r="U142" s="325" t="n">
        <v>-5814953967</v>
      </c>
      <c r="V142" s="325" t="n">
        <v>-6409439038</v>
      </c>
      <c r="W142" s="325" t="n">
        <v>-7204100409</v>
      </c>
      <c r="X142" s="325" t="n">
        <v>-8061777394</v>
      </c>
      <c r="Y142" s="325" t="n">
        <v>-8548109455</v>
      </c>
      <c r="Z142" s="325" t="n">
        <v>-10532431629</v>
      </c>
      <c r="AA142" s="325"/>
      <c r="AB142" s="325"/>
      <c r="AC142" s="325"/>
      <c r="AD142" s="325"/>
      <c r="AE142" s="325" t="n">
        <f aca="false">R142</f>
        <v>-5827346736</v>
      </c>
      <c r="AF142" s="325" t="n">
        <f aca="false">S142-R142</f>
        <v>380467734</v>
      </c>
      <c r="AG142" s="325" t="n">
        <f aca="false">T142-S142</f>
        <v>59471105</v>
      </c>
      <c r="AH142" s="325" t="n">
        <f aca="false">U142-T142</f>
        <v>-427546070</v>
      </c>
      <c r="AI142" s="325" t="n">
        <f aca="false">V142-U142</f>
        <v>-594485071</v>
      </c>
      <c r="AJ142" s="325" t="n">
        <f aca="false">W142-V142</f>
        <v>-794661371</v>
      </c>
      <c r="AK142" s="325" t="n">
        <f aca="false">X142-W142</f>
        <v>-857676985</v>
      </c>
      <c r="AL142" s="325" t="n">
        <f aca="false">Y142-X142</f>
        <v>-486332061</v>
      </c>
      <c r="AM142" s="325" t="n">
        <f aca="false">Z142-Y142</f>
        <v>-1984322174</v>
      </c>
      <c r="AN142" s="325" t="s">
        <v>1679</v>
      </c>
      <c r="AO142" s="325" t="n">
        <f aca="false">AB142-AA142</f>
        <v>0</v>
      </c>
      <c r="AP142" s="325" t="n">
        <f aca="false">AC142-AB142</f>
        <v>0</v>
      </c>
      <c r="AR142" s="314" t="str">
        <f aca="false">IFERROR(VLOOKUP(M142,'BS_DEC 2026'!$D$12:$D$109,1,FALSE()),"(미존재)")</f>
        <v>미지급비용</v>
      </c>
    </row>
    <row r="143" customFormat="false" ht="16.5" hidden="false" customHeight="false" outlineLevel="0" collapsed="false">
      <c r="A143" s="317" t="s">
        <v>446</v>
      </c>
      <c r="B143" s="314" t="n">
        <v>42910853</v>
      </c>
      <c r="C143" s="314" t="s">
        <v>1809</v>
      </c>
      <c r="D143" s="314" t="s">
        <v>1570</v>
      </c>
      <c r="E143" s="314" t="s">
        <v>1637</v>
      </c>
      <c r="F143" s="314" t="s">
        <v>1638</v>
      </c>
      <c r="G143" s="314" t="s">
        <v>1639</v>
      </c>
      <c r="H143" s="314" t="s">
        <v>1495</v>
      </c>
      <c r="I143" s="314" t="s">
        <v>1800</v>
      </c>
      <c r="K143" s="314" t="s">
        <v>1801</v>
      </c>
      <c r="L143" s="324" t="s">
        <v>173</v>
      </c>
      <c r="M143" s="324" t="s">
        <v>191</v>
      </c>
      <c r="N143" s="324" t="s">
        <v>173</v>
      </c>
      <c r="O143" s="324" t="s">
        <v>1642</v>
      </c>
      <c r="P143" s="324" t="s">
        <v>191</v>
      </c>
      <c r="Q143" s="325" t="n">
        <v>-1080026241</v>
      </c>
      <c r="R143" s="325" t="n">
        <v>-1144787522</v>
      </c>
      <c r="S143" s="325" t="n">
        <v>-960830565</v>
      </c>
      <c r="T143" s="325" t="n">
        <v>-944111354</v>
      </c>
      <c r="U143" s="325" t="n">
        <v>-843549409</v>
      </c>
      <c r="V143" s="325" t="n">
        <v>-847748261</v>
      </c>
      <c r="W143" s="325" t="n">
        <v>-924553930</v>
      </c>
      <c r="X143" s="325" t="n">
        <v>-1000586402</v>
      </c>
      <c r="Y143" s="325" t="n">
        <v>-1062749409</v>
      </c>
      <c r="Z143" s="325" t="n">
        <v>-1124955108</v>
      </c>
      <c r="AA143" s="325"/>
      <c r="AB143" s="325"/>
      <c r="AC143" s="325"/>
      <c r="AD143" s="325"/>
      <c r="AE143" s="325" t="n">
        <f aca="false">R143</f>
        <v>-1144787522</v>
      </c>
      <c r="AF143" s="325" t="n">
        <f aca="false">S143-R143</f>
        <v>183956957</v>
      </c>
      <c r="AG143" s="325" t="n">
        <f aca="false">T143-S143</f>
        <v>16719211</v>
      </c>
      <c r="AH143" s="325" t="n">
        <f aca="false">U143-T143</f>
        <v>100561945</v>
      </c>
      <c r="AI143" s="325" t="n">
        <f aca="false">V143-U143</f>
        <v>-4198852</v>
      </c>
      <c r="AJ143" s="325" t="n">
        <f aca="false">W143-V143</f>
        <v>-76805669</v>
      </c>
      <c r="AK143" s="325" t="n">
        <f aca="false">X143-W143</f>
        <v>-76032472</v>
      </c>
      <c r="AL143" s="325" t="n">
        <f aca="false">Y143-X143</f>
        <v>-62163007</v>
      </c>
      <c r="AM143" s="325" t="n">
        <f aca="false">Z143-Y143</f>
        <v>-62205699</v>
      </c>
      <c r="AN143" s="325" t="s">
        <v>1679</v>
      </c>
      <c r="AO143" s="325" t="n">
        <f aca="false">AB143-AA143</f>
        <v>0</v>
      </c>
      <c r="AP143" s="325" t="n">
        <f aca="false">AC143-AB143</f>
        <v>0</v>
      </c>
      <c r="AR143" s="314" t="str">
        <f aca="false">IFERROR(VLOOKUP(M143,'BS_DEC 2026'!$D$12:$D$109,1,FALSE()),"(미존재)")</f>
        <v>미지급비용</v>
      </c>
    </row>
    <row r="144" customFormat="false" ht="16.5" hidden="false" customHeight="false" outlineLevel="0" collapsed="false">
      <c r="A144" s="317" t="s">
        <v>446</v>
      </c>
      <c r="B144" s="314" t="n">
        <v>42910854</v>
      </c>
      <c r="C144" s="314" t="s">
        <v>1810</v>
      </c>
      <c r="D144" s="314" t="s">
        <v>1570</v>
      </c>
      <c r="E144" s="314" t="s">
        <v>1637</v>
      </c>
      <c r="F144" s="314" t="s">
        <v>1638</v>
      </c>
      <c r="G144" s="314" t="s">
        <v>1639</v>
      </c>
      <c r="H144" s="314" t="s">
        <v>1495</v>
      </c>
      <c r="I144" s="314" t="s">
        <v>1800</v>
      </c>
      <c r="K144" s="314" t="s">
        <v>1801</v>
      </c>
      <c r="L144" s="324" t="s">
        <v>173</v>
      </c>
      <c r="M144" s="324" t="s">
        <v>191</v>
      </c>
      <c r="N144" s="324" t="s">
        <v>173</v>
      </c>
      <c r="O144" s="324" t="s">
        <v>1642</v>
      </c>
      <c r="P144" s="324" t="s">
        <v>191</v>
      </c>
      <c r="Q144" s="325" t="n">
        <v>-5006635526</v>
      </c>
      <c r="R144" s="325" t="n">
        <v>-5006635526</v>
      </c>
      <c r="S144" s="325" t="n">
        <v>-5006635526</v>
      </c>
      <c r="T144" s="325" t="n">
        <v>-3535193280</v>
      </c>
      <c r="U144" s="325" t="n">
        <v>-3339768436</v>
      </c>
      <c r="V144" s="325" t="n">
        <v>0</v>
      </c>
      <c r="W144" s="325" t="n">
        <v>-10152000</v>
      </c>
      <c r="X144" s="325" t="n">
        <v>0</v>
      </c>
      <c r="Y144" s="325" t="n">
        <v>0</v>
      </c>
      <c r="Z144" s="325" t="n">
        <v>0</v>
      </c>
      <c r="AA144" s="325"/>
      <c r="AB144" s="325"/>
      <c r="AC144" s="325"/>
      <c r="AD144" s="325"/>
      <c r="AE144" s="325" t="n">
        <f aca="false">R144</f>
        <v>-5006635526</v>
      </c>
      <c r="AF144" s="325" t="n">
        <f aca="false">S144-R144</f>
        <v>0</v>
      </c>
      <c r="AG144" s="325" t="n">
        <f aca="false">T144-S144</f>
        <v>1471442246</v>
      </c>
      <c r="AH144" s="325" t="n">
        <f aca="false">U144-T144</f>
        <v>195424844</v>
      </c>
      <c r="AI144" s="325" t="n">
        <f aca="false">V144-U144</f>
        <v>3339768436</v>
      </c>
      <c r="AJ144" s="325" t="n">
        <f aca="false">W144-V144</f>
        <v>-10152000</v>
      </c>
      <c r="AK144" s="325" t="n">
        <f aca="false">X144-W144</f>
        <v>10152000</v>
      </c>
      <c r="AL144" s="325" t="n">
        <f aca="false">Y144-X144</f>
        <v>0</v>
      </c>
      <c r="AM144" s="325" t="n">
        <f aca="false">Z144-Y144</f>
        <v>0</v>
      </c>
      <c r="AN144" s="325" t="s">
        <v>1679</v>
      </c>
      <c r="AO144" s="325" t="n">
        <f aca="false">AB144-AA144</f>
        <v>0</v>
      </c>
      <c r="AP144" s="325" t="n">
        <f aca="false">AC144-AB144</f>
        <v>0</v>
      </c>
      <c r="AR144" s="314" t="str">
        <f aca="false">IFERROR(VLOOKUP(M144,'BS_DEC 2026'!$D$12:$D$109,1,FALSE()),"(미존재)")</f>
        <v>미지급비용</v>
      </c>
    </row>
    <row r="145" customFormat="false" ht="16.5" hidden="false" customHeight="false" outlineLevel="0" collapsed="false">
      <c r="A145" s="317" t="s">
        <v>446</v>
      </c>
      <c r="B145" s="314" t="n">
        <v>42910909</v>
      </c>
      <c r="C145" s="314" t="s">
        <v>1811</v>
      </c>
      <c r="D145" s="314" t="s">
        <v>1570</v>
      </c>
      <c r="E145" s="314" t="s">
        <v>1637</v>
      </c>
      <c r="F145" s="314" t="s">
        <v>1812</v>
      </c>
      <c r="G145" s="314" t="s">
        <v>1639</v>
      </c>
      <c r="H145" s="314" t="s">
        <v>1495</v>
      </c>
      <c r="I145" s="314" t="s">
        <v>1813</v>
      </c>
      <c r="K145" s="314" t="s">
        <v>1814</v>
      </c>
      <c r="L145" s="324" t="s">
        <v>173</v>
      </c>
      <c r="M145" s="324" t="s">
        <v>186</v>
      </c>
      <c r="N145" s="324" t="s">
        <v>173</v>
      </c>
      <c r="O145" s="324" t="s">
        <v>1642</v>
      </c>
      <c r="P145" s="324" t="s">
        <v>1815</v>
      </c>
      <c r="Q145" s="325" t="n">
        <v>149468</v>
      </c>
      <c r="R145" s="325" t="n">
        <v>149468</v>
      </c>
      <c r="S145" s="325" t="n">
        <v>149468</v>
      </c>
      <c r="T145" s="325" t="n">
        <v>149468</v>
      </c>
      <c r="U145" s="325" t="n">
        <v>149468</v>
      </c>
      <c r="V145" s="325" t="n">
        <v>0</v>
      </c>
      <c r="W145" s="325" t="n">
        <v>0</v>
      </c>
      <c r="X145" s="325" t="n">
        <v>0</v>
      </c>
      <c r="Y145" s="325" t="n">
        <v>0</v>
      </c>
      <c r="Z145" s="325" t="n">
        <v>0</v>
      </c>
      <c r="AA145" s="325"/>
      <c r="AB145" s="325"/>
      <c r="AC145" s="325"/>
      <c r="AD145" s="325"/>
      <c r="AE145" s="325" t="n">
        <f aca="false">R145</f>
        <v>149468</v>
      </c>
      <c r="AF145" s="325" t="n">
        <f aca="false">S145-R145</f>
        <v>0</v>
      </c>
      <c r="AG145" s="325" t="n">
        <f aca="false">T145-S145</f>
        <v>0</v>
      </c>
      <c r="AH145" s="325" t="n">
        <f aca="false">U145-T145</f>
        <v>0</v>
      </c>
      <c r="AI145" s="325" t="n">
        <f aca="false">V145-U145</f>
        <v>-149468</v>
      </c>
      <c r="AJ145" s="325" t="n">
        <f aca="false">W145-V145</f>
        <v>0</v>
      </c>
      <c r="AK145" s="325" t="n">
        <f aca="false">X145-W145</f>
        <v>0</v>
      </c>
      <c r="AL145" s="325" t="n">
        <f aca="false">Y145-X145</f>
        <v>0</v>
      </c>
      <c r="AM145" s="325" t="n">
        <f aca="false">Z145-Y145</f>
        <v>0</v>
      </c>
      <c r="AN145" s="325" t="s">
        <v>1679</v>
      </c>
      <c r="AO145" s="325" t="n">
        <f aca="false">AB145-AA145</f>
        <v>0</v>
      </c>
      <c r="AP145" s="325" t="n">
        <f aca="false">AC145-AB145</f>
        <v>0</v>
      </c>
      <c r="AR145" s="314" t="str">
        <f aca="false">IFERROR(VLOOKUP(M145,'BS_DEC 2026'!$D$12:$D$109,1,FALSE()),"(미존재)")</f>
        <v>선수금</v>
      </c>
    </row>
    <row r="146" customFormat="false" ht="16.5" hidden="false" customHeight="false" outlineLevel="0" collapsed="false">
      <c r="A146" s="317" t="s">
        <v>446</v>
      </c>
      <c r="B146" s="314" t="n">
        <v>42911000</v>
      </c>
      <c r="C146" s="314" t="s">
        <v>1816</v>
      </c>
      <c r="D146" s="314" t="s">
        <v>1570</v>
      </c>
      <c r="E146" s="314" t="s">
        <v>1637</v>
      </c>
      <c r="F146" s="314" t="s">
        <v>1812</v>
      </c>
      <c r="G146" s="314" t="s">
        <v>1639</v>
      </c>
      <c r="H146" s="314" t="s">
        <v>1495</v>
      </c>
      <c r="I146" s="314" t="s">
        <v>1813</v>
      </c>
      <c r="K146" s="314" t="s">
        <v>1814</v>
      </c>
      <c r="L146" s="324" t="s">
        <v>173</v>
      </c>
      <c r="M146" s="324" t="s">
        <v>186</v>
      </c>
      <c r="N146" s="324" t="s">
        <v>173</v>
      </c>
      <c r="O146" s="324" t="s">
        <v>1642</v>
      </c>
      <c r="P146" s="324" t="s">
        <v>1815</v>
      </c>
      <c r="Q146" s="325" t="n">
        <v>-2887000</v>
      </c>
      <c r="R146" s="325" t="n">
        <v>-41237560</v>
      </c>
      <c r="S146" s="325" t="n">
        <v>-3070096</v>
      </c>
      <c r="T146" s="325" t="n">
        <v>-10256450</v>
      </c>
      <c r="U146" s="325" t="n">
        <v>0</v>
      </c>
      <c r="V146" s="325" t="n">
        <v>0</v>
      </c>
      <c r="W146" s="325" t="n">
        <v>-81667686</v>
      </c>
      <c r="X146" s="325" t="n">
        <v>-2148808</v>
      </c>
      <c r="Y146" s="325" t="n">
        <v>0</v>
      </c>
      <c r="Z146" s="325" t="n">
        <v>0</v>
      </c>
      <c r="AA146" s="325"/>
      <c r="AB146" s="325"/>
      <c r="AC146" s="325"/>
      <c r="AD146" s="325"/>
      <c r="AE146" s="325" t="n">
        <f aca="false">R146</f>
        <v>-41237560</v>
      </c>
      <c r="AF146" s="325" t="n">
        <f aca="false">S146-R146</f>
        <v>38167464</v>
      </c>
      <c r="AG146" s="325" t="n">
        <f aca="false">T146-S146</f>
        <v>-7186354</v>
      </c>
      <c r="AH146" s="325" t="n">
        <f aca="false">U146-T146</f>
        <v>10256450</v>
      </c>
      <c r="AI146" s="325" t="n">
        <f aca="false">V146-U146</f>
        <v>0</v>
      </c>
      <c r="AJ146" s="325" t="n">
        <f aca="false">W146-V146</f>
        <v>-81667686</v>
      </c>
      <c r="AK146" s="325" t="n">
        <f aca="false">X146-W146</f>
        <v>79518878</v>
      </c>
      <c r="AL146" s="325" t="n">
        <f aca="false">Y146-X146</f>
        <v>2148808</v>
      </c>
      <c r="AM146" s="325" t="n">
        <f aca="false">Z146-Y146</f>
        <v>0</v>
      </c>
      <c r="AN146" s="325" t="s">
        <v>1679</v>
      </c>
      <c r="AO146" s="325" t="n">
        <f aca="false">AB146-AA146</f>
        <v>0</v>
      </c>
      <c r="AP146" s="325" t="n">
        <f aca="false">AC146-AB146</f>
        <v>0</v>
      </c>
      <c r="AR146" s="314" t="str">
        <f aca="false">IFERROR(VLOOKUP(M146,'BS_DEC 2026'!$D$12:$D$109,1,FALSE()),"(미존재)")</f>
        <v>선수금</v>
      </c>
    </row>
    <row r="147" customFormat="false" ht="16.5" hidden="false" customHeight="false" outlineLevel="0" collapsed="false">
      <c r="A147" s="317" t="s">
        <v>446</v>
      </c>
      <c r="B147" s="314" t="n">
        <v>42911100</v>
      </c>
      <c r="C147" s="314" t="s">
        <v>1817</v>
      </c>
      <c r="D147" s="314" t="s">
        <v>1570</v>
      </c>
      <c r="E147" s="314" t="s">
        <v>1637</v>
      </c>
      <c r="F147" s="314" t="s">
        <v>1638</v>
      </c>
      <c r="G147" s="314" t="s">
        <v>1639</v>
      </c>
      <c r="H147" s="314" t="s">
        <v>1495</v>
      </c>
      <c r="I147" s="314" t="s">
        <v>1818</v>
      </c>
      <c r="K147" s="314" t="s">
        <v>1819</v>
      </c>
      <c r="L147" s="324" t="s">
        <v>173</v>
      </c>
      <c r="M147" s="324" t="s">
        <v>191</v>
      </c>
      <c r="N147" s="324" t="s">
        <v>173</v>
      </c>
      <c r="O147" s="324" t="s">
        <v>1642</v>
      </c>
      <c r="P147" s="324" t="s">
        <v>191</v>
      </c>
      <c r="Q147" s="325" t="n">
        <v>-1034568702</v>
      </c>
      <c r="R147" s="325" t="n">
        <v>-919978482</v>
      </c>
      <c r="S147" s="325" t="n">
        <v>-919978482</v>
      </c>
      <c r="T147" s="325" t="n">
        <v>-919978482</v>
      </c>
      <c r="U147" s="325" t="n">
        <v>-807861904</v>
      </c>
      <c r="V147" s="325" t="n">
        <v>-692947399</v>
      </c>
      <c r="W147" s="325" t="n">
        <v>-577868518</v>
      </c>
      <c r="X147" s="325" t="n">
        <v>-462625026</v>
      </c>
      <c r="Y147" s="325" t="n">
        <v>-347216688</v>
      </c>
      <c r="Z147" s="325" t="n">
        <v>-231643268</v>
      </c>
      <c r="AA147" s="325"/>
      <c r="AB147" s="325"/>
      <c r="AC147" s="325"/>
      <c r="AD147" s="325"/>
      <c r="AE147" s="325" t="n">
        <f aca="false">R147</f>
        <v>-919978482</v>
      </c>
      <c r="AF147" s="325" t="n">
        <f aca="false">S147-R147</f>
        <v>0</v>
      </c>
      <c r="AG147" s="325" t="n">
        <f aca="false">T147-S147</f>
        <v>0</v>
      </c>
      <c r="AH147" s="325" t="n">
        <f aca="false">U147-T147</f>
        <v>112116578</v>
      </c>
      <c r="AI147" s="325" t="n">
        <f aca="false">V147-U147</f>
        <v>114914505</v>
      </c>
      <c r="AJ147" s="325" t="n">
        <f aca="false">W147-V147</f>
        <v>115078881</v>
      </c>
      <c r="AK147" s="325" t="n">
        <f aca="false">X147-W147</f>
        <v>115243492</v>
      </c>
      <c r="AL147" s="325" t="n">
        <f aca="false">Y147-X147</f>
        <v>115408338</v>
      </c>
      <c r="AM147" s="325" t="n">
        <f aca="false">Z147-Y147</f>
        <v>115573420</v>
      </c>
      <c r="AN147" s="325" t="s">
        <v>1679</v>
      </c>
      <c r="AO147" s="325" t="n">
        <f aca="false">AB147-AA147</f>
        <v>0</v>
      </c>
      <c r="AP147" s="325" t="n">
        <f aca="false">AC147-AB147</f>
        <v>0</v>
      </c>
      <c r="AR147" s="314" t="str">
        <f aca="false">IFERROR(VLOOKUP(M147,'BS_DEC 2026'!$D$12:$D$109,1,FALSE()),"(미존재)")</f>
        <v>미지급비용</v>
      </c>
    </row>
    <row r="148" customFormat="false" ht="16.5" hidden="false" customHeight="false" outlineLevel="0" collapsed="false">
      <c r="A148" s="317" t="s">
        <v>446</v>
      </c>
      <c r="B148" s="314" t="n">
        <v>42911101</v>
      </c>
      <c r="C148" s="314" t="s">
        <v>1820</v>
      </c>
      <c r="D148" s="314" t="s">
        <v>1570</v>
      </c>
      <c r="E148" s="314" t="s">
        <v>1637</v>
      </c>
      <c r="F148" s="314" t="s">
        <v>1638</v>
      </c>
      <c r="G148" s="314" t="s">
        <v>1639</v>
      </c>
      <c r="H148" s="314" t="s">
        <v>1495</v>
      </c>
      <c r="I148" s="314" t="s">
        <v>1821</v>
      </c>
      <c r="K148" s="314" t="s">
        <v>764</v>
      </c>
      <c r="L148" s="324" t="s">
        <v>173</v>
      </c>
      <c r="M148" s="324" t="s">
        <v>191</v>
      </c>
      <c r="N148" s="324" t="s">
        <v>173</v>
      </c>
      <c r="O148" s="324" t="s">
        <v>1642</v>
      </c>
      <c r="P148" s="324" t="s">
        <v>191</v>
      </c>
      <c r="Q148" s="325" t="n">
        <v>-1479860</v>
      </c>
      <c r="R148" s="325" t="n">
        <v>-1315948</v>
      </c>
      <c r="S148" s="325" t="n">
        <v>-2633783</v>
      </c>
      <c r="T148" s="325" t="n">
        <v>-3953503</v>
      </c>
      <c r="U148" s="325" t="n">
        <v>-1155576</v>
      </c>
      <c r="V148" s="325" t="n">
        <v>-991200</v>
      </c>
      <c r="W148" s="325" t="n">
        <v>-826589</v>
      </c>
      <c r="X148" s="325" t="n">
        <v>-661743</v>
      </c>
      <c r="Y148" s="325" t="n">
        <v>-496661</v>
      </c>
      <c r="Z148" s="325" t="n">
        <v>-331343</v>
      </c>
      <c r="AA148" s="325"/>
      <c r="AB148" s="325"/>
      <c r="AC148" s="325"/>
      <c r="AD148" s="325"/>
      <c r="AE148" s="325" t="n">
        <f aca="false">R148</f>
        <v>-1315948</v>
      </c>
      <c r="AF148" s="325" t="n">
        <f aca="false">S148-R148</f>
        <v>-1317835</v>
      </c>
      <c r="AG148" s="325" t="n">
        <f aca="false">T148-S148</f>
        <v>-1319720</v>
      </c>
      <c r="AH148" s="325" t="n">
        <f aca="false">U148-T148</f>
        <v>2797927</v>
      </c>
      <c r="AI148" s="325" t="n">
        <f aca="false">V148-U148</f>
        <v>164376</v>
      </c>
      <c r="AJ148" s="325" t="n">
        <f aca="false">W148-V148</f>
        <v>164611</v>
      </c>
      <c r="AK148" s="325" t="n">
        <f aca="false">X148-W148</f>
        <v>164846</v>
      </c>
      <c r="AL148" s="325" t="n">
        <f aca="false">Y148-X148</f>
        <v>165082</v>
      </c>
      <c r="AM148" s="325" t="n">
        <f aca="false">Z148-Y148</f>
        <v>165318</v>
      </c>
      <c r="AN148" s="325" t="s">
        <v>1679</v>
      </c>
      <c r="AO148" s="325" t="n">
        <f aca="false">AB148-AA148</f>
        <v>0</v>
      </c>
      <c r="AP148" s="325" t="n">
        <f aca="false">AC148-AB148</f>
        <v>0</v>
      </c>
      <c r="AR148" s="314" t="str">
        <f aca="false">IFERROR(VLOOKUP(M148,'BS_DEC 2026'!$D$12:$D$109,1,FALSE()),"(미존재)")</f>
        <v>미지급비용</v>
      </c>
    </row>
    <row r="149" customFormat="false" ht="16.5" hidden="false" customHeight="false" outlineLevel="0" collapsed="false">
      <c r="A149" s="317" t="s">
        <v>446</v>
      </c>
      <c r="B149" s="314" t="n">
        <v>42920000</v>
      </c>
      <c r="C149" s="314" t="s">
        <v>1822</v>
      </c>
      <c r="D149" s="314" t="s">
        <v>1570</v>
      </c>
      <c r="E149" s="314" t="s">
        <v>1637</v>
      </c>
      <c r="F149" s="314" t="s">
        <v>1644</v>
      </c>
      <c r="G149" s="314" t="s">
        <v>1639</v>
      </c>
      <c r="H149" s="314" t="s">
        <v>1495</v>
      </c>
      <c r="I149" s="314" t="s">
        <v>1823</v>
      </c>
      <c r="K149" s="314" t="s">
        <v>1824</v>
      </c>
      <c r="L149" s="324" t="s">
        <v>173</v>
      </c>
      <c r="M149" s="324" t="s">
        <v>194</v>
      </c>
      <c r="N149" s="324" t="s">
        <v>173</v>
      </c>
      <c r="O149" s="324" t="s">
        <v>1642</v>
      </c>
      <c r="P149" s="324" t="s">
        <v>188</v>
      </c>
      <c r="Q149" s="325" t="n">
        <v>-17831350526</v>
      </c>
      <c r="R149" s="325" t="n">
        <v>-6906019014</v>
      </c>
      <c r="S149" s="325" t="n">
        <v>-12618703010</v>
      </c>
      <c r="T149" s="325" t="n">
        <v>-19074755351</v>
      </c>
      <c r="U149" s="325" t="n">
        <v>-5617541137</v>
      </c>
      <c r="V149" s="325" t="n">
        <v>-11715363611</v>
      </c>
      <c r="W149" s="325" t="n">
        <v>-17485720105</v>
      </c>
      <c r="X149" s="325" t="n">
        <v>-6164137525</v>
      </c>
      <c r="Y149" s="325" t="n">
        <v>-12381298391</v>
      </c>
      <c r="Z149" s="325" t="n">
        <v>-22255016822</v>
      </c>
      <c r="AA149" s="325"/>
      <c r="AB149" s="325"/>
      <c r="AC149" s="325"/>
      <c r="AD149" s="325"/>
      <c r="AE149" s="325" t="n">
        <f aca="false">R149</f>
        <v>-6906019014</v>
      </c>
      <c r="AF149" s="325" t="n">
        <f aca="false">S149-R149</f>
        <v>-5712683996</v>
      </c>
      <c r="AG149" s="325" t="n">
        <f aca="false">T149-S149</f>
        <v>-6456052341</v>
      </c>
      <c r="AH149" s="325" t="n">
        <f aca="false">U149-T149</f>
        <v>13457214214</v>
      </c>
      <c r="AI149" s="325" t="n">
        <f aca="false">V149-U149</f>
        <v>-6097822474</v>
      </c>
      <c r="AJ149" s="325" t="n">
        <f aca="false">W149-V149</f>
        <v>-5770356494</v>
      </c>
      <c r="AK149" s="325" t="n">
        <f aca="false">X149-W149</f>
        <v>11321582580</v>
      </c>
      <c r="AL149" s="325" t="n">
        <f aca="false">Y149-X149</f>
        <v>-6217160866</v>
      </c>
      <c r="AM149" s="325" t="n">
        <f aca="false">Z149-Y149</f>
        <v>-9873718431</v>
      </c>
      <c r="AN149" s="325" t="s">
        <v>1679</v>
      </c>
      <c r="AO149" s="325" t="n">
        <f aca="false">AB149-AA149</f>
        <v>0</v>
      </c>
      <c r="AP149" s="325" t="n">
        <f aca="false">AC149-AB149</f>
        <v>0</v>
      </c>
      <c r="AR149" s="314" t="str">
        <f aca="false">IFERROR(VLOOKUP(M149,'BS_DEC 2026'!$D$12:$D$109,1,FALSE()),"(미존재)")</f>
        <v>부가가치세예수금</v>
      </c>
    </row>
    <row r="150" customFormat="false" ht="16.5" hidden="false" customHeight="false" outlineLevel="0" collapsed="false">
      <c r="A150" s="317" t="s">
        <v>446</v>
      </c>
      <c r="B150" s="314" t="n">
        <v>42930000</v>
      </c>
      <c r="C150" s="314" t="s">
        <v>1825</v>
      </c>
      <c r="D150" s="314" t="s">
        <v>1570</v>
      </c>
      <c r="E150" s="314" t="s">
        <v>1637</v>
      </c>
      <c r="F150" s="314" t="s">
        <v>1826</v>
      </c>
      <c r="G150" s="314" t="s">
        <v>1639</v>
      </c>
      <c r="H150" s="314" t="s">
        <v>1495</v>
      </c>
      <c r="I150" s="314" t="s">
        <v>1827</v>
      </c>
      <c r="K150" s="314" t="s">
        <v>1828</v>
      </c>
      <c r="L150" s="324" t="s">
        <v>173</v>
      </c>
      <c r="M150" s="324" t="s">
        <v>197</v>
      </c>
      <c r="N150" s="324" t="s">
        <v>173</v>
      </c>
      <c r="O150" s="324" t="s">
        <v>1642</v>
      </c>
      <c r="P150" s="324" t="s">
        <v>197</v>
      </c>
      <c r="Q150" s="325" t="n">
        <v>-11006749505</v>
      </c>
      <c r="R150" s="325" t="n">
        <v>-11006749505</v>
      </c>
      <c r="S150" s="325" t="n">
        <v>-11006749505</v>
      </c>
      <c r="T150" s="325" t="n">
        <v>-5318446410</v>
      </c>
      <c r="U150" s="325" t="n">
        <v>-1499068730</v>
      </c>
      <c r="V150" s="325" t="n">
        <v>-1499068730</v>
      </c>
      <c r="W150" s="325" t="n">
        <v>-1013432663</v>
      </c>
      <c r="X150" s="325" t="n">
        <v>-2433129087</v>
      </c>
      <c r="Y150" s="325" t="n">
        <v>-5102411095</v>
      </c>
      <c r="Z150" s="325" t="n">
        <v>-3452659288</v>
      </c>
      <c r="AA150" s="325"/>
      <c r="AB150" s="325"/>
      <c r="AC150" s="325"/>
      <c r="AD150" s="325"/>
      <c r="AE150" s="325" t="n">
        <f aca="false">R150</f>
        <v>-11006749505</v>
      </c>
      <c r="AF150" s="325" t="n">
        <f aca="false">S150-R150</f>
        <v>0</v>
      </c>
      <c r="AG150" s="325" t="n">
        <f aca="false">T150-S150</f>
        <v>5688303095</v>
      </c>
      <c r="AH150" s="325" t="n">
        <f aca="false">U150-T150</f>
        <v>3819377680</v>
      </c>
      <c r="AI150" s="325" t="n">
        <f aca="false">V150-U150</f>
        <v>0</v>
      </c>
      <c r="AJ150" s="325" t="n">
        <f aca="false">W150-V150</f>
        <v>485636067</v>
      </c>
      <c r="AK150" s="325" t="n">
        <f aca="false">X150-W150</f>
        <v>-1419696424</v>
      </c>
      <c r="AL150" s="325" t="n">
        <f aca="false">Y150-X150</f>
        <v>-2669282008</v>
      </c>
      <c r="AM150" s="325" t="n">
        <f aca="false">Z150-Y150</f>
        <v>1649751807</v>
      </c>
      <c r="AN150" s="325" t="s">
        <v>1679</v>
      </c>
      <c r="AO150" s="325" t="n">
        <f aca="false">AB150-AA150</f>
        <v>0</v>
      </c>
      <c r="AP150" s="325" t="n">
        <f aca="false">AC150-AB150</f>
        <v>0</v>
      </c>
      <c r="AR150" s="314" t="str">
        <f aca="false">IFERROR(VLOOKUP(M150,'BS_DEC 2026'!$D$12:$D$109,1,FALSE()),"(미존재)")</f>
        <v>미지급법인세</v>
      </c>
    </row>
    <row r="151" customFormat="false" ht="16.5" hidden="false" customHeight="false" outlineLevel="0" collapsed="false">
      <c r="A151" s="317" t="s">
        <v>446</v>
      </c>
      <c r="B151" s="314" t="n">
        <v>42930850</v>
      </c>
      <c r="C151" s="314" t="s">
        <v>1829</v>
      </c>
      <c r="D151" s="314" t="s">
        <v>1512</v>
      </c>
      <c r="E151" s="314" t="s">
        <v>1593</v>
      </c>
      <c r="F151" s="314" t="s">
        <v>1830</v>
      </c>
      <c r="G151" s="314" t="s">
        <v>1515</v>
      </c>
      <c r="H151" s="314" t="s">
        <v>1495</v>
      </c>
      <c r="I151" s="314" t="s">
        <v>1831</v>
      </c>
      <c r="K151" s="314" t="s">
        <v>1832</v>
      </c>
      <c r="L151" s="324" t="s">
        <v>447</v>
      </c>
      <c r="M151" s="324" t="s">
        <v>162</v>
      </c>
      <c r="N151" s="324" t="s">
        <v>447</v>
      </c>
      <c r="O151" s="324" t="s">
        <v>1518</v>
      </c>
      <c r="P151" s="324" t="s">
        <v>162</v>
      </c>
      <c r="Q151" s="325" t="n">
        <v>4436894520</v>
      </c>
      <c r="R151" s="325" t="n">
        <v>4436894520</v>
      </c>
      <c r="S151" s="325" t="n">
        <v>4436894520</v>
      </c>
      <c r="T151" s="325" t="n">
        <v>0</v>
      </c>
      <c r="U151" s="325" t="n">
        <v>0</v>
      </c>
      <c r="V151" s="325" t="n">
        <v>0</v>
      </c>
      <c r="W151" s="325" t="n">
        <v>0</v>
      </c>
      <c r="X151" s="325" t="n">
        <v>0</v>
      </c>
      <c r="Y151" s="325" t="n">
        <v>5031520750</v>
      </c>
      <c r="Z151" s="325" t="n">
        <v>0</v>
      </c>
      <c r="AA151" s="325"/>
      <c r="AB151" s="325"/>
      <c r="AC151" s="325"/>
      <c r="AD151" s="325"/>
      <c r="AE151" s="325" t="n">
        <f aca="false">R151</f>
        <v>4436894520</v>
      </c>
      <c r="AF151" s="325" t="n">
        <f aca="false">S151-R151</f>
        <v>0</v>
      </c>
      <c r="AG151" s="325" t="n">
        <f aca="false">T151-S151</f>
        <v>-4436894520</v>
      </c>
      <c r="AH151" s="325" t="n">
        <f aca="false">U151-T151</f>
        <v>0</v>
      </c>
      <c r="AI151" s="325" t="n">
        <f aca="false">V151-U151</f>
        <v>0</v>
      </c>
      <c r="AJ151" s="325" t="n">
        <f aca="false">W151-V151</f>
        <v>0</v>
      </c>
      <c r="AK151" s="325" t="n">
        <f aca="false">X151-W151</f>
        <v>0</v>
      </c>
      <c r="AL151" s="325" t="n">
        <f aca="false">Y151-X151</f>
        <v>5031520750</v>
      </c>
      <c r="AM151" s="325" t="n">
        <f aca="false">Z151-Y151</f>
        <v>-5031520750</v>
      </c>
      <c r="AN151" s="325" t="s">
        <v>1679</v>
      </c>
      <c r="AO151" s="325" t="n">
        <f aca="false">AB151-AA151</f>
        <v>0</v>
      </c>
      <c r="AP151" s="325" t="n">
        <f aca="false">AC151-AB151</f>
        <v>0</v>
      </c>
      <c r="AR151" s="314" t="str">
        <f aca="false">IFERROR(VLOOKUP(M151,'BS_DEC 2026'!$D$12:$D$109,1,FALSE()),"(미존재)")</f>
        <v>선급법인세</v>
      </c>
    </row>
    <row r="152" customFormat="false" ht="16.5" hidden="false" customHeight="false" outlineLevel="0" collapsed="false">
      <c r="A152" s="317" t="s">
        <v>446</v>
      </c>
      <c r="B152" s="314" t="n">
        <v>42930851</v>
      </c>
      <c r="C152" s="314" t="s">
        <v>1833</v>
      </c>
      <c r="D152" s="314" t="s">
        <v>1512</v>
      </c>
      <c r="E152" s="314" t="s">
        <v>1593</v>
      </c>
      <c r="F152" s="314" t="s">
        <v>1830</v>
      </c>
      <c r="G152" s="314" t="s">
        <v>1515</v>
      </c>
      <c r="H152" s="314" t="s">
        <v>1495</v>
      </c>
      <c r="I152" s="314" t="s">
        <v>1831</v>
      </c>
      <c r="K152" s="314" t="s">
        <v>1832</v>
      </c>
      <c r="L152" s="324" t="s">
        <v>447</v>
      </c>
      <c r="M152" s="324" t="s">
        <v>162</v>
      </c>
      <c r="N152" s="324" t="s">
        <v>447</v>
      </c>
      <c r="O152" s="324" t="s">
        <v>1518</v>
      </c>
      <c r="P152" s="324" t="s">
        <v>162</v>
      </c>
      <c r="Q152" s="325" t="n">
        <v>33826420</v>
      </c>
      <c r="R152" s="325" t="n">
        <v>35092720</v>
      </c>
      <c r="S152" s="325" t="n">
        <v>41875080</v>
      </c>
      <c r="T152" s="325" t="n">
        <v>16870530</v>
      </c>
      <c r="U152" s="325" t="n">
        <v>21956960</v>
      </c>
      <c r="V152" s="325" t="n">
        <v>22991400</v>
      </c>
      <c r="W152" s="325" t="n">
        <v>26693390</v>
      </c>
      <c r="X152" s="325" t="n">
        <v>27221310</v>
      </c>
      <c r="Y152" s="325" t="n">
        <v>28384510</v>
      </c>
      <c r="Z152" s="325" t="n">
        <v>0</v>
      </c>
      <c r="AA152" s="325"/>
      <c r="AB152" s="325"/>
      <c r="AC152" s="325"/>
      <c r="AD152" s="325"/>
      <c r="AE152" s="325" t="n">
        <f aca="false">R152</f>
        <v>35092720</v>
      </c>
      <c r="AF152" s="325" t="n">
        <f aca="false">S152-R152</f>
        <v>6782360</v>
      </c>
      <c r="AG152" s="325" t="n">
        <f aca="false">T152-S152</f>
        <v>-25004550</v>
      </c>
      <c r="AH152" s="325" t="n">
        <f aca="false">U152-T152</f>
        <v>5086430</v>
      </c>
      <c r="AI152" s="325" t="n">
        <f aca="false">V152-U152</f>
        <v>1034440</v>
      </c>
      <c r="AJ152" s="325" t="n">
        <f aca="false">W152-V152</f>
        <v>3701990</v>
      </c>
      <c r="AK152" s="325" t="n">
        <f aca="false">X152-W152</f>
        <v>527920</v>
      </c>
      <c r="AL152" s="325" t="n">
        <f aca="false">Y152-X152</f>
        <v>1163200</v>
      </c>
      <c r="AM152" s="325" t="n">
        <f aca="false">Z152-Y152</f>
        <v>-28384510</v>
      </c>
      <c r="AN152" s="325" t="s">
        <v>1679</v>
      </c>
      <c r="AO152" s="325" t="n">
        <f aca="false">AB152-AA152</f>
        <v>0</v>
      </c>
      <c r="AP152" s="325" t="n">
        <f aca="false">AC152-AB152</f>
        <v>0</v>
      </c>
      <c r="AR152" s="314" t="str">
        <f aca="false">IFERROR(VLOOKUP(M152,'BS_DEC 2026'!$D$12:$D$109,1,FALSE()),"(미존재)")</f>
        <v>선급법인세</v>
      </c>
    </row>
    <row r="153" customFormat="false" ht="16.5" hidden="false" customHeight="false" outlineLevel="0" collapsed="false">
      <c r="A153" s="317" t="s">
        <v>446</v>
      </c>
      <c r="B153" s="314" t="n">
        <v>42940003</v>
      </c>
      <c r="C153" s="314" t="s">
        <v>1834</v>
      </c>
      <c r="D153" s="314" t="s">
        <v>1570</v>
      </c>
      <c r="E153" s="314" t="s">
        <v>1637</v>
      </c>
      <c r="F153" s="314" t="s">
        <v>1644</v>
      </c>
      <c r="G153" s="314" t="s">
        <v>1639</v>
      </c>
      <c r="H153" s="314" t="s">
        <v>1495</v>
      </c>
      <c r="I153" s="314" t="s">
        <v>1827</v>
      </c>
      <c r="K153" s="314" t="s">
        <v>1828</v>
      </c>
      <c r="L153" s="324" t="s">
        <v>173</v>
      </c>
      <c r="M153" s="324" t="s">
        <v>188</v>
      </c>
      <c r="N153" s="324" t="s">
        <v>173</v>
      </c>
      <c r="O153" s="324" t="s">
        <v>1642</v>
      </c>
      <c r="P153" s="324" t="s">
        <v>188</v>
      </c>
      <c r="Q153" s="325" t="n">
        <v>-42105600</v>
      </c>
      <c r="R153" s="325" t="n">
        <v>-48412297</v>
      </c>
      <c r="S153" s="325" t="n">
        <v>-74843171</v>
      </c>
      <c r="T153" s="325" t="n">
        <v>-98577976</v>
      </c>
      <c r="U153" s="325" t="n">
        <v>-109258274</v>
      </c>
      <c r="V153" s="325" t="n">
        <v>-122684292</v>
      </c>
      <c r="W153" s="325" t="n">
        <v>-156921223</v>
      </c>
      <c r="X153" s="325" t="n">
        <v>-126987629</v>
      </c>
      <c r="Y153" s="325" t="n">
        <v>-171936728</v>
      </c>
      <c r="Z153" s="325" t="n">
        <v>-213945232</v>
      </c>
      <c r="AA153" s="325"/>
      <c r="AB153" s="325"/>
      <c r="AC153" s="325"/>
      <c r="AD153" s="325"/>
      <c r="AE153" s="325" t="n">
        <f aca="false">R153</f>
        <v>-48412297</v>
      </c>
      <c r="AF153" s="325" t="n">
        <f aca="false">S153-R153</f>
        <v>-26430874</v>
      </c>
      <c r="AG153" s="325" t="n">
        <f aca="false">T153-S153</f>
        <v>-23734805</v>
      </c>
      <c r="AH153" s="325" t="n">
        <f aca="false">U153-T153</f>
        <v>-10680298</v>
      </c>
      <c r="AI153" s="325" t="n">
        <f aca="false">V153-U153</f>
        <v>-13426018</v>
      </c>
      <c r="AJ153" s="325" t="n">
        <f aca="false">W153-V153</f>
        <v>-34236931</v>
      </c>
      <c r="AK153" s="325" t="n">
        <f aca="false">X153-W153</f>
        <v>29933594</v>
      </c>
      <c r="AL153" s="325" t="n">
        <f aca="false">Y153-X153</f>
        <v>-44949099</v>
      </c>
      <c r="AM153" s="325" t="n">
        <f aca="false">Z153-Y153</f>
        <v>-42008504</v>
      </c>
      <c r="AN153" s="325" t="s">
        <v>1679</v>
      </c>
      <c r="AO153" s="325" t="n">
        <f aca="false">AB153-AA153</f>
        <v>0</v>
      </c>
      <c r="AP153" s="325" t="n">
        <f aca="false">AC153-AB153</f>
        <v>0</v>
      </c>
      <c r="AR153" s="314" t="str">
        <f aca="false">IFERROR(VLOOKUP(M153,'BS_DEC 2026'!$D$12:$D$109,1,FALSE()),"(미존재)")</f>
        <v>예수금</v>
      </c>
    </row>
    <row r="154" customFormat="false" ht="16.5" hidden="false" customHeight="false" outlineLevel="0" collapsed="false">
      <c r="A154" s="317" t="s">
        <v>446</v>
      </c>
      <c r="B154" s="314" t="n">
        <v>42940854</v>
      </c>
      <c r="C154" s="314" t="s">
        <v>1835</v>
      </c>
      <c r="D154" s="314" t="s">
        <v>1570</v>
      </c>
      <c r="E154" s="314" t="s">
        <v>1637</v>
      </c>
      <c r="F154" s="314" t="s">
        <v>1644</v>
      </c>
      <c r="G154" s="314" t="s">
        <v>1639</v>
      </c>
      <c r="H154" s="314" t="s">
        <v>1495</v>
      </c>
      <c r="I154" s="314" t="s">
        <v>1827</v>
      </c>
      <c r="K154" s="314" t="s">
        <v>1828</v>
      </c>
      <c r="L154" s="324" t="s">
        <v>173</v>
      </c>
      <c r="M154" s="324" t="s">
        <v>188</v>
      </c>
      <c r="N154" s="324" t="s">
        <v>173</v>
      </c>
      <c r="O154" s="324" t="s">
        <v>1642</v>
      </c>
      <c r="P154" s="324" t="s">
        <v>188</v>
      </c>
      <c r="Q154" s="325" t="n">
        <v>0</v>
      </c>
      <c r="R154" s="325" t="n">
        <v>0</v>
      </c>
      <c r="S154" s="325" t="n">
        <v>0</v>
      </c>
      <c r="T154" s="325" t="n">
        <v>-481971360</v>
      </c>
      <c r="U154" s="325" t="n">
        <v>-481971360</v>
      </c>
      <c r="V154" s="325" t="n">
        <v>0</v>
      </c>
      <c r="W154" s="325" t="n">
        <v>5795490</v>
      </c>
      <c r="X154" s="325" t="n">
        <v>0</v>
      </c>
      <c r="Y154" s="325" t="n">
        <v>0</v>
      </c>
      <c r="Z154" s="325" t="n">
        <v>0</v>
      </c>
      <c r="AA154" s="325"/>
      <c r="AB154" s="325"/>
      <c r="AC154" s="325"/>
      <c r="AD154" s="325"/>
      <c r="AE154" s="325" t="n">
        <f aca="false">R154</f>
        <v>0</v>
      </c>
      <c r="AF154" s="325" t="n">
        <f aca="false">S154-R154</f>
        <v>0</v>
      </c>
      <c r="AG154" s="325" t="n">
        <f aca="false">T154-S154</f>
        <v>-481971360</v>
      </c>
      <c r="AH154" s="325" t="n">
        <f aca="false">U154-T154</f>
        <v>0</v>
      </c>
      <c r="AI154" s="325" t="n">
        <f aca="false">V154-U154</f>
        <v>481971360</v>
      </c>
      <c r="AJ154" s="325" t="n">
        <f aca="false">W154-V154</f>
        <v>5795490</v>
      </c>
      <c r="AK154" s="325" t="n">
        <f aca="false">X154-W154</f>
        <v>-5795490</v>
      </c>
      <c r="AL154" s="325" t="n">
        <f aca="false">Y154-X154</f>
        <v>0</v>
      </c>
      <c r="AM154" s="325" t="n">
        <f aca="false">Z154-Y154</f>
        <v>0</v>
      </c>
      <c r="AN154" s="325" t="s">
        <v>1679</v>
      </c>
      <c r="AO154" s="325" t="n">
        <f aca="false">AB154-AA154</f>
        <v>0</v>
      </c>
      <c r="AP154" s="325" t="n">
        <f aca="false">AC154-AB154</f>
        <v>0</v>
      </c>
      <c r="AR154" s="314" t="str">
        <f aca="false">IFERROR(VLOOKUP(M154,'BS_DEC 2026'!$D$12:$D$109,1,FALSE()),"(미존재)")</f>
        <v>예수금</v>
      </c>
    </row>
    <row r="155" customFormat="false" ht="16.5" hidden="false" customHeight="false" outlineLevel="0" collapsed="false">
      <c r="A155" s="317" t="s">
        <v>446</v>
      </c>
      <c r="B155" s="314" t="n">
        <v>42940855</v>
      </c>
      <c r="C155" s="314" t="s">
        <v>1836</v>
      </c>
      <c r="G155" s="314" t="s">
        <v>1639</v>
      </c>
      <c r="H155" s="314" t="s">
        <v>1495</v>
      </c>
      <c r="I155" s="314" t="s">
        <v>1796</v>
      </c>
      <c r="K155" s="314" t="s">
        <v>1797</v>
      </c>
      <c r="L155" s="314" t="s">
        <v>1635</v>
      </c>
      <c r="M155" s="314" t="s">
        <v>1635</v>
      </c>
      <c r="N155" s="314" t="s">
        <v>1635</v>
      </c>
      <c r="O155" s="314" t="s">
        <v>1635</v>
      </c>
      <c r="P155" s="314" t="s">
        <v>1635</v>
      </c>
      <c r="Q155" s="325" t="n">
        <v>0</v>
      </c>
      <c r="R155" s="325" t="n">
        <v>0</v>
      </c>
      <c r="S155" s="325" t="n">
        <v>0</v>
      </c>
      <c r="T155" s="325" t="n">
        <v>0</v>
      </c>
      <c r="U155" s="325" t="n">
        <v>0</v>
      </c>
      <c r="V155" s="325" t="n">
        <v>0</v>
      </c>
      <c r="W155" s="325" t="n">
        <v>0</v>
      </c>
      <c r="X155" s="325" t="n">
        <v>0</v>
      </c>
      <c r="Y155" s="325" t="n">
        <v>0</v>
      </c>
      <c r="Z155" s="325" t="n">
        <v>0</v>
      </c>
      <c r="AA155" s="325"/>
      <c r="AB155" s="325"/>
      <c r="AC155" s="325"/>
      <c r="AD155" s="325"/>
      <c r="AE155" s="325" t="n">
        <f aca="false">R155</f>
        <v>0</v>
      </c>
      <c r="AF155" s="325" t="n">
        <f aca="false">S155-R155</f>
        <v>0</v>
      </c>
      <c r="AG155" s="325" t="n">
        <f aca="false">T155-S155</f>
        <v>0</v>
      </c>
      <c r="AH155" s="325" t="n">
        <f aca="false">U155-T155</f>
        <v>0</v>
      </c>
      <c r="AI155" s="325" t="n">
        <f aca="false">V155-U155</f>
        <v>0</v>
      </c>
      <c r="AJ155" s="325" t="n">
        <f aca="false">W155-V155</f>
        <v>0</v>
      </c>
      <c r="AK155" s="325" t="n">
        <f aca="false">X155-W155</f>
        <v>0</v>
      </c>
      <c r="AL155" s="325" t="n">
        <f aca="false">Y155-X155</f>
        <v>0</v>
      </c>
      <c r="AM155" s="325" t="n">
        <f aca="false">Z155-Y155</f>
        <v>0</v>
      </c>
      <c r="AN155" s="325" t="s">
        <v>1679</v>
      </c>
      <c r="AO155" s="325" t="n">
        <f aca="false">AB155-AA155</f>
        <v>0</v>
      </c>
      <c r="AP155" s="325" t="n">
        <f aca="false">AC155-AB155</f>
        <v>0</v>
      </c>
      <c r="AR155" s="314" t="str">
        <f aca="false">IFERROR(VLOOKUP(M155,'BS_DEC 2026'!$D$12:$D$109,1,FALSE()),"(미존재)")</f>
        <v>(미존재)</v>
      </c>
    </row>
    <row r="156" customFormat="false" ht="16.5" hidden="false" customHeight="false" outlineLevel="0" collapsed="false">
      <c r="A156" s="317" t="s">
        <v>446</v>
      </c>
      <c r="B156" s="314" t="n">
        <v>42940856</v>
      </c>
      <c r="C156" s="314" t="s">
        <v>1837</v>
      </c>
      <c r="D156" s="314" t="s">
        <v>1570</v>
      </c>
      <c r="E156" s="314" t="s">
        <v>1637</v>
      </c>
      <c r="F156" s="314" t="s">
        <v>1644</v>
      </c>
      <c r="G156" s="314" t="s">
        <v>1639</v>
      </c>
      <c r="H156" s="314" t="s">
        <v>1495</v>
      </c>
      <c r="I156" s="314" t="s">
        <v>1796</v>
      </c>
      <c r="K156" s="314" t="s">
        <v>1797</v>
      </c>
      <c r="L156" s="324" t="s">
        <v>173</v>
      </c>
      <c r="M156" s="324" t="s">
        <v>188</v>
      </c>
      <c r="N156" s="324" t="s">
        <v>173</v>
      </c>
      <c r="O156" s="324" t="s">
        <v>1642</v>
      </c>
      <c r="P156" s="324" t="s">
        <v>188</v>
      </c>
      <c r="Q156" s="325" t="n">
        <v>1028428</v>
      </c>
      <c r="R156" s="325" t="n">
        <v>1928428</v>
      </c>
      <c r="S156" s="325" t="n">
        <v>1520428</v>
      </c>
      <c r="T156" s="325" t="n">
        <v>-583572</v>
      </c>
      <c r="U156" s="325" t="n">
        <v>160428</v>
      </c>
      <c r="V156" s="325" t="n">
        <v>-903572</v>
      </c>
      <c r="W156" s="325" t="n">
        <v>-1847572</v>
      </c>
      <c r="X156" s="325" t="n">
        <v>-871572</v>
      </c>
      <c r="Y156" s="325" t="n">
        <v>352428</v>
      </c>
      <c r="Z156" s="325" t="n">
        <v>5715518</v>
      </c>
      <c r="AA156" s="325"/>
      <c r="AB156" s="325"/>
      <c r="AC156" s="325"/>
      <c r="AD156" s="325"/>
      <c r="AE156" s="325" t="n">
        <f aca="false">R156</f>
        <v>1928428</v>
      </c>
      <c r="AF156" s="325" t="n">
        <f aca="false">S156-R156</f>
        <v>-408000</v>
      </c>
      <c r="AG156" s="325" t="n">
        <f aca="false">T156-S156</f>
        <v>-2104000</v>
      </c>
      <c r="AH156" s="325" t="n">
        <f aca="false">U156-T156</f>
        <v>744000</v>
      </c>
      <c r="AI156" s="325" t="n">
        <f aca="false">V156-U156</f>
        <v>-1064000</v>
      </c>
      <c r="AJ156" s="325" t="n">
        <f aca="false">W156-V156</f>
        <v>-944000</v>
      </c>
      <c r="AK156" s="325" t="n">
        <f aca="false">X156-W156</f>
        <v>976000</v>
      </c>
      <c r="AL156" s="325" t="n">
        <f aca="false">Y156-X156</f>
        <v>1224000</v>
      </c>
      <c r="AM156" s="325" t="n">
        <f aca="false">Z156-Y156</f>
        <v>5363090</v>
      </c>
      <c r="AN156" s="325" t="s">
        <v>1679</v>
      </c>
      <c r="AO156" s="325" t="n">
        <f aca="false">AB156-AA156</f>
        <v>0</v>
      </c>
      <c r="AP156" s="325" t="n">
        <f aca="false">AC156-AB156</f>
        <v>0</v>
      </c>
      <c r="AR156" s="314" t="str">
        <f aca="false">IFERROR(VLOOKUP(M156,'BS_DEC 2026'!$D$12:$D$109,1,FALSE()),"(미존재)")</f>
        <v>예수금</v>
      </c>
    </row>
    <row r="157" customFormat="false" ht="16.5" hidden="false" customHeight="false" outlineLevel="0" collapsed="false">
      <c r="A157" s="317" t="s">
        <v>446</v>
      </c>
      <c r="B157" s="314" t="n">
        <v>42940857</v>
      </c>
      <c r="C157" s="314" t="s">
        <v>1838</v>
      </c>
      <c r="D157" s="314" t="s">
        <v>1570</v>
      </c>
      <c r="E157" s="314" t="s">
        <v>1637</v>
      </c>
      <c r="F157" s="314" t="s">
        <v>1644</v>
      </c>
      <c r="G157" s="314" t="s">
        <v>1639</v>
      </c>
      <c r="H157" s="314" t="s">
        <v>1495</v>
      </c>
      <c r="I157" s="314" t="s">
        <v>1796</v>
      </c>
      <c r="K157" s="314" t="s">
        <v>1797</v>
      </c>
      <c r="L157" s="324" t="s">
        <v>173</v>
      </c>
      <c r="M157" s="324" t="s">
        <v>188</v>
      </c>
      <c r="N157" s="324" t="s">
        <v>173</v>
      </c>
      <c r="O157" s="324" t="s">
        <v>1642</v>
      </c>
      <c r="P157" s="324" t="s">
        <v>188</v>
      </c>
      <c r="Q157" s="325" t="n">
        <v>0</v>
      </c>
      <c r="R157" s="325" t="n">
        <v>0</v>
      </c>
      <c r="S157" s="325" t="n">
        <v>0</v>
      </c>
      <c r="T157" s="325" t="n">
        <v>0</v>
      </c>
      <c r="U157" s="325" t="n">
        <v>0</v>
      </c>
      <c r="V157" s="325" t="n">
        <v>0</v>
      </c>
      <c r="W157" s="325" t="n">
        <v>0</v>
      </c>
      <c r="X157" s="325" t="n">
        <v>0</v>
      </c>
      <c r="Y157" s="325" t="n">
        <v>0</v>
      </c>
      <c r="Z157" s="325" t="n">
        <v>0</v>
      </c>
      <c r="AA157" s="325"/>
      <c r="AB157" s="325"/>
      <c r="AC157" s="325"/>
      <c r="AD157" s="325"/>
      <c r="AE157" s="325" t="n">
        <f aca="false">R157</f>
        <v>0</v>
      </c>
      <c r="AF157" s="325" t="n">
        <f aca="false">S157-R157</f>
        <v>0</v>
      </c>
      <c r="AG157" s="325" t="n">
        <f aca="false">T157-S157</f>
        <v>0</v>
      </c>
      <c r="AH157" s="325" t="n">
        <f aca="false">U157-T157</f>
        <v>0</v>
      </c>
      <c r="AI157" s="325" t="n">
        <f aca="false">V157-U157</f>
        <v>0</v>
      </c>
      <c r="AJ157" s="325" t="n">
        <f aca="false">W157-V157</f>
        <v>0</v>
      </c>
      <c r="AK157" s="325" t="n">
        <f aca="false">X157-W157</f>
        <v>0</v>
      </c>
      <c r="AL157" s="325" t="n">
        <f aca="false">Y157-X157</f>
        <v>0</v>
      </c>
      <c r="AM157" s="325" t="n">
        <f aca="false">Z157-Y157</f>
        <v>0</v>
      </c>
      <c r="AN157" s="325" t="s">
        <v>1679</v>
      </c>
      <c r="AO157" s="325" t="n">
        <f aca="false">AB157-AA157</f>
        <v>0</v>
      </c>
      <c r="AP157" s="325" t="n">
        <f aca="false">AC157-AB157</f>
        <v>0</v>
      </c>
      <c r="AR157" s="314" t="str">
        <f aca="false">IFERROR(VLOOKUP(M157,'BS_DEC 2026'!$D$12:$D$109,1,FALSE()),"(미존재)")</f>
        <v>예수금</v>
      </c>
    </row>
    <row r="158" customFormat="false" ht="16.5" hidden="false" customHeight="false" outlineLevel="0" collapsed="false">
      <c r="A158" s="317" t="s">
        <v>446</v>
      </c>
      <c r="B158" s="314" t="n">
        <v>42940861</v>
      </c>
      <c r="C158" s="314" t="s">
        <v>1839</v>
      </c>
      <c r="D158" s="314" t="s">
        <v>1570</v>
      </c>
      <c r="E158" s="314" t="s">
        <v>1637</v>
      </c>
      <c r="F158" s="314" t="s">
        <v>1644</v>
      </c>
      <c r="G158" s="314" t="s">
        <v>1639</v>
      </c>
      <c r="H158" s="314" t="s">
        <v>1495</v>
      </c>
      <c r="I158" s="314" t="s">
        <v>1796</v>
      </c>
      <c r="K158" s="314" t="s">
        <v>1797</v>
      </c>
      <c r="L158" s="324" t="s">
        <v>173</v>
      </c>
      <c r="M158" s="324" t="s">
        <v>188</v>
      </c>
      <c r="N158" s="324" t="s">
        <v>173</v>
      </c>
      <c r="O158" s="324" t="s">
        <v>1642</v>
      </c>
      <c r="P158" s="324" t="s">
        <v>188</v>
      </c>
      <c r="Q158" s="325" t="n">
        <v>102829</v>
      </c>
      <c r="R158" s="325" t="n">
        <v>192829</v>
      </c>
      <c r="S158" s="325" t="n">
        <v>152029</v>
      </c>
      <c r="T158" s="325" t="n">
        <v>-58371</v>
      </c>
      <c r="U158" s="325" t="n">
        <v>16029</v>
      </c>
      <c r="V158" s="325" t="n">
        <v>-90371</v>
      </c>
      <c r="W158" s="325" t="n">
        <v>-184771</v>
      </c>
      <c r="X158" s="325" t="n">
        <v>-87171</v>
      </c>
      <c r="Y158" s="325" t="n">
        <v>35229</v>
      </c>
      <c r="Z158" s="325" t="n">
        <v>-35571</v>
      </c>
      <c r="AA158" s="325"/>
      <c r="AB158" s="325"/>
      <c r="AC158" s="325"/>
      <c r="AD158" s="325"/>
      <c r="AE158" s="325" t="n">
        <f aca="false">R158</f>
        <v>192829</v>
      </c>
      <c r="AF158" s="325" t="n">
        <f aca="false">S158-R158</f>
        <v>-40800</v>
      </c>
      <c r="AG158" s="325" t="n">
        <f aca="false">T158-S158</f>
        <v>-210400</v>
      </c>
      <c r="AH158" s="325" t="n">
        <f aca="false">U158-T158</f>
        <v>74400</v>
      </c>
      <c r="AI158" s="325" t="n">
        <f aca="false">V158-U158</f>
        <v>-106400</v>
      </c>
      <c r="AJ158" s="325" t="n">
        <f aca="false">W158-V158</f>
        <v>-94400</v>
      </c>
      <c r="AK158" s="325" t="n">
        <f aca="false">X158-W158</f>
        <v>97600</v>
      </c>
      <c r="AL158" s="325" t="n">
        <f aca="false">Y158-X158</f>
        <v>122400</v>
      </c>
      <c r="AM158" s="325" t="n">
        <f aca="false">Z158-Y158</f>
        <v>-70800</v>
      </c>
      <c r="AN158" s="325" t="s">
        <v>1679</v>
      </c>
      <c r="AO158" s="325" t="n">
        <f aca="false">AB158-AA158</f>
        <v>0</v>
      </c>
      <c r="AP158" s="325" t="n">
        <f aca="false">AC158-AB158</f>
        <v>0</v>
      </c>
      <c r="AR158" s="314" t="str">
        <f aca="false">IFERROR(VLOOKUP(M158,'BS_DEC 2026'!$D$12:$D$109,1,FALSE()),"(미존재)")</f>
        <v>예수금</v>
      </c>
    </row>
    <row r="159" customFormat="false" ht="16.5" hidden="false" customHeight="false" outlineLevel="0" collapsed="false">
      <c r="A159" s="317" t="s">
        <v>446</v>
      </c>
      <c r="B159" s="314" t="n">
        <v>42940863</v>
      </c>
      <c r="C159" s="314" t="s">
        <v>1840</v>
      </c>
      <c r="D159" s="314" t="s">
        <v>1570</v>
      </c>
      <c r="E159" s="314" t="s">
        <v>1637</v>
      </c>
      <c r="F159" s="314" t="s">
        <v>1644</v>
      </c>
      <c r="G159" s="314" t="s">
        <v>1639</v>
      </c>
      <c r="H159" s="314" t="s">
        <v>1495</v>
      </c>
      <c r="I159" s="314" t="s">
        <v>1796</v>
      </c>
      <c r="K159" s="314" t="s">
        <v>1797</v>
      </c>
      <c r="L159" s="324" t="s">
        <v>173</v>
      </c>
      <c r="M159" s="324" t="s">
        <v>188</v>
      </c>
      <c r="N159" s="324" t="s">
        <v>173</v>
      </c>
      <c r="O159" s="324" t="s">
        <v>1642</v>
      </c>
      <c r="P159" s="324" t="s">
        <v>188</v>
      </c>
      <c r="Q159" s="325" t="n">
        <v>0</v>
      </c>
      <c r="R159" s="325" t="n">
        <v>0</v>
      </c>
      <c r="S159" s="325" t="n">
        <v>0</v>
      </c>
      <c r="T159" s="325" t="n">
        <v>-4819713700</v>
      </c>
      <c r="U159" s="325" t="n">
        <v>-4819713700</v>
      </c>
      <c r="V159" s="325" t="n">
        <v>0</v>
      </c>
      <c r="W159" s="325" t="n">
        <v>57954950</v>
      </c>
      <c r="X159" s="325" t="n">
        <v>0</v>
      </c>
      <c r="Y159" s="325" t="n">
        <v>0</v>
      </c>
      <c r="Z159" s="325" t="n">
        <v>0</v>
      </c>
      <c r="AA159" s="325"/>
      <c r="AB159" s="325"/>
      <c r="AC159" s="325"/>
      <c r="AD159" s="325"/>
      <c r="AE159" s="325" t="n">
        <f aca="false">R159</f>
        <v>0</v>
      </c>
      <c r="AF159" s="325" t="n">
        <f aca="false">S159-R159</f>
        <v>0</v>
      </c>
      <c r="AG159" s="325" t="n">
        <f aca="false">T159-S159</f>
        <v>-4819713700</v>
      </c>
      <c r="AH159" s="325" t="n">
        <f aca="false">U159-T159</f>
        <v>0</v>
      </c>
      <c r="AI159" s="325" t="n">
        <f aca="false">V159-U159</f>
        <v>4819713700</v>
      </c>
      <c r="AJ159" s="325" t="n">
        <f aca="false">W159-V159</f>
        <v>57954950</v>
      </c>
      <c r="AK159" s="325" t="n">
        <f aca="false">X159-W159</f>
        <v>-57954950</v>
      </c>
      <c r="AL159" s="325" t="n">
        <f aca="false">Y159-X159</f>
        <v>0</v>
      </c>
      <c r="AM159" s="325" t="n">
        <f aca="false">Z159-Y159</f>
        <v>0</v>
      </c>
      <c r="AN159" s="325" t="s">
        <v>1679</v>
      </c>
      <c r="AO159" s="325" t="n">
        <f aca="false">AB159-AA159</f>
        <v>0</v>
      </c>
      <c r="AP159" s="325" t="n">
        <f aca="false">AC159-AB159</f>
        <v>0</v>
      </c>
      <c r="AR159" s="314" t="str">
        <f aca="false">IFERROR(VLOOKUP(M159,'BS_DEC 2026'!$D$12:$D$109,1,FALSE()),"(미존재)")</f>
        <v>예수금</v>
      </c>
    </row>
    <row r="160" customFormat="false" ht="16.5" hidden="false" customHeight="false" outlineLevel="0" collapsed="false">
      <c r="A160" s="327" t="s">
        <v>446</v>
      </c>
      <c r="B160" s="328" t="n">
        <v>42980000</v>
      </c>
      <c r="C160" s="328" t="s">
        <v>1841</v>
      </c>
      <c r="D160" s="328" t="s">
        <v>1570</v>
      </c>
      <c r="E160" s="328" t="s">
        <v>1637</v>
      </c>
      <c r="F160" s="328" t="s">
        <v>1638</v>
      </c>
      <c r="G160" s="328" t="s">
        <v>1718</v>
      </c>
      <c r="H160" s="328" t="s">
        <v>1495</v>
      </c>
      <c r="I160" s="328" t="s">
        <v>1777</v>
      </c>
      <c r="K160" s="328" t="s">
        <v>1778</v>
      </c>
      <c r="L160" s="329" t="s">
        <v>173</v>
      </c>
      <c r="M160" s="329" t="s">
        <v>219</v>
      </c>
      <c r="N160" s="329" t="s">
        <v>173</v>
      </c>
      <c r="O160" s="329" t="s">
        <v>1642</v>
      </c>
      <c r="P160" s="329" t="s">
        <v>191</v>
      </c>
      <c r="Q160" s="330" t="n">
        <v>-901263243</v>
      </c>
      <c r="R160" s="330" t="n">
        <v>-902494969</v>
      </c>
      <c r="S160" s="330" t="n">
        <v>-903728379</v>
      </c>
      <c r="T160" s="330" t="n">
        <v>-904963474</v>
      </c>
      <c r="U160" s="330" t="n">
        <v>-906200257</v>
      </c>
      <c r="V160" s="330" t="n">
        <v>-907438731</v>
      </c>
      <c r="W160" s="330" t="n">
        <v>-908678897</v>
      </c>
      <c r="X160" s="330" t="n">
        <v>-909920758</v>
      </c>
      <c r="Y160" s="330" t="n">
        <v>-909920758</v>
      </c>
      <c r="Z160" s="325" t="n">
        <v>-912409574</v>
      </c>
      <c r="AA160" s="330"/>
      <c r="AB160" s="330"/>
      <c r="AC160" s="330"/>
      <c r="AD160" s="330"/>
      <c r="AE160" s="330" t="n">
        <f aca="false">R160</f>
        <v>-902494969</v>
      </c>
      <c r="AF160" s="330" t="n">
        <f aca="false">S160-R160</f>
        <v>-1233410</v>
      </c>
      <c r="AG160" s="330" t="n">
        <f aca="false">T160-S160</f>
        <v>-1235095</v>
      </c>
      <c r="AH160" s="330" t="n">
        <f aca="false">U160-T160</f>
        <v>-1236783</v>
      </c>
      <c r="AI160" s="330" t="n">
        <f aca="false">V160-U160</f>
        <v>-1238474</v>
      </c>
      <c r="AJ160" s="330" t="n">
        <f aca="false">W160-V160</f>
        <v>-1240166</v>
      </c>
      <c r="AK160" s="330" t="n">
        <f aca="false">X160-W160</f>
        <v>-1241861</v>
      </c>
      <c r="AL160" s="325" t="n">
        <f aca="false">Y160-X160</f>
        <v>0</v>
      </c>
      <c r="AM160" s="325" t="n">
        <f aca="false">Z160-Y160</f>
        <v>-2488816</v>
      </c>
      <c r="AN160" s="330" t="s">
        <v>1679</v>
      </c>
      <c r="AO160" s="330" t="n">
        <f aca="false">AB160-AA160</f>
        <v>0</v>
      </c>
      <c r="AP160" s="330" t="n">
        <f aca="false">AC160-AB160</f>
        <v>0</v>
      </c>
      <c r="AR160" s="314" t="str">
        <f aca="false">IFERROR(VLOOKUP(M160,'BS_DEC 2026'!$D$12:$D$109,1,FALSE()),"(미존재)")</f>
        <v>복구충당부채</v>
      </c>
    </row>
    <row r="161" customFormat="false" ht="16.5" hidden="false" customHeight="false" outlineLevel="0" collapsed="false">
      <c r="A161" s="317" t="s">
        <v>791</v>
      </c>
      <c r="B161" s="314" t="n">
        <v>50000000</v>
      </c>
      <c r="C161" s="314" t="s">
        <v>1842</v>
      </c>
      <c r="D161" s="314" t="s">
        <v>1843</v>
      </c>
      <c r="E161" s="314" t="s">
        <v>1844</v>
      </c>
      <c r="F161" s="314" t="s">
        <v>1845</v>
      </c>
      <c r="G161" s="314" t="s">
        <v>1846</v>
      </c>
      <c r="H161" s="314" t="s">
        <v>1495</v>
      </c>
      <c r="I161" s="314" t="s">
        <v>1847</v>
      </c>
      <c r="K161" s="314" t="s">
        <v>1848</v>
      </c>
      <c r="L161" s="324" t="s">
        <v>792</v>
      </c>
      <c r="M161" s="324" t="s">
        <v>264</v>
      </c>
      <c r="N161" s="324" t="s">
        <v>792</v>
      </c>
      <c r="O161" s="324" t="s">
        <v>264</v>
      </c>
      <c r="P161" s="324" t="s">
        <v>264</v>
      </c>
      <c r="Q161" s="325" t="n">
        <v>-3087000000</v>
      </c>
      <c r="R161" s="325" t="n">
        <v>-1571150000</v>
      </c>
      <c r="S161" s="325" t="n">
        <v>-4675126000</v>
      </c>
      <c r="T161" s="325" t="n">
        <v>-6196495000</v>
      </c>
      <c r="U161" s="325" t="n">
        <v>-6687136000</v>
      </c>
      <c r="V161" s="325" t="n">
        <v>-7097176000</v>
      </c>
      <c r="W161" s="325" t="n">
        <v>-7934676000</v>
      </c>
      <c r="X161" s="325" t="n">
        <v>-8236980000</v>
      </c>
      <c r="Y161" s="325" t="n">
        <v>-8471480000</v>
      </c>
      <c r="Z161" s="325" t="n">
        <v>-9221612000</v>
      </c>
      <c r="AA161" s="325"/>
      <c r="AB161" s="325"/>
      <c r="AC161" s="325"/>
      <c r="AD161" s="325"/>
      <c r="AE161" s="325" t="n">
        <f aca="false">R161</f>
        <v>-1571150000</v>
      </c>
      <c r="AF161" s="325" t="n">
        <f aca="false">S161-R161</f>
        <v>-3103976000</v>
      </c>
      <c r="AG161" s="325" t="n">
        <f aca="false">T161-S161</f>
        <v>-1521369000</v>
      </c>
      <c r="AH161" s="325" t="n">
        <f aca="false">U161-T161</f>
        <v>-490641000</v>
      </c>
      <c r="AI161" s="325" t="n">
        <f aca="false">V161-U161</f>
        <v>-410040000</v>
      </c>
      <c r="AJ161" s="325" t="n">
        <f aca="false">W161-V161</f>
        <v>-837500000</v>
      </c>
      <c r="AK161" s="325" t="n">
        <f aca="false">X161-W161</f>
        <v>-302304000</v>
      </c>
      <c r="AL161" s="325" t="n">
        <f aca="false">Y161-X161</f>
        <v>-234500000</v>
      </c>
      <c r="AM161" s="325" t="n">
        <f aca="false">Z161-Y161</f>
        <v>-750132000</v>
      </c>
      <c r="AN161" s="325" t="s">
        <v>1679</v>
      </c>
      <c r="AO161" s="325" t="n">
        <f aca="false">AB161-AA161</f>
        <v>0</v>
      </c>
      <c r="AP161" s="325" t="n">
        <f aca="false">AC161-AB161</f>
        <v>0</v>
      </c>
      <c r="AR161" s="314" t="str">
        <f aca="false">IFERROR(VLOOKUP(M161,'PL_DEC.2026'!$D$11:$D$99,1,FALSE()),"(미존재)")</f>
        <v>매출액</v>
      </c>
    </row>
    <row r="162" customFormat="false" ht="16.5" hidden="false" customHeight="false" outlineLevel="0" collapsed="false">
      <c r="A162" s="317" t="s">
        <v>791</v>
      </c>
      <c r="B162" s="313" t="n">
        <v>50000102</v>
      </c>
      <c r="C162" s="313" t="s">
        <v>1849</v>
      </c>
      <c r="D162" s="314" t="s">
        <v>1843</v>
      </c>
      <c r="E162" s="314" t="s">
        <v>1844</v>
      </c>
      <c r="F162" s="314" t="s">
        <v>1845</v>
      </c>
      <c r="G162" s="314" t="s">
        <v>1846</v>
      </c>
      <c r="H162" s="314" t="s">
        <v>1495</v>
      </c>
      <c r="I162" s="314" t="s">
        <v>1847</v>
      </c>
      <c r="K162" s="314" t="s">
        <v>1848</v>
      </c>
      <c r="L162" s="324" t="s">
        <v>792</v>
      </c>
      <c r="M162" s="324" t="s">
        <v>264</v>
      </c>
      <c r="N162" s="324" t="s">
        <v>792</v>
      </c>
      <c r="O162" s="324" t="s">
        <v>264</v>
      </c>
      <c r="P162" s="324" t="s">
        <v>264</v>
      </c>
      <c r="Q162" s="326" t="n">
        <v>0</v>
      </c>
      <c r="R162" s="325" t="n">
        <v>0</v>
      </c>
      <c r="S162" s="326" t="n">
        <v>0</v>
      </c>
      <c r="T162" s="326" t="n">
        <v>2405434000</v>
      </c>
      <c r="U162" s="325" t="n">
        <v>2405434000</v>
      </c>
      <c r="V162" s="325" t="n">
        <v>2405434000</v>
      </c>
      <c r="W162" s="325" t="n">
        <v>2405434000</v>
      </c>
      <c r="X162" s="325" t="n">
        <v>2405434000</v>
      </c>
      <c r="Y162" s="325" t="n">
        <v>2405434000</v>
      </c>
      <c r="Z162" s="325" t="n">
        <v>2405434000</v>
      </c>
      <c r="AA162" s="325"/>
      <c r="AB162" s="325"/>
      <c r="AC162" s="325"/>
      <c r="AD162" s="325"/>
      <c r="AE162" s="325" t="n">
        <f aca="false">R162</f>
        <v>0</v>
      </c>
      <c r="AF162" s="325" t="n">
        <f aca="false">S162-R162</f>
        <v>0</v>
      </c>
      <c r="AG162" s="325" t="n">
        <f aca="false">T162-S162</f>
        <v>2405434000</v>
      </c>
      <c r="AH162" s="325" t="n">
        <f aca="false">U162-T162</f>
        <v>0</v>
      </c>
      <c r="AI162" s="325" t="n">
        <f aca="false">V162-U162</f>
        <v>0</v>
      </c>
      <c r="AJ162" s="325" t="n">
        <f aca="false">W162-V162</f>
        <v>0</v>
      </c>
      <c r="AK162" s="325" t="n">
        <f aca="false">X162-W162</f>
        <v>0</v>
      </c>
      <c r="AL162" s="325" t="n">
        <f aca="false">Y162-X162</f>
        <v>0</v>
      </c>
      <c r="AM162" s="325" t="n">
        <f aca="false">Z162-Y162</f>
        <v>0</v>
      </c>
      <c r="AN162" s="325" t="s">
        <v>1679</v>
      </c>
      <c r="AO162" s="325" t="n">
        <f aca="false">AB162-AA162</f>
        <v>0</v>
      </c>
      <c r="AP162" s="325" t="n">
        <f aca="false">AC162-AB162</f>
        <v>0</v>
      </c>
      <c r="AR162" s="314" t="str">
        <f aca="false">IFERROR(VLOOKUP(M162,'PL_DEC.2026'!$D$11:$D$99,1,FALSE()),"(미존재)")</f>
        <v>매출액</v>
      </c>
    </row>
    <row r="163" customFormat="false" ht="16.5" hidden="false" customHeight="false" outlineLevel="0" collapsed="false">
      <c r="A163" s="317" t="s">
        <v>791</v>
      </c>
      <c r="B163" s="314" t="n">
        <v>50000851</v>
      </c>
      <c r="C163" s="314" t="s">
        <v>1850</v>
      </c>
      <c r="D163" s="314" t="s">
        <v>1843</v>
      </c>
      <c r="E163" s="314" t="s">
        <v>1851</v>
      </c>
      <c r="F163" s="314" t="s">
        <v>1852</v>
      </c>
      <c r="G163" s="314" t="s">
        <v>1846</v>
      </c>
      <c r="H163" s="314" t="s">
        <v>1495</v>
      </c>
      <c r="I163" s="314" t="s">
        <v>1847</v>
      </c>
      <c r="K163" s="314" t="s">
        <v>1848</v>
      </c>
      <c r="L163" s="324" t="s">
        <v>792</v>
      </c>
      <c r="M163" s="324" t="s">
        <v>264</v>
      </c>
      <c r="N163" s="324" t="s">
        <v>792</v>
      </c>
      <c r="O163" s="324" t="s">
        <v>264</v>
      </c>
      <c r="P163" s="324" t="s">
        <v>264</v>
      </c>
      <c r="Q163" s="325" t="n">
        <v>-814803906204</v>
      </c>
      <c r="R163" s="325" t="n">
        <v>-77136428122</v>
      </c>
      <c r="S163" s="325" t="n">
        <v>-141114842145</v>
      </c>
      <c r="T163" s="325" t="n">
        <v>-212973903792</v>
      </c>
      <c r="U163" s="325" t="n">
        <v>-275231754456</v>
      </c>
      <c r="V163" s="325" t="n">
        <v>-341029080415</v>
      </c>
      <c r="W163" s="325" t="n">
        <v>-405399790886</v>
      </c>
      <c r="X163" s="325" t="n">
        <v>-475795610237</v>
      </c>
      <c r="Y163" s="325" t="n">
        <v>-544938036842</v>
      </c>
      <c r="Z163" s="325" t="n">
        <v>-659560439833</v>
      </c>
      <c r="AA163" s="325"/>
      <c r="AB163" s="325"/>
      <c r="AC163" s="325"/>
      <c r="AD163" s="325"/>
      <c r="AE163" s="325" t="n">
        <f aca="false">R163</f>
        <v>-77136428122</v>
      </c>
      <c r="AF163" s="325" t="n">
        <f aca="false">S163-R163</f>
        <v>-63978414023</v>
      </c>
      <c r="AG163" s="325" t="n">
        <f aca="false">T163-S163</f>
        <v>-71859061647</v>
      </c>
      <c r="AH163" s="325" t="n">
        <f aca="false">U163-T163</f>
        <v>-62257850664</v>
      </c>
      <c r="AI163" s="325" t="n">
        <f aca="false">V163-U163</f>
        <v>-65797325959</v>
      </c>
      <c r="AJ163" s="325" t="n">
        <f aca="false">W163-V163</f>
        <v>-64370710471</v>
      </c>
      <c r="AK163" s="325" t="n">
        <f aca="false">X163-W163</f>
        <v>-70395819351</v>
      </c>
      <c r="AL163" s="325" t="n">
        <f aca="false">Y163-X163</f>
        <v>-69142426605</v>
      </c>
      <c r="AM163" s="325" t="n">
        <f aca="false">Z163-Y163</f>
        <v>-114622402991</v>
      </c>
      <c r="AN163" s="325" t="s">
        <v>1679</v>
      </c>
      <c r="AO163" s="325" t="n">
        <f aca="false">AB163-AA163</f>
        <v>0</v>
      </c>
      <c r="AP163" s="325" t="n">
        <f aca="false">AC163-AB163</f>
        <v>0</v>
      </c>
      <c r="AR163" s="314" t="str">
        <f aca="false">IFERROR(VLOOKUP(M163,'PL_DEC.2026'!$D$11:$D$99,1,FALSE()),"(미존재)")</f>
        <v>매출액</v>
      </c>
    </row>
    <row r="164" customFormat="false" ht="16.5" hidden="false" customHeight="false" outlineLevel="0" collapsed="false">
      <c r="A164" s="317" t="s">
        <v>791</v>
      </c>
      <c r="B164" s="314" t="n">
        <v>50000854</v>
      </c>
      <c r="C164" s="314" t="s">
        <v>1853</v>
      </c>
      <c r="D164" s="314" t="s">
        <v>1843</v>
      </c>
      <c r="E164" s="314" t="s">
        <v>1851</v>
      </c>
      <c r="F164" s="314" t="s">
        <v>1852</v>
      </c>
      <c r="G164" s="314" t="s">
        <v>1846</v>
      </c>
      <c r="H164" s="314" t="s">
        <v>1495</v>
      </c>
      <c r="I164" s="314" t="s">
        <v>1854</v>
      </c>
      <c r="K164" s="314" t="s">
        <v>1855</v>
      </c>
      <c r="L164" s="324" t="s">
        <v>792</v>
      </c>
      <c r="M164" s="324" t="s">
        <v>264</v>
      </c>
      <c r="N164" s="324" t="s">
        <v>792</v>
      </c>
      <c r="O164" s="324" t="s">
        <v>264</v>
      </c>
      <c r="P164" s="324" t="s">
        <v>264</v>
      </c>
      <c r="Q164" s="325" t="n">
        <v>2562762679</v>
      </c>
      <c r="R164" s="325" t="n">
        <v>0</v>
      </c>
      <c r="S164" s="325" t="n">
        <v>0</v>
      </c>
      <c r="T164" s="325" t="n">
        <v>185609</v>
      </c>
      <c r="U164" s="325" t="n">
        <v>185609</v>
      </c>
      <c r="V164" s="325" t="n">
        <v>185609</v>
      </c>
      <c r="W164" s="325" t="n">
        <v>185609</v>
      </c>
      <c r="X164" s="325" t="n">
        <v>278999</v>
      </c>
      <c r="Y164" s="325" t="n">
        <v>278999</v>
      </c>
      <c r="Z164" s="325" t="n">
        <v>278999</v>
      </c>
      <c r="AA164" s="325"/>
      <c r="AB164" s="325"/>
      <c r="AC164" s="325"/>
      <c r="AD164" s="325"/>
      <c r="AE164" s="325" t="n">
        <f aca="false">R164</f>
        <v>0</v>
      </c>
      <c r="AF164" s="325" t="n">
        <f aca="false">S164-R164</f>
        <v>0</v>
      </c>
      <c r="AG164" s="325" t="n">
        <f aca="false">T164-S164</f>
        <v>185609</v>
      </c>
      <c r="AH164" s="325" t="n">
        <f aca="false">U164-T164</f>
        <v>0</v>
      </c>
      <c r="AI164" s="325" t="n">
        <f aca="false">V164-U164</f>
        <v>0</v>
      </c>
      <c r="AJ164" s="325" t="n">
        <f aca="false">W164-V164</f>
        <v>0</v>
      </c>
      <c r="AK164" s="325" t="n">
        <f aca="false">X164-W164</f>
        <v>93390</v>
      </c>
      <c r="AL164" s="325" t="n">
        <f aca="false">Y164-X164</f>
        <v>0</v>
      </c>
      <c r="AM164" s="325" t="n">
        <f aca="false">Z164-Y164</f>
        <v>0</v>
      </c>
      <c r="AN164" s="325" t="s">
        <v>1679</v>
      </c>
      <c r="AO164" s="325" t="n">
        <f aca="false">AB164-AA164</f>
        <v>0</v>
      </c>
      <c r="AP164" s="325" t="n">
        <f aca="false">AC164-AB164</f>
        <v>0</v>
      </c>
      <c r="AR164" s="314" t="str">
        <f aca="false">IFERROR(VLOOKUP(M164,'PL_DEC.2026'!$D$11:$D$99,1,FALSE()),"(미존재)")</f>
        <v>매출액</v>
      </c>
    </row>
    <row r="165" customFormat="false" ht="16.5" hidden="false" customHeight="false" outlineLevel="0" collapsed="false">
      <c r="A165" s="317" t="s">
        <v>791</v>
      </c>
      <c r="B165" s="313" t="n">
        <v>50100799</v>
      </c>
      <c r="C165" s="313" t="s">
        <v>1856</v>
      </c>
      <c r="D165" s="314" t="s">
        <v>1843</v>
      </c>
      <c r="E165" s="314" t="s">
        <v>1851</v>
      </c>
      <c r="F165" s="314" t="s">
        <v>1852</v>
      </c>
      <c r="G165" s="314" t="s">
        <v>1846</v>
      </c>
      <c r="H165" s="314" t="s">
        <v>1495</v>
      </c>
      <c r="I165" s="314" t="s">
        <v>1854</v>
      </c>
      <c r="K165" s="314" t="s">
        <v>1855</v>
      </c>
      <c r="L165" s="324" t="s">
        <v>792</v>
      </c>
      <c r="M165" s="324" t="s">
        <v>264</v>
      </c>
      <c r="N165" s="324" t="s">
        <v>792</v>
      </c>
      <c r="O165" s="324" t="s">
        <v>264</v>
      </c>
      <c r="P165" s="324" t="s">
        <v>264</v>
      </c>
      <c r="Q165" s="313" t="n">
        <v>0</v>
      </c>
      <c r="R165" s="325" t="n">
        <v>0</v>
      </c>
      <c r="S165" s="326" t="n">
        <v>0</v>
      </c>
      <c r="T165" s="326" t="n">
        <v>-841471076</v>
      </c>
      <c r="U165" s="325" t="n">
        <v>-841471076</v>
      </c>
      <c r="V165" s="325" t="n">
        <v>-841471076</v>
      </c>
      <c r="W165" s="325" t="n">
        <v>-841471076</v>
      </c>
      <c r="X165" s="325" t="n">
        <v>-841471076</v>
      </c>
      <c r="Y165" s="314" t="n">
        <v>-841471076</v>
      </c>
      <c r="Z165" s="325" t="n">
        <v>-841471076</v>
      </c>
      <c r="AE165" s="325" t="n">
        <f aca="false">R165</f>
        <v>0</v>
      </c>
      <c r="AF165" s="325" t="n">
        <f aca="false">S165-R165</f>
        <v>0</v>
      </c>
      <c r="AG165" s="325" t="n">
        <f aca="false">T165-S165</f>
        <v>-841471076</v>
      </c>
      <c r="AH165" s="325" t="n">
        <f aca="false">U165-T165</f>
        <v>0</v>
      </c>
      <c r="AI165" s="325" t="n">
        <f aca="false">V165-U165</f>
        <v>0</v>
      </c>
      <c r="AJ165" s="325" t="n">
        <f aca="false">W165-V165</f>
        <v>0</v>
      </c>
      <c r="AK165" s="325" t="n">
        <f aca="false">X165-W165</f>
        <v>0</v>
      </c>
      <c r="AL165" s="325" t="n">
        <f aca="false">Y165-X165</f>
        <v>0</v>
      </c>
      <c r="AM165" s="325" t="n">
        <f aca="false">Z165-Y165</f>
        <v>0</v>
      </c>
      <c r="AN165" s="325" t="s">
        <v>1679</v>
      </c>
      <c r="AO165" s="325" t="n">
        <f aca="false">AB165-AA165</f>
        <v>0</v>
      </c>
      <c r="AP165" s="325" t="n">
        <f aca="false">AC165-AB165</f>
        <v>0</v>
      </c>
      <c r="AR165" s="314" t="str">
        <f aca="false">IFERROR(VLOOKUP(M165,'PL_DEC.2026'!$D$11:$D$99,1,FALSE()),"(미존재)")</f>
        <v>매출액</v>
      </c>
    </row>
    <row r="166" customFormat="false" ht="16.5" hidden="false" customHeight="false" outlineLevel="0" collapsed="false">
      <c r="A166" s="317" t="s">
        <v>791</v>
      </c>
      <c r="B166" s="314" t="n">
        <v>50200001</v>
      </c>
      <c r="C166" s="314" t="s">
        <v>1857</v>
      </c>
      <c r="D166" s="314" t="s">
        <v>1843</v>
      </c>
      <c r="E166" s="314" t="s">
        <v>1858</v>
      </c>
      <c r="F166" s="314" t="n">
        <v>0</v>
      </c>
      <c r="G166" s="314" t="s">
        <v>1846</v>
      </c>
      <c r="H166" s="314" t="s">
        <v>1495</v>
      </c>
      <c r="I166" s="314" t="s">
        <v>1859</v>
      </c>
      <c r="K166" s="314" t="s">
        <v>1860</v>
      </c>
      <c r="L166" s="324" t="s">
        <v>792</v>
      </c>
      <c r="M166" s="324" t="s">
        <v>264</v>
      </c>
      <c r="N166" s="324" t="s">
        <v>792</v>
      </c>
      <c r="O166" s="324" t="s">
        <v>264</v>
      </c>
      <c r="P166" s="324" t="s">
        <v>1861</v>
      </c>
      <c r="Q166" s="325" t="n">
        <v>117845810</v>
      </c>
      <c r="R166" s="325" t="n">
        <v>38596440</v>
      </c>
      <c r="S166" s="325" t="n">
        <v>38596440</v>
      </c>
      <c r="T166" s="325" t="n">
        <v>52696040</v>
      </c>
      <c r="U166" s="325" t="n">
        <v>52696040</v>
      </c>
      <c r="V166" s="325" t="n">
        <v>52696040</v>
      </c>
      <c r="W166" s="325" t="n">
        <v>52696040</v>
      </c>
      <c r="X166" s="325" t="n">
        <v>52696040</v>
      </c>
      <c r="Y166" s="325" t="n">
        <v>100647150</v>
      </c>
      <c r="Z166" s="325" t="n">
        <v>100647150</v>
      </c>
      <c r="AA166" s="325"/>
      <c r="AB166" s="325"/>
      <c r="AC166" s="325"/>
      <c r="AD166" s="325"/>
      <c r="AE166" s="325" t="n">
        <f aca="false">R166</f>
        <v>38596440</v>
      </c>
      <c r="AF166" s="325" t="n">
        <f aca="false">S166-R166</f>
        <v>0</v>
      </c>
      <c r="AG166" s="325" t="n">
        <f aca="false">T166-S166</f>
        <v>14099600</v>
      </c>
      <c r="AH166" s="325" t="n">
        <f aca="false">U166-T166</f>
        <v>0</v>
      </c>
      <c r="AI166" s="325" t="n">
        <f aca="false">V166-U166</f>
        <v>0</v>
      </c>
      <c r="AJ166" s="325" t="n">
        <f aca="false">W166-V166</f>
        <v>0</v>
      </c>
      <c r="AK166" s="325" t="n">
        <f aca="false">X166-W166</f>
        <v>0</v>
      </c>
      <c r="AL166" s="325" t="n">
        <f aca="false">Y166-X166</f>
        <v>47951110</v>
      </c>
      <c r="AM166" s="325" t="n">
        <f aca="false">Z166-Y166</f>
        <v>0</v>
      </c>
      <c r="AN166" s="325" t="s">
        <v>1679</v>
      </c>
      <c r="AO166" s="325" t="n">
        <f aca="false">AB166-AA166</f>
        <v>0</v>
      </c>
      <c r="AP166" s="325" t="n">
        <f aca="false">AC166-AB166</f>
        <v>0</v>
      </c>
      <c r="AR166" s="314" t="str">
        <f aca="false">IFERROR(VLOOKUP(M166,'PL_DEC.2026'!$D$11:$D$99,1,FALSE()),"(미존재)")</f>
        <v>매출액</v>
      </c>
    </row>
    <row r="167" customFormat="false" ht="16.5" hidden="false" customHeight="false" outlineLevel="0" collapsed="false">
      <c r="A167" s="317" t="s">
        <v>791</v>
      </c>
      <c r="B167" s="314" t="n">
        <v>51000850</v>
      </c>
      <c r="C167" s="314" t="s">
        <v>1862</v>
      </c>
      <c r="D167" s="314" t="s">
        <v>1843</v>
      </c>
      <c r="E167" s="314" t="s">
        <v>1851</v>
      </c>
      <c r="F167" s="314" t="s">
        <v>804</v>
      </c>
      <c r="G167" s="314" t="s">
        <v>1846</v>
      </c>
      <c r="H167" s="314" t="s">
        <v>1495</v>
      </c>
      <c r="I167" s="314" t="s">
        <v>1863</v>
      </c>
      <c r="K167" s="314" t="s">
        <v>1864</v>
      </c>
      <c r="L167" s="324" t="s">
        <v>792</v>
      </c>
      <c r="M167" s="324" t="s">
        <v>264</v>
      </c>
      <c r="N167" s="324" t="s">
        <v>792</v>
      </c>
      <c r="O167" s="324" t="s">
        <v>264</v>
      </c>
      <c r="P167" s="324" t="s">
        <v>264</v>
      </c>
      <c r="Q167" s="325" t="n">
        <v>2131290602</v>
      </c>
      <c r="R167" s="325" t="n">
        <v>142894500</v>
      </c>
      <c r="S167" s="325" t="n">
        <v>279007093</v>
      </c>
      <c r="T167" s="325" t="n">
        <v>1442930751</v>
      </c>
      <c r="U167" s="325" t="n">
        <v>1626427252</v>
      </c>
      <c r="V167" s="325" t="n">
        <v>2285356494</v>
      </c>
      <c r="W167" s="325" t="n">
        <v>2741161178</v>
      </c>
      <c r="X167" s="325" t="n">
        <v>3087054808</v>
      </c>
      <c r="Y167" s="325" t="n">
        <v>3562969454</v>
      </c>
      <c r="Z167" s="325" t="n">
        <v>3697749345</v>
      </c>
      <c r="AA167" s="325"/>
      <c r="AB167" s="325"/>
      <c r="AC167" s="325"/>
      <c r="AD167" s="325"/>
      <c r="AE167" s="325" t="n">
        <f aca="false">R167</f>
        <v>142894500</v>
      </c>
      <c r="AF167" s="325" t="n">
        <f aca="false">S167-R167</f>
        <v>136112593</v>
      </c>
      <c r="AG167" s="325" t="n">
        <f aca="false">T167-S167</f>
        <v>1163923658</v>
      </c>
      <c r="AH167" s="325" t="n">
        <f aca="false">U167-T167</f>
        <v>183496501</v>
      </c>
      <c r="AI167" s="325" t="n">
        <f aca="false">V167-U167</f>
        <v>658929242</v>
      </c>
      <c r="AJ167" s="325" t="n">
        <f aca="false">W167-V167</f>
        <v>455804684</v>
      </c>
      <c r="AK167" s="325" t="n">
        <f aca="false">X167-W167</f>
        <v>345893630</v>
      </c>
      <c r="AL167" s="325" t="n">
        <f aca="false">Y167-X167</f>
        <v>475914646</v>
      </c>
      <c r="AM167" s="325" t="n">
        <f aca="false">Z167-Y167</f>
        <v>134779891</v>
      </c>
      <c r="AN167" s="325" t="s">
        <v>1679</v>
      </c>
      <c r="AO167" s="325" t="n">
        <f aca="false">AB167-AA167</f>
        <v>0</v>
      </c>
      <c r="AP167" s="325" t="n">
        <f aca="false">AC167-AB167</f>
        <v>0</v>
      </c>
      <c r="AR167" s="314" t="str">
        <f aca="false">IFERROR(VLOOKUP(M167,'PL_DEC.2026'!$D$11:$D$99,1,FALSE()),"(미존재)")</f>
        <v>매출액</v>
      </c>
    </row>
    <row r="168" customFormat="false" ht="16.5" hidden="false" customHeight="false" outlineLevel="0" collapsed="false">
      <c r="A168" s="317" t="s">
        <v>791</v>
      </c>
      <c r="B168" s="314" t="n">
        <v>51300011</v>
      </c>
      <c r="C168" s="314" t="s">
        <v>1865</v>
      </c>
      <c r="D168" s="314" t="s">
        <v>1843</v>
      </c>
      <c r="E168" s="314" t="s">
        <v>1858</v>
      </c>
      <c r="F168" s="314" t="n">
        <v>0</v>
      </c>
      <c r="G168" s="314" t="s">
        <v>1846</v>
      </c>
      <c r="H168" s="314" t="s">
        <v>1495</v>
      </c>
      <c r="I168" s="314" t="s">
        <v>1854</v>
      </c>
      <c r="K168" s="314" t="s">
        <v>1855</v>
      </c>
      <c r="L168" s="324" t="s">
        <v>792</v>
      </c>
      <c r="M168" s="324" t="s">
        <v>264</v>
      </c>
      <c r="N168" s="324" t="s">
        <v>792</v>
      </c>
      <c r="O168" s="324" t="s">
        <v>264</v>
      </c>
      <c r="P168" s="324" t="s">
        <v>1861</v>
      </c>
      <c r="Q168" s="325" t="n">
        <v>-2726200000</v>
      </c>
      <c r="R168" s="325" t="n">
        <v>0</v>
      </c>
      <c r="S168" s="325" t="n">
        <v>0</v>
      </c>
      <c r="T168" s="325" t="n">
        <v>0</v>
      </c>
      <c r="U168" s="325" t="n">
        <v>0</v>
      </c>
      <c r="V168" s="325" t="n">
        <v>-950000000</v>
      </c>
      <c r="W168" s="325" t="n">
        <v>-950000000</v>
      </c>
      <c r="X168" s="325" t="n">
        <v>-950000000</v>
      </c>
      <c r="Y168" s="325" t="n">
        <v>-950000000</v>
      </c>
      <c r="Z168" s="325" t="n">
        <v>-950000000</v>
      </c>
      <c r="AA168" s="325"/>
      <c r="AB168" s="325"/>
      <c r="AC168" s="325"/>
      <c r="AD168" s="325"/>
      <c r="AE168" s="325" t="n">
        <f aca="false">R168</f>
        <v>0</v>
      </c>
      <c r="AF168" s="325" t="n">
        <f aca="false">S168-R168</f>
        <v>0</v>
      </c>
      <c r="AG168" s="325" t="n">
        <f aca="false">T168-S168</f>
        <v>0</v>
      </c>
      <c r="AH168" s="325" t="n">
        <f aca="false">U168-T168</f>
        <v>0</v>
      </c>
      <c r="AI168" s="325" t="n">
        <f aca="false">V168-U168</f>
        <v>-950000000</v>
      </c>
      <c r="AJ168" s="325" t="n">
        <f aca="false">W168-V168</f>
        <v>0</v>
      </c>
      <c r="AK168" s="325" t="n">
        <f aca="false">X168-W168</f>
        <v>0</v>
      </c>
      <c r="AL168" s="325" t="n">
        <f aca="false">Y168-X168</f>
        <v>0</v>
      </c>
      <c r="AM168" s="325" t="n">
        <f aca="false">Z168-Y168</f>
        <v>0</v>
      </c>
      <c r="AN168" s="325" t="s">
        <v>1679</v>
      </c>
      <c r="AO168" s="325" t="n">
        <f aca="false">AB168-AA168</f>
        <v>0</v>
      </c>
      <c r="AP168" s="325" t="n">
        <f aca="false">AC168-AB168</f>
        <v>0</v>
      </c>
      <c r="AR168" s="314" t="str">
        <f aca="false">IFERROR(VLOOKUP(M168,'PL_DEC.2026'!$D$11:$D$99,1,FALSE()),"(미존재)")</f>
        <v>매출액</v>
      </c>
    </row>
    <row r="169" customFormat="false" ht="16.5" hidden="false" customHeight="false" outlineLevel="0" collapsed="false">
      <c r="A169" s="317" t="s">
        <v>791</v>
      </c>
      <c r="B169" s="314" t="n">
        <v>51300015</v>
      </c>
      <c r="C169" s="314" t="s">
        <v>1866</v>
      </c>
      <c r="D169" s="314" t="s">
        <v>1843</v>
      </c>
      <c r="E169" s="314" t="s">
        <v>1858</v>
      </c>
      <c r="F169" s="314" t="n">
        <v>0</v>
      </c>
      <c r="G169" s="314" t="s">
        <v>1846</v>
      </c>
      <c r="H169" s="314" t="s">
        <v>1495</v>
      </c>
      <c r="I169" s="314" t="s">
        <v>1863</v>
      </c>
      <c r="K169" s="314" t="s">
        <v>1864</v>
      </c>
      <c r="L169" s="324" t="s">
        <v>792</v>
      </c>
      <c r="M169" s="324" t="s">
        <v>264</v>
      </c>
      <c r="N169" s="324" t="s">
        <v>792</v>
      </c>
      <c r="O169" s="324" t="s">
        <v>264</v>
      </c>
      <c r="P169" s="324" t="s">
        <v>1861</v>
      </c>
      <c r="Q169" s="325" t="n">
        <v>3307432009</v>
      </c>
      <c r="R169" s="325" t="n">
        <v>148787171</v>
      </c>
      <c r="S169" s="325" t="n">
        <v>231950604</v>
      </c>
      <c r="T169" s="325" t="n">
        <v>437295962</v>
      </c>
      <c r="U169" s="325" t="n">
        <v>467066334</v>
      </c>
      <c r="V169" s="325" t="n">
        <v>-10724844</v>
      </c>
      <c r="W169" s="325" t="n">
        <v>-1256648528</v>
      </c>
      <c r="X169" s="325" t="n">
        <v>-1642862643</v>
      </c>
      <c r="Y169" s="325" t="n">
        <v>-1926953395</v>
      </c>
      <c r="Z169" s="325" t="n">
        <v>-732044323</v>
      </c>
      <c r="AA169" s="325"/>
      <c r="AB169" s="325"/>
      <c r="AC169" s="325"/>
      <c r="AD169" s="325"/>
      <c r="AE169" s="325" t="n">
        <f aca="false">R169</f>
        <v>148787171</v>
      </c>
      <c r="AF169" s="325" t="n">
        <f aca="false">S169-R169</f>
        <v>83163433</v>
      </c>
      <c r="AG169" s="325" t="n">
        <f aca="false">T169-S169</f>
        <v>205345358</v>
      </c>
      <c r="AH169" s="325" t="n">
        <f aca="false">U169-T169</f>
        <v>29770372</v>
      </c>
      <c r="AI169" s="325" t="n">
        <f aca="false">V169-U169</f>
        <v>-477791178</v>
      </c>
      <c r="AJ169" s="325" t="n">
        <f aca="false">W169-V169</f>
        <v>-1245923684</v>
      </c>
      <c r="AK169" s="325" t="n">
        <f aca="false">X169-W169</f>
        <v>-386214115</v>
      </c>
      <c r="AL169" s="325" t="n">
        <f aca="false">Y169-X169</f>
        <v>-284090752</v>
      </c>
      <c r="AM169" s="325" t="n">
        <f aca="false">Z169-Y169</f>
        <v>1194909072</v>
      </c>
      <c r="AN169" s="325" t="s">
        <v>1679</v>
      </c>
      <c r="AO169" s="325" t="n">
        <f aca="false">AB169-AA169</f>
        <v>0</v>
      </c>
      <c r="AP169" s="325" t="n">
        <f aca="false">AC169-AB169</f>
        <v>0</v>
      </c>
      <c r="AR169" s="314" t="str">
        <f aca="false">IFERROR(VLOOKUP(M169,'PL_DEC.2026'!$D$11:$D$99,1,FALSE()),"(미존재)")</f>
        <v>매출액</v>
      </c>
    </row>
    <row r="170" customFormat="false" ht="16.5" hidden="false" customHeight="false" outlineLevel="0" collapsed="false">
      <c r="A170" s="317" t="s">
        <v>791</v>
      </c>
      <c r="B170" s="314" t="n">
        <v>51300026</v>
      </c>
      <c r="C170" s="314" t="s">
        <v>1867</v>
      </c>
      <c r="D170" s="314" t="s">
        <v>1843</v>
      </c>
      <c r="E170" s="314" t="s">
        <v>1858</v>
      </c>
      <c r="F170" s="314" t="n">
        <v>0</v>
      </c>
      <c r="G170" s="314" t="s">
        <v>1846</v>
      </c>
      <c r="H170" s="314" t="s">
        <v>1495</v>
      </c>
      <c r="I170" s="314" t="s">
        <v>1868</v>
      </c>
      <c r="K170" s="314" t="s">
        <v>1869</v>
      </c>
      <c r="L170" s="324" t="s">
        <v>792</v>
      </c>
      <c r="M170" s="324" t="s">
        <v>264</v>
      </c>
      <c r="N170" s="324" t="s">
        <v>792</v>
      </c>
      <c r="O170" s="324" t="s">
        <v>264</v>
      </c>
      <c r="P170" s="324" t="s">
        <v>1861</v>
      </c>
      <c r="Q170" s="325" t="n">
        <v>59356208234</v>
      </c>
      <c r="R170" s="325" t="n">
        <v>844860922</v>
      </c>
      <c r="S170" s="325" t="n">
        <v>844860922</v>
      </c>
      <c r="T170" s="325" t="n">
        <v>14604643554</v>
      </c>
      <c r="U170" s="325" t="n">
        <v>15096581702</v>
      </c>
      <c r="V170" s="325" t="n">
        <v>15549954935</v>
      </c>
      <c r="W170" s="325" t="n">
        <v>41706551603</v>
      </c>
      <c r="X170" s="325" t="n">
        <v>42235127744</v>
      </c>
      <c r="Y170" s="325" t="n">
        <v>42837586451</v>
      </c>
      <c r="Z170" s="325" t="n">
        <v>55603169388</v>
      </c>
      <c r="AA170" s="325"/>
      <c r="AB170" s="325"/>
      <c r="AC170" s="325"/>
      <c r="AD170" s="325"/>
      <c r="AE170" s="325" t="n">
        <f aca="false">R170</f>
        <v>844860922</v>
      </c>
      <c r="AF170" s="325" t="n">
        <f aca="false">S170-R170</f>
        <v>0</v>
      </c>
      <c r="AG170" s="325" t="n">
        <f aca="false">T170-S170</f>
        <v>13759782632</v>
      </c>
      <c r="AH170" s="325" t="n">
        <f aca="false">U170-T170</f>
        <v>491938148</v>
      </c>
      <c r="AI170" s="325" t="n">
        <f aca="false">V170-U170</f>
        <v>453373233</v>
      </c>
      <c r="AJ170" s="325" t="n">
        <f aca="false">W170-V170</f>
        <v>26156596668</v>
      </c>
      <c r="AK170" s="325" t="n">
        <f aca="false">X170-W170</f>
        <v>528576141</v>
      </c>
      <c r="AL170" s="325" t="n">
        <f aca="false">Y170-X170</f>
        <v>602458707</v>
      </c>
      <c r="AM170" s="325" t="n">
        <f aca="false">Z170-Y170</f>
        <v>12765582937</v>
      </c>
      <c r="AN170" s="325" t="s">
        <v>1679</v>
      </c>
      <c r="AO170" s="325" t="n">
        <f aca="false">AB170-AA170</f>
        <v>0</v>
      </c>
      <c r="AP170" s="325" t="n">
        <f aca="false">AC170-AB170</f>
        <v>0</v>
      </c>
      <c r="AR170" s="314" t="str">
        <f aca="false">IFERROR(VLOOKUP(M170,'PL_DEC.2026'!$D$11:$D$99,1,FALSE()),"(미존재)")</f>
        <v>매출액</v>
      </c>
    </row>
    <row r="171" customFormat="false" ht="16.5" hidden="false" customHeight="false" outlineLevel="0" collapsed="false">
      <c r="A171" s="317" t="s">
        <v>791</v>
      </c>
      <c r="B171" s="314" t="n">
        <v>51300450</v>
      </c>
      <c r="C171" s="314" t="s">
        <v>1870</v>
      </c>
      <c r="D171" s="314" t="s">
        <v>1843</v>
      </c>
      <c r="E171" s="314" t="s">
        <v>1858</v>
      </c>
      <c r="F171" s="314" t="n">
        <v>0</v>
      </c>
      <c r="G171" s="314" t="s">
        <v>1846</v>
      </c>
      <c r="H171" s="314" t="s">
        <v>1495</v>
      </c>
      <c r="I171" s="314" t="s">
        <v>1854</v>
      </c>
      <c r="K171" s="314" t="s">
        <v>1855</v>
      </c>
      <c r="L171" s="324" t="s">
        <v>792</v>
      </c>
      <c r="M171" s="324" t="s">
        <v>264</v>
      </c>
      <c r="N171" s="324" t="s">
        <v>792</v>
      </c>
      <c r="O171" s="324" t="s">
        <v>264</v>
      </c>
      <c r="P171" s="324" t="s">
        <v>1861</v>
      </c>
      <c r="Q171" s="325" t="n">
        <v>65934766601</v>
      </c>
      <c r="R171" s="325" t="n">
        <v>7658512333</v>
      </c>
      <c r="S171" s="325" t="n">
        <v>14826922898</v>
      </c>
      <c r="T171" s="325" t="n">
        <v>19685762384</v>
      </c>
      <c r="U171" s="325" t="n">
        <v>24924608560</v>
      </c>
      <c r="V171" s="325" t="n">
        <v>30634587850</v>
      </c>
      <c r="W171" s="325" t="n">
        <v>36286189457</v>
      </c>
      <c r="X171" s="325" t="n">
        <v>42911140420</v>
      </c>
      <c r="Y171" s="325" t="n">
        <v>48752734807</v>
      </c>
      <c r="Z171" s="325" t="n">
        <v>58814456189</v>
      </c>
      <c r="AA171" s="325"/>
      <c r="AB171" s="325"/>
      <c r="AC171" s="325"/>
      <c r="AD171" s="325"/>
      <c r="AE171" s="325" t="n">
        <f aca="false">R171</f>
        <v>7658512333</v>
      </c>
      <c r="AF171" s="325" t="n">
        <f aca="false">S171-R171</f>
        <v>7168410565</v>
      </c>
      <c r="AG171" s="325" t="n">
        <f aca="false">T171-S171</f>
        <v>4858839486</v>
      </c>
      <c r="AH171" s="325" t="n">
        <f aca="false">U171-T171</f>
        <v>5238846176</v>
      </c>
      <c r="AI171" s="325" t="n">
        <f aca="false">V171-U171</f>
        <v>5709979290</v>
      </c>
      <c r="AJ171" s="325" t="n">
        <f aca="false">W171-V171</f>
        <v>5651601607</v>
      </c>
      <c r="AK171" s="325" t="n">
        <f aca="false">X171-W171</f>
        <v>6624950963</v>
      </c>
      <c r="AL171" s="325" t="n">
        <f aca="false">Y171-X171</f>
        <v>5841594387</v>
      </c>
      <c r="AM171" s="325" t="n">
        <f aca="false">Z171-Y171</f>
        <v>10061721382</v>
      </c>
      <c r="AN171" s="325" t="s">
        <v>1679</v>
      </c>
      <c r="AO171" s="325" t="n">
        <f aca="false">AB171-AA171</f>
        <v>0</v>
      </c>
      <c r="AP171" s="325" t="n">
        <f aca="false">AC171-AB171</f>
        <v>0</v>
      </c>
      <c r="AR171" s="314" t="str">
        <f aca="false">IFERROR(VLOOKUP(M171,'PL_DEC.2026'!$D$11:$D$99,1,FALSE()),"(미존재)")</f>
        <v>매출액</v>
      </c>
    </row>
    <row r="172" customFormat="false" ht="16.5" hidden="false" customHeight="false" outlineLevel="0" collapsed="false">
      <c r="A172" s="317" t="s">
        <v>791</v>
      </c>
      <c r="B172" s="314" t="n">
        <v>51300502</v>
      </c>
      <c r="C172" s="314" t="s">
        <v>1871</v>
      </c>
      <c r="D172" s="314" t="s">
        <v>1843</v>
      </c>
      <c r="E172" s="314" t="s">
        <v>1858</v>
      </c>
      <c r="F172" s="314" t="n">
        <v>0</v>
      </c>
      <c r="G172" s="314" t="s">
        <v>1846</v>
      </c>
      <c r="H172" s="314" t="s">
        <v>1495</v>
      </c>
      <c r="I172" s="314" t="s">
        <v>1854</v>
      </c>
      <c r="K172" s="314" t="s">
        <v>1855</v>
      </c>
      <c r="L172" s="324" t="s">
        <v>792</v>
      </c>
      <c r="M172" s="324" t="s">
        <v>264</v>
      </c>
      <c r="N172" s="324" t="s">
        <v>792</v>
      </c>
      <c r="O172" s="324" t="s">
        <v>264</v>
      </c>
      <c r="P172" s="324" t="s">
        <v>1861</v>
      </c>
      <c r="Q172" s="325" t="n">
        <v>2731055417</v>
      </c>
      <c r="R172" s="325" t="n">
        <v>0</v>
      </c>
      <c r="S172" s="325" t="n">
        <v>0</v>
      </c>
      <c r="T172" s="325" t="n">
        <v>0</v>
      </c>
      <c r="U172" s="325" t="n">
        <v>-222677000</v>
      </c>
      <c r="V172" s="325" t="n">
        <v>-2454206545</v>
      </c>
      <c r="W172" s="325" t="n">
        <v>-2454206545</v>
      </c>
      <c r="X172" s="325" t="n">
        <v>-2094817541</v>
      </c>
      <c r="Y172" s="325" t="n">
        <v>-2094817541</v>
      </c>
      <c r="Z172" s="325" t="n">
        <v>-2094817541</v>
      </c>
      <c r="AA172" s="325"/>
      <c r="AB172" s="325"/>
      <c r="AC172" s="325"/>
      <c r="AD172" s="325"/>
      <c r="AE172" s="325" t="n">
        <f aca="false">R172</f>
        <v>0</v>
      </c>
      <c r="AF172" s="325" t="n">
        <f aca="false">S172-R172</f>
        <v>0</v>
      </c>
      <c r="AG172" s="325" t="n">
        <f aca="false">T172-S172</f>
        <v>0</v>
      </c>
      <c r="AH172" s="325" t="n">
        <f aca="false">U172-T172</f>
        <v>-222677000</v>
      </c>
      <c r="AI172" s="325" t="n">
        <f aca="false">V172-U172</f>
        <v>-2231529545</v>
      </c>
      <c r="AJ172" s="325" t="n">
        <f aca="false">W172-V172</f>
        <v>0</v>
      </c>
      <c r="AK172" s="325" t="n">
        <f aca="false">X172-W172</f>
        <v>359389004</v>
      </c>
      <c r="AL172" s="325" t="n">
        <f aca="false">Y172-X172</f>
        <v>0</v>
      </c>
      <c r="AM172" s="325" t="n">
        <f aca="false">Z172-Y172</f>
        <v>0</v>
      </c>
      <c r="AN172" s="325" t="s">
        <v>1679</v>
      </c>
      <c r="AO172" s="325" t="n">
        <f aca="false">AB172-AA172</f>
        <v>0</v>
      </c>
      <c r="AP172" s="325" t="n">
        <f aca="false">AC172-AB172</f>
        <v>0</v>
      </c>
      <c r="AR172" s="314" t="str">
        <f aca="false">IFERROR(VLOOKUP(M172,'PL_DEC.2026'!$D$11:$D$99,1,FALSE()),"(미존재)")</f>
        <v>매출액</v>
      </c>
    </row>
    <row r="173" customFormat="false" ht="16.5" hidden="false" customHeight="false" outlineLevel="0" collapsed="false">
      <c r="A173" s="317" t="s">
        <v>791</v>
      </c>
      <c r="B173" s="314" t="n">
        <v>51300799</v>
      </c>
      <c r="C173" s="314" t="s">
        <v>1872</v>
      </c>
      <c r="D173" s="314" t="s">
        <v>1843</v>
      </c>
      <c r="E173" s="314" t="s">
        <v>1858</v>
      </c>
      <c r="F173" s="314" t="n">
        <v>0</v>
      </c>
      <c r="G173" s="314" t="s">
        <v>1846</v>
      </c>
      <c r="H173" s="314" t="s">
        <v>1495</v>
      </c>
      <c r="I173" s="314" t="s">
        <v>1868</v>
      </c>
      <c r="K173" s="314" t="s">
        <v>1869</v>
      </c>
      <c r="L173" s="324" t="s">
        <v>792</v>
      </c>
      <c r="M173" s="324" t="s">
        <v>264</v>
      </c>
      <c r="N173" s="324" t="s">
        <v>792</v>
      </c>
      <c r="O173" s="324" t="s">
        <v>264</v>
      </c>
      <c r="P173" s="324" t="s">
        <v>1861</v>
      </c>
      <c r="Q173" s="325" t="n">
        <v>9577310118</v>
      </c>
      <c r="R173" s="325" t="n">
        <v>4868709295</v>
      </c>
      <c r="S173" s="325" t="n">
        <v>10461708068</v>
      </c>
      <c r="T173" s="325" t="n">
        <v>2987541985</v>
      </c>
      <c r="U173" s="325" t="n">
        <v>7927920297</v>
      </c>
      <c r="V173" s="325" t="n">
        <v>13480337281</v>
      </c>
      <c r="W173" s="325" t="n">
        <v>-5470424024</v>
      </c>
      <c r="X173" s="325" t="n">
        <v>-578039689</v>
      </c>
      <c r="Y173" s="325" t="n">
        <v>5241617538</v>
      </c>
      <c r="Z173" s="325" t="n">
        <v>-1043177671</v>
      </c>
      <c r="AA173" s="325"/>
      <c r="AB173" s="325"/>
      <c r="AC173" s="325"/>
      <c r="AD173" s="325"/>
      <c r="AE173" s="325" t="n">
        <f aca="false">R173</f>
        <v>4868709295</v>
      </c>
      <c r="AF173" s="325" t="n">
        <f aca="false">S173-R173</f>
        <v>5592998773</v>
      </c>
      <c r="AG173" s="325" t="n">
        <f aca="false">T173-S173</f>
        <v>-7474166083</v>
      </c>
      <c r="AH173" s="325" t="n">
        <f aca="false">U173-T173</f>
        <v>4940378312</v>
      </c>
      <c r="AI173" s="325" t="n">
        <f aca="false">V173-U173</f>
        <v>5552416984</v>
      </c>
      <c r="AJ173" s="325" t="n">
        <f aca="false">W173-V173</f>
        <v>-18950761305</v>
      </c>
      <c r="AK173" s="325" t="n">
        <f aca="false">X173-W173</f>
        <v>4892384335</v>
      </c>
      <c r="AL173" s="325" t="n">
        <f aca="false">Y173-X173</f>
        <v>5819657227</v>
      </c>
      <c r="AM173" s="325" t="n">
        <f aca="false">Z173-Y173</f>
        <v>-6284795209</v>
      </c>
      <c r="AN173" s="325" t="s">
        <v>1679</v>
      </c>
      <c r="AO173" s="325" t="n">
        <f aca="false">AB173-AA173</f>
        <v>0</v>
      </c>
      <c r="AP173" s="325" t="n">
        <f aca="false">AC173-AB173</f>
        <v>0</v>
      </c>
      <c r="AR173" s="314" t="str">
        <f aca="false">IFERROR(VLOOKUP(M173,'PL_DEC.2026'!$D$11:$D$99,1,FALSE()),"(미존재)")</f>
        <v>매출액</v>
      </c>
    </row>
    <row r="174" customFormat="false" ht="16.5" hidden="false" customHeight="false" outlineLevel="0" collapsed="false">
      <c r="A174" s="317" t="s">
        <v>791</v>
      </c>
      <c r="B174" s="314" t="n">
        <v>51650053</v>
      </c>
      <c r="C174" s="314" t="s">
        <v>1873</v>
      </c>
      <c r="D174" s="314" t="s">
        <v>1843</v>
      </c>
      <c r="E174" s="314" t="s">
        <v>1858</v>
      </c>
      <c r="F174" s="314" t="n">
        <v>0</v>
      </c>
      <c r="G174" s="314" t="s">
        <v>1846</v>
      </c>
      <c r="H174" s="314" t="s">
        <v>1495</v>
      </c>
      <c r="I174" s="314" t="s">
        <v>1874</v>
      </c>
      <c r="K174" s="314" t="s">
        <v>1875</v>
      </c>
      <c r="L174" s="324" t="s">
        <v>792</v>
      </c>
      <c r="M174" s="324" t="s">
        <v>264</v>
      </c>
      <c r="N174" s="324" t="s">
        <v>792</v>
      </c>
      <c r="O174" s="324" t="s">
        <v>264</v>
      </c>
      <c r="P174" s="324" t="s">
        <v>1861</v>
      </c>
      <c r="Q174" s="325" t="n">
        <v>21861009921</v>
      </c>
      <c r="R174" s="325" t="n">
        <v>954617786</v>
      </c>
      <c r="S174" s="325" t="n">
        <v>2099138897</v>
      </c>
      <c r="T174" s="325" t="n">
        <v>3365179077</v>
      </c>
      <c r="U174" s="325" t="n">
        <v>3970468902</v>
      </c>
      <c r="V174" s="325" t="n">
        <v>4500476348</v>
      </c>
      <c r="W174" s="325" t="n">
        <v>5415066071</v>
      </c>
      <c r="X174" s="325" t="n">
        <v>5723434186</v>
      </c>
      <c r="Y174" s="325" t="n">
        <v>6005138602</v>
      </c>
      <c r="Z174" s="325" t="n">
        <v>11739011327</v>
      </c>
      <c r="AA174" s="325"/>
      <c r="AB174" s="325"/>
      <c r="AC174" s="325"/>
      <c r="AD174" s="325"/>
      <c r="AE174" s="325" t="n">
        <f aca="false">R174</f>
        <v>954617786</v>
      </c>
      <c r="AF174" s="325" t="n">
        <f aca="false">S174-R174</f>
        <v>1144521111</v>
      </c>
      <c r="AG174" s="325" t="n">
        <f aca="false">T174-S174</f>
        <v>1266040180</v>
      </c>
      <c r="AH174" s="325" t="n">
        <f aca="false">U174-T174</f>
        <v>605289825</v>
      </c>
      <c r="AI174" s="325" t="n">
        <f aca="false">V174-U174</f>
        <v>530007446</v>
      </c>
      <c r="AJ174" s="325" t="n">
        <f aca="false">W174-V174</f>
        <v>914589723</v>
      </c>
      <c r="AK174" s="325" t="n">
        <f aca="false">X174-W174</f>
        <v>308368115</v>
      </c>
      <c r="AL174" s="325" t="n">
        <f aca="false">Y174-X174</f>
        <v>281704416</v>
      </c>
      <c r="AM174" s="325" t="n">
        <f aca="false">Z174-Y174</f>
        <v>5733872725</v>
      </c>
      <c r="AN174" s="325" t="s">
        <v>1679</v>
      </c>
      <c r="AO174" s="325" t="n">
        <f aca="false">AB174-AA174</f>
        <v>0</v>
      </c>
      <c r="AP174" s="325" t="n">
        <f aca="false">AC174-AB174</f>
        <v>0</v>
      </c>
      <c r="AR174" s="314" t="str">
        <f aca="false">IFERROR(VLOOKUP(M174,'PL_DEC.2026'!$D$11:$D$99,1,FALSE()),"(미존재)")</f>
        <v>매출액</v>
      </c>
    </row>
    <row r="175" customFormat="false" ht="16.5" hidden="false" customHeight="false" outlineLevel="0" collapsed="false">
      <c r="A175" s="317" t="s">
        <v>791</v>
      </c>
      <c r="B175" s="314" t="n">
        <v>51650102</v>
      </c>
      <c r="C175" s="314" t="s">
        <v>1876</v>
      </c>
      <c r="D175" s="314" t="s">
        <v>1843</v>
      </c>
      <c r="E175" s="314" t="s">
        <v>1858</v>
      </c>
      <c r="F175" s="314" t="n">
        <v>0</v>
      </c>
      <c r="G175" s="314" t="s">
        <v>1846</v>
      </c>
      <c r="H175" s="314" t="s">
        <v>1495</v>
      </c>
      <c r="I175" s="314" t="s">
        <v>1874</v>
      </c>
      <c r="K175" s="314" t="s">
        <v>1875</v>
      </c>
      <c r="L175" s="324" t="s">
        <v>792</v>
      </c>
      <c r="M175" s="324" t="s">
        <v>264</v>
      </c>
      <c r="N175" s="324" t="s">
        <v>792</v>
      </c>
      <c r="O175" s="324" t="s">
        <v>264</v>
      </c>
      <c r="P175" s="324" t="s">
        <v>1861</v>
      </c>
      <c r="Q175" s="325" t="n">
        <v>-39590985</v>
      </c>
      <c r="R175" s="325" t="n">
        <v>-137995336</v>
      </c>
      <c r="S175" s="325" t="n">
        <v>-268731749</v>
      </c>
      <c r="T175" s="325" t="n">
        <v>-265935964</v>
      </c>
      <c r="U175" s="325" t="n">
        <v>-269599807</v>
      </c>
      <c r="V175" s="325" t="n">
        <v>-294055427</v>
      </c>
      <c r="W175" s="325" t="n">
        <v>-333630086</v>
      </c>
      <c r="X175" s="325" t="n">
        <v>-317510648</v>
      </c>
      <c r="Y175" s="325" t="n">
        <v>-252928330</v>
      </c>
      <c r="Z175" s="325" t="n">
        <v>-245443361</v>
      </c>
      <c r="AA175" s="325"/>
      <c r="AB175" s="325"/>
      <c r="AC175" s="325"/>
      <c r="AD175" s="325"/>
      <c r="AE175" s="325" t="n">
        <f aca="false">R175</f>
        <v>-137995336</v>
      </c>
      <c r="AF175" s="325" t="n">
        <f aca="false">S175-R175</f>
        <v>-130736413</v>
      </c>
      <c r="AG175" s="325" t="n">
        <f aca="false">T175-S175</f>
        <v>2795785</v>
      </c>
      <c r="AH175" s="325" t="n">
        <f aca="false">U175-T175</f>
        <v>-3663843</v>
      </c>
      <c r="AI175" s="325" t="n">
        <f aca="false">V175-U175</f>
        <v>-24455620</v>
      </c>
      <c r="AJ175" s="325" t="n">
        <f aca="false">W175-V175</f>
        <v>-39574659</v>
      </c>
      <c r="AK175" s="325" t="n">
        <f aca="false">X175-W175</f>
        <v>16119438</v>
      </c>
      <c r="AL175" s="325" t="n">
        <f aca="false">Y175-X175</f>
        <v>64582318</v>
      </c>
      <c r="AM175" s="325" t="n">
        <f aca="false">Z175-Y175</f>
        <v>7484969</v>
      </c>
      <c r="AN175" s="325" t="s">
        <v>1679</v>
      </c>
      <c r="AO175" s="325" t="n">
        <f aca="false">AB175-AA175</f>
        <v>0</v>
      </c>
      <c r="AP175" s="325" t="n">
        <f aca="false">AC175-AB175</f>
        <v>0</v>
      </c>
      <c r="AR175" s="314" t="str">
        <f aca="false">IFERROR(VLOOKUP(M175,'PL_DEC.2026'!$D$11:$D$99,1,FALSE()),"(미존재)")</f>
        <v>매출액</v>
      </c>
    </row>
    <row r="176" customFormat="false" ht="16.5" hidden="false" customHeight="false" outlineLevel="0" collapsed="false">
      <c r="A176" s="317" t="s">
        <v>791</v>
      </c>
      <c r="B176" s="314" t="n">
        <v>51660001</v>
      </c>
      <c r="C176" s="314" t="s">
        <v>1877</v>
      </c>
      <c r="D176" s="314" t="s">
        <v>1843</v>
      </c>
      <c r="E176" s="314" t="s">
        <v>1858</v>
      </c>
      <c r="F176" s="314" t="n">
        <v>0</v>
      </c>
      <c r="G176" s="314" t="s">
        <v>1846</v>
      </c>
      <c r="H176" s="314" t="s">
        <v>1495</v>
      </c>
      <c r="I176" s="314" t="s">
        <v>1854</v>
      </c>
      <c r="K176" s="314" t="s">
        <v>1855</v>
      </c>
      <c r="L176" s="324" t="s">
        <v>792</v>
      </c>
      <c r="M176" s="324" t="s">
        <v>264</v>
      </c>
      <c r="N176" s="324" t="s">
        <v>792</v>
      </c>
      <c r="O176" s="324" t="s">
        <v>264</v>
      </c>
      <c r="P176" s="324" t="s">
        <v>1861</v>
      </c>
      <c r="Q176" s="325" t="n">
        <v>7322555127</v>
      </c>
      <c r="R176" s="325" t="n">
        <v>1115372186</v>
      </c>
      <c r="S176" s="325" t="n">
        <v>1818267734</v>
      </c>
      <c r="T176" s="325" t="n">
        <v>2284775697</v>
      </c>
      <c r="U176" s="325" t="n">
        <v>2943535046</v>
      </c>
      <c r="V176" s="325" t="n">
        <v>3832091111</v>
      </c>
      <c r="W176" s="325" t="n">
        <v>5227547928</v>
      </c>
      <c r="X176" s="325" t="n">
        <v>6519834241</v>
      </c>
      <c r="Y176" s="325" t="n">
        <v>7693788908</v>
      </c>
      <c r="Z176" s="325" t="n">
        <v>10006743243</v>
      </c>
      <c r="AA176" s="325"/>
      <c r="AB176" s="325"/>
      <c r="AC176" s="325"/>
      <c r="AD176" s="325"/>
      <c r="AE176" s="325" t="n">
        <f aca="false">R176</f>
        <v>1115372186</v>
      </c>
      <c r="AF176" s="325" t="n">
        <f aca="false">S176-R176</f>
        <v>702895548</v>
      </c>
      <c r="AG176" s="325" t="n">
        <f aca="false">T176-S176</f>
        <v>466507963</v>
      </c>
      <c r="AH176" s="325" t="n">
        <f aca="false">U176-T176</f>
        <v>658759349</v>
      </c>
      <c r="AI176" s="325" t="n">
        <f aca="false">V176-U176</f>
        <v>888556065</v>
      </c>
      <c r="AJ176" s="325" t="n">
        <f aca="false">W176-V176</f>
        <v>1395456817</v>
      </c>
      <c r="AK176" s="325" t="n">
        <f aca="false">X176-W176</f>
        <v>1292286313</v>
      </c>
      <c r="AL176" s="325" t="n">
        <f aca="false">Y176-X176</f>
        <v>1173954667</v>
      </c>
      <c r="AM176" s="325" t="n">
        <f aca="false">Z176-Y176</f>
        <v>2312954335</v>
      </c>
      <c r="AN176" s="325" t="s">
        <v>1679</v>
      </c>
      <c r="AO176" s="325" t="n">
        <f aca="false">AB176-AA176</f>
        <v>0</v>
      </c>
      <c r="AP176" s="325" t="n">
        <f aca="false">AC176-AB176</f>
        <v>0</v>
      </c>
      <c r="AR176" s="314" t="str">
        <f aca="false">IFERROR(VLOOKUP(M176,'PL_DEC.2026'!$D$11:$D$99,1,FALSE()),"(미존재)")</f>
        <v>매출액</v>
      </c>
    </row>
    <row r="177" customFormat="false" ht="16.5" hidden="false" customHeight="false" outlineLevel="0" collapsed="false">
      <c r="A177" s="317" t="s">
        <v>791</v>
      </c>
      <c r="B177" s="314" t="n">
        <v>53000005</v>
      </c>
      <c r="C177" s="314" t="s">
        <v>1878</v>
      </c>
      <c r="D177" s="314" t="s">
        <v>1879</v>
      </c>
      <c r="E177" s="314" t="s">
        <v>1880</v>
      </c>
      <c r="F177" s="314" t="s">
        <v>1881</v>
      </c>
      <c r="G177" s="314" t="s">
        <v>1882</v>
      </c>
      <c r="H177" s="314" t="s">
        <v>1495</v>
      </c>
      <c r="I177" s="314" t="s">
        <v>1883</v>
      </c>
      <c r="K177" s="314" t="s">
        <v>1884</v>
      </c>
      <c r="L177" s="324" t="s">
        <v>824</v>
      </c>
      <c r="M177" s="324" t="s">
        <v>269</v>
      </c>
      <c r="N177" s="324" t="s">
        <v>824</v>
      </c>
      <c r="O177" s="324" t="s">
        <v>824</v>
      </c>
      <c r="P177" s="324" t="s">
        <v>269</v>
      </c>
      <c r="Q177" s="325" t="n">
        <v>492779169233</v>
      </c>
      <c r="R177" s="325" t="n">
        <v>48749755594</v>
      </c>
      <c r="S177" s="325" t="n">
        <v>88385265946</v>
      </c>
      <c r="T177" s="325" t="n">
        <v>131295466917</v>
      </c>
      <c r="U177" s="325" t="n">
        <v>168563887098</v>
      </c>
      <c r="V177" s="325" t="n">
        <v>207122641731</v>
      </c>
      <c r="W177" s="325" t="n">
        <v>245233913162</v>
      </c>
      <c r="X177" s="325" t="n">
        <v>286890519475</v>
      </c>
      <c r="Y177" s="325" t="n">
        <v>328090433502</v>
      </c>
      <c r="Z177" s="325" t="n">
        <v>398083725574</v>
      </c>
      <c r="AA177" s="325"/>
      <c r="AB177" s="325"/>
      <c r="AC177" s="325"/>
      <c r="AD177" s="325"/>
      <c r="AE177" s="325" t="n">
        <f aca="false">R177</f>
        <v>48749755594</v>
      </c>
      <c r="AF177" s="325" t="n">
        <f aca="false">S177-R177</f>
        <v>39635510352</v>
      </c>
      <c r="AG177" s="325" t="n">
        <f aca="false">T177-S177</f>
        <v>42910200971</v>
      </c>
      <c r="AH177" s="325" t="n">
        <f aca="false">U177-T177</f>
        <v>37268420181</v>
      </c>
      <c r="AI177" s="325" t="n">
        <f aca="false">V177-U177</f>
        <v>38558754633</v>
      </c>
      <c r="AJ177" s="325" t="n">
        <f aca="false">W177-V177</f>
        <v>38111271431</v>
      </c>
      <c r="AK177" s="325" t="n">
        <f aca="false">X177-W177</f>
        <v>41656606313</v>
      </c>
      <c r="AL177" s="325" t="n">
        <f aca="false">Y177-X177</f>
        <v>41199914027</v>
      </c>
      <c r="AM177" s="325" t="n">
        <f aca="false">Z177-Y177</f>
        <v>69993292072</v>
      </c>
      <c r="AN177" s="325" t="s">
        <v>1679</v>
      </c>
      <c r="AO177" s="325" t="n">
        <f aca="false">AB177-AA177</f>
        <v>0</v>
      </c>
      <c r="AP177" s="325" t="n">
        <f aca="false">AC177-AB177</f>
        <v>0</v>
      </c>
      <c r="AR177" s="314" t="str">
        <f aca="false">IFERROR(VLOOKUP(M177,'PL_DEC.2026'!$D$11:$D$99,1,FALSE()),"(미존재)")</f>
        <v>상품매출원가</v>
      </c>
    </row>
    <row r="178" customFormat="false" ht="16.5" hidden="false" customHeight="false" outlineLevel="0" collapsed="false">
      <c r="A178" s="317" t="s">
        <v>791</v>
      </c>
      <c r="B178" s="314" t="n">
        <v>53000850</v>
      </c>
      <c r="C178" s="314" t="s">
        <v>1885</v>
      </c>
      <c r="D178" s="314" t="s">
        <v>1879</v>
      </c>
      <c r="E178" s="314" t="s">
        <v>1880</v>
      </c>
      <c r="F178" s="314" t="s">
        <v>1881</v>
      </c>
      <c r="G178" s="314" t="s">
        <v>1882</v>
      </c>
      <c r="H178" s="314" t="s">
        <v>1495</v>
      </c>
      <c r="I178" s="314" t="s">
        <v>1886</v>
      </c>
      <c r="K178" s="314" t="s">
        <v>1887</v>
      </c>
      <c r="L178" s="324" t="s">
        <v>824</v>
      </c>
      <c r="M178" s="324" t="s">
        <v>269</v>
      </c>
      <c r="N178" s="324" t="s">
        <v>824</v>
      </c>
      <c r="O178" s="324" t="s">
        <v>824</v>
      </c>
      <c r="P178" s="324" t="s">
        <v>269</v>
      </c>
      <c r="Q178" s="325" t="n">
        <v>-1381680</v>
      </c>
      <c r="R178" s="325" t="n">
        <v>0</v>
      </c>
      <c r="S178" s="325" t="n">
        <v>0</v>
      </c>
      <c r="T178" s="325" t="n">
        <v>0</v>
      </c>
      <c r="U178" s="325" t="n">
        <v>0</v>
      </c>
      <c r="V178" s="325" t="n">
        <v>0</v>
      </c>
      <c r="W178" s="325" t="n">
        <v>0</v>
      </c>
      <c r="X178" s="325" t="n">
        <v>0</v>
      </c>
      <c r="Y178" s="325" t="n">
        <v>0</v>
      </c>
      <c r="Z178" s="325" t="n">
        <v>0</v>
      </c>
      <c r="AA178" s="325"/>
      <c r="AB178" s="325"/>
      <c r="AC178" s="325"/>
      <c r="AD178" s="325"/>
      <c r="AE178" s="325" t="n">
        <f aca="false">R178</f>
        <v>0</v>
      </c>
      <c r="AF178" s="325" t="n">
        <f aca="false">S178-R178</f>
        <v>0</v>
      </c>
      <c r="AG178" s="325" t="n">
        <f aca="false">T178-S178</f>
        <v>0</v>
      </c>
      <c r="AH178" s="325" t="n">
        <f aca="false">U178-T178</f>
        <v>0</v>
      </c>
      <c r="AI178" s="325" t="n">
        <f aca="false">V178-U178</f>
        <v>0</v>
      </c>
      <c r="AJ178" s="325" t="n">
        <f aca="false">W178-V178</f>
        <v>0</v>
      </c>
      <c r="AK178" s="325" t="n">
        <f aca="false">X178-W178</f>
        <v>0</v>
      </c>
      <c r="AL178" s="325" t="n">
        <f aca="false">Y178-X178</f>
        <v>0</v>
      </c>
      <c r="AM178" s="325" t="n">
        <f aca="false">Z178-Y178</f>
        <v>0</v>
      </c>
      <c r="AN178" s="325" t="s">
        <v>1679</v>
      </c>
      <c r="AO178" s="325" t="n">
        <f aca="false">AB178-AA178</f>
        <v>0</v>
      </c>
      <c r="AP178" s="325" t="n">
        <f aca="false">AC178-AB178</f>
        <v>0</v>
      </c>
      <c r="AR178" s="314" t="str">
        <f aca="false">IFERROR(VLOOKUP(M178,'PL_DEC.2026'!$D$11:$D$99,1,FALSE()),"(미존재)")</f>
        <v>상품매출원가</v>
      </c>
    </row>
    <row r="179" customFormat="false" ht="16.5" hidden="false" customHeight="false" outlineLevel="0" collapsed="false">
      <c r="A179" s="317" t="s">
        <v>791</v>
      </c>
      <c r="B179" s="314" t="n">
        <v>53000853</v>
      </c>
      <c r="C179" s="314" t="s">
        <v>1888</v>
      </c>
      <c r="D179" s="314" t="s">
        <v>1879</v>
      </c>
      <c r="E179" s="314" t="s">
        <v>1880</v>
      </c>
      <c r="F179" s="314" t="s">
        <v>1881</v>
      </c>
      <c r="G179" s="314" t="s">
        <v>1882</v>
      </c>
      <c r="H179" s="314" t="s">
        <v>1495</v>
      </c>
      <c r="I179" s="314" t="s">
        <v>1889</v>
      </c>
      <c r="K179" s="314" t="s">
        <v>1890</v>
      </c>
      <c r="L179" s="324" t="s">
        <v>824</v>
      </c>
      <c r="M179" s="324" t="s">
        <v>269</v>
      </c>
      <c r="N179" s="324" t="s">
        <v>824</v>
      </c>
      <c r="O179" s="324" t="s">
        <v>824</v>
      </c>
      <c r="P179" s="324" t="s">
        <v>269</v>
      </c>
      <c r="Q179" s="325" t="n">
        <v>611922041</v>
      </c>
      <c r="R179" s="325" t="n">
        <v>-444992159</v>
      </c>
      <c r="S179" s="325" t="n">
        <v>-1227166660</v>
      </c>
      <c r="T179" s="325" t="n">
        <v>-997031972</v>
      </c>
      <c r="U179" s="325" t="n">
        <v>-868543229</v>
      </c>
      <c r="V179" s="325" t="n">
        <v>-45793541</v>
      </c>
      <c r="W179" s="325" t="n">
        <v>-936290834</v>
      </c>
      <c r="X179" s="325" t="n">
        <v>-599904788</v>
      </c>
      <c r="Y179" s="325" t="n">
        <v>-115140626</v>
      </c>
      <c r="Z179" s="325" t="n">
        <v>-184200745</v>
      </c>
      <c r="AA179" s="325"/>
      <c r="AB179" s="325"/>
      <c r="AC179" s="325"/>
      <c r="AD179" s="325"/>
      <c r="AE179" s="325" t="n">
        <f aca="false">R179</f>
        <v>-444992159</v>
      </c>
      <c r="AF179" s="325" t="n">
        <f aca="false">S179-R179</f>
        <v>-782174501</v>
      </c>
      <c r="AG179" s="325" t="n">
        <f aca="false">T179-S179</f>
        <v>230134688</v>
      </c>
      <c r="AH179" s="325" t="n">
        <f aca="false">U179-T179</f>
        <v>128488743</v>
      </c>
      <c r="AI179" s="325" t="n">
        <f aca="false">V179-U179</f>
        <v>822749688</v>
      </c>
      <c r="AJ179" s="325" t="n">
        <f aca="false">W179-V179</f>
        <v>-890497293</v>
      </c>
      <c r="AK179" s="325" t="n">
        <f aca="false">X179-W179</f>
        <v>336386046</v>
      </c>
      <c r="AL179" s="325" t="n">
        <f aca="false">Y179-X179</f>
        <v>484764162</v>
      </c>
      <c r="AM179" s="325" t="n">
        <f aca="false">Z179-Y179</f>
        <v>-69060119</v>
      </c>
      <c r="AN179" s="325" t="s">
        <v>1679</v>
      </c>
      <c r="AO179" s="325" t="n">
        <f aca="false">AB179-AA179</f>
        <v>0</v>
      </c>
      <c r="AP179" s="325" t="n">
        <f aca="false">AC179-AB179</f>
        <v>0</v>
      </c>
      <c r="AR179" s="314" t="str">
        <f aca="false">IFERROR(VLOOKUP(M179,'PL_DEC.2026'!$D$11:$D$99,1,FALSE()),"(미존재)")</f>
        <v>상품매출원가</v>
      </c>
    </row>
    <row r="180" customFormat="false" ht="16.5" hidden="false" customHeight="false" outlineLevel="0" collapsed="false">
      <c r="A180" s="317" t="s">
        <v>791</v>
      </c>
      <c r="B180" s="314" t="n">
        <v>53000858</v>
      </c>
      <c r="C180" s="314" t="s">
        <v>1891</v>
      </c>
      <c r="D180" s="314" t="s">
        <v>1879</v>
      </c>
      <c r="E180" s="314" t="s">
        <v>1880</v>
      </c>
      <c r="F180" s="314" t="s">
        <v>1881</v>
      </c>
      <c r="G180" s="314" t="s">
        <v>1882</v>
      </c>
      <c r="H180" s="314" t="s">
        <v>1495</v>
      </c>
      <c r="I180" s="314" t="s">
        <v>1892</v>
      </c>
      <c r="K180" s="314" t="s">
        <v>1893</v>
      </c>
      <c r="L180" s="324" t="s">
        <v>824</v>
      </c>
      <c r="M180" s="324" t="s">
        <v>269</v>
      </c>
      <c r="N180" s="324" t="s">
        <v>824</v>
      </c>
      <c r="O180" s="324" t="s">
        <v>824</v>
      </c>
      <c r="P180" s="324" t="s">
        <v>269</v>
      </c>
      <c r="Q180" s="325" t="n">
        <v>-355542315</v>
      </c>
      <c r="R180" s="325" t="n">
        <v>326336718</v>
      </c>
      <c r="S180" s="325" t="n">
        <v>402042390</v>
      </c>
      <c r="T180" s="325" t="n">
        <v>940724130</v>
      </c>
      <c r="U180" s="325" t="n">
        <v>1024762616</v>
      </c>
      <c r="V180" s="325" t="n">
        <v>734066751</v>
      </c>
      <c r="W180" s="325" t="n">
        <v>-4770617217</v>
      </c>
      <c r="X180" s="325" t="n">
        <v>-2788084275</v>
      </c>
      <c r="Y180" s="325" t="n">
        <v>-2406031973</v>
      </c>
      <c r="Z180" s="325" t="n">
        <v>-2400102196</v>
      </c>
      <c r="AA180" s="325"/>
      <c r="AB180" s="325"/>
      <c r="AC180" s="325"/>
      <c r="AD180" s="325"/>
      <c r="AE180" s="325" t="n">
        <f aca="false">R180</f>
        <v>326336718</v>
      </c>
      <c r="AF180" s="325" t="n">
        <f aca="false">S180-R180</f>
        <v>75705672</v>
      </c>
      <c r="AG180" s="325" t="n">
        <f aca="false">T180-S180</f>
        <v>538681740</v>
      </c>
      <c r="AH180" s="325" t="n">
        <f aca="false">U180-T180</f>
        <v>84038486</v>
      </c>
      <c r="AI180" s="325" t="n">
        <f aca="false">V180-U180</f>
        <v>-290695865</v>
      </c>
      <c r="AJ180" s="325" t="n">
        <f aca="false">W180-V180</f>
        <v>-5504683968</v>
      </c>
      <c r="AK180" s="325" t="n">
        <f aca="false">X180-W180</f>
        <v>1982532942</v>
      </c>
      <c r="AL180" s="325" t="n">
        <f aca="false">Y180-X180</f>
        <v>382052302</v>
      </c>
      <c r="AM180" s="325" t="n">
        <f aca="false">Z180-Y180</f>
        <v>5929777</v>
      </c>
      <c r="AN180" s="325" t="s">
        <v>1679</v>
      </c>
      <c r="AO180" s="325" t="n">
        <f aca="false">AB180-AA180</f>
        <v>0</v>
      </c>
      <c r="AP180" s="325" t="n">
        <f aca="false">AC180-AB180</f>
        <v>0</v>
      </c>
      <c r="AR180" s="314" t="str">
        <f aca="false">IFERROR(VLOOKUP(M180,'PL_DEC.2026'!$D$11:$D$99,1,FALSE()),"(미존재)")</f>
        <v>상품매출원가</v>
      </c>
    </row>
    <row r="181" customFormat="false" ht="16.5" hidden="false" customHeight="false" outlineLevel="0" collapsed="false">
      <c r="A181" s="317" t="s">
        <v>791</v>
      </c>
      <c r="B181" s="314" t="n">
        <v>54000008</v>
      </c>
      <c r="C181" s="314" t="s">
        <v>1894</v>
      </c>
      <c r="D181" s="314" t="s">
        <v>1879</v>
      </c>
      <c r="E181" s="314" t="s">
        <v>1880</v>
      </c>
      <c r="F181" s="314" t="s">
        <v>1881</v>
      </c>
      <c r="G181" s="314" t="s">
        <v>1882</v>
      </c>
      <c r="H181" s="314" t="s">
        <v>1495</v>
      </c>
      <c r="I181" s="314" t="s">
        <v>1889</v>
      </c>
      <c r="K181" s="314" t="s">
        <v>1890</v>
      </c>
      <c r="L181" s="324" t="s">
        <v>824</v>
      </c>
      <c r="M181" s="324" t="s">
        <v>269</v>
      </c>
      <c r="N181" s="324" t="s">
        <v>824</v>
      </c>
      <c r="O181" s="324" t="s">
        <v>824</v>
      </c>
      <c r="P181" s="324" t="s">
        <v>269</v>
      </c>
      <c r="Q181" s="325" t="n">
        <v>-4568891349</v>
      </c>
      <c r="R181" s="325" t="n">
        <v>0</v>
      </c>
      <c r="S181" s="325" t="n">
        <v>-3449568</v>
      </c>
      <c r="T181" s="325" t="n">
        <v>-6951073</v>
      </c>
      <c r="U181" s="325" t="n">
        <v>-14159279</v>
      </c>
      <c r="V181" s="325" t="n">
        <v>-15936068</v>
      </c>
      <c r="W181" s="325" t="n">
        <v>-195915300</v>
      </c>
      <c r="X181" s="325" t="n">
        <v>-315513963</v>
      </c>
      <c r="Y181" s="325" t="n">
        <v>-429736138</v>
      </c>
      <c r="Z181" s="325" t="n">
        <v>-452391346</v>
      </c>
      <c r="AA181" s="325"/>
      <c r="AB181" s="325"/>
      <c r="AC181" s="325"/>
      <c r="AD181" s="325"/>
      <c r="AE181" s="325" t="n">
        <f aca="false">R181</f>
        <v>0</v>
      </c>
      <c r="AF181" s="325" t="n">
        <f aca="false">S181-R181</f>
        <v>-3449568</v>
      </c>
      <c r="AG181" s="325" t="n">
        <f aca="false">T181-S181</f>
        <v>-3501505</v>
      </c>
      <c r="AH181" s="325" t="n">
        <f aca="false">U181-T181</f>
        <v>-7208206</v>
      </c>
      <c r="AI181" s="325" t="n">
        <f aca="false">V181-U181</f>
        <v>-1776789</v>
      </c>
      <c r="AJ181" s="325" t="n">
        <f aca="false">W181-V181</f>
        <v>-179979232</v>
      </c>
      <c r="AK181" s="325" t="n">
        <f aca="false">X181-W181</f>
        <v>-119598663</v>
      </c>
      <c r="AL181" s="325" t="n">
        <f aca="false">Y181-X181</f>
        <v>-114222175</v>
      </c>
      <c r="AM181" s="325" t="n">
        <f aca="false">Z181-Y181</f>
        <v>-22655208</v>
      </c>
      <c r="AN181" s="325" t="s">
        <v>1679</v>
      </c>
      <c r="AO181" s="325" t="n">
        <f aca="false">AB181-AA181</f>
        <v>0</v>
      </c>
      <c r="AP181" s="325" t="n">
        <f aca="false">AC181-AB181</f>
        <v>0</v>
      </c>
      <c r="AR181" s="314" t="str">
        <f aca="false">IFERROR(VLOOKUP(M181,'PL_DEC.2026'!$D$11:$D$99,1,FALSE()),"(미존재)")</f>
        <v>상품매출원가</v>
      </c>
    </row>
    <row r="182" customFormat="false" ht="16.5" hidden="false" customHeight="false" outlineLevel="0" collapsed="false">
      <c r="A182" s="317" t="s">
        <v>791</v>
      </c>
      <c r="B182" s="314" t="n">
        <v>54000033</v>
      </c>
      <c r="C182" s="314" t="s">
        <v>1895</v>
      </c>
      <c r="D182" s="314" t="s">
        <v>1879</v>
      </c>
      <c r="E182" s="314" t="s">
        <v>1880</v>
      </c>
      <c r="F182" s="314" t="s">
        <v>1881</v>
      </c>
      <c r="G182" s="314" t="s">
        <v>1882</v>
      </c>
      <c r="H182" s="314" t="s">
        <v>1495</v>
      </c>
      <c r="I182" s="314" t="s">
        <v>1896</v>
      </c>
      <c r="K182" s="314" t="s">
        <v>1897</v>
      </c>
      <c r="L182" s="324" t="s">
        <v>824</v>
      </c>
      <c r="M182" s="324" t="s">
        <v>269</v>
      </c>
      <c r="N182" s="324" t="s">
        <v>824</v>
      </c>
      <c r="O182" s="324" t="s">
        <v>824</v>
      </c>
      <c r="P182" s="324" t="s">
        <v>269</v>
      </c>
      <c r="Q182" s="325" t="n">
        <v>1035710</v>
      </c>
      <c r="R182" s="325" t="n">
        <v>0</v>
      </c>
      <c r="S182" s="325" t="n">
        <v>0</v>
      </c>
      <c r="T182" s="325" t="n">
        <v>0</v>
      </c>
      <c r="U182" s="325" t="n">
        <v>-1149824</v>
      </c>
      <c r="V182" s="325" t="n">
        <v>-1149824</v>
      </c>
      <c r="W182" s="325" t="n">
        <v>-1149824</v>
      </c>
      <c r="X182" s="325" t="n">
        <v>-1149824</v>
      </c>
      <c r="Y182" s="325" t="n">
        <v>-1149824</v>
      </c>
      <c r="Z182" s="325" t="n">
        <v>-1149824</v>
      </c>
      <c r="AA182" s="325"/>
      <c r="AB182" s="325"/>
      <c r="AC182" s="325"/>
      <c r="AD182" s="325"/>
      <c r="AE182" s="325" t="n">
        <f aca="false">R182</f>
        <v>0</v>
      </c>
      <c r="AF182" s="325" t="n">
        <f aca="false">S182-R182</f>
        <v>0</v>
      </c>
      <c r="AG182" s="325" t="n">
        <f aca="false">T182-S182</f>
        <v>0</v>
      </c>
      <c r="AH182" s="325" t="n">
        <f aca="false">U182-T182</f>
        <v>-1149824</v>
      </c>
      <c r="AI182" s="325" t="n">
        <f aca="false">V182-U182</f>
        <v>0</v>
      </c>
      <c r="AJ182" s="325" t="n">
        <f aca="false">W182-V182</f>
        <v>0</v>
      </c>
      <c r="AK182" s="325" t="n">
        <f aca="false">X182-W182</f>
        <v>0</v>
      </c>
      <c r="AL182" s="325" t="n">
        <f aca="false">Y182-X182</f>
        <v>0</v>
      </c>
      <c r="AM182" s="325" t="n">
        <f aca="false">Z182-Y182</f>
        <v>0</v>
      </c>
      <c r="AN182" s="325" t="s">
        <v>1679</v>
      </c>
      <c r="AO182" s="325" t="n">
        <f aca="false">AB182-AA182</f>
        <v>0</v>
      </c>
      <c r="AP182" s="325" t="n">
        <f aca="false">AC182-AB182</f>
        <v>0</v>
      </c>
      <c r="AR182" s="314" t="str">
        <f aca="false">IFERROR(VLOOKUP(M182,'PL_DEC.2026'!$D$11:$D$99,1,FALSE()),"(미존재)")</f>
        <v>상품매출원가</v>
      </c>
    </row>
    <row r="183" customFormat="false" ht="16.5" hidden="false" customHeight="false" outlineLevel="0" collapsed="false">
      <c r="A183" s="317" t="s">
        <v>791</v>
      </c>
      <c r="B183" s="314" t="n">
        <v>54200018</v>
      </c>
      <c r="C183" s="314" t="s">
        <v>1898</v>
      </c>
      <c r="D183" s="314" t="s">
        <v>1879</v>
      </c>
      <c r="E183" s="314" t="s">
        <v>1880</v>
      </c>
      <c r="F183" s="314" t="s">
        <v>1881</v>
      </c>
      <c r="G183" s="314" t="s">
        <v>1882</v>
      </c>
      <c r="H183" s="314" t="s">
        <v>1495</v>
      </c>
      <c r="I183" s="314" t="s">
        <v>1889</v>
      </c>
      <c r="K183" s="314" t="s">
        <v>1890</v>
      </c>
      <c r="L183" s="324" t="s">
        <v>824</v>
      </c>
      <c r="M183" s="324" t="s">
        <v>269</v>
      </c>
      <c r="N183" s="324" t="s">
        <v>824</v>
      </c>
      <c r="O183" s="324" t="s">
        <v>824</v>
      </c>
      <c r="P183" s="324" t="s">
        <v>269</v>
      </c>
      <c r="Q183" s="325"/>
      <c r="R183" s="325" t="n">
        <v>0</v>
      </c>
      <c r="S183" s="325"/>
      <c r="T183" s="325"/>
      <c r="U183" s="325"/>
      <c r="V183" s="325"/>
      <c r="W183" s="325" t="n">
        <v>6050000</v>
      </c>
      <c r="X183" s="325" t="n">
        <v>6294000</v>
      </c>
      <c r="Y183" s="325" t="n">
        <v>11484600</v>
      </c>
      <c r="Z183" s="325" t="n">
        <v>21339601</v>
      </c>
      <c r="AA183" s="325"/>
      <c r="AB183" s="325"/>
      <c r="AC183" s="325"/>
      <c r="AD183" s="325"/>
      <c r="AE183" s="325" t="n">
        <f aca="false">R183</f>
        <v>0</v>
      </c>
      <c r="AF183" s="325" t="n">
        <f aca="false">S183-R183</f>
        <v>0</v>
      </c>
      <c r="AG183" s="325" t="n">
        <f aca="false">T183-S183</f>
        <v>0</v>
      </c>
      <c r="AH183" s="325" t="n">
        <f aca="false">U183-T183</f>
        <v>0</v>
      </c>
      <c r="AI183" s="325" t="n">
        <f aca="false">V183-U183</f>
        <v>0</v>
      </c>
      <c r="AJ183" s="325" t="n">
        <f aca="false">W183-V183</f>
        <v>6050000</v>
      </c>
      <c r="AK183" s="325" t="n">
        <f aca="false">X183-W183</f>
        <v>244000</v>
      </c>
      <c r="AL183" s="325" t="n">
        <f aca="false">Y183-X183</f>
        <v>5190600</v>
      </c>
      <c r="AM183" s="325" t="n">
        <f aca="false">Z183-Y183</f>
        <v>9855001</v>
      </c>
      <c r="AN183" s="325" t="s">
        <v>1679</v>
      </c>
      <c r="AO183" s="325" t="n">
        <f aca="false">AB183-AA183</f>
        <v>0</v>
      </c>
      <c r="AP183" s="325" t="n">
        <f aca="false">AC183-AB183</f>
        <v>0</v>
      </c>
      <c r="AR183" s="314" t="str">
        <f aca="false">IFERROR(VLOOKUP(M183,'PL_DEC.2026'!$D$11:$D$99,1,FALSE()),"(미존재)")</f>
        <v>상품매출원가</v>
      </c>
    </row>
    <row r="184" customFormat="false" ht="16.5" hidden="false" customHeight="false" outlineLevel="0" collapsed="false">
      <c r="A184" s="317" t="s">
        <v>791</v>
      </c>
      <c r="B184" s="314" t="n">
        <v>54000070</v>
      </c>
      <c r="C184" s="314" t="s">
        <v>1899</v>
      </c>
      <c r="D184" s="314" t="s">
        <v>1879</v>
      </c>
      <c r="E184" s="314" t="s">
        <v>1880</v>
      </c>
      <c r="F184" s="314" t="s">
        <v>1881</v>
      </c>
      <c r="G184" s="314" t="s">
        <v>1882</v>
      </c>
      <c r="H184" s="314" t="s">
        <v>1495</v>
      </c>
      <c r="I184" s="314" t="s">
        <v>1889</v>
      </c>
      <c r="K184" s="314" t="s">
        <v>1890</v>
      </c>
      <c r="L184" s="324" t="s">
        <v>824</v>
      </c>
      <c r="M184" s="324" t="s">
        <v>269</v>
      </c>
      <c r="N184" s="324" t="s">
        <v>824</v>
      </c>
      <c r="O184" s="324" t="s">
        <v>824</v>
      </c>
      <c r="P184" s="324" t="s">
        <v>269</v>
      </c>
      <c r="Q184" s="325" t="n">
        <v>-2417467720</v>
      </c>
      <c r="R184" s="325" t="n">
        <v>-57541822</v>
      </c>
      <c r="S184" s="325" t="n">
        <v>-381604401</v>
      </c>
      <c r="T184" s="325" t="n">
        <v>-607460227</v>
      </c>
      <c r="U184" s="325" t="n">
        <v>-1345124387</v>
      </c>
      <c r="V184" s="325" t="n">
        <v>-1397450611</v>
      </c>
      <c r="W184" s="325" t="n">
        <v>-1432322678</v>
      </c>
      <c r="X184" s="325" t="n">
        <v>-1751791412</v>
      </c>
      <c r="Y184" s="325" t="n">
        <v>-1740948146</v>
      </c>
      <c r="Z184" s="325" t="n">
        <v>-1987252232</v>
      </c>
      <c r="AA184" s="325"/>
      <c r="AB184" s="325"/>
      <c r="AC184" s="325"/>
      <c r="AD184" s="325"/>
      <c r="AE184" s="325" t="n">
        <f aca="false">R184</f>
        <v>-57541822</v>
      </c>
      <c r="AF184" s="325" t="n">
        <f aca="false">S184-R184</f>
        <v>-324062579</v>
      </c>
      <c r="AG184" s="325" t="n">
        <f aca="false">T184-S184</f>
        <v>-225855826</v>
      </c>
      <c r="AH184" s="325" t="n">
        <f aca="false">U184-T184</f>
        <v>-737664160</v>
      </c>
      <c r="AI184" s="325" t="n">
        <f aca="false">V184-U184</f>
        <v>-52326224</v>
      </c>
      <c r="AJ184" s="325" t="n">
        <f aca="false">W184-V184</f>
        <v>-34872067</v>
      </c>
      <c r="AK184" s="325" t="n">
        <f aca="false">X184-W184</f>
        <v>-319468734</v>
      </c>
      <c r="AL184" s="325" t="n">
        <f aca="false">Y184-X184</f>
        <v>10843266</v>
      </c>
      <c r="AM184" s="325" t="n">
        <f aca="false">Z184-Y184</f>
        <v>-246304086</v>
      </c>
      <c r="AN184" s="325" t="s">
        <v>1679</v>
      </c>
      <c r="AO184" s="325" t="n">
        <f aca="false">AB184-AA184</f>
        <v>0</v>
      </c>
      <c r="AP184" s="325" t="n">
        <f aca="false">AC184-AB184</f>
        <v>0</v>
      </c>
      <c r="AR184" s="314" t="str">
        <f aca="false">IFERROR(VLOOKUP(M184,'PL_DEC.2026'!$D$11:$D$99,1,FALSE()),"(미존재)")</f>
        <v>상품매출원가</v>
      </c>
    </row>
    <row r="185" customFormat="false" ht="16.5" hidden="false" customHeight="false" outlineLevel="0" collapsed="false">
      <c r="A185" s="317" t="s">
        <v>791</v>
      </c>
      <c r="B185" s="314" t="n">
        <v>54000080</v>
      </c>
      <c r="C185" s="314" t="s">
        <v>1900</v>
      </c>
      <c r="D185" s="314" t="s">
        <v>1879</v>
      </c>
      <c r="E185" s="314" t="s">
        <v>1880</v>
      </c>
      <c r="F185" s="314" t="s">
        <v>1881</v>
      </c>
      <c r="G185" s="314" t="s">
        <v>1635</v>
      </c>
      <c r="H185" s="314" t="s">
        <v>1495</v>
      </c>
      <c r="I185" s="314" t="s">
        <v>1889</v>
      </c>
      <c r="K185" s="314" t="s">
        <v>1890</v>
      </c>
      <c r="L185" s="324" t="s">
        <v>824</v>
      </c>
      <c r="M185" s="324" t="s">
        <v>269</v>
      </c>
      <c r="N185" s="324" t="s">
        <v>824</v>
      </c>
      <c r="O185" s="324" t="s">
        <v>824</v>
      </c>
      <c r="P185" s="324" t="s">
        <v>269</v>
      </c>
      <c r="Q185" s="325" t="n">
        <v>1584677840</v>
      </c>
      <c r="R185" s="325" t="n">
        <v>48565675</v>
      </c>
      <c r="S185" s="325" t="n">
        <v>365815940</v>
      </c>
      <c r="T185" s="325" t="n">
        <v>590674268</v>
      </c>
      <c r="U185" s="325" t="n">
        <v>1324390592</v>
      </c>
      <c r="V185" s="325" t="n">
        <v>1375070373</v>
      </c>
      <c r="W185" s="325" t="n">
        <v>1407600918</v>
      </c>
      <c r="X185" s="325" t="n">
        <v>1714578220</v>
      </c>
      <c r="Y185" s="325" t="n">
        <v>1702832936</v>
      </c>
      <c r="Z185" s="325" t="n">
        <v>1948608791</v>
      </c>
      <c r="AA185" s="325"/>
      <c r="AB185" s="325"/>
      <c r="AC185" s="325"/>
      <c r="AD185" s="325"/>
      <c r="AE185" s="325" t="n">
        <f aca="false">R185</f>
        <v>48565675</v>
      </c>
      <c r="AF185" s="325" t="n">
        <f aca="false">S185-R185</f>
        <v>317250265</v>
      </c>
      <c r="AG185" s="325" t="n">
        <f aca="false">T185-S185</f>
        <v>224858328</v>
      </c>
      <c r="AH185" s="325" t="n">
        <f aca="false">U185-T185</f>
        <v>733716324</v>
      </c>
      <c r="AI185" s="325" t="n">
        <f aca="false">V185-U185</f>
        <v>50679781</v>
      </c>
      <c r="AJ185" s="325" t="n">
        <f aca="false">W185-V185</f>
        <v>32530545</v>
      </c>
      <c r="AK185" s="325" t="n">
        <f aca="false">X185-W185</f>
        <v>306977302</v>
      </c>
      <c r="AL185" s="325" t="n">
        <f aca="false">Y185-X185</f>
        <v>-11745284</v>
      </c>
      <c r="AM185" s="325" t="n">
        <f aca="false">Z185-Y185</f>
        <v>245775855</v>
      </c>
      <c r="AN185" s="325" t="s">
        <v>1679</v>
      </c>
      <c r="AO185" s="325" t="n">
        <f aca="false">AB185-AA185</f>
        <v>0</v>
      </c>
      <c r="AP185" s="325" t="n">
        <f aca="false">AC185-AB185</f>
        <v>0</v>
      </c>
      <c r="AR185" s="314" t="str">
        <f aca="false">IFERROR(VLOOKUP(M185,'PL_DEC.2026'!$D$11:$D$99,1,FALSE()),"(미존재)")</f>
        <v>상품매출원가</v>
      </c>
    </row>
    <row r="186" customFormat="false" ht="16.5" hidden="false" customHeight="false" outlineLevel="0" collapsed="false">
      <c r="A186" s="317" t="s">
        <v>791</v>
      </c>
      <c r="B186" s="314" t="n">
        <v>54000700</v>
      </c>
      <c r="C186" s="314" t="s">
        <v>1901</v>
      </c>
      <c r="D186" s="314" t="s">
        <v>1879</v>
      </c>
      <c r="E186" s="314" t="s">
        <v>1880</v>
      </c>
      <c r="F186" s="314" t="s">
        <v>1881</v>
      </c>
      <c r="G186" s="314" t="s">
        <v>1882</v>
      </c>
      <c r="H186" s="314" t="s">
        <v>1495</v>
      </c>
      <c r="I186" s="314" t="s">
        <v>1889</v>
      </c>
      <c r="K186" s="314" t="s">
        <v>1890</v>
      </c>
      <c r="L186" s="324" t="s">
        <v>824</v>
      </c>
      <c r="M186" s="324" t="s">
        <v>269</v>
      </c>
      <c r="N186" s="324" t="s">
        <v>824</v>
      </c>
      <c r="O186" s="324" t="s">
        <v>824</v>
      </c>
      <c r="P186" s="324" t="s">
        <v>269</v>
      </c>
      <c r="Q186" s="325" t="n">
        <v>4272917104</v>
      </c>
      <c r="R186" s="325" t="n">
        <v>302621853</v>
      </c>
      <c r="S186" s="325" t="n">
        <v>542795577</v>
      </c>
      <c r="T186" s="325" t="n">
        <v>717145867</v>
      </c>
      <c r="U186" s="325" t="n">
        <v>941590461</v>
      </c>
      <c r="V186" s="325" t="n">
        <v>1058753122</v>
      </c>
      <c r="W186" s="325" t="n">
        <v>1405859055</v>
      </c>
      <c r="X186" s="325" t="n">
        <v>1777853476</v>
      </c>
      <c r="Y186" s="325" t="n">
        <v>2021613965</v>
      </c>
      <c r="Z186" s="325" t="n">
        <v>2176465415</v>
      </c>
      <c r="AA186" s="325"/>
      <c r="AB186" s="325"/>
      <c r="AC186" s="325"/>
      <c r="AD186" s="325"/>
      <c r="AE186" s="325" t="n">
        <f aca="false">R186</f>
        <v>302621853</v>
      </c>
      <c r="AF186" s="325" t="n">
        <f aca="false">S186-R186</f>
        <v>240173724</v>
      </c>
      <c r="AG186" s="325" t="n">
        <f aca="false">T186-S186</f>
        <v>174350290</v>
      </c>
      <c r="AH186" s="325" t="n">
        <f aca="false">U186-T186</f>
        <v>224444594</v>
      </c>
      <c r="AI186" s="325" t="n">
        <f aca="false">V186-U186</f>
        <v>117162661</v>
      </c>
      <c r="AJ186" s="325" t="n">
        <f aca="false">W186-V186</f>
        <v>347105933</v>
      </c>
      <c r="AK186" s="325" t="n">
        <f aca="false">X186-W186</f>
        <v>371994421</v>
      </c>
      <c r="AL186" s="325" t="n">
        <f aca="false">Y186-X186</f>
        <v>243760489</v>
      </c>
      <c r="AM186" s="325" t="n">
        <f aca="false">Z186-Y186</f>
        <v>154851450</v>
      </c>
      <c r="AN186" s="325" t="s">
        <v>1679</v>
      </c>
      <c r="AO186" s="325" t="n">
        <f aca="false">AB186-AA186</f>
        <v>0</v>
      </c>
      <c r="AP186" s="325" t="n">
        <f aca="false">AC186-AB186</f>
        <v>0</v>
      </c>
      <c r="AR186" s="314" t="str">
        <f aca="false">IFERROR(VLOOKUP(M186,'PL_DEC.2026'!$D$11:$D$99,1,FALSE()),"(미존재)")</f>
        <v>상품매출원가</v>
      </c>
    </row>
    <row r="187" customFormat="false" ht="16.5" hidden="false" customHeight="false" outlineLevel="0" collapsed="false">
      <c r="A187" s="317" t="s">
        <v>791</v>
      </c>
      <c r="B187" s="314" t="n">
        <v>54000851</v>
      </c>
      <c r="C187" s="314" t="s">
        <v>1902</v>
      </c>
      <c r="D187" s="314" t="s">
        <v>1879</v>
      </c>
      <c r="E187" s="314" t="s">
        <v>1880</v>
      </c>
      <c r="F187" s="314" t="s">
        <v>1903</v>
      </c>
      <c r="G187" s="314" t="s">
        <v>1882</v>
      </c>
      <c r="H187" s="314" t="s">
        <v>1495</v>
      </c>
      <c r="I187" s="314" t="s">
        <v>1904</v>
      </c>
      <c r="K187" s="314" t="s">
        <v>1905</v>
      </c>
      <c r="L187" s="324" t="s">
        <v>824</v>
      </c>
      <c r="M187" s="324" t="s">
        <v>269</v>
      </c>
      <c r="N187" s="324" t="s">
        <v>824</v>
      </c>
      <c r="O187" s="324" t="s">
        <v>824</v>
      </c>
      <c r="P187" s="324" t="s">
        <v>269</v>
      </c>
      <c r="Q187" s="325" t="n">
        <v>485633263</v>
      </c>
      <c r="R187" s="325" t="n">
        <v>107433825</v>
      </c>
      <c r="S187" s="325" t="n">
        <v>791665967</v>
      </c>
      <c r="T187" s="325" t="n">
        <v>208696974</v>
      </c>
      <c r="U187" s="325" t="n">
        <v>915284561</v>
      </c>
      <c r="V187" s="325" t="n">
        <v>940919570</v>
      </c>
      <c r="W187" s="325" t="n">
        <v>1008228737</v>
      </c>
      <c r="X187" s="325" t="n">
        <v>1832542023</v>
      </c>
      <c r="Y187" s="325" t="n">
        <v>1866271422</v>
      </c>
      <c r="Z187" s="325" t="n">
        <v>1917769208</v>
      </c>
      <c r="AA187" s="325"/>
      <c r="AB187" s="325"/>
      <c r="AC187" s="325"/>
      <c r="AD187" s="325"/>
      <c r="AE187" s="325" t="n">
        <f aca="false">R187</f>
        <v>107433825</v>
      </c>
      <c r="AF187" s="325" t="n">
        <f aca="false">S187-R187</f>
        <v>684232142</v>
      </c>
      <c r="AG187" s="325" t="n">
        <f aca="false">T187-S187</f>
        <v>-582968993</v>
      </c>
      <c r="AH187" s="325" t="n">
        <f aca="false">U187-T187</f>
        <v>706587587</v>
      </c>
      <c r="AI187" s="325" t="n">
        <f aca="false">V187-U187</f>
        <v>25635009</v>
      </c>
      <c r="AJ187" s="325" t="n">
        <f aca="false">W187-V187</f>
        <v>67309167</v>
      </c>
      <c r="AK187" s="325" t="n">
        <f aca="false">X187-W187</f>
        <v>824313286</v>
      </c>
      <c r="AL187" s="325" t="n">
        <f aca="false">Y187-X187</f>
        <v>33729399</v>
      </c>
      <c r="AM187" s="325" t="n">
        <f aca="false">Z187-Y187</f>
        <v>51497786</v>
      </c>
      <c r="AN187" s="325" t="s">
        <v>1679</v>
      </c>
      <c r="AO187" s="325" t="n">
        <f aca="false">AB187-AA187</f>
        <v>0</v>
      </c>
      <c r="AP187" s="325" t="n">
        <f aca="false">AC187-AB187</f>
        <v>0</v>
      </c>
      <c r="AQ187" s="324" t="s">
        <v>1906</v>
      </c>
      <c r="AR187" s="314" t="str">
        <f aca="false">IFERROR(VLOOKUP(M187,'PL_DEC.2026'!$D$11:$D$99,1,FALSE()),"(미존재)")</f>
        <v>상품매출원가</v>
      </c>
    </row>
    <row r="188" customFormat="false" ht="16.5" hidden="false" customHeight="false" outlineLevel="0" collapsed="false">
      <c r="A188" s="317" t="s">
        <v>791</v>
      </c>
      <c r="B188" s="314" t="n">
        <v>54001201</v>
      </c>
      <c r="C188" s="314" t="s">
        <v>1907</v>
      </c>
      <c r="D188" s="314" t="s">
        <v>1879</v>
      </c>
      <c r="E188" s="314" t="s">
        <v>1880</v>
      </c>
      <c r="F188" s="314" t="s">
        <v>1881</v>
      </c>
      <c r="G188" s="314" t="s">
        <v>1882</v>
      </c>
      <c r="H188" s="314" t="s">
        <v>1495</v>
      </c>
      <c r="I188" s="314" t="s">
        <v>1896</v>
      </c>
      <c r="K188" s="314" t="s">
        <v>1897</v>
      </c>
      <c r="L188" s="324" t="s">
        <v>824</v>
      </c>
      <c r="M188" s="324" t="s">
        <v>269</v>
      </c>
      <c r="N188" s="324" t="s">
        <v>824</v>
      </c>
      <c r="O188" s="324" t="s">
        <v>824</v>
      </c>
      <c r="P188" s="324" t="s">
        <v>269</v>
      </c>
      <c r="Q188" s="325" t="n">
        <v>-3387201262</v>
      </c>
      <c r="R188" s="325" t="n">
        <v>-438776190</v>
      </c>
      <c r="S188" s="325" t="n">
        <v>-840397532</v>
      </c>
      <c r="T188" s="325" t="n">
        <v>-1156354378</v>
      </c>
      <c r="U188" s="325" t="n">
        <v>-1961735995</v>
      </c>
      <c r="V188" s="325" t="n">
        <v>-1988291133</v>
      </c>
      <c r="W188" s="325" t="n">
        <v>-2644449720</v>
      </c>
      <c r="X188" s="325" t="n">
        <v>-2916713888</v>
      </c>
      <c r="Y188" s="325" t="n">
        <v>-3650003551</v>
      </c>
      <c r="Z188" s="325" t="n">
        <v>-3921818424</v>
      </c>
      <c r="AA188" s="325"/>
      <c r="AB188" s="325"/>
      <c r="AC188" s="325"/>
      <c r="AD188" s="325"/>
      <c r="AE188" s="325" t="n">
        <f aca="false">R188</f>
        <v>-438776190</v>
      </c>
      <c r="AF188" s="325" t="n">
        <f aca="false">S188-R188</f>
        <v>-401621342</v>
      </c>
      <c r="AG188" s="325" t="n">
        <f aca="false">T188-S188</f>
        <v>-315956846</v>
      </c>
      <c r="AH188" s="325" t="n">
        <f aca="false">U188-T188</f>
        <v>-805381617</v>
      </c>
      <c r="AI188" s="325" t="n">
        <f aca="false">V188-U188</f>
        <v>-26555138</v>
      </c>
      <c r="AJ188" s="325" t="n">
        <f aca="false">W188-V188</f>
        <v>-656158587</v>
      </c>
      <c r="AK188" s="325" t="n">
        <f aca="false">X188-W188</f>
        <v>-272264168</v>
      </c>
      <c r="AL188" s="325" t="n">
        <f aca="false">Y188-X188</f>
        <v>-733289663</v>
      </c>
      <c r="AM188" s="325" t="n">
        <f aca="false">Z188-Y188</f>
        <v>-271814873</v>
      </c>
      <c r="AN188" s="325" t="s">
        <v>1679</v>
      </c>
      <c r="AO188" s="325" t="n">
        <f aca="false">AB188-AA188</f>
        <v>0</v>
      </c>
      <c r="AP188" s="325" t="n">
        <f aca="false">AC188-AB188</f>
        <v>0</v>
      </c>
      <c r="AR188" s="314" t="str">
        <f aca="false">IFERROR(VLOOKUP(M188,'PL_DEC.2026'!$D$11:$D$99,1,FALSE()),"(미존재)")</f>
        <v>상품매출원가</v>
      </c>
    </row>
    <row r="189" customFormat="false" ht="16.5" hidden="false" customHeight="false" outlineLevel="0" collapsed="false">
      <c r="A189" s="317" t="s">
        <v>791</v>
      </c>
      <c r="B189" s="314" t="n">
        <v>55010002</v>
      </c>
      <c r="C189" s="314" t="s">
        <v>1908</v>
      </c>
      <c r="D189" s="314" t="s">
        <v>1879</v>
      </c>
      <c r="E189" s="314" t="s">
        <v>1880</v>
      </c>
      <c r="F189" s="314" t="s">
        <v>1881</v>
      </c>
      <c r="G189" s="314" t="s">
        <v>1882</v>
      </c>
      <c r="H189" s="314" t="s">
        <v>1495</v>
      </c>
      <c r="I189" s="314" t="s">
        <v>1889</v>
      </c>
      <c r="K189" s="314" t="s">
        <v>1890</v>
      </c>
      <c r="L189" s="324" t="s">
        <v>824</v>
      </c>
      <c r="M189" s="324" t="s">
        <v>269</v>
      </c>
      <c r="N189" s="324" t="s">
        <v>824</v>
      </c>
      <c r="O189" s="324" t="s">
        <v>824</v>
      </c>
      <c r="P189" s="324" t="s">
        <v>269</v>
      </c>
      <c r="Q189" s="325" t="n">
        <v>-268905600</v>
      </c>
      <c r="R189" s="325" t="n">
        <v>-38444915</v>
      </c>
      <c r="S189" s="325" t="n">
        <v>-71181026</v>
      </c>
      <c r="T189" s="325" t="n">
        <v>-96661107</v>
      </c>
      <c r="U189" s="325" t="n">
        <v>-138549746</v>
      </c>
      <c r="V189" s="325" t="n">
        <v>-157439512</v>
      </c>
      <c r="W189" s="325" t="n">
        <v>-179897745</v>
      </c>
      <c r="X189" s="325" t="n">
        <v>-219157207</v>
      </c>
      <c r="Y189" s="325" t="n">
        <v>-230000473</v>
      </c>
      <c r="Z189" s="325" t="n">
        <v>-234396026</v>
      </c>
      <c r="AA189" s="325"/>
      <c r="AB189" s="325"/>
      <c r="AC189" s="325"/>
      <c r="AD189" s="325"/>
      <c r="AE189" s="325" t="n">
        <f aca="false">R189</f>
        <v>-38444915</v>
      </c>
      <c r="AF189" s="325" t="n">
        <f aca="false">S189-R189</f>
        <v>-32736111</v>
      </c>
      <c r="AG189" s="325" t="n">
        <f aca="false">T189-S189</f>
        <v>-25480081</v>
      </c>
      <c r="AH189" s="325" t="n">
        <f aca="false">U189-T189</f>
        <v>-41888639</v>
      </c>
      <c r="AI189" s="325" t="n">
        <f aca="false">V189-U189</f>
        <v>-18889766</v>
      </c>
      <c r="AJ189" s="325" t="n">
        <f aca="false">W189-V189</f>
        <v>-22458233</v>
      </c>
      <c r="AK189" s="325" t="n">
        <f aca="false">X189-W189</f>
        <v>-39259462</v>
      </c>
      <c r="AL189" s="325" t="n">
        <f aca="false">Y189-X189</f>
        <v>-10843266</v>
      </c>
      <c r="AM189" s="325" t="n">
        <f aca="false">Z189-Y189</f>
        <v>-4395553</v>
      </c>
      <c r="AN189" s="325" t="s">
        <v>1679</v>
      </c>
      <c r="AO189" s="325" t="n">
        <f aca="false">AB189-AA189</f>
        <v>0</v>
      </c>
      <c r="AP189" s="325" t="n">
        <f aca="false">AC189-AB189</f>
        <v>0</v>
      </c>
      <c r="AR189" s="314" t="str">
        <f aca="false">IFERROR(VLOOKUP(M189,'PL_DEC.2026'!$D$11:$D$99,1,FALSE()),"(미존재)")</f>
        <v>상품매출원가</v>
      </c>
    </row>
    <row r="190" customFormat="false" ht="16.5" hidden="false" customHeight="false" outlineLevel="0" collapsed="false">
      <c r="A190" s="317" t="s">
        <v>791</v>
      </c>
      <c r="B190" s="314" t="n">
        <v>55050000</v>
      </c>
      <c r="C190" s="314" t="s">
        <v>1909</v>
      </c>
      <c r="D190" s="314" t="s">
        <v>1879</v>
      </c>
      <c r="E190" s="314" t="s">
        <v>1880</v>
      </c>
      <c r="F190" s="314" t="s">
        <v>1903</v>
      </c>
      <c r="G190" s="314" t="s">
        <v>1882</v>
      </c>
      <c r="H190" s="314" t="s">
        <v>1495</v>
      </c>
      <c r="I190" s="314" t="s">
        <v>1910</v>
      </c>
      <c r="K190" s="314" t="s">
        <v>1911</v>
      </c>
      <c r="L190" s="324" t="s">
        <v>824</v>
      </c>
      <c r="M190" s="324" t="s">
        <v>269</v>
      </c>
      <c r="N190" s="324" t="s">
        <v>824</v>
      </c>
      <c r="O190" s="324" t="s">
        <v>824</v>
      </c>
      <c r="P190" s="324" t="s">
        <v>269</v>
      </c>
      <c r="Q190" s="325" t="n">
        <v>844936198</v>
      </c>
      <c r="R190" s="325" t="n">
        <v>-9985420</v>
      </c>
      <c r="S190" s="325" t="n">
        <v>23458323</v>
      </c>
      <c r="T190" s="325" t="n">
        <v>23526152</v>
      </c>
      <c r="U190" s="325" t="n">
        <v>23526152</v>
      </c>
      <c r="V190" s="325" t="n">
        <v>23526152</v>
      </c>
      <c r="W190" s="325" t="n">
        <v>23526152</v>
      </c>
      <c r="X190" s="325" t="n">
        <v>23526152</v>
      </c>
      <c r="Y190" s="325" t="n">
        <v>23526152</v>
      </c>
      <c r="Z190" s="325" t="n">
        <v>23526152</v>
      </c>
      <c r="AA190" s="325"/>
      <c r="AB190" s="325"/>
      <c r="AC190" s="325"/>
      <c r="AD190" s="325"/>
      <c r="AE190" s="325" t="n">
        <f aca="false">R190</f>
        <v>-9985420</v>
      </c>
      <c r="AF190" s="325" t="n">
        <f aca="false">S190-R190</f>
        <v>33443743</v>
      </c>
      <c r="AG190" s="325" t="n">
        <f aca="false">T190-S190</f>
        <v>67829</v>
      </c>
      <c r="AH190" s="325" t="n">
        <f aca="false">U190-T190</f>
        <v>0</v>
      </c>
      <c r="AI190" s="325" t="n">
        <f aca="false">V190-U190</f>
        <v>0</v>
      </c>
      <c r="AJ190" s="325" t="n">
        <f aca="false">W190-V190</f>
        <v>0</v>
      </c>
      <c r="AK190" s="325" t="n">
        <f aca="false">X190-W190</f>
        <v>0</v>
      </c>
      <c r="AL190" s="325" t="n">
        <f aca="false">Y190-X190</f>
        <v>0</v>
      </c>
      <c r="AM190" s="325" t="n">
        <f aca="false">Z190-Y190</f>
        <v>0</v>
      </c>
      <c r="AN190" s="325" t="s">
        <v>1679</v>
      </c>
      <c r="AO190" s="325" t="n">
        <f aca="false">AB190-AA190</f>
        <v>0</v>
      </c>
      <c r="AP190" s="325" t="n">
        <f aca="false">AC190-AB190</f>
        <v>0</v>
      </c>
      <c r="AR190" s="314" t="str">
        <f aca="false">IFERROR(VLOOKUP(M190,'PL_DEC.2026'!$D$11:$D$99,1,FALSE()),"(미존재)")</f>
        <v>상품매출원가</v>
      </c>
    </row>
    <row r="191" customFormat="false" ht="16.5" hidden="false" customHeight="false" outlineLevel="0" collapsed="false">
      <c r="A191" s="317" t="s">
        <v>791</v>
      </c>
      <c r="B191" s="314" t="n">
        <v>55050001</v>
      </c>
      <c r="C191" s="314" t="s">
        <v>1912</v>
      </c>
      <c r="D191" s="314" t="s">
        <v>1879</v>
      </c>
      <c r="E191" s="314" t="s">
        <v>1913</v>
      </c>
      <c r="F191" s="314" t="s">
        <v>1914</v>
      </c>
      <c r="G191" s="314" t="s">
        <v>1882</v>
      </c>
      <c r="H191" s="314" t="s">
        <v>1495</v>
      </c>
      <c r="I191" s="314" t="s">
        <v>1910</v>
      </c>
      <c r="K191" s="314" t="s">
        <v>1911</v>
      </c>
      <c r="L191" s="324" t="s">
        <v>824</v>
      </c>
      <c r="M191" s="324" t="s">
        <v>269</v>
      </c>
      <c r="N191" s="324" t="s">
        <v>824</v>
      </c>
      <c r="O191" s="324" t="s">
        <v>1915</v>
      </c>
      <c r="P191" s="324" t="s">
        <v>269</v>
      </c>
      <c r="Q191" s="325" t="n">
        <v>-5491708</v>
      </c>
      <c r="R191" s="325" t="n">
        <v>24341721</v>
      </c>
      <c r="S191" s="325" t="n">
        <v>52765660</v>
      </c>
      <c r="T191" s="325" t="n">
        <v>52765660</v>
      </c>
      <c r="U191" s="325" t="n">
        <v>52765660</v>
      </c>
      <c r="V191" s="325" t="n">
        <v>52765660</v>
      </c>
      <c r="W191" s="325" t="n">
        <v>57516703</v>
      </c>
      <c r="X191" s="325" t="n">
        <v>57516703</v>
      </c>
      <c r="Y191" s="325" t="n">
        <v>57516703</v>
      </c>
      <c r="Z191" s="325" t="n">
        <v>67274554</v>
      </c>
      <c r="AA191" s="325"/>
      <c r="AB191" s="325"/>
      <c r="AC191" s="325"/>
      <c r="AD191" s="325"/>
      <c r="AE191" s="325" t="n">
        <f aca="false">R191</f>
        <v>24341721</v>
      </c>
      <c r="AF191" s="325" t="n">
        <f aca="false">S191-R191</f>
        <v>28423939</v>
      </c>
      <c r="AG191" s="325" t="n">
        <f aca="false">T191-S191</f>
        <v>0</v>
      </c>
      <c r="AH191" s="325" t="n">
        <f aca="false">U191-T191</f>
        <v>0</v>
      </c>
      <c r="AI191" s="325" t="n">
        <f aca="false">V191-U191</f>
        <v>0</v>
      </c>
      <c r="AJ191" s="325" t="n">
        <f aca="false">W191-V191</f>
        <v>4751043</v>
      </c>
      <c r="AK191" s="325" t="n">
        <f aca="false">X191-W191</f>
        <v>0</v>
      </c>
      <c r="AL191" s="325" t="n">
        <f aca="false">Y191-X191</f>
        <v>0</v>
      </c>
      <c r="AM191" s="325" t="n">
        <f aca="false">Z191-Y191</f>
        <v>9757851</v>
      </c>
      <c r="AN191" s="325" t="s">
        <v>1679</v>
      </c>
      <c r="AO191" s="325" t="n">
        <f aca="false">AB191-AA191</f>
        <v>0</v>
      </c>
      <c r="AP191" s="325" t="n">
        <f aca="false">AC191-AB191</f>
        <v>0</v>
      </c>
      <c r="AR191" s="314" t="str">
        <f aca="false">IFERROR(VLOOKUP(M191,'PL_DEC.2026'!$D$11:$D$99,1,FALSE()),"(미존재)")</f>
        <v>상품매출원가</v>
      </c>
    </row>
    <row r="192" customFormat="false" ht="16.5" hidden="false" customHeight="false" outlineLevel="0" collapsed="false">
      <c r="A192" s="317" t="s">
        <v>791</v>
      </c>
      <c r="B192" s="314" t="n">
        <v>55050850</v>
      </c>
      <c r="C192" s="314" t="s">
        <v>1916</v>
      </c>
      <c r="D192" s="314" t="s">
        <v>1879</v>
      </c>
      <c r="E192" s="314" t="s">
        <v>1880</v>
      </c>
      <c r="F192" s="314" t="s">
        <v>1881</v>
      </c>
      <c r="G192" s="314" t="s">
        <v>1882</v>
      </c>
      <c r="H192" s="314" t="s">
        <v>1495</v>
      </c>
      <c r="I192" s="314" t="s">
        <v>1917</v>
      </c>
      <c r="K192" s="314" t="s">
        <v>1918</v>
      </c>
      <c r="L192" s="324" t="s">
        <v>824</v>
      </c>
      <c r="M192" s="324" t="s">
        <v>269</v>
      </c>
      <c r="N192" s="324" t="s">
        <v>824</v>
      </c>
      <c r="O192" s="324" t="s">
        <v>824</v>
      </c>
      <c r="P192" s="324" t="s">
        <v>269</v>
      </c>
      <c r="Q192" s="325" t="n">
        <v>-38721729</v>
      </c>
      <c r="R192" s="325" t="n">
        <v>-1856636</v>
      </c>
      <c r="S192" s="325" t="n">
        <v>23995824</v>
      </c>
      <c r="T192" s="325" t="n">
        <v>23995824</v>
      </c>
      <c r="U192" s="325" t="n">
        <v>23995824</v>
      </c>
      <c r="V192" s="325" t="n">
        <v>-707903024</v>
      </c>
      <c r="W192" s="325" t="n">
        <v>-561523255</v>
      </c>
      <c r="X192" s="325" t="n">
        <v>-258901301</v>
      </c>
      <c r="Y192" s="325" t="n">
        <v>-164602259</v>
      </c>
      <c r="Z192" s="325" t="n">
        <v>-70303217</v>
      </c>
      <c r="AA192" s="325"/>
      <c r="AB192" s="325"/>
      <c r="AC192" s="325"/>
      <c r="AD192" s="325"/>
      <c r="AE192" s="325" t="n">
        <f aca="false">R192</f>
        <v>-1856636</v>
      </c>
      <c r="AF192" s="325" t="n">
        <f aca="false">S192-R192</f>
        <v>25852460</v>
      </c>
      <c r="AG192" s="325" t="n">
        <f aca="false">T192-S192</f>
        <v>0</v>
      </c>
      <c r="AH192" s="325" t="n">
        <f aca="false">U192-T192</f>
        <v>0</v>
      </c>
      <c r="AI192" s="325" t="n">
        <f aca="false">V192-U192</f>
        <v>-731898848</v>
      </c>
      <c r="AJ192" s="325" t="n">
        <f aca="false">W192-V192</f>
        <v>146379769</v>
      </c>
      <c r="AK192" s="325" t="n">
        <f aca="false">X192-W192</f>
        <v>302621954</v>
      </c>
      <c r="AL192" s="325" t="n">
        <f aca="false">Y192-X192</f>
        <v>94299042</v>
      </c>
      <c r="AM192" s="325" t="n">
        <f aca="false">Z192-Y192</f>
        <v>94299042</v>
      </c>
      <c r="AN192" s="325" t="s">
        <v>1679</v>
      </c>
      <c r="AO192" s="325" t="n">
        <f aca="false">AB192-AA192</f>
        <v>0</v>
      </c>
      <c r="AP192" s="325" t="n">
        <f aca="false">AC192-AB192</f>
        <v>0</v>
      </c>
      <c r="AR192" s="314" t="str">
        <f aca="false">IFERROR(VLOOKUP(M192,'PL_DEC.2026'!$D$11:$D$99,1,FALSE()),"(미존재)")</f>
        <v>상품매출원가</v>
      </c>
    </row>
    <row r="193" customFormat="false" ht="16.5" hidden="false" customHeight="false" outlineLevel="0" collapsed="false">
      <c r="A193" s="317" t="s">
        <v>791</v>
      </c>
      <c r="B193" s="314" t="n">
        <v>55090002</v>
      </c>
      <c r="C193" s="314" t="s">
        <v>1919</v>
      </c>
      <c r="D193" s="314" t="s">
        <v>1879</v>
      </c>
      <c r="E193" s="314" t="s">
        <v>1880</v>
      </c>
      <c r="F193" s="314" t="s">
        <v>1881</v>
      </c>
      <c r="G193" s="314" t="s">
        <v>1882</v>
      </c>
      <c r="H193" s="314" t="s">
        <v>1495</v>
      </c>
      <c r="I193" s="314" t="s">
        <v>1920</v>
      </c>
      <c r="K193" s="314" t="s">
        <v>1921</v>
      </c>
      <c r="L193" s="324" t="s">
        <v>824</v>
      </c>
      <c r="M193" s="324" t="s">
        <v>269</v>
      </c>
      <c r="N193" s="324" t="s">
        <v>824</v>
      </c>
      <c r="O193" s="324" t="s">
        <v>824</v>
      </c>
      <c r="P193" s="324" t="s">
        <v>269</v>
      </c>
      <c r="Q193" s="325" t="n">
        <v>7678409124</v>
      </c>
      <c r="R193" s="325" t="n">
        <v>0</v>
      </c>
      <c r="S193" s="325" t="n">
        <v>0</v>
      </c>
      <c r="T193" s="325" t="n">
        <v>0</v>
      </c>
      <c r="U193" s="325" t="n">
        <v>0</v>
      </c>
      <c r="V193" s="325" t="n">
        <v>0</v>
      </c>
      <c r="W193" s="325" t="n">
        <v>0</v>
      </c>
      <c r="X193" s="325" t="n">
        <v>2996171935</v>
      </c>
      <c r="Y193" s="325" t="n">
        <v>2996171935</v>
      </c>
      <c r="Z193" s="325" t="n">
        <v>3178234946</v>
      </c>
      <c r="AA193" s="325"/>
      <c r="AB193" s="325"/>
      <c r="AC193" s="325"/>
      <c r="AD193" s="325"/>
      <c r="AE193" s="325" t="n">
        <f aca="false">R193</f>
        <v>0</v>
      </c>
      <c r="AF193" s="325" t="n">
        <f aca="false">S193-R193</f>
        <v>0</v>
      </c>
      <c r="AG193" s="325" t="n">
        <f aca="false">T193-S193</f>
        <v>0</v>
      </c>
      <c r="AH193" s="325" t="n">
        <f aca="false">U193-T193</f>
        <v>0</v>
      </c>
      <c r="AI193" s="325" t="n">
        <f aca="false">V193-U193</f>
        <v>0</v>
      </c>
      <c r="AJ193" s="325" t="n">
        <f aca="false">W193-V193</f>
        <v>0</v>
      </c>
      <c r="AK193" s="325" t="n">
        <f aca="false">X193-W193</f>
        <v>2996171935</v>
      </c>
      <c r="AL193" s="325" t="n">
        <f aca="false">Y193-X193</f>
        <v>0</v>
      </c>
      <c r="AM193" s="325" t="n">
        <f aca="false">Z193-Y193</f>
        <v>182063011</v>
      </c>
      <c r="AN193" s="325" t="s">
        <v>1679</v>
      </c>
      <c r="AO193" s="325" t="n">
        <f aca="false">AB193-AA193</f>
        <v>0</v>
      </c>
      <c r="AP193" s="325" t="n">
        <f aca="false">AC193-AB193</f>
        <v>0</v>
      </c>
      <c r="AR193" s="314" t="str">
        <f aca="false">IFERROR(VLOOKUP(M193,'PL_DEC.2026'!$D$11:$D$99,1,FALSE()),"(미존재)")</f>
        <v>상품매출원가</v>
      </c>
    </row>
    <row r="194" customFormat="false" ht="16.5" hidden="false" customHeight="false" outlineLevel="0" collapsed="false">
      <c r="A194" s="317" t="s">
        <v>791</v>
      </c>
      <c r="B194" s="314" t="n">
        <v>55100008</v>
      </c>
      <c r="C194" s="314" t="s">
        <v>1922</v>
      </c>
      <c r="D194" s="314" t="s">
        <v>1879</v>
      </c>
      <c r="E194" s="314" t="s">
        <v>1880</v>
      </c>
      <c r="F194" s="314" t="s">
        <v>1881</v>
      </c>
      <c r="G194" s="314" t="s">
        <v>1882</v>
      </c>
      <c r="H194" s="314" t="s">
        <v>1495</v>
      </c>
      <c r="I194" s="314" t="s">
        <v>1920</v>
      </c>
      <c r="K194" s="314" t="s">
        <v>1921</v>
      </c>
      <c r="L194" s="324" t="s">
        <v>824</v>
      </c>
      <c r="M194" s="324" t="s">
        <v>269</v>
      </c>
      <c r="N194" s="324" t="s">
        <v>824</v>
      </c>
      <c r="O194" s="324" t="s">
        <v>824</v>
      </c>
      <c r="P194" s="324" t="s">
        <v>269</v>
      </c>
      <c r="Q194" s="325" t="n">
        <v>27447908</v>
      </c>
      <c r="R194" s="325" t="n">
        <v>0</v>
      </c>
      <c r="S194" s="325" t="n">
        <v>0</v>
      </c>
      <c r="T194" s="325" t="n">
        <v>0</v>
      </c>
      <c r="U194" s="325" t="n">
        <v>0</v>
      </c>
      <c r="V194" s="325" t="n">
        <v>0</v>
      </c>
      <c r="W194" s="325" t="n">
        <v>0</v>
      </c>
      <c r="X194" s="325" t="n">
        <v>-38381</v>
      </c>
      <c r="Y194" s="325" t="n">
        <v>-38381</v>
      </c>
      <c r="Z194" s="325" t="n">
        <v>-21513</v>
      </c>
      <c r="AA194" s="325"/>
      <c r="AB194" s="325"/>
      <c r="AC194" s="325"/>
      <c r="AD194" s="325"/>
      <c r="AE194" s="325" t="n">
        <f aca="false">R194</f>
        <v>0</v>
      </c>
      <c r="AF194" s="325" t="n">
        <f aca="false">S194-R194</f>
        <v>0</v>
      </c>
      <c r="AG194" s="325" t="n">
        <f aca="false">T194-S194</f>
        <v>0</v>
      </c>
      <c r="AH194" s="325" t="n">
        <f aca="false">U194-T194</f>
        <v>0</v>
      </c>
      <c r="AI194" s="325" t="n">
        <f aca="false">V194-U194</f>
        <v>0</v>
      </c>
      <c r="AJ194" s="325" t="n">
        <f aca="false">W194-V194</f>
        <v>0</v>
      </c>
      <c r="AK194" s="325" t="n">
        <f aca="false">X194-W194</f>
        <v>-38381</v>
      </c>
      <c r="AL194" s="325" t="n">
        <f aca="false">Y194-X194</f>
        <v>0</v>
      </c>
      <c r="AM194" s="325" t="n">
        <f aca="false">Z194-Y194</f>
        <v>16868</v>
      </c>
      <c r="AN194" s="325" t="s">
        <v>1679</v>
      </c>
      <c r="AO194" s="325" t="n">
        <f aca="false">AB194-AA194</f>
        <v>0</v>
      </c>
      <c r="AP194" s="325" t="n">
        <f aca="false">AC194-AB194</f>
        <v>0</v>
      </c>
      <c r="AR194" s="314" t="str">
        <f aca="false">IFERROR(VLOOKUP(M194,'PL_DEC.2026'!$D$11:$D$99,1,FALSE()),"(미존재)")</f>
        <v>상품매출원가</v>
      </c>
    </row>
    <row r="195" customFormat="false" ht="16.5" hidden="false" customHeight="false" outlineLevel="0" collapsed="false">
      <c r="A195" s="317" t="s">
        <v>791</v>
      </c>
      <c r="B195" s="314" t="n">
        <v>55150000</v>
      </c>
      <c r="C195" s="314" t="s">
        <v>1923</v>
      </c>
      <c r="D195" s="314" t="s">
        <v>1879</v>
      </c>
      <c r="E195" s="314" t="s">
        <v>1924</v>
      </c>
      <c r="F195" s="314" t="s">
        <v>1925</v>
      </c>
      <c r="G195" s="314" t="s">
        <v>1926</v>
      </c>
      <c r="H195" s="314" t="s">
        <v>1495</v>
      </c>
      <c r="I195" s="314" t="s">
        <v>1927</v>
      </c>
      <c r="K195" s="314" t="s">
        <v>1928</v>
      </c>
      <c r="L195" s="324" t="s">
        <v>1929</v>
      </c>
      <c r="M195" s="324" t="s">
        <v>344</v>
      </c>
      <c r="N195" s="324" t="s">
        <v>1929</v>
      </c>
      <c r="O195" s="324" t="s">
        <v>344</v>
      </c>
      <c r="P195" s="324" t="s">
        <v>344</v>
      </c>
      <c r="Q195" s="325" t="n">
        <v>437758949</v>
      </c>
      <c r="R195" s="325" t="n">
        <v>63066967</v>
      </c>
      <c r="S195" s="325" t="n">
        <v>365483211</v>
      </c>
      <c r="T195" s="325" t="n">
        <v>602831259</v>
      </c>
      <c r="U195" s="325" t="n">
        <v>934698440</v>
      </c>
      <c r="V195" s="325" t="n">
        <v>1266565622</v>
      </c>
      <c r="W195" s="325" t="n">
        <v>1608934929</v>
      </c>
      <c r="X195" s="325" t="n">
        <v>1947103387</v>
      </c>
      <c r="Y195" s="325" t="n">
        <v>2396594379</v>
      </c>
      <c r="Z195" s="325" t="n">
        <v>2816679419</v>
      </c>
      <c r="AA195" s="325"/>
      <c r="AB195" s="325"/>
      <c r="AC195" s="325"/>
      <c r="AD195" s="325"/>
      <c r="AE195" s="325" t="n">
        <f aca="false">R195</f>
        <v>63066967</v>
      </c>
      <c r="AF195" s="325" t="n">
        <f aca="false">S195-R195</f>
        <v>302416244</v>
      </c>
      <c r="AG195" s="325" t="n">
        <f aca="false">T195-S195</f>
        <v>237348048</v>
      </c>
      <c r="AH195" s="325" t="n">
        <f aca="false">U195-T195</f>
        <v>331867181</v>
      </c>
      <c r="AI195" s="325" t="n">
        <f aca="false">V195-U195</f>
        <v>331867182</v>
      </c>
      <c r="AJ195" s="325" t="n">
        <f aca="false">W195-V195</f>
        <v>342369307</v>
      </c>
      <c r="AK195" s="325" t="n">
        <f aca="false">X195-W195</f>
        <v>338168458</v>
      </c>
      <c r="AL195" s="325" t="n">
        <f aca="false">Y195-X195</f>
        <v>449490992</v>
      </c>
      <c r="AM195" s="325" t="n">
        <f aca="false">Z195-Y195</f>
        <v>420085040</v>
      </c>
      <c r="AN195" s="325" t="s">
        <v>1679</v>
      </c>
      <c r="AO195" s="325" t="n">
        <f aca="false">AB195-AA195</f>
        <v>0</v>
      </c>
      <c r="AP195" s="325" t="n">
        <f aca="false">AC195-AB195</f>
        <v>0</v>
      </c>
      <c r="AR195" s="314" t="str">
        <f aca="false">IFERROR(VLOOKUP(M195,'PL_DEC.2026'!$D$11:$D$99,1,FALSE()),"(미존재)")</f>
        <v>지급수수료</v>
      </c>
    </row>
    <row r="196" customFormat="false" ht="16.5" hidden="false" customHeight="false" outlineLevel="0" collapsed="false">
      <c r="A196" s="317" t="s">
        <v>791</v>
      </c>
      <c r="B196" s="314" t="n">
        <v>55210003</v>
      </c>
      <c r="C196" s="314" t="s">
        <v>1930</v>
      </c>
      <c r="D196" s="314" t="s">
        <v>1879</v>
      </c>
      <c r="E196" s="314" t="s">
        <v>1924</v>
      </c>
      <c r="F196" s="314" t="s">
        <v>1931</v>
      </c>
      <c r="G196" s="314" t="s">
        <v>1882</v>
      </c>
      <c r="H196" s="314" t="s">
        <v>1495</v>
      </c>
      <c r="I196" s="314" t="s">
        <v>1889</v>
      </c>
      <c r="K196" s="314" t="s">
        <v>1890</v>
      </c>
      <c r="L196" s="324" t="s">
        <v>1929</v>
      </c>
      <c r="M196" s="324" t="s">
        <v>355</v>
      </c>
      <c r="N196" s="324" t="s">
        <v>1929</v>
      </c>
      <c r="O196" s="324" t="s">
        <v>1932</v>
      </c>
      <c r="P196" s="324" t="s">
        <v>1932</v>
      </c>
      <c r="Q196" s="325" t="n">
        <v>3879868</v>
      </c>
      <c r="R196" s="325" t="n">
        <v>-88000</v>
      </c>
      <c r="S196" s="325" t="n">
        <v>-88000</v>
      </c>
      <c r="T196" s="325" t="n">
        <v>83730226</v>
      </c>
      <c r="U196" s="325" t="n">
        <v>83730226</v>
      </c>
      <c r="V196" s="325" t="n">
        <v>83730226</v>
      </c>
      <c r="W196" s="325" t="n">
        <v>139360670</v>
      </c>
      <c r="X196" s="325" t="n">
        <v>140169400</v>
      </c>
      <c r="Y196" s="325" t="n">
        <v>140169400</v>
      </c>
      <c r="Z196" s="325" t="n">
        <v>140169400</v>
      </c>
      <c r="AA196" s="325"/>
      <c r="AB196" s="325"/>
      <c r="AC196" s="325"/>
      <c r="AD196" s="325"/>
      <c r="AE196" s="325" t="n">
        <f aca="false">R196</f>
        <v>-88000</v>
      </c>
      <c r="AF196" s="325" t="n">
        <f aca="false">S196-R196</f>
        <v>0</v>
      </c>
      <c r="AG196" s="325" t="n">
        <f aca="false">T196-S196</f>
        <v>83818226</v>
      </c>
      <c r="AH196" s="325" t="n">
        <f aca="false">U196-T196</f>
        <v>0</v>
      </c>
      <c r="AI196" s="325" t="n">
        <f aca="false">V196-U196</f>
        <v>0</v>
      </c>
      <c r="AJ196" s="325" t="n">
        <f aca="false">W196-V196</f>
        <v>55630444</v>
      </c>
      <c r="AK196" s="325" t="n">
        <f aca="false">X196-W196</f>
        <v>808730</v>
      </c>
      <c r="AL196" s="325" t="n">
        <f aca="false">Y196-X196</f>
        <v>0</v>
      </c>
      <c r="AM196" s="325" t="n">
        <f aca="false">Z196-Y196</f>
        <v>0</v>
      </c>
      <c r="AN196" s="325" t="s">
        <v>1679</v>
      </c>
      <c r="AO196" s="325" t="n">
        <f aca="false">AB196-AA196</f>
        <v>0</v>
      </c>
      <c r="AP196" s="325" t="n">
        <f aca="false">AC196-AB196</f>
        <v>0</v>
      </c>
      <c r="AR196" s="314" t="str">
        <f aca="false">IFERROR(VLOOKUP(M196,'PL_DEC.2026'!$D$11:$D$99,1,FALSE()),"(미존재)")</f>
        <v>임상증례조사비</v>
      </c>
    </row>
    <row r="197" customFormat="false" ht="16.5" hidden="false" customHeight="false" outlineLevel="0" collapsed="false">
      <c r="A197" s="317" t="s">
        <v>791</v>
      </c>
      <c r="B197" s="314" t="n">
        <v>55300001</v>
      </c>
      <c r="C197" s="314" t="s">
        <v>1933</v>
      </c>
      <c r="D197" s="314" t="s">
        <v>1879</v>
      </c>
      <c r="E197" s="314" t="s">
        <v>1880</v>
      </c>
      <c r="F197" s="314" t="s">
        <v>1881</v>
      </c>
      <c r="G197" s="314" t="s">
        <v>1882</v>
      </c>
      <c r="H197" s="314" t="s">
        <v>1495</v>
      </c>
      <c r="I197" s="314" t="s">
        <v>1910</v>
      </c>
      <c r="K197" s="314" t="s">
        <v>1911</v>
      </c>
      <c r="L197" s="324" t="s">
        <v>824</v>
      </c>
      <c r="M197" s="324" t="s">
        <v>269</v>
      </c>
      <c r="N197" s="324" t="s">
        <v>824</v>
      </c>
      <c r="O197" s="324" t="s">
        <v>824</v>
      </c>
      <c r="P197" s="324" t="s">
        <v>269</v>
      </c>
      <c r="Q197" s="325" t="n">
        <v>3950705</v>
      </c>
      <c r="R197" s="325" t="n">
        <v>5108866</v>
      </c>
      <c r="S197" s="325" t="n">
        <v>5108866</v>
      </c>
      <c r="T197" s="325" t="n">
        <v>5020258</v>
      </c>
      <c r="U197" s="325" t="n">
        <v>4562878</v>
      </c>
      <c r="V197" s="325" t="n">
        <v>4562878</v>
      </c>
      <c r="W197" s="325" t="n">
        <v>-3950705</v>
      </c>
      <c r="X197" s="325" t="n">
        <v>4417628</v>
      </c>
      <c r="Y197" s="325" t="n">
        <v>4358236</v>
      </c>
      <c r="Z197" s="325" t="n">
        <v>4354291</v>
      </c>
      <c r="AA197" s="325"/>
      <c r="AB197" s="325"/>
      <c r="AC197" s="325"/>
      <c r="AD197" s="325"/>
      <c r="AE197" s="325" t="n">
        <f aca="false">R197</f>
        <v>5108866</v>
      </c>
      <c r="AF197" s="325" t="n">
        <f aca="false">S197-R197</f>
        <v>0</v>
      </c>
      <c r="AG197" s="325" t="n">
        <f aca="false">T197-S197</f>
        <v>-88608</v>
      </c>
      <c r="AH197" s="325" t="n">
        <f aca="false">U197-T197</f>
        <v>-457380</v>
      </c>
      <c r="AI197" s="325" t="n">
        <f aca="false">V197-U197</f>
        <v>0</v>
      </c>
      <c r="AJ197" s="325" t="n">
        <f aca="false">W197-V197</f>
        <v>-8513583</v>
      </c>
      <c r="AK197" s="325" t="n">
        <f aca="false">X197-W197</f>
        <v>8368333</v>
      </c>
      <c r="AL197" s="325" t="n">
        <f aca="false">Y197-X197</f>
        <v>-59392</v>
      </c>
      <c r="AM197" s="325" t="n">
        <f aca="false">Z197-Y197</f>
        <v>-3945</v>
      </c>
      <c r="AN197" s="325" t="s">
        <v>1679</v>
      </c>
      <c r="AO197" s="325" t="n">
        <f aca="false">AB197-AA197</f>
        <v>0</v>
      </c>
      <c r="AP197" s="325" t="n">
        <f aca="false">AC197-AB197</f>
        <v>0</v>
      </c>
      <c r="AR197" s="314" t="str">
        <f aca="false">IFERROR(VLOOKUP(M197,'PL_DEC.2026'!$D$11:$D$99,1,FALSE()),"(미존재)")</f>
        <v>상품매출원가</v>
      </c>
    </row>
    <row r="198" customFormat="false" ht="16.5" hidden="false" customHeight="false" outlineLevel="0" collapsed="false">
      <c r="A198" s="317" t="s">
        <v>791</v>
      </c>
      <c r="B198" s="314" t="n">
        <v>59000000</v>
      </c>
      <c r="C198" s="314" t="s">
        <v>1934</v>
      </c>
      <c r="D198" s="314" t="s">
        <v>1879</v>
      </c>
      <c r="E198" s="314" t="s">
        <v>1935</v>
      </c>
      <c r="F198" s="314" t="s">
        <v>1936</v>
      </c>
      <c r="G198" s="314" t="s">
        <v>1846</v>
      </c>
      <c r="H198" s="314" t="s">
        <v>1495</v>
      </c>
      <c r="I198" s="314" t="s">
        <v>1937</v>
      </c>
      <c r="K198" s="314" t="s">
        <v>1938</v>
      </c>
      <c r="L198" s="324" t="s">
        <v>870</v>
      </c>
      <c r="M198" s="324" t="s">
        <v>393</v>
      </c>
      <c r="N198" s="324" t="s">
        <v>870</v>
      </c>
      <c r="O198" s="324" t="s">
        <v>870</v>
      </c>
      <c r="P198" s="324" t="s">
        <v>393</v>
      </c>
      <c r="Q198" s="325" t="n">
        <v>-1056190856</v>
      </c>
      <c r="R198" s="325" t="n">
        <v>-98420461</v>
      </c>
      <c r="S198" s="325" t="n">
        <v>-180082844</v>
      </c>
      <c r="T198" s="325" t="n">
        <v>-279082785</v>
      </c>
      <c r="U198" s="325" t="n">
        <v>-391221898</v>
      </c>
      <c r="V198" s="325" t="n">
        <v>-514429153</v>
      </c>
      <c r="W198" s="325" t="n">
        <v>-626672775</v>
      </c>
      <c r="X198" s="325" t="n">
        <v>-741502416</v>
      </c>
      <c r="Y198" s="325" t="n">
        <v>-866924100</v>
      </c>
      <c r="Z198" s="325" t="n">
        <v>-980740018</v>
      </c>
      <c r="AA198" s="325"/>
      <c r="AB198" s="325"/>
      <c r="AC198" s="325"/>
      <c r="AD198" s="325"/>
      <c r="AE198" s="325" t="n">
        <f aca="false">R198</f>
        <v>-98420461</v>
      </c>
      <c r="AF198" s="325" t="n">
        <f aca="false">S198-R198</f>
        <v>-81662383</v>
      </c>
      <c r="AG198" s="325" t="n">
        <f aca="false">T198-S198</f>
        <v>-98999941</v>
      </c>
      <c r="AH198" s="325" t="n">
        <f aca="false">U198-T198</f>
        <v>-112139113</v>
      </c>
      <c r="AI198" s="325" t="n">
        <f aca="false">V198-U198</f>
        <v>-123207255</v>
      </c>
      <c r="AJ198" s="325" t="n">
        <f aca="false">W198-V198</f>
        <v>-112243622</v>
      </c>
      <c r="AK198" s="325" t="n">
        <f aca="false">X198-W198</f>
        <v>-114829641</v>
      </c>
      <c r="AL198" s="325" t="n">
        <f aca="false">Y198-X198</f>
        <v>-125421684</v>
      </c>
      <c r="AM198" s="325" t="n">
        <f aca="false">Z198-Y198</f>
        <v>-113815918</v>
      </c>
      <c r="AN198" s="325" t="s">
        <v>1679</v>
      </c>
      <c r="AO198" s="325" t="n">
        <f aca="false">AB198-AA198</f>
        <v>0</v>
      </c>
      <c r="AP198" s="325" t="n">
        <f aca="false">AC198-AB198</f>
        <v>0</v>
      </c>
      <c r="AR198" s="314" t="str">
        <f aca="false">IFERROR(VLOOKUP(M198,'PL_DEC.2026'!$D$11:$D$99,1,FALSE()),"(미존재)")</f>
        <v>잡이익</v>
      </c>
    </row>
    <row r="199" customFormat="false" ht="16.5" hidden="false" customHeight="false" outlineLevel="0" collapsed="false">
      <c r="A199" s="317" t="s">
        <v>791</v>
      </c>
      <c r="B199" s="314" t="n">
        <v>61000400</v>
      </c>
      <c r="C199" s="314" t="s">
        <v>1939</v>
      </c>
      <c r="D199" s="314" t="s">
        <v>1879</v>
      </c>
      <c r="E199" s="314" t="s">
        <v>1924</v>
      </c>
      <c r="F199" s="314" t="s">
        <v>1940</v>
      </c>
      <c r="G199" s="314" t="s">
        <v>1926</v>
      </c>
      <c r="H199" s="314" t="s">
        <v>1495</v>
      </c>
      <c r="I199" s="314" t="s">
        <v>1941</v>
      </c>
      <c r="J199" s="314" t="s">
        <v>1458</v>
      </c>
      <c r="K199" s="314" t="s">
        <v>1942</v>
      </c>
      <c r="L199" s="324" t="s">
        <v>1929</v>
      </c>
      <c r="M199" s="324" t="s">
        <v>364</v>
      </c>
      <c r="N199" s="324" t="s">
        <v>1929</v>
      </c>
      <c r="O199" s="324" t="s">
        <v>364</v>
      </c>
      <c r="P199" s="324" t="s">
        <v>364</v>
      </c>
      <c r="Q199" s="325" t="n">
        <v>252267505</v>
      </c>
      <c r="R199" s="325" t="n">
        <v>4277836</v>
      </c>
      <c r="S199" s="325" t="n">
        <v>18046537</v>
      </c>
      <c r="T199" s="325" t="n">
        <v>33769375</v>
      </c>
      <c r="U199" s="325" t="n">
        <v>57559500</v>
      </c>
      <c r="V199" s="325" t="n">
        <v>71958120</v>
      </c>
      <c r="W199" s="325" t="n">
        <v>86627811</v>
      </c>
      <c r="X199" s="325" t="n">
        <v>103247102</v>
      </c>
      <c r="Y199" s="325" t="n">
        <v>118787239</v>
      </c>
      <c r="Z199" s="325" t="n">
        <v>137494628</v>
      </c>
      <c r="AA199" s="325"/>
      <c r="AB199" s="325"/>
      <c r="AC199" s="325"/>
      <c r="AD199" s="325"/>
      <c r="AE199" s="325" t="n">
        <f aca="false">R199</f>
        <v>4277836</v>
      </c>
      <c r="AF199" s="325" t="n">
        <f aca="false">S199-R199</f>
        <v>13768701</v>
      </c>
      <c r="AG199" s="325" t="n">
        <f aca="false">T199-S199</f>
        <v>15722838</v>
      </c>
      <c r="AH199" s="325" t="n">
        <f aca="false">U199-T199</f>
        <v>23790125</v>
      </c>
      <c r="AI199" s="325" t="n">
        <f aca="false">V199-U199</f>
        <v>14398620</v>
      </c>
      <c r="AJ199" s="325" t="n">
        <f aca="false">W199-V199</f>
        <v>14669691</v>
      </c>
      <c r="AK199" s="325" t="n">
        <f aca="false">X199-W199</f>
        <v>16619291</v>
      </c>
      <c r="AL199" s="325" t="n">
        <f aca="false">Y199-X199</f>
        <v>15540137</v>
      </c>
      <c r="AM199" s="325" t="n">
        <f aca="false">Z199-Y199</f>
        <v>18707389</v>
      </c>
      <c r="AN199" s="325" t="s">
        <v>1679</v>
      </c>
      <c r="AO199" s="325" t="n">
        <f aca="false">AB199-AA199</f>
        <v>0</v>
      </c>
      <c r="AP199" s="325" t="n">
        <f aca="false">AC199-AB199</f>
        <v>0</v>
      </c>
      <c r="AR199" s="314" t="str">
        <f aca="false">IFERROR(VLOOKUP(M199,'PL_DEC.2026'!$D$11:$D$99,1,FALSE()),"(미존재)")</f>
        <v>교육훈련비</v>
      </c>
    </row>
    <row r="200" customFormat="false" ht="16.5" hidden="false" customHeight="false" outlineLevel="0" collapsed="false">
      <c r="A200" s="317" t="s">
        <v>791</v>
      </c>
      <c r="B200" s="314" t="n">
        <v>61000870</v>
      </c>
      <c r="C200" s="314" t="s">
        <v>1943</v>
      </c>
      <c r="D200" s="314" t="s">
        <v>1879</v>
      </c>
      <c r="E200" s="314" t="s">
        <v>1924</v>
      </c>
      <c r="F200" s="314" t="s">
        <v>1925</v>
      </c>
      <c r="G200" s="314" t="s">
        <v>1926</v>
      </c>
      <c r="H200" s="314" t="s">
        <v>1495</v>
      </c>
      <c r="I200" s="314" t="s">
        <v>1941</v>
      </c>
      <c r="J200" s="314" t="s">
        <v>1458</v>
      </c>
      <c r="K200" s="314" t="s">
        <v>1942</v>
      </c>
      <c r="L200" s="324" t="s">
        <v>1929</v>
      </c>
      <c r="M200" s="324" t="s">
        <v>344</v>
      </c>
      <c r="N200" s="324" t="s">
        <v>1929</v>
      </c>
      <c r="O200" s="324" t="s">
        <v>344</v>
      </c>
      <c r="P200" s="324" t="s">
        <v>344</v>
      </c>
      <c r="Q200" s="325" t="n">
        <v>8168087</v>
      </c>
      <c r="R200" s="325" t="n">
        <v>1832175</v>
      </c>
      <c r="S200" s="325" t="n">
        <v>2632175</v>
      </c>
      <c r="T200" s="325" t="n">
        <v>1832175</v>
      </c>
      <c r="U200" s="325" t="n">
        <v>2704000</v>
      </c>
      <c r="V200" s="325" t="n">
        <v>3620000</v>
      </c>
      <c r="W200" s="325" t="n">
        <v>4654667</v>
      </c>
      <c r="X200" s="325" t="n">
        <v>5570667</v>
      </c>
      <c r="Y200" s="325" t="n">
        <v>6606667</v>
      </c>
      <c r="Z200" s="325" t="n">
        <v>6731978</v>
      </c>
      <c r="AA200" s="325"/>
      <c r="AB200" s="325"/>
      <c r="AC200" s="325"/>
      <c r="AD200" s="325"/>
      <c r="AE200" s="325" t="n">
        <f aca="false">R200</f>
        <v>1832175</v>
      </c>
      <c r="AF200" s="325" t="n">
        <f aca="false">S200-R200</f>
        <v>800000</v>
      </c>
      <c r="AG200" s="325" t="n">
        <f aca="false">T200-S200</f>
        <v>-800000</v>
      </c>
      <c r="AH200" s="325" t="n">
        <f aca="false">U200-T200</f>
        <v>871825</v>
      </c>
      <c r="AI200" s="325" t="n">
        <f aca="false">V200-U200</f>
        <v>916000</v>
      </c>
      <c r="AJ200" s="325" t="n">
        <f aca="false">W200-V200</f>
        <v>1034667</v>
      </c>
      <c r="AK200" s="325" t="n">
        <f aca="false">X200-W200</f>
        <v>916000</v>
      </c>
      <c r="AL200" s="325" t="n">
        <f aca="false">Y200-X200</f>
        <v>1036000</v>
      </c>
      <c r="AM200" s="325" t="n">
        <f aca="false">Z200-Y200</f>
        <v>125311</v>
      </c>
      <c r="AN200" s="325" t="s">
        <v>1679</v>
      </c>
      <c r="AO200" s="325" t="n">
        <f aca="false">AB200-AA200</f>
        <v>0</v>
      </c>
      <c r="AP200" s="325" t="n">
        <f aca="false">AC200-AB200</f>
        <v>0</v>
      </c>
      <c r="AR200" s="314" t="str">
        <f aca="false">IFERROR(VLOOKUP(M200,'PL_DEC.2026'!$D$11:$D$99,1,FALSE()),"(미존재)")</f>
        <v>지급수수료</v>
      </c>
    </row>
    <row r="201" customFormat="false" ht="16.5" hidden="false" customHeight="false" outlineLevel="0" collapsed="false">
      <c r="A201" s="317" t="s">
        <v>791</v>
      </c>
      <c r="B201" s="314" t="n">
        <v>61001160</v>
      </c>
      <c r="C201" s="314" t="s">
        <v>1944</v>
      </c>
      <c r="D201" s="314" t="s">
        <v>1879</v>
      </c>
      <c r="E201" s="314" t="s">
        <v>1924</v>
      </c>
      <c r="F201" s="314" t="s">
        <v>1925</v>
      </c>
      <c r="G201" s="314" t="s">
        <v>1945</v>
      </c>
      <c r="H201" s="314" t="s">
        <v>1495</v>
      </c>
      <c r="I201" s="314" t="s">
        <v>1941</v>
      </c>
      <c r="J201" s="314" t="s">
        <v>1458</v>
      </c>
      <c r="K201" s="314" t="s">
        <v>1942</v>
      </c>
      <c r="L201" s="324" t="s">
        <v>1929</v>
      </c>
      <c r="M201" s="324" t="s">
        <v>344</v>
      </c>
      <c r="N201" s="324" t="s">
        <v>1929</v>
      </c>
      <c r="O201" s="324" t="s">
        <v>344</v>
      </c>
      <c r="P201" s="324" t="s">
        <v>344</v>
      </c>
      <c r="Q201" s="325" t="n">
        <v>2000</v>
      </c>
      <c r="R201" s="325" t="n">
        <v>0</v>
      </c>
      <c r="S201" s="325" t="n">
        <v>0</v>
      </c>
      <c r="T201" s="325" t="n">
        <v>0</v>
      </c>
      <c r="U201" s="325" t="n">
        <v>0</v>
      </c>
      <c r="V201" s="325" t="n">
        <v>0</v>
      </c>
      <c r="W201" s="325" t="n">
        <v>0</v>
      </c>
      <c r="X201" s="325" t="n">
        <v>0</v>
      </c>
      <c r="Y201" s="325" t="n">
        <v>0</v>
      </c>
      <c r="Z201" s="325" t="n">
        <v>0</v>
      </c>
      <c r="AA201" s="325"/>
      <c r="AB201" s="325"/>
      <c r="AC201" s="325"/>
      <c r="AD201" s="325"/>
      <c r="AE201" s="325" t="n">
        <f aca="false">R201</f>
        <v>0</v>
      </c>
      <c r="AF201" s="325" t="n">
        <f aca="false">S201-R201</f>
        <v>0</v>
      </c>
      <c r="AG201" s="325" t="n">
        <f aca="false">T201-S201</f>
        <v>0</v>
      </c>
      <c r="AH201" s="325" t="n">
        <f aca="false">U201-T201</f>
        <v>0</v>
      </c>
      <c r="AI201" s="325" t="n">
        <f aca="false">V201-U201</f>
        <v>0</v>
      </c>
      <c r="AJ201" s="325" t="n">
        <f aca="false">W201-V201</f>
        <v>0</v>
      </c>
      <c r="AK201" s="325" t="n">
        <f aca="false">X201-W201</f>
        <v>0</v>
      </c>
      <c r="AL201" s="325" t="n">
        <f aca="false">Y201-X201</f>
        <v>0</v>
      </c>
      <c r="AM201" s="325" t="n">
        <f aca="false">Z201-Y201</f>
        <v>0</v>
      </c>
      <c r="AN201" s="325" t="s">
        <v>1679</v>
      </c>
      <c r="AO201" s="325" t="n">
        <f aca="false">AB201-AA201</f>
        <v>0</v>
      </c>
      <c r="AP201" s="325" t="n">
        <f aca="false">AC201-AB201</f>
        <v>0</v>
      </c>
      <c r="AR201" s="314" t="str">
        <f aca="false">IFERROR(VLOOKUP(M201,'PL_DEC.2026'!$D$11:$D$99,1,FALSE()),"(미존재)")</f>
        <v>지급수수료</v>
      </c>
    </row>
    <row r="202" customFormat="false" ht="16.5" hidden="false" customHeight="false" outlineLevel="0" collapsed="false">
      <c r="A202" s="317" t="s">
        <v>791</v>
      </c>
      <c r="B202" s="314" t="n">
        <v>61001200</v>
      </c>
      <c r="C202" s="314" t="s">
        <v>1946</v>
      </c>
      <c r="D202" s="314" t="s">
        <v>1879</v>
      </c>
      <c r="E202" s="314" t="s">
        <v>1924</v>
      </c>
      <c r="F202" s="314" t="s">
        <v>1947</v>
      </c>
      <c r="G202" s="314" t="s">
        <v>1926</v>
      </c>
      <c r="H202" s="314" t="s">
        <v>1495</v>
      </c>
      <c r="I202" s="314" t="s">
        <v>1941</v>
      </c>
      <c r="J202" s="314" t="s">
        <v>1458</v>
      </c>
      <c r="K202" s="314" t="s">
        <v>1942</v>
      </c>
      <c r="L202" s="324" t="s">
        <v>1929</v>
      </c>
      <c r="M202" s="324" t="s">
        <v>358</v>
      </c>
      <c r="N202" s="324" t="s">
        <v>1929</v>
      </c>
      <c r="O202" s="324" t="s">
        <v>358</v>
      </c>
      <c r="P202" s="324" t="s">
        <v>358</v>
      </c>
      <c r="Q202" s="325" t="n">
        <v>1121736</v>
      </c>
      <c r="R202" s="325" t="n">
        <v>0</v>
      </c>
      <c r="S202" s="325" t="n">
        <v>0</v>
      </c>
      <c r="T202" s="325" t="n">
        <v>0</v>
      </c>
      <c r="U202" s="325" t="n">
        <v>0</v>
      </c>
      <c r="V202" s="325" t="n">
        <v>0</v>
      </c>
      <c r="W202" s="325" t="n">
        <v>0</v>
      </c>
      <c r="X202" s="325" t="n">
        <v>0</v>
      </c>
      <c r="Y202" s="325" t="n">
        <v>0</v>
      </c>
      <c r="Z202" s="325" t="n">
        <v>0</v>
      </c>
      <c r="AA202" s="325"/>
      <c r="AB202" s="325"/>
      <c r="AC202" s="325"/>
      <c r="AD202" s="325"/>
      <c r="AE202" s="325" t="n">
        <f aca="false">R202</f>
        <v>0</v>
      </c>
      <c r="AF202" s="325" t="n">
        <f aca="false">S202-R202</f>
        <v>0</v>
      </c>
      <c r="AG202" s="325" t="n">
        <f aca="false">T202-S202</f>
        <v>0</v>
      </c>
      <c r="AH202" s="325" t="n">
        <f aca="false">U202-T202</f>
        <v>0</v>
      </c>
      <c r="AI202" s="325" t="n">
        <f aca="false">V202-U202</f>
        <v>0</v>
      </c>
      <c r="AJ202" s="325" t="n">
        <f aca="false">W202-V202</f>
        <v>0</v>
      </c>
      <c r="AK202" s="325" t="n">
        <f aca="false">X202-W202</f>
        <v>0</v>
      </c>
      <c r="AL202" s="325" t="n">
        <f aca="false">Y202-X202</f>
        <v>0</v>
      </c>
      <c r="AM202" s="325" t="n">
        <f aca="false">Z202-Y202</f>
        <v>0</v>
      </c>
      <c r="AN202" s="325" t="s">
        <v>1679</v>
      </c>
      <c r="AO202" s="325" t="n">
        <f aca="false">AB202-AA202</f>
        <v>0</v>
      </c>
      <c r="AP202" s="325" t="n">
        <f aca="false">AC202-AB202</f>
        <v>0</v>
      </c>
      <c r="AR202" s="314" t="str">
        <f aca="false">IFERROR(VLOOKUP(M202,'PL_DEC.2026'!$D$11:$D$99,1,FALSE()),"(미존재)")</f>
        <v>감가상각비</v>
      </c>
    </row>
    <row r="203" customFormat="false" ht="16.5" hidden="false" customHeight="false" outlineLevel="0" collapsed="false">
      <c r="A203" s="317" t="s">
        <v>791</v>
      </c>
      <c r="B203" s="314" t="n">
        <v>62000005</v>
      </c>
      <c r="C203" s="314" t="s">
        <v>1948</v>
      </c>
      <c r="D203" s="314" t="s">
        <v>1879</v>
      </c>
      <c r="E203" s="314" t="s">
        <v>1949</v>
      </c>
      <c r="F203" s="314" t="s">
        <v>1950</v>
      </c>
      <c r="G203" s="314" t="s">
        <v>1926</v>
      </c>
      <c r="H203" s="314" t="s">
        <v>1495</v>
      </c>
      <c r="I203" s="314" t="s">
        <v>1941</v>
      </c>
      <c r="J203" s="314" t="s">
        <v>1458</v>
      </c>
      <c r="K203" s="314" t="s">
        <v>1942</v>
      </c>
      <c r="L203" s="324" t="s">
        <v>1929</v>
      </c>
      <c r="M203" s="324" t="s">
        <v>321</v>
      </c>
      <c r="N203" s="324" t="s">
        <v>1929</v>
      </c>
      <c r="O203" s="324" t="s">
        <v>319</v>
      </c>
      <c r="P203" s="324" t="s">
        <v>319</v>
      </c>
      <c r="Q203" s="325" t="n">
        <v>107700000</v>
      </c>
      <c r="R203" s="325" t="n">
        <v>102000000</v>
      </c>
      <c r="S203" s="325" t="n">
        <v>102000000</v>
      </c>
      <c r="T203" s="325" t="n">
        <v>102000000</v>
      </c>
      <c r="U203" s="325" t="n">
        <v>102000000</v>
      </c>
      <c r="V203" s="325" t="n">
        <v>102000000</v>
      </c>
      <c r="W203" s="325" t="n">
        <v>102000000</v>
      </c>
      <c r="X203" s="325" t="n">
        <v>102000000</v>
      </c>
      <c r="Y203" s="325" t="n">
        <v>102000000</v>
      </c>
      <c r="Z203" s="325" t="n">
        <v>203700000</v>
      </c>
      <c r="AA203" s="325"/>
      <c r="AB203" s="325"/>
      <c r="AC203" s="325"/>
      <c r="AD203" s="325"/>
      <c r="AE203" s="325" t="n">
        <f aca="false">R203</f>
        <v>102000000</v>
      </c>
      <c r="AF203" s="325" t="n">
        <f aca="false">S203-R203</f>
        <v>0</v>
      </c>
      <c r="AG203" s="325" t="n">
        <f aca="false">T203-S203</f>
        <v>0</v>
      </c>
      <c r="AH203" s="325" t="n">
        <f aca="false">U203-T203</f>
        <v>0</v>
      </c>
      <c r="AI203" s="325" t="n">
        <f aca="false">V203-U203</f>
        <v>0</v>
      </c>
      <c r="AJ203" s="325" t="n">
        <f aca="false">W203-V203</f>
        <v>0</v>
      </c>
      <c r="AK203" s="325" t="n">
        <f aca="false">X203-W203</f>
        <v>0</v>
      </c>
      <c r="AL203" s="325" t="n">
        <f aca="false">Y203-X203</f>
        <v>0</v>
      </c>
      <c r="AM203" s="325" t="n">
        <f aca="false">Z203-Y203</f>
        <v>101700000</v>
      </c>
      <c r="AN203" s="325" t="s">
        <v>1679</v>
      </c>
      <c r="AO203" s="325" t="n">
        <f aca="false">AB203-AA203</f>
        <v>0</v>
      </c>
      <c r="AP203" s="325" t="n">
        <f aca="false">AC203-AB203</f>
        <v>0</v>
      </c>
      <c r="AR203" s="314" t="str">
        <f aca="false">IFERROR(VLOOKUP(M203,'PL_DEC.2026'!$D$11:$D$99,1,FALSE()),"(미존재)")</f>
        <v>상여와수당</v>
      </c>
    </row>
    <row r="204" customFormat="false" ht="16.5" hidden="false" customHeight="false" outlineLevel="0" collapsed="false">
      <c r="A204" s="317" t="s">
        <v>791</v>
      </c>
      <c r="B204" s="314" t="n">
        <v>62000007</v>
      </c>
      <c r="C204" s="314" t="s">
        <v>1951</v>
      </c>
      <c r="D204" s="314" t="s">
        <v>1879</v>
      </c>
      <c r="E204" s="314" t="s">
        <v>1949</v>
      </c>
      <c r="F204" s="314" t="s">
        <v>1950</v>
      </c>
      <c r="G204" s="314" t="s">
        <v>1926</v>
      </c>
      <c r="H204" s="314" t="s">
        <v>1495</v>
      </c>
      <c r="I204" s="314" t="s">
        <v>1941</v>
      </c>
      <c r="J204" s="314" t="s">
        <v>1458</v>
      </c>
      <c r="K204" s="314" t="s">
        <v>1942</v>
      </c>
      <c r="L204" s="324" t="s">
        <v>1929</v>
      </c>
      <c r="M204" s="324" t="s">
        <v>321</v>
      </c>
      <c r="N204" s="324" t="s">
        <v>1929</v>
      </c>
      <c r="O204" s="324" t="s">
        <v>319</v>
      </c>
      <c r="P204" s="324" t="s">
        <v>319</v>
      </c>
      <c r="Q204" s="325" t="n">
        <v>1289093338</v>
      </c>
      <c r="R204" s="325" t="n">
        <v>87176083</v>
      </c>
      <c r="S204" s="325" t="n">
        <v>261296447</v>
      </c>
      <c r="T204" s="325" t="n">
        <v>387410170</v>
      </c>
      <c r="U204" s="325" t="n">
        <v>487013035</v>
      </c>
      <c r="V204" s="325" t="n">
        <v>589800357</v>
      </c>
      <c r="W204" s="325" t="n">
        <v>677061487</v>
      </c>
      <c r="X204" s="325" t="n">
        <v>760238418</v>
      </c>
      <c r="Y204" s="325" t="n">
        <v>836772190</v>
      </c>
      <c r="Z204" s="325" t="n">
        <v>910853726</v>
      </c>
      <c r="AA204" s="325"/>
      <c r="AB204" s="325"/>
      <c r="AC204" s="325"/>
      <c r="AD204" s="325"/>
      <c r="AE204" s="325" t="n">
        <f aca="false">R204</f>
        <v>87176083</v>
      </c>
      <c r="AF204" s="325" t="n">
        <f aca="false">S204-R204</f>
        <v>174120364</v>
      </c>
      <c r="AG204" s="325" t="n">
        <f aca="false">T204-S204</f>
        <v>126113723</v>
      </c>
      <c r="AH204" s="325" t="n">
        <f aca="false">U204-T204</f>
        <v>99602865</v>
      </c>
      <c r="AI204" s="325" t="n">
        <f aca="false">V204-U204</f>
        <v>102787322</v>
      </c>
      <c r="AJ204" s="325" t="n">
        <f aca="false">W204-V204</f>
        <v>87261130</v>
      </c>
      <c r="AK204" s="325" t="n">
        <f aca="false">X204-W204</f>
        <v>83176931</v>
      </c>
      <c r="AL204" s="325" t="n">
        <f aca="false">Y204-X204</f>
        <v>76533772</v>
      </c>
      <c r="AM204" s="325" t="n">
        <f aca="false">Z204-Y204</f>
        <v>74081536</v>
      </c>
      <c r="AN204" s="325" t="s">
        <v>1679</v>
      </c>
      <c r="AO204" s="325" t="n">
        <f aca="false">AB204-AA204</f>
        <v>0</v>
      </c>
      <c r="AP204" s="325" t="n">
        <f aca="false">AC204-AB204</f>
        <v>0</v>
      </c>
      <c r="AR204" s="314" t="str">
        <f aca="false">IFERROR(VLOOKUP(M204,'PL_DEC.2026'!$D$11:$D$99,1,FALSE()),"(미존재)")</f>
        <v>상여와수당</v>
      </c>
    </row>
    <row r="205" customFormat="false" ht="16.5" hidden="false" customHeight="false" outlineLevel="0" collapsed="false">
      <c r="A205" s="317" t="s">
        <v>791</v>
      </c>
      <c r="B205" s="314" t="n">
        <v>62000010</v>
      </c>
      <c r="C205" s="314" t="s">
        <v>1952</v>
      </c>
      <c r="D205" s="314" t="s">
        <v>1879</v>
      </c>
      <c r="E205" s="314" t="s">
        <v>1949</v>
      </c>
      <c r="F205" s="314" t="s">
        <v>1950</v>
      </c>
      <c r="G205" s="314" t="s">
        <v>1926</v>
      </c>
      <c r="H205" s="314" t="s">
        <v>1495</v>
      </c>
      <c r="I205" s="314" t="s">
        <v>1941</v>
      </c>
      <c r="J205" s="314" t="s">
        <v>1458</v>
      </c>
      <c r="K205" s="314" t="s">
        <v>1942</v>
      </c>
      <c r="L205" s="324" t="s">
        <v>1929</v>
      </c>
      <c r="M205" s="324" t="s">
        <v>319</v>
      </c>
      <c r="N205" s="324" t="s">
        <v>1929</v>
      </c>
      <c r="O205" s="324" t="s">
        <v>319</v>
      </c>
      <c r="P205" s="324" t="s">
        <v>319</v>
      </c>
      <c r="Q205" s="325" t="n">
        <v>369741359</v>
      </c>
      <c r="R205" s="325" t="n">
        <v>116761557</v>
      </c>
      <c r="S205" s="325" t="n">
        <v>132635742</v>
      </c>
      <c r="T205" s="325" t="n">
        <v>152345092</v>
      </c>
      <c r="U205" s="325" t="n">
        <v>184423297</v>
      </c>
      <c r="V205" s="325" t="n">
        <v>221542242</v>
      </c>
      <c r="W205" s="325" t="n">
        <v>254920353</v>
      </c>
      <c r="X205" s="325" t="n">
        <v>295864388</v>
      </c>
      <c r="Y205" s="325" t="n">
        <v>322290619</v>
      </c>
      <c r="Z205" s="325" t="n">
        <v>344265645</v>
      </c>
      <c r="AA205" s="325"/>
      <c r="AB205" s="325"/>
      <c r="AC205" s="325"/>
      <c r="AD205" s="325"/>
      <c r="AE205" s="325" t="n">
        <f aca="false">R205</f>
        <v>116761557</v>
      </c>
      <c r="AF205" s="325" t="n">
        <f aca="false">S205-R205</f>
        <v>15874185</v>
      </c>
      <c r="AG205" s="325" t="n">
        <f aca="false">T205-S205</f>
        <v>19709350</v>
      </c>
      <c r="AH205" s="325" t="n">
        <f aca="false">U205-T205</f>
        <v>32078205</v>
      </c>
      <c r="AI205" s="325" t="n">
        <f aca="false">V205-U205</f>
        <v>37118945</v>
      </c>
      <c r="AJ205" s="325" t="n">
        <f aca="false">W205-V205</f>
        <v>33378111</v>
      </c>
      <c r="AK205" s="325" t="n">
        <f aca="false">X205-W205</f>
        <v>40944035</v>
      </c>
      <c r="AL205" s="325" t="n">
        <f aca="false">Y205-X205</f>
        <v>26426231</v>
      </c>
      <c r="AM205" s="325" t="n">
        <f aca="false">Z205-Y205</f>
        <v>21975026</v>
      </c>
      <c r="AN205" s="325" t="s">
        <v>1679</v>
      </c>
      <c r="AO205" s="325" t="n">
        <f aca="false">AB205-AA205</f>
        <v>0</v>
      </c>
      <c r="AP205" s="325" t="n">
        <f aca="false">AC205-AB205</f>
        <v>0</v>
      </c>
      <c r="AR205" s="314" t="str">
        <f aca="false">IFERROR(VLOOKUP(M205,'PL_DEC.2026'!$D$11:$D$99,1,FALSE()),"(미존재)")</f>
        <v>급여</v>
      </c>
    </row>
    <row r="206" customFormat="false" ht="16.5" hidden="false" customHeight="false" outlineLevel="0" collapsed="false">
      <c r="A206" s="317" t="s">
        <v>791</v>
      </c>
      <c r="B206" s="314" t="n">
        <v>62000300</v>
      </c>
      <c r="C206" s="314" t="s">
        <v>1953</v>
      </c>
      <c r="D206" s="314" t="s">
        <v>1879</v>
      </c>
      <c r="E206" s="314" t="s">
        <v>1949</v>
      </c>
      <c r="F206" s="314" t="s">
        <v>1950</v>
      </c>
      <c r="G206" s="314" t="s">
        <v>1926</v>
      </c>
      <c r="H206" s="314" t="s">
        <v>1495</v>
      </c>
      <c r="I206" s="314" t="s">
        <v>1941</v>
      </c>
      <c r="J206" s="314" t="s">
        <v>1458</v>
      </c>
      <c r="K206" s="314" t="s">
        <v>1942</v>
      </c>
      <c r="L206" s="324" t="s">
        <v>1929</v>
      </c>
      <c r="M206" s="324" t="s">
        <v>319</v>
      </c>
      <c r="N206" s="324" t="s">
        <v>1929</v>
      </c>
      <c r="O206" s="324" t="s">
        <v>319</v>
      </c>
      <c r="P206" s="324" t="s">
        <v>319</v>
      </c>
      <c r="Q206" s="325" t="n">
        <v>37163609496</v>
      </c>
      <c r="R206" s="325" t="n">
        <v>2946071687</v>
      </c>
      <c r="S206" s="325" t="n">
        <v>5904532226</v>
      </c>
      <c r="T206" s="325" t="n">
        <v>8977802705</v>
      </c>
      <c r="U206" s="325" t="n">
        <v>12068616273</v>
      </c>
      <c r="V206" s="325" t="n">
        <v>15160239397</v>
      </c>
      <c r="W206" s="325" t="n">
        <v>18261610187</v>
      </c>
      <c r="X206" s="325" t="n">
        <v>21385847566</v>
      </c>
      <c r="Y206" s="325" t="n">
        <v>24481192967</v>
      </c>
      <c r="Z206" s="325" t="n">
        <v>27579467961</v>
      </c>
      <c r="AA206" s="325"/>
      <c r="AB206" s="325"/>
      <c r="AC206" s="325"/>
      <c r="AD206" s="325"/>
      <c r="AE206" s="325" t="n">
        <f aca="false">R206</f>
        <v>2946071687</v>
      </c>
      <c r="AF206" s="325" t="n">
        <f aca="false">S206-R206</f>
        <v>2958460539</v>
      </c>
      <c r="AG206" s="325" t="n">
        <f aca="false">T206-S206</f>
        <v>3073270479</v>
      </c>
      <c r="AH206" s="325" t="n">
        <f aca="false">U206-T206</f>
        <v>3090813568</v>
      </c>
      <c r="AI206" s="325" t="n">
        <f aca="false">V206-U206</f>
        <v>3091623124</v>
      </c>
      <c r="AJ206" s="325" t="n">
        <f aca="false">W206-V206</f>
        <v>3101370790</v>
      </c>
      <c r="AK206" s="325" t="n">
        <f aca="false">X206-W206</f>
        <v>3124237379</v>
      </c>
      <c r="AL206" s="325" t="n">
        <f aca="false">Y206-X206</f>
        <v>3095345401</v>
      </c>
      <c r="AM206" s="325" t="n">
        <f aca="false">Z206-Y206</f>
        <v>3098274994</v>
      </c>
      <c r="AN206" s="325" t="s">
        <v>1679</v>
      </c>
      <c r="AO206" s="325" t="n">
        <f aca="false">AB206-AA206</f>
        <v>0</v>
      </c>
      <c r="AP206" s="325" t="n">
        <f aca="false">AC206-AB206</f>
        <v>0</v>
      </c>
      <c r="AR206" s="314" t="str">
        <f aca="false">IFERROR(VLOOKUP(M206,'PL_DEC.2026'!$D$11:$D$99,1,FALSE()),"(미존재)")</f>
        <v>급여</v>
      </c>
    </row>
    <row r="207" customFormat="false" ht="16.5" hidden="false" customHeight="false" outlineLevel="0" collapsed="false">
      <c r="A207" s="317" t="s">
        <v>791</v>
      </c>
      <c r="B207" s="314" t="n">
        <v>62000376</v>
      </c>
      <c r="C207" s="314" t="s">
        <v>1954</v>
      </c>
      <c r="D207" s="314" t="s">
        <v>1879</v>
      </c>
      <c r="E207" s="314" t="s">
        <v>1949</v>
      </c>
      <c r="F207" s="314" t="s">
        <v>1950</v>
      </c>
      <c r="G207" s="314" t="s">
        <v>1926</v>
      </c>
      <c r="H207" s="314" t="s">
        <v>1495</v>
      </c>
      <c r="I207" s="314" t="s">
        <v>1941</v>
      </c>
      <c r="J207" s="314" t="s">
        <v>1458</v>
      </c>
      <c r="K207" s="314" t="s">
        <v>1942</v>
      </c>
      <c r="L207" s="324" t="s">
        <v>1929</v>
      </c>
      <c r="M207" s="324" t="s">
        <v>319</v>
      </c>
      <c r="N207" s="324" t="s">
        <v>1929</v>
      </c>
      <c r="O207" s="324" t="s">
        <v>319</v>
      </c>
      <c r="P207" s="324" t="s">
        <v>319</v>
      </c>
      <c r="Q207" s="325" t="n">
        <v>353827550</v>
      </c>
      <c r="R207" s="325" t="n">
        <v>0</v>
      </c>
      <c r="S207" s="325" t="n">
        <v>0</v>
      </c>
      <c r="T207" s="325" t="n">
        <v>0</v>
      </c>
      <c r="U207" s="325" t="n">
        <v>0</v>
      </c>
      <c r="V207" s="325" t="n">
        <v>88451000</v>
      </c>
      <c r="W207" s="325" t="n">
        <v>88451000</v>
      </c>
      <c r="X207" s="325" t="n">
        <v>-62280200</v>
      </c>
      <c r="Y207" s="325" t="n">
        <v>-62280200</v>
      </c>
      <c r="Z207" s="325" t="n">
        <v>-141361790</v>
      </c>
      <c r="AA207" s="325"/>
      <c r="AB207" s="325"/>
      <c r="AC207" s="325"/>
      <c r="AD207" s="325"/>
      <c r="AE207" s="325" t="n">
        <f aca="false">R207</f>
        <v>0</v>
      </c>
      <c r="AF207" s="325" t="n">
        <f aca="false">S207-R207</f>
        <v>0</v>
      </c>
      <c r="AG207" s="325" t="n">
        <f aca="false">T207-S207</f>
        <v>0</v>
      </c>
      <c r="AH207" s="325" t="n">
        <f aca="false">U207-T207</f>
        <v>0</v>
      </c>
      <c r="AI207" s="325" t="n">
        <f aca="false">V207-U207</f>
        <v>88451000</v>
      </c>
      <c r="AJ207" s="325" t="n">
        <f aca="false">W207-V207</f>
        <v>0</v>
      </c>
      <c r="AK207" s="325" t="n">
        <f aca="false">X207-W207</f>
        <v>-150731200</v>
      </c>
      <c r="AL207" s="325" t="n">
        <f aca="false">Y207-X207</f>
        <v>0</v>
      </c>
      <c r="AM207" s="325" t="n">
        <f aca="false">Z207-Y207</f>
        <v>-79081590</v>
      </c>
      <c r="AN207" s="325" t="s">
        <v>1679</v>
      </c>
      <c r="AO207" s="325" t="n">
        <f aca="false">AB207-AA207</f>
        <v>0</v>
      </c>
      <c r="AP207" s="325" t="n">
        <f aca="false">AC207-AB207</f>
        <v>0</v>
      </c>
      <c r="AR207" s="314" t="str">
        <f aca="false">IFERROR(VLOOKUP(M207,'PL_DEC.2026'!$D$11:$D$99,1,FALSE()),"(미존재)")</f>
        <v>급여</v>
      </c>
    </row>
    <row r="208" customFormat="false" ht="16.5" hidden="false" customHeight="false" outlineLevel="0" collapsed="false">
      <c r="A208" s="317" t="s">
        <v>791</v>
      </c>
      <c r="B208" s="314" t="n">
        <v>62000410</v>
      </c>
      <c r="C208" s="314" t="s">
        <v>1955</v>
      </c>
      <c r="D208" s="314" t="s">
        <v>1879</v>
      </c>
      <c r="E208" s="314" t="s">
        <v>1949</v>
      </c>
      <c r="F208" s="314" t="s">
        <v>1950</v>
      </c>
      <c r="G208" s="314" t="s">
        <v>1926</v>
      </c>
      <c r="H208" s="314" t="s">
        <v>1495</v>
      </c>
      <c r="I208" s="314" t="s">
        <v>1941</v>
      </c>
      <c r="J208" s="314" t="s">
        <v>1458</v>
      </c>
      <c r="K208" s="314" t="s">
        <v>1942</v>
      </c>
      <c r="L208" s="324" t="s">
        <v>1929</v>
      </c>
      <c r="M208" s="324" t="s">
        <v>309</v>
      </c>
      <c r="N208" s="324" t="s">
        <v>1929</v>
      </c>
      <c r="O208" s="324" t="s">
        <v>319</v>
      </c>
      <c r="P208" s="324" t="s">
        <v>319</v>
      </c>
      <c r="Q208" s="325" t="n">
        <v>-22885088</v>
      </c>
      <c r="R208" s="325" t="n">
        <v>344231511</v>
      </c>
      <c r="S208" s="325" t="n">
        <v>665963023</v>
      </c>
      <c r="T208" s="325" t="n">
        <v>-2847223920</v>
      </c>
      <c r="U208" s="325" t="n">
        <v>-2459578312</v>
      </c>
      <c r="V208" s="325" t="n">
        <v>-2155098601</v>
      </c>
      <c r="W208" s="325" t="n">
        <v>-1823634630</v>
      </c>
      <c r="X208" s="325" t="n">
        <v>-1492170659</v>
      </c>
      <c r="Y208" s="325" t="n">
        <v>-1160706688</v>
      </c>
      <c r="Z208" s="325" t="n">
        <v>-808494567</v>
      </c>
      <c r="AA208" s="325"/>
      <c r="AB208" s="325"/>
      <c r="AC208" s="325"/>
      <c r="AD208" s="325"/>
      <c r="AE208" s="325" t="n">
        <f aca="false">R208</f>
        <v>344231511</v>
      </c>
      <c r="AF208" s="325" t="n">
        <f aca="false">S208-R208</f>
        <v>321731512</v>
      </c>
      <c r="AG208" s="325" t="n">
        <f aca="false">T208-S208</f>
        <v>-3513186943</v>
      </c>
      <c r="AH208" s="325" t="n">
        <f aca="false">U208-T208</f>
        <v>387645608</v>
      </c>
      <c r="AI208" s="325" t="n">
        <f aca="false">V208-U208</f>
        <v>304479711</v>
      </c>
      <c r="AJ208" s="325" t="n">
        <f aca="false">W208-V208</f>
        <v>331463971</v>
      </c>
      <c r="AK208" s="325" t="n">
        <f aca="false">X208-W208</f>
        <v>331463971</v>
      </c>
      <c r="AL208" s="325" t="n">
        <f aca="false">Y208-X208</f>
        <v>331463971</v>
      </c>
      <c r="AM208" s="325" t="n">
        <f aca="false">Z208-Y208</f>
        <v>352212121</v>
      </c>
      <c r="AN208" s="325" t="s">
        <v>1679</v>
      </c>
      <c r="AO208" s="325" t="n">
        <f aca="false">AB208-AA208</f>
        <v>0</v>
      </c>
      <c r="AP208" s="325" t="n">
        <f aca="false">AC208-AB208</f>
        <v>0</v>
      </c>
      <c r="AR208" s="314" t="str">
        <f aca="false">IFERROR(VLOOKUP(M208,'PL_DEC.2026'!$D$11:$D$99,1,FALSE()),"(미존재)")</f>
        <v>판매수당</v>
      </c>
    </row>
    <row r="209" customFormat="false" ht="16.5" hidden="false" customHeight="false" outlineLevel="0" collapsed="false">
      <c r="A209" s="317" t="s">
        <v>791</v>
      </c>
      <c r="B209" s="314" t="n">
        <v>62000502</v>
      </c>
      <c r="C209" s="314" t="s">
        <v>1956</v>
      </c>
      <c r="D209" s="314" t="s">
        <v>1879</v>
      </c>
      <c r="E209" s="314" t="s">
        <v>1924</v>
      </c>
      <c r="F209" s="314" t="s">
        <v>1957</v>
      </c>
      <c r="G209" s="314" t="s">
        <v>1926</v>
      </c>
      <c r="H209" s="314" t="s">
        <v>1495</v>
      </c>
      <c r="I209" s="314" t="s">
        <v>1941</v>
      </c>
      <c r="J209" s="314" t="s">
        <v>1458</v>
      </c>
      <c r="K209" s="314" t="s">
        <v>1942</v>
      </c>
      <c r="L209" s="324" t="s">
        <v>1929</v>
      </c>
      <c r="M209" s="324" t="s">
        <v>332</v>
      </c>
      <c r="N209" s="324" t="s">
        <v>1929</v>
      </c>
      <c r="O209" s="324" t="s">
        <v>332</v>
      </c>
      <c r="P209" s="324" t="s">
        <v>332</v>
      </c>
      <c r="Q209" s="325" t="n">
        <v>634092023</v>
      </c>
      <c r="R209" s="325" t="n">
        <v>30210000</v>
      </c>
      <c r="S209" s="325" t="n">
        <v>66282000</v>
      </c>
      <c r="T209" s="325" t="n">
        <v>103360000</v>
      </c>
      <c r="U209" s="325" t="n">
        <v>144339000</v>
      </c>
      <c r="V209" s="325" t="n">
        <v>189259000</v>
      </c>
      <c r="W209" s="325" t="n">
        <v>226019000</v>
      </c>
      <c r="X209" s="325" t="n">
        <v>267385000</v>
      </c>
      <c r="Y209" s="325" t="n">
        <v>308688000</v>
      </c>
      <c r="Z209" s="325" t="n">
        <v>347825000</v>
      </c>
      <c r="AA209" s="325"/>
      <c r="AB209" s="325"/>
      <c r="AC209" s="325"/>
      <c r="AD209" s="325"/>
      <c r="AE209" s="325" t="n">
        <f aca="false">R209</f>
        <v>30210000</v>
      </c>
      <c r="AF209" s="325" t="n">
        <f aca="false">S209-R209</f>
        <v>36072000</v>
      </c>
      <c r="AG209" s="325" t="n">
        <f aca="false">T209-S209</f>
        <v>37078000</v>
      </c>
      <c r="AH209" s="325" t="n">
        <f aca="false">U209-T209</f>
        <v>40979000</v>
      </c>
      <c r="AI209" s="325" t="n">
        <f aca="false">V209-U209</f>
        <v>44920000</v>
      </c>
      <c r="AJ209" s="325" t="n">
        <f aca="false">W209-V209</f>
        <v>36760000</v>
      </c>
      <c r="AK209" s="325" t="n">
        <f aca="false">X209-W209</f>
        <v>41366000</v>
      </c>
      <c r="AL209" s="325" t="n">
        <f aca="false">Y209-X209</f>
        <v>41303000</v>
      </c>
      <c r="AM209" s="325" t="n">
        <f aca="false">Z209-Y209</f>
        <v>39137000</v>
      </c>
      <c r="AN209" s="325" t="s">
        <v>1679</v>
      </c>
      <c r="AO209" s="325" t="n">
        <f aca="false">AB209-AA209</f>
        <v>0</v>
      </c>
      <c r="AP209" s="325" t="n">
        <f aca="false">AC209-AB209</f>
        <v>0</v>
      </c>
      <c r="AR209" s="314" t="str">
        <f aca="false">IFERROR(VLOOKUP(M209,'PL_DEC.2026'!$D$11:$D$99,1,FALSE()),"(미존재)")</f>
        <v>여비교통비</v>
      </c>
    </row>
    <row r="210" customFormat="false" ht="16.5" hidden="false" customHeight="false" outlineLevel="0" collapsed="false">
      <c r="A210" s="317" t="s">
        <v>791</v>
      </c>
      <c r="B210" s="314" t="n">
        <v>62000600</v>
      </c>
      <c r="C210" s="314" t="s">
        <v>1958</v>
      </c>
      <c r="D210" s="314" t="s">
        <v>1879</v>
      </c>
      <c r="E210" s="314" t="s">
        <v>1959</v>
      </c>
      <c r="F210" s="314" t="s">
        <v>1960</v>
      </c>
      <c r="G210" s="314" t="s">
        <v>1926</v>
      </c>
      <c r="H210" s="314" t="s">
        <v>1495</v>
      </c>
      <c r="I210" s="314" t="s">
        <v>1941</v>
      </c>
      <c r="J210" s="314" t="s">
        <v>1458</v>
      </c>
      <c r="K210" s="314" t="s">
        <v>1942</v>
      </c>
      <c r="L210" s="324" t="s">
        <v>1929</v>
      </c>
      <c r="M210" s="324" t="s">
        <v>309</v>
      </c>
      <c r="N210" s="324" t="s">
        <v>1961</v>
      </c>
      <c r="O210" s="324" t="s">
        <v>309</v>
      </c>
      <c r="P210" s="324" t="s">
        <v>309</v>
      </c>
      <c r="Q210" s="325" t="n">
        <v>4172982320</v>
      </c>
      <c r="R210" s="325" t="n">
        <v>0</v>
      </c>
      <c r="S210" s="325" t="n">
        <v>0</v>
      </c>
      <c r="T210" s="325" t="n">
        <v>4163222610</v>
      </c>
      <c r="U210" s="325" t="n">
        <v>4163222610</v>
      </c>
      <c r="V210" s="325" t="n">
        <v>4163222610</v>
      </c>
      <c r="W210" s="325" t="n">
        <v>4163222610</v>
      </c>
      <c r="X210" s="325" t="n">
        <v>4163222610</v>
      </c>
      <c r="Y210" s="325" t="n">
        <v>4163222610</v>
      </c>
      <c r="Z210" s="325" t="n">
        <v>4163222610</v>
      </c>
      <c r="AA210" s="325"/>
      <c r="AB210" s="325"/>
      <c r="AC210" s="325"/>
      <c r="AD210" s="325"/>
      <c r="AE210" s="325" t="n">
        <f aca="false">R210</f>
        <v>0</v>
      </c>
      <c r="AF210" s="325" t="n">
        <f aca="false">S210-R210</f>
        <v>0</v>
      </c>
      <c r="AG210" s="325" t="n">
        <f aca="false">T210-S210</f>
        <v>4163222610</v>
      </c>
      <c r="AH210" s="325" t="n">
        <f aca="false">U210-T210</f>
        <v>0</v>
      </c>
      <c r="AI210" s="325" t="n">
        <f aca="false">V210-U210</f>
        <v>0</v>
      </c>
      <c r="AJ210" s="325" t="n">
        <f aca="false">W210-V210</f>
        <v>0</v>
      </c>
      <c r="AK210" s="325" t="n">
        <f aca="false">X210-W210</f>
        <v>0</v>
      </c>
      <c r="AL210" s="325" t="n">
        <f aca="false">Y210-X210</f>
        <v>0</v>
      </c>
      <c r="AM210" s="325" t="n">
        <f aca="false">Z210-Y210</f>
        <v>0</v>
      </c>
      <c r="AN210" s="325" t="s">
        <v>1679</v>
      </c>
      <c r="AO210" s="325" t="n">
        <f aca="false">AB210-AA210</f>
        <v>0</v>
      </c>
      <c r="AP210" s="325" t="n">
        <f aca="false">AC210-AB210</f>
        <v>0</v>
      </c>
      <c r="AR210" s="314" t="str">
        <f aca="false">IFERROR(VLOOKUP(M210,'PL_DEC.2026'!$D$11:$D$99,1,FALSE()),"(미존재)")</f>
        <v>판매수당</v>
      </c>
    </row>
    <row r="211" customFormat="false" ht="16.5" hidden="false" customHeight="false" outlineLevel="0" collapsed="false">
      <c r="A211" s="317" t="s">
        <v>791</v>
      </c>
      <c r="B211" s="314" t="n">
        <v>62000717</v>
      </c>
      <c r="C211" s="314" t="s">
        <v>1962</v>
      </c>
      <c r="D211" s="314" t="s">
        <v>1879</v>
      </c>
      <c r="E211" s="314" t="s">
        <v>1949</v>
      </c>
      <c r="F211" s="314" t="s">
        <v>1950</v>
      </c>
      <c r="G211" s="314" t="s">
        <v>1926</v>
      </c>
      <c r="H211" s="314" t="s">
        <v>1495</v>
      </c>
      <c r="I211" s="314" t="s">
        <v>1941</v>
      </c>
      <c r="J211" s="314" t="s">
        <v>1458</v>
      </c>
      <c r="K211" s="314" t="s">
        <v>1942</v>
      </c>
      <c r="L211" s="324" t="s">
        <v>1929</v>
      </c>
      <c r="M211" s="324" t="s">
        <v>321</v>
      </c>
      <c r="N211" s="324" t="s">
        <v>1929</v>
      </c>
      <c r="O211" s="324" t="s">
        <v>319</v>
      </c>
      <c r="P211" s="324" t="s">
        <v>319</v>
      </c>
      <c r="Q211" s="325" t="n">
        <v>1200612826</v>
      </c>
      <c r="R211" s="325" t="n">
        <v>130733519</v>
      </c>
      <c r="S211" s="325" t="n">
        <v>261467038</v>
      </c>
      <c r="T211" s="325" t="n">
        <v>392200557</v>
      </c>
      <c r="U211" s="325" t="n">
        <v>503939420</v>
      </c>
      <c r="V211" s="325" t="n">
        <v>623621855</v>
      </c>
      <c r="W211" s="325" t="n">
        <v>748346226</v>
      </c>
      <c r="X211" s="325" t="n">
        <v>877267041</v>
      </c>
      <c r="Y211" s="325" t="n">
        <v>1002590904</v>
      </c>
      <c r="Z211" s="325" t="n">
        <v>1127914767</v>
      </c>
      <c r="AA211" s="325"/>
      <c r="AB211" s="325"/>
      <c r="AC211" s="325"/>
      <c r="AD211" s="325"/>
      <c r="AE211" s="325" t="n">
        <f aca="false">R211</f>
        <v>130733519</v>
      </c>
      <c r="AF211" s="325" t="n">
        <f aca="false">S211-R211</f>
        <v>130733519</v>
      </c>
      <c r="AG211" s="325" t="n">
        <f aca="false">T211-S211</f>
        <v>130733519</v>
      </c>
      <c r="AH211" s="325" t="n">
        <f aca="false">U211-T211</f>
        <v>111738863</v>
      </c>
      <c r="AI211" s="325" t="n">
        <f aca="false">V211-U211</f>
        <v>119682435</v>
      </c>
      <c r="AJ211" s="325" t="n">
        <f aca="false">W211-V211</f>
        <v>124724371</v>
      </c>
      <c r="AK211" s="325" t="n">
        <f aca="false">X211-W211</f>
        <v>128920815</v>
      </c>
      <c r="AL211" s="325" t="n">
        <f aca="false">Y211-X211</f>
        <v>125323863</v>
      </c>
      <c r="AM211" s="325" t="n">
        <f aca="false">Z211-Y211</f>
        <v>125323863</v>
      </c>
      <c r="AN211" s="325" t="s">
        <v>1679</v>
      </c>
      <c r="AO211" s="325" t="n">
        <f aca="false">AB211-AA211</f>
        <v>0</v>
      </c>
      <c r="AP211" s="325" t="n">
        <f aca="false">AC211-AB211</f>
        <v>0</v>
      </c>
      <c r="AR211" s="314" t="str">
        <f aca="false">IFERROR(VLOOKUP(M211,'PL_DEC.2026'!$D$11:$D$99,1,FALSE()),"(미존재)")</f>
        <v>상여와수당</v>
      </c>
    </row>
    <row r="212" customFormat="false" ht="16.5" hidden="false" customHeight="false" outlineLevel="0" collapsed="false">
      <c r="A212" s="317" t="s">
        <v>791</v>
      </c>
      <c r="B212" s="314" t="n">
        <v>62000744</v>
      </c>
      <c r="C212" s="314" t="s">
        <v>1963</v>
      </c>
      <c r="D212" s="314" t="s">
        <v>1879</v>
      </c>
      <c r="E212" s="314" t="s">
        <v>1949</v>
      </c>
      <c r="F212" s="314" t="s">
        <v>1950</v>
      </c>
      <c r="G212" s="314" t="s">
        <v>1926</v>
      </c>
      <c r="H212" s="314" t="s">
        <v>1495</v>
      </c>
      <c r="I212" s="314" t="s">
        <v>1941</v>
      </c>
      <c r="J212" s="314" t="s">
        <v>1458</v>
      </c>
      <c r="K212" s="314" t="s">
        <v>1942</v>
      </c>
      <c r="L212" s="324" t="s">
        <v>1929</v>
      </c>
      <c r="M212" s="324" t="s">
        <v>321</v>
      </c>
      <c r="N212" s="324" t="s">
        <v>1929</v>
      </c>
      <c r="O212" s="324" t="s">
        <v>319</v>
      </c>
      <c r="P212" s="324" t="s">
        <v>319</v>
      </c>
      <c r="Q212" s="325" t="n">
        <v>408807534</v>
      </c>
      <c r="R212" s="325" t="n">
        <v>23616278</v>
      </c>
      <c r="S212" s="325" t="n">
        <v>44923555</v>
      </c>
      <c r="T212" s="325" t="n">
        <v>68880682</v>
      </c>
      <c r="U212" s="325" t="n">
        <v>96664192</v>
      </c>
      <c r="V212" s="325" t="n">
        <v>118455250</v>
      </c>
      <c r="W212" s="325" t="n">
        <v>139052997</v>
      </c>
      <c r="X212" s="325" t="n">
        <v>190651008</v>
      </c>
      <c r="Y212" s="325" t="n">
        <v>259350966</v>
      </c>
      <c r="Z212" s="325" t="n">
        <v>284270186</v>
      </c>
      <c r="AA212" s="325"/>
      <c r="AB212" s="325"/>
      <c r="AC212" s="325"/>
      <c r="AD212" s="325"/>
      <c r="AE212" s="325" t="n">
        <f aca="false">R212</f>
        <v>23616278</v>
      </c>
      <c r="AF212" s="325" t="n">
        <f aca="false">S212-R212</f>
        <v>21307277</v>
      </c>
      <c r="AG212" s="325" t="n">
        <f aca="false">T212-S212</f>
        <v>23957127</v>
      </c>
      <c r="AH212" s="325" t="n">
        <f aca="false">U212-T212</f>
        <v>27783510</v>
      </c>
      <c r="AI212" s="325" t="n">
        <f aca="false">V212-U212</f>
        <v>21791058</v>
      </c>
      <c r="AJ212" s="325" t="n">
        <f aca="false">W212-V212</f>
        <v>20597747</v>
      </c>
      <c r="AK212" s="325" t="n">
        <f aca="false">X212-W212</f>
        <v>51598011</v>
      </c>
      <c r="AL212" s="325" t="n">
        <f aca="false">Y212-X212</f>
        <v>68699958</v>
      </c>
      <c r="AM212" s="325" t="n">
        <f aca="false">Z212-Y212</f>
        <v>24919220</v>
      </c>
      <c r="AN212" s="325" t="s">
        <v>1679</v>
      </c>
      <c r="AO212" s="325" t="n">
        <f aca="false">AB212-AA212</f>
        <v>0</v>
      </c>
      <c r="AP212" s="325" t="n">
        <f aca="false">AC212-AB212</f>
        <v>0</v>
      </c>
      <c r="AR212" s="314" t="str">
        <f aca="false">IFERROR(VLOOKUP(M212,'PL_DEC.2026'!$D$11:$D$99,1,FALSE()),"(미존재)")</f>
        <v>상여와수당</v>
      </c>
    </row>
    <row r="213" customFormat="false" ht="16.5" hidden="false" customHeight="false" outlineLevel="0" collapsed="false">
      <c r="A213" s="317" t="s">
        <v>791</v>
      </c>
      <c r="B213" s="314" t="n">
        <v>62100702</v>
      </c>
      <c r="C213" s="314" t="s">
        <v>1964</v>
      </c>
      <c r="D213" s="314" t="s">
        <v>1879</v>
      </c>
      <c r="E213" s="314" t="s">
        <v>1924</v>
      </c>
      <c r="F213" s="314" t="s">
        <v>1965</v>
      </c>
      <c r="G213" s="314" t="s">
        <v>1926</v>
      </c>
      <c r="H213" s="314" t="s">
        <v>1495</v>
      </c>
      <c r="I213" s="314" t="s">
        <v>1941</v>
      </c>
      <c r="J213" s="314" t="s">
        <v>1458</v>
      </c>
      <c r="K213" s="314" t="s">
        <v>1942</v>
      </c>
      <c r="L213" s="324" t="s">
        <v>1929</v>
      </c>
      <c r="M213" s="324" t="s">
        <v>346</v>
      </c>
      <c r="N213" s="324" t="s">
        <v>1929</v>
      </c>
      <c r="O213" s="324" t="s">
        <v>1966</v>
      </c>
      <c r="P213" s="324" t="s">
        <v>346</v>
      </c>
      <c r="Q213" s="325" t="n">
        <v>1380273135</v>
      </c>
      <c r="R213" s="325" t="n">
        <v>118512450</v>
      </c>
      <c r="S213" s="325" t="n">
        <v>234263678</v>
      </c>
      <c r="T213" s="325" t="n">
        <v>178833943</v>
      </c>
      <c r="U213" s="325" t="n">
        <v>296731468</v>
      </c>
      <c r="V213" s="325" t="n">
        <v>410725239</v>
      </c>
      <c r="W213" s="325" t="n">
        <v>527136143</v>
      </c>
      <c r="X213" s="325" t="n">
        <v>647205356</v>
      </c>
      <c r="Y213" s="325" t="n">
        <v>770054255</v>
      </c>
      <c r="Z213" s="325" t="n">
        <v>890858351</v>
      </c>
      <c r="AA213" s="325"/>
      <c r="AB213" s="325"/>
      <c r="AC213" s="325"/>
      <c r="AD213" s="325"/>
      <c r="AE213" s="325" t="n">
        <f aca="false">R213</f>
        <v>118512450</v>
      </c>
      <c r="AF213" s="325" t="n">
        <f aca="false">S213-R213</f>
        <v>115751228</v>
      </c>
      <c r="AG213" s="325" t="n">
        <f aca="false">T213-S213</f>
        <v>-55429735</v>
      </c>
      <c r="AH213" s="325" t="n">
        <f aca="false">U213-T213</f>
        <v>117897525</v>
      </c>
      <c r="AI213" s="325" t="n">
        <f aca="false">V213-U213</f>
        <v>113993771</v>
      </c>
      <c r="AJ213" s="325" t="n">
        <f aca="false">W213-V213</f>
        <v>116410904</v>
      </c>
      <c r="AK213" s="325" t="n">
        <f aca="false">X213-W213</f>
        <v>120069213</v>
      </c>
      <c r="AL213" s="325" t="n">
        <f aca="false">Y213-X213</f>
        <v>122848899</v>
      </c>
      <c r="AM213" s="325" t="n">
        <f aca="false">Z213-Y213</f>
        <v>120804096</v>
      </c>
      <c r="AN213" s="325" t="s">
        <v>1679</v>
      </c>
      <c r="AO213" s="325" t="n">
        <f aca="false">AB213-AA213</f>
        <v>0</v>
      </c>
      <c r="AP213" s="325" t="n">
        <f aca="false">AC213-AB213</f>
        <v>0</v>
      </c>
      <c r="AR213" s="314" t="str">
        <f aca="false">IFERROR(VLOOKUP(M213,'PL_DEC.2026'!$D$11:$D$99,1,FALSE()),"(미존재)")</f>
        <v>제세공과</v>
      </c>
    </row>
    <row r="214" customFormat="false" ht="16.5" hidden="false" customHeight="false" outlineLevel="0" collapsed="false">
      <c r="A214" s="317" t="s">
        <v>791</v>
      </c>
      <c r="B214" s="314" t="n">
        <v>62100747</v>
      </c>
      <c r="C214" s="314" t="s">
        <v>1967</v>
      </c>
      <c r="D214" s="314" t="s">
        <v>1879</v>
      </c>
      <c r="E214" s="314" t="s">
        <v>1949</v>
      </c>
      <c r="F214" s="314" t="s">
        <v>1968</v>
      </c>
      <c r="G214" s="314" t="s">
        <v>1926</v>
      </c>
      <c r="H214" s="314" t="s">
        <v>1495</v>
      </c>
      <c r="I214" s="314" t="s">
        <v>1941</v>
      </c>
      <c r="J214" s="314" t="s">
        <v>1458</v>
      </c>
      <c r="K214" s="314" t="s">
        <v>1942</v>
      </c>
      <c r="L214" s="324" t="s">
        <v>1929</v>
      </c>
      <c r="M214" s="324" t="s">
        <v>325</v>
      </c>
      <c r="N214" s="324" t="s">
        <v>1929</v>
      </c>
      <c r="O214" s="324" t="s">
        <v>325</v>
      </c>
      <c r="P214" s="324" t="s">
        <v>325</v>
      </c>
      <c r="Q214" s="325" t="n">
        <v>5809203600</v>
      </c>
      <c r="R214" s="325" t="n">
        <v>575578554</v>
      </c>
      <c r="S214" s="325" t="n">
        <v>1076660207</v>
      </c>
      <c r="T214" s="325" t="n">
        <v>2018739800</v>
      </c>
      <c r="U214" s="325" t="n">
        <v>2423581022</v>
      </c>
      <c r="V214" s="325" t="n">
        <v>2865143193</v>
      </c>
      <c r="W214" s="325" t="n">
        <v>3308239335</v>
      </c>
      <c r="X214" s="325" t="n">
        <v>3738738315</v>
      </c>
      <c r="Y214" s="325" t="n">
        <v>4185608815</v>
      </c>
      <c r="Z214" s="325" t="n">
        <v>4660370448</v>
      </c>
      <c r="AA214" s="325"/>
      <c r="AB214" s="325"/>
      <c r="AC214" s="325"/>
      <c r="AD214" s="325"/>
      <c r="AE214" s="325" t="n">
        <f aca="false">R214</f>
        <v>575578554</v>
      </c>
      <c r="AF214" s="325" t="n">
        <f aca="false">S214-R214</f>
        <v>501081653</v>
      </c>
      <c r="AG214" s="325" t="n">
        <f aca="false">T214-S214</f>
        <v>942079593</v>
      </c>
      <c r="AH214" s="325" t="n">
        <f aca="false">U214-T214</f>
        <v>404841222</v>
      </c>
      <c r="AI214" s="325" t="n">
        <f aca="false">V214-U214</f>
        <v>441562171</v>
      </c>
      <c r="AJ214" s="325" t="n">
        <f aca="false">W214-V214</f>
        <v>443096142</v>
      </c>
      <c r="AK214" s="325" t="n">
        <f aca="false">X214-W214</f>
        <v>430498980</v>
      </c>
      <c r="AL214" s="325" t="n">
        <f aca="false">Y214-X214</f>
        <v>446870500</v>
      </c>
      <c r="AM214" s="325" t="n">
        <f aca="false">Z214-Y214</f>
        <v>474761633</v>
      </c>
      <c r="AN214" s="325" t="s">
        <v>1679</v>
      </c>
      <c r="AO214" s="325" t="n">
        <f aca="false">AB214-AA214</f>
        <v>0</v>
      </c>
      <c r="AP214" s="325" t="n">
        <f aca="false">AC214-AB214</f>
        <v>0</v>
      </c>
      <c r="AR214" s="314" t="str">
        <f aca="false">IFERROR(VLOOKUP(M214,'PL_DEC.2026'!$D$11:$D$99,1,FALSE()),"(미존재)")</f>
        <v>퇴직급여</v>
      </c>
    </row>
    <row r="215" customFormat="false" ht="16.5" hidden="false" customHeight="false" outlineLevel="0" collapsed="false">
      <c r="A215" s="317" t="s">
        <v>791</v>
      </c>
      <c r="B215" s="314" t="n">
        <v>62100925</v>
      </c>
      <c r="C215" s="314" t="s">
        <v>1969</v>
      </c>
      <c r="D215" s="314" t="s">
        <v>1879</v>
      </c>
      <c r="E215" s="314" t="s">
        <v>1924</v>
      </c>
      <c r="F215" s="314" t="s">
        <v>1970</v>
      </c>
      <c r="G215" s="314" t="s">
        <v>1926</v>
      </c>
      <c r="H215" s="314" t="s">
        <v>1495</v>
      </c>
      <c r="I215" s="314" t="s">
        <v>1941</v>
      </c>
      <c r="J215" s="314" t="s">
        <v>1458</v>
      </c>
      <c r="K215" s="314" t="s">
        <v>1942</v>
      </c>
      <c r="L215" s="324" t="s">
        <v>1929</v>
      </c>
      <c r="M215" s="324" t="s">
        <v>330</v>
      </c>
      <c r="N215" s="324" t="s">
        <v>1929</v>
      </c>
      <c r="O215" s="324" t="s">
        <v>330</v>
      </c>
      <c r="P215" s="324" t="s">
        <v>330</v>
      </c>
      <c r="Q215" s="325" t="n">
        <v>2009211921</v>
      </c>
      <c r="R215" s="325" t="n">
        <v>162499047</v>
      </c>
      <c r="S215" s="325" t="n">
        <v>311668845</v>
      </c>
      <c r="T215" s="325" t="n">
        <v>323775165</v>
      </c>
      <c r="U215" s="325" t="n">
        <v>533121607</v>
      </c>
      <c r="V215" s="325" t="n">
        <v>715275928</v>
      </c>
      <c r="W215" s="325" t="n">
        <v>894121078</v>
      </c>
      <c r="X215" s="325" t="n">
        <v>1051800277</v>
      </c>
      <c r="Y215" s="325" t="n">
        <v>1063550671</v>
      </c>
      <c r="Z215" s="325" t="n">
        <v>1364502312</v>
      </c>
      <c r="AA215" s="325"/>
      <c r="AB215" s="325"/>
      <c r="AC215" s="325"/>
      <c r="AD215" s="325"/>
      <c r="AE215" s="325" t="n">
        <f aca="false">R215</f>
        <v>162499047</v>
      </c>
      <c r="AF215" s="325" t="n">
        <f aca="false">S215-R215</f>
        <v>149169798</v>
      </c>
      <c r="AG215" s="325" t="n">
        <f aca="false">T215-S215</f>
        <v>12106320</v>
      </c>
      <c r="AH215" s="325" t="n">
        <f aca="false">U215-T215</f>
        <v>209346442</v>
      </c>
      <c r="AI215" s="325" t="n">
        <f aca="false">V215-U215</f>
        <v>182154321</v>
      </c>
      <c r="AJ215" s="325" t="n">
        <f aca="false">W215-V215</f>
        <v>178845150</v>
      </c>
      <c r="AK215" s="325" t="n">
        <f aca="false">X215-W215</f>
        <v>157679199</v>
      </c>
      <c r="AL215" s="325" t="n">
        <f aca="false">Y215-X215</f>
        <v>11750394</v>
      </c>
      <c r="AM215" s="325" t="n">
        <f aca="false">Z215-Y215</f>
        <v>300951641</v>
      </c>
      <c r="AN215" s="325" t="s">
        <v>1679</v>
      </c>
      <c r="AO215" s="325" t="n">
        <f aca="false">AB215-AA215</f>
        <v>0</v>
      </c>
      <c r="AP215" s="325" t="n">
        <f aca="false">AC215-AB215</f>
        <v>0</v>
      </c>
      <c r="AR215" s="314" t="str">
        <f aca="false">IFERROR(VLOOKUP(M215,'PL_DEC.2026'!$D$11:$D$99,1,FALSE()),"(미존재)")</f>
        <v>복리후생비</v>
      </c>
    </row>
    <row r="216" customFormat="false" ht="16.5" hidden="false" customHeight="false" outlineLevel="0" collapsed="false">
      <c r="A216" s="317" t="s">
        <v>791</v>
      </c>
      <c r="B216" s="314" t="n">
        <v>62200400</v>
      </c>
      <c r="C216" s="314" t="s">
        <v>1971</v>
      </c>
      <c r="D216" s="314" t="s">
        <v>1879</v>
      </c>
      <c r="E216" s="314" t="s">
        <v>1924</v>
      </c>
      <c r="F216" s="314" t="s">
        <v>1970</v>
      </c>
      <c r="G216" s="314" t="s">
        <v>1926</v>
      </c>
      <c r="H216" s="314" t="s">
        <v>1495</v>
      </c>
      <c r="I216" s="314" t="s">
        <v>1941</v>
      </c>
      <c r="J216" s="314" t="s">
        <v>1458</v>
      </c>
      <c r="K216" s="314" t="s">
        <v>1942</v>
      </c>
      <c r="L216" s="324" t="s">
        <v>1929</v>
      </c>
      <c r="M216" s="324" t="s">
        <v>330</v>
      </c>
      <c r="N216" s="324" t="s">
        <v>1929</v>
      </c>
      <c r="O216" s="324" t="s">
        <v>330</v>
      </c>
      <c r="P216" s="324" t="s">
        <v>330</v>
      </c>
      <c r="Q216" s="325" t="n">
        <v>276761763</v>
      </c>
      <c r="R216" s="325" t="n">
        <v>18868827</v>
      </c>
      <c r="S216" s="325" t="n">
        <v>37371654</v>
      </c>
      <c r="T216" s="325" t="n">
        <v>63472761</v>
      </c>
      <c r="U216" s="325" t="n">
        <v>126284208</v>
      </c>
      <c r="V216" s="325" t="n">
        <v>147330135</v>
      </c>
      <c r="W216" s="325" t="n">
        <v>172653392</v>
      </c>
      <c r="X216" s="325" t="n">
        <v>199069625</v>
      </c>
      <c r="Y216" s="325" t="n">
        <v>220522998</v>
      </c>
      <c r="Z216" s="325" t="n">
        <v>239892981</v>
      </c>
      <c r="AA216" s="325"/>
      <c r="AB216" s="325"/>
      <c r="AC216" s="325"/>
      <c r="AD216" s="325"/>
      <c r="AE216" s="325" t="n">
        <f aca="false">R216</f>
        <v>18868827</v>
      </c>
      <c r="AF216" s="325" t="n">
        <f aca="false">S216-R216</f>
        <v>18502827</v>
      </c>
      <c r="AG216" s="325" t="n">
        <f aca="false">T216-S216</f>
        <v>26101107</v>
      </c>
      <c r="AH216" s="325" t="n">
        <f aca="false">U216-T216</f>
        <v>62811447</v>
      </c>
      <c r="AI216" s="325" t="n">
        <f aca="false">V216-U216</f>
        <v>21045927</v>
      </c>
      <c r="AJ216" s="325" t="n">
        <f aca="false">W216-V216</f>
        <v>25323257</v>
      </c>
      <c r="AK216" s="325" t="n">
        <f aca="false">X216-W216</f>
        <v>26416233</v>
      </c>
      <c r="AL216" s="325" t="n">
        <f aca="false">Y216-X216</f>
        <v>21453373</v>
      </c>
      <c r="AM216" s="325" t="n">
        <f aca="false">Z216-Y216</f>
        <v>19369983</v>
      </c>
      <c r="AN216" s="325" t="s">
        <v>1679</v>
      </c>
      <c r="AO216" s="325" t="n">
        <f aca="false">AB216-AA216</f>
        <v>0</v>
      </c>
      <c r="AP216" s="325" t="n">
        <f aca="false">AC216-AB216</f>
        <v>0</v>
      </c>
      <c r="AR216" s="314" t="str">
        <f aca="false">IFERROR(VLOOKUP(M216,'PL_DEC.2026'!$D$11:$D$99,1,FALSE()),"(미존재)")</f>
        <v>복리후생비</v>
      </c>
    </row>
    <row r="217" customFormat="false" ht="16.5" hidden="false" customHeight="false" outlineLevel="0" collapsed="false">
      <c r="A217" s="317" t="s">
        <v>791</v>
      </c>
      <c r="B217" s="314" t="n">
        <v>62200930</v>
      </c>
      <c r="C217" s="314" t="s">
        <v>1972</v>
      </c>
      <c r="D217" s="314" t="s">
        <v>1879</v>
      </c>
      <c r="E217" s="314" t="s">
        <v>1924</v>
      </c>
      <c r="F217" s="314" t="s">
        <v>1970</v>
      </c>
      <c r="G217" s="314" t="s">
        <v>1926</v>
      </c>
      <c r="H217" s="314" t="s">
        <v>1495</v>
      </c>
      <c r="I217" s="314" t="s">
        <v>1941</v>
      </c>
      <c r="J217" s="314" t="s">
        <v>1458</v>
      </c>
      <c r="K217" s="314" t="s">
        <v>1942</v>
      </c>
      <c r="L217" s="324" t="s">
        <v>1929</v>
      </c>
      <c r="M217" s="324" t="s">
        <v>330</v>
      </c>
      <c r="N217" s="324" t="s">
        <v>1929</v>
      </c>
      <c r="O217" s="324" t="s">
        <v>330</v>
      </c>
      <c r="P217" s="324" t="s">
        <v>330</v>
      </c>
      <c r="Q217" s="325" t="n">
        <v>200141195</v>
      </c>
      <c r="R217" s="325" t="n">
        <v>17054704</v>
      </c>
      <c r="S217" s="325" t="n">
        <v>34154704</v>
      </c>
      <c r="T217" s="325" t="n">
        <v>50554704</v>
      </c>
      <c r="U217" s="325" t="n">
        <v>68854704</v>
      </c>
      <c r="V217" s="325" t="n">
        <v>86254704</v>
      </c>
      <c r="W217" s="325" t="n">
        <v>103324595</v>
      </c>
      <c r="X217" s="325" t="n">
        <v>121074595</v>
      </c>
      <c r="Y217" s="325" t="n">
        <v>138854704</v>
      </c>
      <c r="Z217" s="325" t="n">
        <v>156704704</v>
      </c>
      <c r="AA217" s="325"/>
      <c r="AB217" s="325"/>
      <c r="AC217" s="325"/>
      <c r="AD217" s="325"/>
      <c r="AE217" s="325" t="n">
        <f aca="false">R217</f>
        <v>17054704</v>
      </c>
      <c r="AF217" s="325" t="n">
        <f aca="false">S217-R217</f>
        <v>17100000</v>
      </c>
      <c r="AG217" s="325" t="n">
        <f aca="false">T217-S217</f>
        <v>16400000</v>
      </c>
      <c r="AH217" s="325" t="n">
        <f aca="false">U217-T217</f>
        <v>18300000</v>
      </c>
      <c r="AI217" s="325" t="n">
        <f aca="false">V217-U217</f>
        <v>17400000</v>
      </c>
      <c r="AJ217" s="325" t="n">
        <f aca="false">W217-V217</f>
        <v>17069891</v>
      </c>
      <c r="AK217" s="325" t="n">
        <f aca="false">X217-W217</f>
        <v>17750000</v>
      </c>
      <c r="AL217" s="325" t="n">
        <f aca="false">Y217-X217</f>
        <v>17780109</v>
      </c>
      <c r="AM217" s="325" t="n">
        <f aca="false">Z217-Y217</f>
        <v>17850000</v>
      </c>
      <c r="AN217" s="325" t="s">
        <v>1679</v>
      </c>
      <c r="AO217" s="325" t="n">
        <f aca="false">AB217-AA217</f>
        <v>0</v>
      </c>
      <c r="AP217" s="325" t="n">
        <f aca="false">AC217-AB217</f>
        <v>0</v>
      </c>
      <c r="AR217" s="314" t="str">
        <f aca="false">IFERROR(VLOOKUP(M217,'PL_DEC.2026'!$D$11:$D$99,1,FALSE()),"(미존재)")</f>
        <v>복리후생비</v>
      </c>
    </row>
    <row r="218" customFormat="false" ht="16.5" hidden="false" customHeight="false" outlineLevel="0" collapsed="false">
      <c r="A218" s="317" t="s">
        <v>791</v>
      </c>
      <c r="B218" s="314" t="n">
        <v>62200940</v>
      </c>
      <c r="C218" s="314" t="s">
        <v>1973</v>
      </c>
      <c r="D218" s="314" t="s">
        <v>1879</v>
      </c>
      <c r="E218" s="314" t="s">
        <v>1924</v>
      </c>
      <c r="F218" s="314" t="s">
        <v>1970</v>
      </c>
      <c r="G218" s="314" t="s">
        <v>1926</v>
      </c>
      <c r="H218" s="314" t="s">
        <v>1495</v>
      </c>
      <c r="I218" s="314" t="s">
        <v>1941</v>
      </c>
      <c r="J218" s="314" t="s">
        <v>1458</v>
      </c>
      <c r="K218" s="314" t="s">
        <v>1942</v>
      </c>
      <c r="L218" s="324" t="s">
        <v>1929</v>
      </c>
      <c r="M218" s="324" t="s">
        <v>330</v>
      </c>
      <c r="N218" s="324" t="s">
        <v>1929</v>
      </c>
      <c r="O218" s="324" t="s">
        <v>330</v>
      </c>
      <c r="P218" s="324" t="s">
        <v>330</v>
      </c>
      <c r="Q218" s="325" t="n">
        <v>14614089</v>
      </c>
      <c r="R218" s="325" t="n">
        <v>-14614089</v>
      </c>
      <c r="S218" s="325" t="n">
        <v>-14614089</v>
      </c>
      <c r="T218" s="325" t="n">
        <v>-14614089</v>
      </c>
      <c r="U218" s="325" t="n">
        <v>-14614089</v>
      </c>
      <c r="V218" s="325" t="n">
        <v>-14614089</v>
      </c>
      <c r="W218" s="325" t="n">
        <v>-14614089</v>
      </c>
      <c r="X218" s="325" t="n">
        <v>-14614089</v>
      </c>
      <c r="Y218" s="325" t="n">
        <v>-14614089</v>
      </c>
      <c r="Z218" s="325" t="n">
        <v>-14614089</v>
      </c>
      <c r="AA218" s="325"/>
      <c r="AB218" s="325"/>
      <c r="AC218" s="325"/>
      <c r="AD218" s="325"/>
      <c r="AE218" s="325" t="n">
        <f aca="false">R218</f>
        <v>-14614089</v>
      </c>
      <c r="AF218" s="325" t="n">
        <f aca="false">S218-R218</f>
        <v>0</v>
      </c>
      <c r="AG218" s="325" t="n">
        <f aca="false">T218-S218</f>
        <v>0</v>
      </c>
      <c r="AH218" s="325" t="n">
        <f aca="false">U218-T218</f>
        <v>0</v>
      </c>
      <c r="AI218" s="325" t="n">
        <f aca="false">V218-U218</f>
        <v>0</v>
      </c>
      <c r="AJ218" s="325" t="n">
        <f aca="false">W218-V218</f>
        <v>0</v>
      </c>
      <c r="AK218" s="325" t="n">
        <f aca="false">X218-W218</f>
        <v>0</v>
      </c>
      <c r="AL218" s="325" t="n">
        <f aca="false">Y218-X218</f>
        <v>0</v>
      </c>
      <c r="AM218" s="325" t="n">
        <f aca="false">Z218-Y218</f>
        <v>0</v>
      </c>
      <c r="AN218" s="325" t="s">
        <v>1679</v>
      </c>
      <c r="AO218" s="325" t="n">
        <f aca="false">AB218-AA218</f>
        <v>0</v>
      </c>
      <c r="AP218" s="325" t="n">
        <f aca="false">AC218-AB218</f>
        <v>0</v>
      </c>
      <c r="AR218" s="314" t="str">
        <f aca="false">IFERROR(VLOOKUP(M218,'PL_DEC.2026'!$D$11:$D$99,1,FALSE()),"(미존재)")</f>
        <v>복리후생비</v>
      </c>
    </row>
    <row r="219" customFormat="false" ht="16.5" hidden="false" customHeight="false" outlineLevel="0" collapsed="false">
      <c r="A219" s="317" t="s">
        <v>791</v>
      </c>
      <c r="B219" s="314" t="n">
        <v>62200945</v>
      </c>
      <c r="C219" s="314" t="s">
        <v>1974</v>
      </c>
      <c r="D219" s="314" t="s">
        <v>1879</v>
      </c>
      <c r="E219" s="314" t="s">
        <v>1924</v>
      </c>
      <c r="F219" s="314" t="s">
        <v>1957</v>
      </c>
      <c r="G219" s="314" t="s">
        <v>1926</v>
      </c>
      <c r="H219" s="314" t="s">
        <v>1495</v>
      </c>
      <c r="I219" s="314" t="s">
        <v>1941</v>
      </c>
      <c r="J219" s="314" t="s">
        <v>1458</v>
      </c>
      <c r="K219" s="314" t="s">
        <v>1942</v>
      </c>
      <c r="L219" s="324" t="s">
        <v>1929</v>
      </c>
      <c r="M219" s="324" t="s">
        <v>332</v>
      </c>
      <c r="N219" s="324" t="s">
        <v>1929</v>
      </c>
      <c r="O219" s="324" t="s">
        <v>332</v>
      </c>
      <c r="P219" s="324" t="s">
        <v>332</v>
      </c>
      <c r="Q219" s="325" t="n">
        <v>59161675</v>
      </c>
      <c r="R219" s="325" t="n">
        <v>3328528</v>
      </c>
      <c r="S219" s="325" t="n">
        <v>10782122</v>
      </c>
      <c r="T219" s="325" t="n">
        <v>22263517</v>
      </c>
      <c r="U219" s="325" t="n">
        <v>30627809</v>
      </c>
      <c r="V219" s="325" t="n">
        <v>35060215</v>
      </c>
      <c r="W219" s="325" t="n">
        <v>40948366</v>
      </c>
      <c r="X219" s="325" t="n">
        <v>49371142</v>
      </c>
      <c r="Y219" s="325" t="n">
        <v>55525846</v>
      </c>
      <c r="Z219" s="325" t="n">
        <v>63924575</v>
      </c>
      <c r="AA219" s="325"/>
      <c r="AB219" s="325"/>
      <c r="AC219" s="325"/>
      <c r="AD219" s="325"/>
      <c r="AE219" s="325" t="n">
        <f aca="false">R219</f>
        <v>3328528</v>
      </c>
      <c r="AF219" s="325" t="n">
        <f aca="false">S219-R219</f>
        <v>7453594</v>
      </c>
      <c r="AG219" s="325" t="n">
        <f aca="false">T219-S219</f>
        <v>11481395</v>
      </c>
      <c r="AH219" s="325" t="n">
        <f aca="false">U219-T219</f>
        <v>8364292</v>
      </c>
      <c r="AI219" s="325" t="n">
        <f aca="false">V219-U219</f>
        <v>4432406</v>
      </c>
      <c r="AJ219" s="325" t="n">
        <f aca="false">W219-V219</f>
        <v>5888151</v>
      </c>
      <c r="AK219" s="325" t="n">
        <f aca="false">X219-W219</f>
        <v>8422776</v>
      </c>
      <c r="AL219" s="325" t="n">
        <f aca="false">Y219-X219</f>
        <v>6154704</v>
      </c>
      <c r="AM219" s="325" t="n">
        <f aca="false">Z219-Y219</f>
        <v>8398729</v>
      </c>
      <c r="AN219" s="325" t="s">
        <v>1679</v>
      </c>
      <c r="AO219" s="325" t="n">
        <f aca="false">AB219-AA219</f>
        <v>0</v>
      </c>
      <c r="AP219" s="325" t="n">
        <f aca="false">AC219-AB219</f>
        <v>0</v>
      </c>
      <c r="AR219" s="314" t="str">
        <f aca="false">IFERROR(VLOOKUP(M219,'PL_DEC.2026'!$D$11:$D$99,1,FALSE()),"(미존재)")</f>
        <v>여비교통비</v>
      </c>
    </row>
    <row r="220" customFormat="false" ht="16.5" hidden="false" customHeight="false" outlineLevel="0" collapsed="false">
      <c r="A220" s="317" t="s">
        <v>791</v>
      </c>
      <c r="B220" s="314" t="n">
        <v>62400006</v>
      </c>
      <c r="C220" s="314" t="s">
        <v>1975</v>
      </c>
      <c r="D220" s="314" t="s">
        <v>1879</v>
      </c>
      <c r="E220" s="314" t="s">
        <v>1949</v>
      </c>
      <c r="F220" s="314" t="s">
        <v>1950</v>
      </c>
      <c r="G220" s="314" t="s">
        <v>1926</v>
      </c>
      <c r="H220" s="314" t="s">
        <v>1495</v>
      </c>
      <c r="I220" s="314" t="s">
        <v>1941</v>
      </c>
      <c r="J220" s="314" t="s">
        <v>1458</v>
      </c>
      <c r="K220" s="314" t="s">
        <v>1942</v>
      </c>
      <c r="L220" s="324" t="s">
        <v>1929</v>
      </c>
      <c r="M220" s="324" t="s">
        <v>323</v>
      </c>
      <c r="N220" s="324" t="s">
        <v>1929</v>
      </c>
      <c r="O220" s="324" t="s">
        <v>319</v>
      </c>
      <c r="P220" s="324" t="s">
        <v>319</v>
      </c>
      <c r="Q220" s="325" t="n">
        <v>-164581135</v>
      </c>
      <c r="R220" s="325" t="n">
        <v>36416667</v>
      </c>
      <c r="S220" s="325" t="n">
        <v>141416667</v>
      </c>
      <c r="T220" s="325" t="n">
        <v>-278969947</v>
      </c>
      <c r="U220" s="325" t="n">
        <v>-190880947</v>
      </c>
      <c r="V220" s="325" t="n">
        <v>-120934197</v>
      </c>
      <c r="W220" s="325" t="n">
        <v>-209804523</v>
      </c>
      <c r="X220" s="325" t="n">
        <v>-382522396</v>
      </c>
      <c r="Y220" s="325" t="n">
        <v>-277662730</v>
      </c>
      <c r="Z220" s="325" t="n">
        <v>-348309458</v>
      </c>
      <c r="AA220" s="325"/>
      <c r="AB220" s="325"/>
      <c r="AC220" s="325"/>
      <c r="AD220" s="325"/>
      <c r="AE220" s="325" t="n">
        <f aca="false">R220</f>
        <v>36416667</v>
      </c>
      <c r="AF220" s="325" t="n">
        <f aca="false">S220-R220</f>
        <v>105000000</v>
      </c>
      <c r="AG220" s="325" t="n">
        <f aca="false">T220-S220</f>
        <v>-420386614</v>
      </c>
      <c r="AH220" s="325" t="n">
        <f aca="false">U220-T220</f>
        <v>88089000</v>
      </c>
      <c r="AI220" s="325" t="n">
        <f aca="false">V220-U220</f>
        <v>69946750</v>
      </c>
      <c r="AJ220" s="325" t="n">
        <f aca="false">W220-V220</f>
        <v>-88870326</v>
      </c>
      <c r="AK220" s="325" t="n">
        <f aca="false">X220-W220</f>
        <v>-172717873</v>
      </c>
      <c r="AL220" s="325" t="n">
        <f aca="false">Y220-X220</f>
        <v>104859666</v>
      </c>
      <c r="AM220" s="325" t="n">
        <f aca="false">Z220-Y220</f>
        <v>-70646728</v>
      </c>
      <c r="AN220" s="325" t="s">
        <v>1679</v>
      </c>
      <c r="AO220" s="325" t="n">
        <f aca="false">AB220-AA220</f>
        <v>0</v>
      </c>
      <c r="AP220" s="325" t="n">
        <f aca="false">AC220-AB220</f>
        <v>0</v>
      </c>
      <c r="AR220" s="314" t="str">
        <f aca="false">IFERROR(VLOOKUP(M220,'PL_DEC.2026'!$D$11:$D$99,1,FALSE()),"(미존재)")</f>
        <v>성과급여</v>
      </c>
    </row>
    <row r="221" customFormat="false" ht="16.5" hidden="false" customHeight="false" outlineLevel="0" collapsed="false">
      <c r="A221" s="317" t="s">
        <v>791</v>
      </c>
      <c r="B221" s="314" t="n">
        <v>62400910</v>
      </c>
      <c r="C221" s="314" t="s">
        <v>1976</v>
      </c>
      <c r="D221" s="314" t="s">
        <v>1879</v>
      </c>
      <c r="E221" s="314" t="s">
        <v>1949</v>
      </c>
      <c r="F221" s="314" t="s">
        <v>1950</v>
      </c>
      <c r="G221" s="314" t="s">
        <v>1926</v>
      </c>
      <c r="H221" s="314" t="s">
        <v>1495</v>
      </c>
      <c r="I221" s="314" t="s">
        <v>1941</v>
      </c>
      <c r="J221" s="314" t="s">
        <v>1458</v>
      </c>
      <c r="K221" s="314" t="s">
        <v>1942</v>
      </c>
      <c r="L221" s="324" t="s">
        <v>1929</v>
      </c>
      <c r="M221" s="324" t="s">
        <v>323</v>
      </c>
      <c r="N221" s="324" t="s">
        <v>1929</v>
      </c>
      <c r="O221" s="324" t="s">
        <v>319</v>
      </c>
      <c r="P221" s="324" t="s">
        <v>319</v>
      </c>
      <c r="Q221" s="325" t="n">
        <v>1090091454</v>
      </c>
      <c r="R221" s="325" t="n">
        <v>51833333</v>
      </c>
      <c r="S221" s="325" t="n">
        <v>53133333</v>
      </c>
      <c r="T221" s="325" t="n">
        <v>196776665</v>
      </c>
      <c r="U221" s="325" t="n">
        <v>218062665</v>
      </c>
      <c r="V221" s="325" t="n">
        <v>261062665</v>
      </c>
      <c r="W221" s="325" t="n">
        <v>455755922</v>
      </c>
      <c r="X221" s="325" t="n">
        <v>511122589</v>
      </c>
      <c r="Y221" s="325" t="n">
        <v>511122589</v>
      </c>
      <c r="Z221" s="325" t="n">
        <v>690780403</v>
      </c>
      <c r="AA221" s="325"/>
      <c r="AB221" s="325"/>
      <c r="AC221" s="325"/>
      <c r="AD221" s="325"/>
      <c r="AE221" s="325" t="n">
        <f aca="false">R221</f>
        <v>51833333</v>
      </c>
      <c r="AF221" s="325" t="n">
        <f aca="false">S221-R221</f>
        <v>1300000</v>
      </c>
      <c r="AG221" s="325" t="n">
        <f aca="false">T221-S221</f>
        <v>143643332</v>
      </c>
      <c r="AH221" s="325" t="n">
        <f aca="false">U221-T221</f>
        <v>21286000</v>
      </c>
      <c r="AI221" s="325" t="n">
        <f aca="false">V221-U221</f>
        <v>43000000</v>
      </c>
      <c r="AJ221" s="325" t="n">
        <f aca="false">W221-V221</f>
        <v>194693257</v>
      </c>
      <c r="AK221" s="325" t="n">
        <f aca="false">X221-W221</f>
        <v>55366667</v>
      </c>
      <c r="AL221" s="325" t="n">
        <f aca="false">Y221-X221</f>
        <v>0</v>
      </c>
      <c r="AM221" s="325" t="n">
        <f aca="false">Z221-Y221</f>
        <v>179657814</v>
      </c>
      <c r="AN221" s="325" t="s">
        <v>1679</v>
      </c>
      <c r="AO221" s="325" t="n">
        <f aca="false">AB221-AA221</f>
        <v>0</v>
      </c>
      <c r="AP221" s="325" t="n">
        <f aca="false">AC221-AB221</f>
        <v>0</v>
      </c>
      <c r="AR221" s="314" t="str">
        <f aca="false">IFERROR(VLOOKUP(M221,'PL_DEC.2026'!$D$11:$D$99,1,FALSE()),"(미존재)")</f>
        <v>성과급여</v>
      </c>
    </row>
    <row r="222" customFormat="false" ht="16.5" hidden="false" customHeight="false" outlineLevel="0" collapsed="false">
      <c r="A222" s="317" t="s">
        <v>791</v>
      </c>
      <c r="B222" s="314" t="n">
        <v>62400915</v>
      </c>
      <c r="C222" s="314" t="s">
        <v>1977</v>
      </c>
      <c r="D222" s="314" t="s">
        <v>1879</v>
      </c>
      <c r="E222" s="314" t="s">
        <v>1949</v>
      </c>
      <c r="F222" s="314" t="s">
        <v>1950</v>
      </c>
      <c r="G222" s="314" t="s">
        <v>1926</v>
      </c>
      <c r="H222" s="314" t="s">
        <v>1495</v>
      </c>
      <c r="I222" s="314" t="s">
        <v>1941</v>
      </c>
      <c r="J222" s="314" t="s">
        <v>1458</v>
      </c>
      <c r="K222" s="314" t="s">
        <v>1942</v>
      </c>
      <c r="L222" s="324" t="s">
        <v>1929</v>
      </c>
      <c r="M222" s="324" t="s">
        <v>321</v>
      </c>
      <c r="N222" s="324" t="s">
        <v>1929</v>
      </c>
      <c r="O222" s="324" t="s">
        <v>319</v>
      </c>
      <c r="P222" s="324" t="s">
        <v>319</v>
      </c>
      <c r="Q222" s="325" t="n">
        <v>99624976</v>
      </c>
      <c r="R222" s="325" t="n">
        <v>-67021866</v>
      </c>
      <c r="S222" s="325" t="n">
        <v>-55300778</v>
      </c>
      <c r="T222" s="325" t="n">
        <v>-51723874</v>
      </c>
      <c r="U222" s="325" t="n">
        <v>-40090186</v>
      </c>
      <c r="V222" s="325" t="n">
        <v>-40090186</v>
      </c>
      <c r="W222" s="325" t="n">
        <v>-29388242</v>
      </c>
      <c r="X222" s="325" t="n">
        <v>-23488866</v>
      </c>
      <c r="Y222" s="325" t="n">
        <v>-23356802</v>
      </c>
      <c r="Z222" s="325" t="n">
        <v>-12320098</v>
      </c>
      <c r="AA222" s="325"/>
      <c r="AB222" s="325"/>
      <c r="AC222" s="325"/>
      <c r="AD222" s="325"/>
      <c r="AE222" s="325" t="n">
        <f aca="false">R222</f>
        <v>-67021866</v>
      </c>
      <c r="AF222" s="325" t="n">
        <f aca="false">S222-R222</f>
        <v>11721088</v>
      </c>
      <c r="AG222" s="325" t="n">
        <f aca="false">T222-S222</f>
        <v>3576904</v>
      </c>
      <c r="AH222" s="325" t="n">
        <f aca="false">U222-T222</f>
        <v>11633688</v>
      </c>
      <c r="AI222" s="325" t="n">
        <f aca="false">V222-U222</f>
        <v>0</v>
      </c>
      <c r="AJ222" s="325" t="n">
        <f aca="false">W222-V222</f>
        <v>10701944</v>
      </c>
      <c r="AK222" s="325" t="n">
        <f aca="false">X222-W222</f>
        <v>5899376</v>
      </c>
      <c r="AL222" s="325" t="n">
        <f aca="false">Y222-X222</f>
        <v>132064</v>
      </c>
      <c r="AM222" s="325" t="n">
        <f aca="false">Z222-Y222</f>
        <v>11036704</v>
      </c>
      <c r="AN222" s="325" t="s">
        <v>1679</v>
      </c>
      <c r="AO222" s="325" t="n">
        <f aca="false">AB222-AA222</f>
        <v>0</v>
      </c>
      <c r="AP222" s="325" t="n">
        <f aca="false">AC222-AB222</f>
        <v>0</v>
      </c>
      <c r="AR222" s="314" t="str">
        <f aca="false">IFERROR(VLOOKUP(M222,'PL_DEC.2026'!$D$11:$D$99,1,FALSE()),"(미존재)")</f>
        <v>상여와수당</v>
      </c>
    </row>
    <row r="223" customFormat="false" ht="16.5" hidden="false" customHeight="false" outlineLevel="0" collapsed="false">
      <c r="A223" s="317" t="s">
        <v>791</v>
      </c>
      <c r="B223" s="314" t="n">
        <v>62500800</v>
      </c>
      <c r="C223" s="314" t="s">
        <v>1978</v>
      </c>
      <c r="D223" s="314" t="s">
        <v>1879</v>
      </c>
      <c r="E223" s="314" t="s">
        <v>1924</v>
      </c>
      <c r="F223" s="314" t="s">
        <v>1940</v>
      </c>
      <c r="G223" s="314" t="s">
        <v>1926</v>
      </c>
      <c r="H223" s="314" t="s">
        <v>1495</v>
      </c>
      <c r="I223" s="314" t="s">
        <v>1941</v>
      </c>
      <c r="J223" s="314" t="s">
        <v>1458</v>
      </c>
      <c r="K223" s="314" t="s">
        <v>1942</v>
      </c>
      <c r="L223" s="324" t="s">
        <v>1929</v>
      </c>
      <c r="M223" s="324" t="s">
        <v>364</v>
      </c>
      <c r="N223" s="324" t="s">
        <v>1929</v>
      </c>
      <c r="O223" s="324" t="s">
        <v>364</v>
      </c>
      <c r="P223" s="324" t="s">
        <v>364</v>
      </c>
      <c r="Q223" s="325" t="n">
        <v>1816200</v>
      </c>
      <c r="R223" s="325" t="n">
        <v>0</v>
      </c>
      <c r="S223" s="325" t="n">
        <v>10000</v>
      </c>
      <c r="T223" s="325" t="n">
        <v>10000</v>
      </c>
      <c r="U223" s="325" t="n">
        <v>10000</v>
      </c>
      <c r="V223" s="325" t="n">
        <v>10000</v>
      </c>
      <c r="W223" s="325" t="n">
        <v>10000</v>
      </c>
      <c r="X223" s="325" t="n">
        <v>10000</v>
      </c>
      <c r="Y223" s="325" t="n">
        <v>184300</v>
      </c>
      <c r="Z223" s="325" t="n">
        <v>249000</v>
      </c>
      <c r="AA223" s="325"/>
      <c r="AB223" s="325"/>
      <c r="AC223" s="325"/>
      <c r="AD223" s="325"/>
      <c r="AE223" s="325" t="n">
        <f aca="false">R223</f>
        <v>0</v>
      </c>
      <c r="AF223" s="325" t="n">
        <f aca="false">S223-R223</f>
        <v>10000</v>
      </c>
      <c r="AG223" s="325" t="n">
        <f aca="false">T223-S223</f>
        <v>0</v>
      </c>
      <c r="AH223" s="325" t="n">
        <f aca="false">U223-T223</f>
        <v>0</v>
      </c>
      <c r="AI223" s="325" t="n">
        <f aca="false">V223-U223</f>
        <v>0</v>
      </c>
      <c r="AJ223" s="325" t="n">
        <f aca="false">W223-V223</f>
        <v>0</v>
      </c>
      <c r="AK223" s="325" t="n">
        <f aca="false">X223-W223</f>
        <v>0</v>
      </c>
      <c r="AL223" s="325" t="n">
        <f aca="false">Y223-X223</f>
        <v>174300</v>
      </c>
      <c r="AM223" s="325" t="n">
        <f aca="false">Z223-Y223</f>
        <v>64700</v>
      </c>
      <c r="AN223" s="325" t="s">
        <v>1679</v>
      </c>
      <c r="AO223" s="325" t="n">
        <f aca="false">AB223-AA223</f>
        <v>0</v>
      </c>
      <c r="AP223" s="325" t="n">
        <f aca="false">AC223-AB223</f>
        <v>0</v>
      </c>
      <c r="AR223" s="314" t="str">
        <f aca="false">IFERROR(VLOOKUP(M223,'PL_DEC.2026'!$D$11:$D$99,1,FALSE()),"(미존재)")</f>
        <v>교육훈련비</v>
      </c>
    </row>
    <row r="224" customFormat="false" ht="16.5" hidden="false" customHeight="false" outlineLevel="0" collapsed="false">
      <c r="A224" s="317" t="s">
        <v>791</v>
      </c>
      <c r="B224" s="314" t="n">
        <v>63300005</v>
      </c>
      <c r="C224" s="314" t="s">
        <v>1979</v>
      </c>
      <c r="D224" s="314" t="s">
        <v>1879</v>
      </c>
      <c r="E224" s="314" t="s">
        <v>1924</v>
      </c>
      <c r="F224" s="314" t="s">
        <v>1931</v>
      </c>
      <c r="G224" s="314" t="s">
        <v>1926</v>
      </c>
      <c r="H224" s="314" t="s">
        <v>1495</v>
      </c>
      <c r="I224" s="314" t="s">
        <v>1941</v>
      </c>
      <c r="J224" s="314" t="s">
        <v>1458</v>
      </c>
      <c r="K224" s="314" t="s">
        <v>1942</v>
      </c>
      <c r="L224" s="324" t="s">
        <v>1929</v>
      </c>
      <c r="M224" s="324" t="s">
        <v>355</v>
      </c>
      <c r="N224" s="324" t="s">
        <v>1929</v>
      </c>
      <c r="O224" s="324" t="s">
        <v>1932</v>
      </c>
      <c r="P224" s="324" t="s">
        <v>355</v>
      </c>
      <c r="Q224" s="325" t="n">
        <v>392927090</v>
      </c>
      <c r="R224" s="325" t="n">
        <v>0</v>
      </c>
      <c r="S224" s="325" t="n">
        <v>0</v>
      </c>
      <c r="T224" s="325" t="n">
        <v>8212905</v>
      </c>
      <c r="U224" s="325" t="n">
        <v>8212905</v>
      </c>
      <c r="V224" s="325" t="n">
        <v>8212905</v>
      </c>
      <c r="W224" s="325" t="n">
        <v>251716330</v>
      </c>
      <c r="X224" s="325" t="n">
        <v>251716330</v>
      </c>
      <c r="Y224" s="325" t="n">
        <v>410797656</v>
      </c>
      <c r="Z224" s="325" t="n">
        <v>402998681</v>
      </c>
      <c r="AA224" s="325"/>
      <c r="AB224" s="325"/>
      <c r="AC224" s="325"/>
      <c r="AD224" s="325"/>
      <c r="AE224" s="325" t="n">
        <f aca="false">R224</f>
        <v>0</v>
      </c>
      <c r="AF224" s="325" t="n">
        <f aca="false">S224-R224</f>
        <v>0</v>
      </c>
      <c r="AG224" s="325" t="n">
        <f aca="false">T224-S224</f>
        <v>8212905</v>
      </c>
      <c r="AH224" s="325" t="n">
        <f aca="false">U224-T224</f>
        <v>0</v>
      </c>
      <c r="AI224" s="325" t="n">
        <f aca="false">V224-U224</f>
        <v>0</v>
      </c>
      <c r="AJ224" s="325" t="n">
        <f aca="false">W224-V224</f>
        <v>243503425</v>
      </c>
      <c r="AK224" s="325" t="n">
        <f aca="false">X224-W224</f>
        <v>0</v>
      </c>
      <c r="AL224" s="325" t="n">
        <f aca="false">Y224-X224</f>
        <v>159081326</v>
      </c>
      <c r="AM224" s="325" t="n">
        <f aca="false">Z224-Y224</f>
        <v>-7798975</v>
      </c>
      <c r="AN224" s="325" t="s">
        <v>1679</v>
      </c>
      <c r="AO224" s="325" t="n">
        <f aca="false">AB224-AA224</f>
        <v>0</v>
      </c>
      <c r="AP224" s="325" t="n">
        <f aca="false">AC224-AB224</f>
        <v>0</v>
      </c>
      <c r="AR224" s="314" t="str">
        <f aca="false">IFERROR(VLOOKUP(M224,'PL_DEC.2026'!$D$11:$D$99,1,FALSE()),"(미존재)")</f>
        <v>임상증례조사비</v>
      </c>
    </row>
    <row r="225" customFormat="false" ht="16.5" hidden="false" customHeight="false" outlineLevel="0" collapsed="false">
      <c r="A225" s="317" t="s">
        <v>791</v>
      </c>
      <c r="B225" s="314" t="n">
        <v>63420201</v>
      </c>
      <c r="C225" s="314" t="s">
        <v>1980</v>
      </c>
      <c r="D225" s="314" t="s">
        <v>1879</v>
      </c>
      <c r="E225" s="314" t="s">
        <v>1924</v>
      </c>
      <c r="F225" s="314" t="s">
        <v>1931</v>
      </c>
      <c r="G225" s="314" t="s">
        <v>1926</v>
      </c>
      <c r="H225" s="314" t="s">
        <v>1495</v>
      </c>
      <c r="I225" s="314" t="s">
        <v>1941</v>
      </c>
      <c r="J225" s="314" t="s">
        <v>1458</v>
      </c>
      <c r="K225" s="314" t="s">
        <v>1942</v>
      </c>
      <c r="L225" s="324" t="s">
        <v>1929</v>
      </c>
      <c r="M225" s="324" t="s">
        <v>355</v>
      </c>
      <c r="N225" s="324" t="s">
        <v>1929</v>
      </c>
      <c r="O225" s="324" t="s">
        <v>1932</v>
      </c>
      <c r="P225" s="324" t="s">
        <v>355</v>
      </c>
      <c r="Q225" s="325" t="n">
        <v>57250000</v>
      </c>
      <c r="R225" s="325" t="n">
        <v>7350000</v>
      </c>
      <c r="S225" s="325" t="n">
        <v>8950000</v>
      </c>
      <c r="T225" s="325" t="n">
        <v>13700000</v>
      </c>
      <c r="U225" s="325" t="n">
        <v>17350000</v>
      </c>
      <c r="V225" s="325" t="n">
        <v>19650000</v>
      </c>
      <c r="W225" s="325" t="n">
        <v>21150000</v>
      </c>
      <c r="X225" s="325" t="n">
        <v>24650000</v>
      </c>
      <c r="Y225" s="325" t="n">
        <v>32550000</v>
      </c>
      <c r="Z225" s="325" t="n">
        <v>39750000</v>
      </c>
      <c r="AA225" s="325"/>
      <c r="AB225" s="325"/>
      <c r="AC225" s="325"/>
      <c r="AD225" s="325"/>
      <c r="AE225" s="325" t="n">
        <f aca="false">R225</f>
        <v>7350000</v>
      </c>
      <c r="AF225" s="325" t="n">
        <f aca="false">S225-R225</f>
        <v>1600000</v>
      </c>
      <c r="AG225" s="325" t="n">
        <f aca="false">T225-S225</f>
        <v>4750000</v>
      </c>
      <c r="AH225" s="325" t="n">
        <f aca="false">U225-T225</f>
        <v>3650000</v>
      </c>
      <c r="AI225" s="325" t="n">
        <f aca="false">V225-U225</f>
        <v>2300000</v>
      </c>
      <c r="AJ225" s="325" t="n">
        <f aca="false">W225-V225</f>
        <v>1500000</v>
      </c>
      <c r="AK225" s="325" t="n">
        <f aca="false">X225-W225</f>
        <v>3500000</v>
      </c>
      <c r="AL225" s="325" t="n">
        <f aca="false">Y225-X225</f>
        <v>7900000</v>
      </c>
      <c r="AM225" s="325" t="n">
        <f aca="false">Z225-Y225</f>
        <v>7200000</v>
      </c>
      <c r="AN225" s="325" t="s">
        <v>1679</v>
      </c>
      <c r="AO225" s="325" t="n">
        <f aca="false">AB225-AA225</f>
        <v>0</v>
      </c>
      <c r="AP225" s="325" t="n">
        <f aca="false">AC225-AB225</f>
        <v>0</v>
      </c>
      <c r="AR225" s="314" t="str">
        <f aca="false">IFERROR(VLOOKUP(M225,'PL_DEC.2026'!$D$11:$D$99,1,FALSE()),"(미존재)")</f>
        <v>임상증례조사비</v>
      </c>
    </row>
    <row r="226" customFormat="false" ht="16.5" hidden="false" customHeight="false" outlineLevel="0" collapsed="false">
      <c r="A226" s="317" t="s">
        <v>791</v>
      </c>
      <c r="B226" s="314" t="n">
        <v>63450101</v>
      </c>
      <c r="C226" s="314" t="s">
        <v>1981</v>
      </c>
      <c r="D226" s="314" t="s">
        <v>1879</v>
      </c>
      <c r="E226" s="314" t="s">
        <v>1924</v>
      </c>
      <c r="F226" s="314" t="s">
        <v>1931</v>
      </c>
      <c r="G226" s="314" t="s">
        <v>1926</v>
      </c>
      <c r="H226" s="314" t="s">
        <v>1495</v>
      </c>
      <c r="I226" s="314" t="s">
        <v>1941</v>
      </c>
      <c r="J226" s="314" t="s">
        <v>1458</v>
      </c>
      <c r="K226" s="314" t="s">
        <v>1942</v>
      </c>
      <c r="L226" s="324" t="s">
        <v>1929</v>
      </c>
      <c r="M226" s="324" t="s">
        <v>355</v>
      </c>
      <c r="N226" s="324" t="s">
        <v>1929</v>
      </c>
      <c r="O226" s="324" t="s">
        <v>1932</v>
      </c>
      <c r="P226" s="324" t="s">
        <v>355</v>
      </c>
      <c r="Q226" s="325" t="n">
        <v>718716355</v>
      </c>
      <c r="R226" s="325" t="n">
        <v>-2001108397</v>
      </c>
      <c r="S226" s="325" t="n">
        <v>-1989994653</v>
      </c>
      <c r="T226" s="325" t="n">
        <v>-617050601</v>
      </c>
      <c r="U226" s="325" t="n">
        <v>-638776436</v>
      </c>
      <c r="V226" s="325" t="n">
        <v>-114625721</v>
      </c>
      <c r="W226" s="325" t="n">
        <v>-255382257</v>
      </c>
      <c r="X226" s="325" t="n">
        <v>-279193720</v>
      </c>
      <c r="Y226" s="325" t="n">
        <v>6428045654</v>
      </c>
      <c r="Z226" s="325" t="n">
        <v>6888477316</v>
      </c>
      <c r="AA226" s="325"/>
      <c r="AB226" s="325"/>
      <c r="AC226" s="325"/>
      <c r="AD226" s="325"/>
      <c r="AE226" s="325" t="n">
        <f aca="false">R226</f>
        <v>-2001108397</v>
      </c>
      <c r="AF226" s="325" t="n">
        <f aca="false">S226-R226</f>
        <v>11113744</v>
      </c>
      <c r="AG226" s="325" t="n">
        <f aca="false">T226-S226</f>
        <v>1372944052</v>
      </c>
      <c r="AH226" s="325" t="n">
        <f aca="false">U226-T226</f>
        <v>-21725835</v>
      </c>
      <c r="AI226" s="325" t="n">
        <f aca="false">V226-U226</f>
        <v>524150715</v>
      </c>
      <c r="AJ226" s="325" t="n">
        <f aca="false">W226-V226</f>
        <v>-140756536</v>
      </c>
      <c r="AK226" s="325" t="n">
        <f aca="false">X226-W226</f>
        <v>-23811463</v>
      </c>
      <c r="AL226" s="325" t="n">
        <f aca="false">Y226-X226</f>
        <v>6707239374</v>
      </c>
      <c r="AM226" s="325" t="n">
        <f aca="false">Z226-Y226</f>
        <v>460431662</v>
      </c>
      <c r="AN226" s="325" t="s">
        <v>1679</v>
      </c>
      <c r="AO226" s="325" t="n">
        <f aca="false">AB226-AA226</f>
        <v>0</v>
      </c>
      <c r="AP226" s="325" t="n">
        <f aca="false">AC226-AB226</f>
        <v>0</v>
      </c>
      <c r="AR226" s="314" t="str">
        <f aca="false">IFERROR(VLOOKUP(M226,'PL_DEC.2026'!$D$11:$D$99,1,FALSE()),"(미존재)")</f>
        <v>임상증례조사비</v>
      </c>
    </row>
    <row r="227" customFormat="false" ht="16.5" hidden="false" customHeight="false" outlineLevel="0" collapsed="false">
      <c r="A227" s="317" t="s">
        <v>791</v>
      </c>
      <c r="B227" s="314" t="n">
        <v>63430101</v>
      </c>
      <c r="C227" s="314" t="s">
        <v>1982</v>
      </c>
      <c r="D227" s="314" t="s">
        <v>1879</v>
      </c>
      <c r="E227" s="314" t="s">
        <v>1924</v>
      </c>
      <c r="F227" s="314" t="s">
        <v>1931</v>
      </c>
      <c r="G227" s="314" t="s">
        <v>1926</v>
      </c>
      <c r="H227" s="314" t="s">
        <v>1495</v>
      </c>
      <c r="I227" s="314" t="s">
        <v>1941</v>
      </c>
      <c r="J227" s="314" t="s">
        <v>1458</v>
      </c>
      <c r="K227" s="314" t="s">
        <v>1942</v>
      </c>
      <c r="L227" s="324" t="s">
        <v>1929</v>
      </c>
      <c r="M227" s="324" t="s">
        <v>355</v>
      </c>
      <c r="N227" s="324" t="s">
        <v>1929</v>
      </c>
      <c r="O227" s="324" t="s">
        <v>1932</v>
      </c>
      <c r="P227" s="324" t="s">
        <v>355</v>
      </c>
      <c r="Q227" s="325" t="n">
        <v>0</v>
      </c>
      <c r="R227" s="325" t="n">
        <v>0</v>
      </c>
      <c r="S227" s="325" t="n">
        <v>0</v>
      </c>
      <c r="T227" s="325" t="n">
        <v>0</v>
      </c>
      <c r="U227" s="325" t="n">
        <v>0</v>
      </c>
      <c r="V227" s="325" t="n">
        <v>0</v>
      </c>
      <c r="W227" s="325" t="n">
        <v>12577629</v>
      </c>
      <c r="X227" s="325" t="n">
        <v>90012326</v>
      </c>
      <c r="Y227" s="325" t="n">
        <v>89327925</v>
      </c>
      <c r="Z227" s="325" t="n">
        <v>105186941</v>
      </c>
      <c r="AA227" s="325"/>
      <c r="AB227" s="325"/>
      <c r="AC227" s="325"/>
      <c r="AD227" s="325"/>
      <c r="AE227" s="325" t="n">
        <f aca="false">R227</f>
        <v>0</v>
      </c>
      <c r="AF227" s="325" t="n">
        <f aca="false">S227-R227</f>
        <v>0</v>
      </c>
      <c r="AG227" s="325" t="n">
        <f aca="false">T227-S227</f>
        <v>0</v>
      </c>
      <c r="AH227" s="325" t="n">
        <f aca="false">U227-T227</f>
        <v>0</v>
      </c>
      <c r="AI227" s="325" t="n">
        <f aca="false">V227-U227</f>
        <v>0</v>
      </c>
      <c r="AJ227" s="325" t="n">
        <f aca="false">W227-V227</f>
        <v>12577629</v>
      </c>
      <c r="AK227" s="325" t="n">
        <f aca="false">X227-W227</f>
        <v>77434697</v>
      </c>
      <c r="AL227" s="325" t="n">
        <f aca="false">Y227-X227</f>
        <v>-684401</v>
      </c>
      <c r="AM227" s="325" t="n">
        <f aca="false">Z227-Y227</f>
        <v>15859016</v>
      </c>
      <c r="AN227" s="325" t="s">
        <v>1679</v>
      </c>
      <c r="AO227" s="325" t="n">
        <f aca="false">AB227-AA227</f>
        <v>0</v>
      </c>
      <c r="AP227" s="325" t="n">
        <f aca="false">AC227-AB227</f>
        <v>0</v>
      </c>
      <c r="AR227" s="314" t="str">
        <f aca="false">IFERROR(VLOOKUP(M227,'PL_DEC.2026'!$D$11:$D$99,1,FALSE()),"(미존재)")</f>
        <v>임상증례조사비</v>
      </c>
    </row>
    <row r="228" customFormat="false" ht="16.5" hidden="false" customHeight="false" outlineLevel="0" collapsed="false">
      <c r="A228" s="317" t="s">
        <v>791</v>
      </c>
      <c r="B228" s="314" t="n">
        <v>64000010</v>
      </c>
      <c r="C228" s="314" t="s">
        <v>1983</v>
      </c>
      <c r="D228" s="314" t="s">
        <v>1879</v>
      </c>
      <c r="E228" s="314" t="s">
        <v>1924</v>
      </c>
      <c r="F228" s="314" t="s">
        <v>1957</v>
      </c>
      <c r="G228" s="314" t="s">
        <v>1926</v>
      </c>
      <c r="H228" s="314" t="s">
        <v>1495</v>
      </c>
      <c r="I228" s="314" t="s">
        <v>1941</v>
      </c>
      <c r="J228" s="314" t="s">
        <v>1458</v>
      </c>
      <c r="K228" s="314" t="s">
        <v>1942</v>
      </c>
      <c r="L228" s="324" t="s">
        <v>1929</v>
      </c>
      <c r="M228" s="324" t="s">
        <v>332</v>
      </c>
      <c r="N228" s="324" t="s">
        <v>1929</v>
      </c>
      <c r="O228" s="324" t="s">
        <v>332</v>
      </c>
      <c r="P228" s="324" t="s">
        <v>332</v>
      </c>
      <c r="Q228" s="325" t="n">
        <v>1144180686</v>
      </c>
      <c r="R228" s="325" t="n">
        <v>6874261</v>
      </c>
      <c r="S228" s="325" t="n">
        <v>112025852</v>
      </c>
      <c r="T228" s="325" t="n">
        <v>226315045</v>
      </c>
      <c r="U228" s="325" t="n">
        <v>310434168</v>
      </c>
      <c r="V228" s="325" t="n">
        <v>422864266</v>
      </c>
      <c r="W228" s="325" t="n">
        <v>484616931</v>
      </c>
      <c r="X228" s="325" t="n">
        <v>582027995</v>
      </c>
      <c r="Y228" s="325" t="n">
        <v>661372385</v>
      </c>
      <c r="Z228" s="325" t="n">
        <v>724695011</v>
      </c>
      <c r="AA228" s="325"/>
      <c r="AB228" s="325"/>
      <c r="AC228" s="325"/>
      <c r="AD228" s="325"/>
      <c r="AE228" s="325" t="n">
        <f aca="false">R228</f>
        <v>6874261</v>
      </c>
      <c r="AF228" s="325" t="n">
        <f aca="false">S228-R228</f>
        <v>105151591</v>
      </c>
      <c r="AG228" s="325" t="n">
        <f aca="false">T228-S228</f>
        <v>114289193</v>
      </c>
      <c r="AH228" s="325" t="n">
        <f aca="false">U228-T228</f>
        <v>84119123</v>
      </c>
      <c r="AI228" s="325" t="n">
        <f aca="false">V228-U228</f>
        <v>112430098</v>
      </c>
      <c r="AJ228" s="325" t="n">
        <f aca="false">W228-V228</f>
        <v>61752665</v>
      </c>
      <c r="AK228" s="325" t="n">
        <f aca="false">X228-W228</f>
        <v>97411064</v>
      </c>
      <c r="AL228" s="325" t="n">
        <f aca="false">Y228-X228</f>
        <v>79344390</v>
      </c>
      <c r="AM228" s="325" t="n">
        <f aca="false">Z228-Y228</f>
        <v>63322626</v>
      </c>
      <c r="AN228" s="325" t="s">
        <v>1679</v>
      </c>
      <c r="AO228" s="325" t="n">
        <f aca="false">AB228-AA228</f>
        <v>0</v>
      </c>
      <c r="AP228" s="325" t="n">
        <f aca="false">AC228-AB228</f>
        <v>0</v>
      </c>
      <c r="AR228" s="314" t="str">
        <f aca="false">IFERROR(VLOOKUP(M228,'PL_DEC.2026'!$D$11:$D$99,1,FALSE()),"(미존재)")</f>
        <v>여비교통비</v>
      </c>
    </row>
    <row r="229" customFormat="false" ht="16.5" hidden="false" customHeight="false" outlineLevel="0" collapsed="false">
      <c r="A229" s="317" t="s">
        <v>791</v>
      </c>
      <c r="B229" s="314" t="n">
        <v>64000012</v>
      </c>
      <c r="C229" s="314" t="s">
        <v>1984</v>
      </c>
      <c r="D229" s="314" t="s">
        <v>1879</v>
      </c>
      <c r="E229" s="314" t="s">
        <v>1924</v>
      </c>
      <c r="F229" s="314" t="s">
        <v>1957</v>
      </c>
      <c r="G229" s="314" t="s">
        <v>1926</v>
      </c>
      <c r="H229" s="314" t="s">
        <v>1495</v>
      </c>
      <c r="I229" s="314" t="s">
        <v>1941</v>
      </c>
      <c r="J229" s="314" t="s">
        <v>1458</v>
      </c>
      <c r="K229" s="314" t="s">
        <v>1942</v>
      </c>
      <c r="L229" s="324" t="s">
        <v>1929</v>
      </c>
      <c r="M229" s="324" t="s">
        <v>332</v>
      </c>
      <c r="N229" s="324" t="s">
        <v>1929</v>
      </c>
      <c r="O229" s="324" t="s">
        <v>332</v>
      </c>
      <c r="P229" s="324" t="s">
        <v>332</v>
      </c>
      <c r="Q229" s="325" t="n">
        <v>627902575</v>
      </c>
      <c r="R229" s="325" t="n">
        <v>-94136681</v>
      </c>
      <c r="S229" s="325" t="n">
        <v>-56916115</v>
      </c>
      <c r="T229" s="325" t="n">
        <v>-28802616</v>
      </c>
      <c r="U229" s="325" t="n">
        <v>16233216</v>
      </c>
      <c r="V229" s="325" t="n">
        <v>57832603</v>
      </c>
      <c r="W229" s="325" t="n">
        <v>96134700</v>
      </c>
      <c r="X229" s="325" t="n">
        <v>140477541</v>
      </c>
      <c r="Y229" s="325" t="n">
        <v>175171372</v>
      </c>
      <c r="Z229" s="325" t="n">
        <v>200512833</v>
      </c>
      <c r="AA229" s="325"/>
      <c r="AB229" s="325"/>
      <c r="AC229" s="325"/>
      <c r="AD229" s="325"/>
      <c r="AE229" s="325" t="n">
        <f aca="false">R229</f>
        <v>-94136681</v>
      </c>
      <c r="AF229" s="325" t="n">
        <f aca="false">S229-R229</f>
        <v>37220566</v>
      </c>
      <c r="AG229" s="325" t="n">
        <f aca="false">T229-S229</f>
        <v>28113499</v>
      </c>
      <c r="AH229" s="325" t="n">
        <f aca="false">U229-T229</f>
        <v>45035832</v>
      </c>
      <c r="AI229" s="325" t="n">
        <f aca="false">V229-U229</f>
        <v>41599387</v>
      </c>
      <c r="AJ229" s="325" t="n">
        <f aca="false">W229-V229</f>
        <v>38302097</v>
      </c>
      <c r="AK229" s="325" t="n">
        <f aca="false">X229-W229</f>
        <v>44342841</v>
      </c>
      <c r="AL229" s="325" t="n">
        <f aca="false">Y229-X229</f>
        <v>34693831</v>
      </c>
      <c r="AM229" s="325" t="n">
        <f aca="false">Z229-Y229</f>
        <v>25341461</v>
      </c>
      <c r="AN229" s="325" t="s">
        <v>1679</v>
      </c>
      <c r="AO229" s="325" t="n">
        <f aca="false">AB229-AA229</f>
        <v>0</v>
      </c>
      <c r="AP229" s="325" t="n">
        <f aca="false">AC229-AB229</f>
        <v>0</v>
      </c>
      <c r="AR229" s="314" t="str">
        <f aca="false">IFERROR(VLOOKUP(M229,'PL_DEC.2026'!$D$11:$D$99,1,FALSE()),"(미존재)")</f>
        <v>여비교통비</v>
      </c>
    </row>
    <row r="230" customFormat="false" ht="16.5" hidden="false" customHeight="false" outlineLevel="0" collapsed="false">
      <c r="A230" s="317" t="s">
        <v>791</v>
      </c>
      <c r="B230" s="314" t="n">
        <v>64000020</v>
      </c>
      <c r="C230" s="314" t="s">
        <v>1985</v>
      </c>
      <c r="D230" s="314" t="s">
        <v>1879</v>
      </c>
      <c r="E230" s="314" t="s">
        <v>1924</v>
      </c>
      <c r="F230" s="314" t="s">
        <v>1957</v>
      </c>
      <c r="G230" s="314" t="s">
        <v>1926</v>
      </c>
      <c r="H230" s="314" t="s">
        <v>1495</v>
      </c>
      <c r="I230" s="314" t="s">
        <v>1941</v>
      </c>
      <c r="J230" s="314" t="s">
        <v>1458</v>
      </c>
      <c r="K230" s="314" t="s">
        <v>1942</v>
      </c>
      <c r="L230" s="324" t="s">
        <v>1929</v>
      </c>
      <c r="M230" s="324" t="s">
        <v>332</v>
      </c>
      <c r="N230" s="324" t="s">
        <v>1929</v>
      </c>
      <c r="O230" s="324" t="s">
        <v>332</v>
      </c>
      <c r="P230" s="324" t="s">
        <v>332</v>
      </c>
      <c r="Q230" s="325" t="n">
        <v>977430514</v>
      </c>
      <c r="R230" s="325" t="n">
        <v>135923992</v>
      </c>
      <c r="S230" s="325" t="n">
        <v>307489213</v>
      </c>
      <c r="T230" s="325" t="n">
        <v>401721896</v>
      </c>
      <c r="U230" s="325" t="n">
        <v>509597447</v>
      </c>
      <c r="V230" s="325" t="n">
        <v>466230553</v>
      </c>
      <c r="W230" s="325" t="n">
        <v>574828873</v>
      </c>
      <c r="X230" s="325" t="n">
        <v>629601403</v>
      </c>
      <c r="Y230" s="325" t="n">
        <v>713133601</v>
      </c>
      <c r="Z230" s="325" t="n">
        <v>771586050</v>
      </c>
      <c r="AA230" s="325"/>
      <c r="AB230" s="325"/>
      <c r="AC230" s="325"/>
      <c r="AD230" s="325"/>
      <c r="AE230" s="325" t="n">
        <f aca="false">R230</f>
        <v>135923992</v>
      </c>
      <c r="AF230" s="325" t="n">
        <f aca="false">S230-R230</f>
        <v>171565221</v>
      </c>
      <c r="AG230" s="325" t="n">
        <f aca="false">T230-S230</f>
        <v>94232683</v>
      </c>
      <c r="AH230" s="325" t="n">
        <f aca="false">U230-T230</f>
        <v>107875551</v>
      </c>
      <c r="AI230" s="325" t="n">
        <f aca="false">V230-U230</f>
        <v>-43366894</v>
      </c>
      <c r="AJ230" s="325" t="n">
        <f aca="false">W230-V230</f>
        <v>108598320</v>
      </c>
      <c r="AK230" s="325" t="n">
        <f aca="false">X230-W230</f>
        <v>54772530</v>
      </c>
      <c r="AL230" s="325" t="n">
        <f aca="false">Y230-X230</f>
        <v>83532198</v>
      </c>
      <c r="AM230" s="325" t="n">
        <f aca="false">Z230-Y230</f>
        <v>58452449</v>
      </c>
      <c r="AN230" s="325" t="s">
        <v>1679</v>
      </c>
      <c r="AO230" s="325" t="n">
        <f aca="false">AB230-AA230</f>
        <v>0</v>
      </c>
      <c r="AP230" s="325" t="n">
        <f aca="false">AC230-AB230</f>
        <v>0</v>
      </c>
      <c r="AR230" s="314" t="str">
        <f aca="false">IFERROR(VLOOKUP(M230,'PL_DEC.2026'!$D$11:$D$99,1,FALSE()),"(미존재)")</f>
        <v>여비교통비</v>
      </c>
    </row>
    <row r="231" customFormat="false" ht="16.5" hidden="false" customHeight="false" outlineLevel="0" collapsed="false">
      <c r="A231" s="317" t="s">
        <v>791</v>
      </c>
      <c r="B231" s="314" t="n">
        <v>64000021</v>
      </c>
      <c r="C231" s="314" t="s">
        <v>1986</v>
      </c>
      <c r="D231" s="314" t="s">
        <v>1879</v>
      </c>
      <c r="E231" s="314" t="s">
        <v>1924</v>
      </c>
      <c r="F231" s="314" t="s">
        <v>1957</v>
      </c>
      <c r="G231" s="314" t="s">
        <v>1926</v>
      </c>
      <c r="H231" s="314" t="s">
        <v>1495</v>
      </c>
      <c r="I231" s="314" t="s">
        <v>1941</v>
      </c>
      <c r="J231" s="314" t="s">
        <v>1458</v>
      </c>
      <c r="K231" s="314" t="s">
        <v>1942</v>
      </c>
      <c r="L231" s="324" t="s">
        <v>1929</v>
      </c>
      <c r="M231" s="324" t="s">
        <v>332</v>
      </c>
      <c r="N231" s="324" t="s">
        <v>1929</v>
      </c>
      <c r="O231" s="324" t="s">
        <v>332</v>
      </c>
      <c r="P231" s="324" t="s">
        <v>332</v>
      </c>
      <c r="Q231" s="325" t="n">
        <v>297992352</v>
      </c>
      <c r="R231" s="325" t="n">
        <v>26386530</v>
      </c>
      <c r="S231" s="325" t="n">
        <v>40811460</v>
      </c>
      <c r="T231" s="325" t="n">
        <v>52529695</v>
      </c>
      <c r="U231" s="325" t="n">
        <v>89124392</v>
      </c>
      <c r="V231" s="325" t="n">
        <v>91262414</v>
      </c>
      <c r="W231" s="325" t="n">
        <v>149407007</v>
      </c>
      <c r="X231" s="325" t="n">
        <v>186540830</v>
      </c>
      <c r="Y231" s="325" t="n">
        <v>230695463</v>
      </c>
      <c r="Z231" s="325" t="n">
        <v>245291825</v>
      </c>
      <c r="AA231" s="325"/>
      <c r="AB231" s="325"/>
      <c r="AC231" s="325"/>
      <c r="AD231" s="325"/>
      <c r="AE231" s="325" t="n">
        <f aca="false">R231</f>
        <v>26386530</v>
      </c>
      <c r="AF231" s="325" t="n">
        <f aca="false">S231-R231</f>
        <v>14424930</v>
      </c>
      <c r="AG231" s="325" t="n">
        <f aca="false">T231-S231</f>
        <v>11718235</v>
      </c>
      <c r="AH231" s="325" t="n">
        <f aca="false">U231-T231</f>
        <v>36594697</v>
      </c>
      <c r="AI231" s="325" t="n">
        <f aca="false">V231-U231</f>
        <v>2138022</v>
      </c>
      <c r="AJ231" s="325" t="n">
        <f aca="false">W231-V231</f>
        <v>58144593</v>
      </c>
      <c r="AK231" s="325" t="n">
        <f aca="false">X231-W231</f>
        <v>37133823</v>
      </c>
      <c r="AL231" s="325" t="n">
        <f aca="false">Y231-X231</f>
        <v>44154633</v>
      </c>
      <c r="AM231" s="325" t="n">
        <f aca="false">Z231-Y231</f>
        <v>14596362</v>
      </c>
      <c r="AN231" s="325" t="s">
        <v>1679</v>
      </c>
      <c r="AO231" s="325" t="n">
        <f aca="false">AB231-AA231</f>
        <v>0</v>
      </c>
      <c r="AP231" s="325" t="n">
        <f aca="false">AC231-AB231</f>
        <v>0</v>
      </c>
      <c r="AR231" s="314" t="str">
        <f aca="false">IFERROR(VLOOKUP(M231,'PL_DEC.2026'!$D$11:$D$99,1,FALSE()),"(미존재)")</f>
        <v>여비교통비</v>
      </c>
    </row>
    <row r="232" customFormat="false" ht="16.5" hidden="false" customHeight="false" outlineLevel="0" collapsed="false">
      <c r="A232" s="317" t="s">
        <v>791</v>
      </c>
      <c r="B232" s="314" t="n">
        <v>64000030</v>
      </c>
      <c r="C232" s="314" t="s">
        <v>1987</v>
      </c>
      <c r="D232" s="314" t="s">
        <v>1879</v>
      </c>
      <c r="E232" s="314" t="s">
        <v>1924</v>
      </c>
      <c r="F232" s="314" t="s">
        <v>1957</v>
      </c>
      <c r="G232" s="314" t="s">
        <v>1926</v>
      </c>
      <c r="H232" s="314" t="s">
        <v>1495</v>
      </c>
      <c r="I232" s="314" t="s">
        <v>1941</v>
      </c>
      <c r="J232" s="314" t="s">
        <v>1458</v>
      </c>
      <c r="K232" s="314" t="s">
        <v>1942</v>
      </c>
      <c r="L232" s="324" t="s">
        <v>1929</v>
      </c>
      <c r="M232" s="324" t="s">
        <v>332</v>
      </c>
      <c r="N232" s="324" t="s">
        <v>1929</v>
      </c>
      <c r="O232" s="324" t="s">
        <v>332</v>
      </c>
      <c r="P232" s="324" t="s">
        <v>332</v>
      </c>
      <c r="Q232" s="325" t="n">
        <v>387825910</v>
      </c>
      <c r="R232" s="325" t="n">
        <v>17007750</v>
      </c>
      <c r="S232" s="325" t="n">
        <v>129348004</v>
      </c>
      <c r="T232" s="325" t="n">
        <v>-34433986</v>
      </c>
      <c r="U232" s="325" t="n">
        <v>75907327</v>
      </c>
      <c r="V232" s="325" t="n">
        <v>232677924</v>
      </c>
      <c r="W232" s="325" t="n">
        <v>303424286</v>
      </c>
      <c r="X232" s="325" t="n">
        <v>209527512</v>
      </c>
      <c r="Y232" s="325" t="n">
        <v>212961339</v>
      </c>
      <c r="Z232" s="325" t="n">
        <v>219749734</v>
      </c>
      <c r="AA232" s="325"/>
      <c r="AB232" s="325"/>
      <c r="AC232" s="325"/>
      <c r="AD232" s="325"/>
      <c r="AE232" s="325" t="n">
        <f aca="false">R232</f>
        <v>17007750</v>
      </c>
      <c r="AF232" s="325" t="n">
        <f aca="false">S232-R232</f>
        <v>112340254</v>
      </c>
      <c r="AG232" s="325" t="n">
        <f aca="false">T232-S232</f>
        <v>-163781990</v>
      </c>
      <c r="AH232" s="325" t="n">
        <f aca="false">U232-T232</f>
        <v>110341313</v>
      </c>
      <c r="AI232" s="325" t="n">
        <f aca="false">V232-U232</f>
        <v>156770597</v>
      </c>
      <c r="AJ232" s="325" t="n">
        <f aca="false">W232-V232</f>
        <v>70746362</v>
      </c>
      <c r="AK232" s="325" t="n">
        <f aca="false">X232-W232</f>
        <v>-93896774</v>
      </c>
      <c r="AL232" s="325" t="n">
        <f aca="false">Y232-X232</f>
        <v>3433827</v>
      </c>
      <c r="AM232" s="325" t="n">
        <f aca="false">Z232-Y232</f>
        <v>6788395</v>
      </c>
      <c r="AN232" s="325" t="s">
        <v>1679</v>
      </c>
      <c r="AO232" s="325" t="n">
        <f aca="false">AB232-AA232</f>
        <v>0</v>
      </c>
      <c r="AP232" s="325" t="n">
        <f aca="false">AC232-AB232</f>
        <v>0</v>
      </c>
      <c r="AR232" s="314" t="str">
        <f aca="false">IFERROR(VLOOKUP(M232,'PL_DEC.2026'!$D$11:$D$99,1,FALSE()),"(미존재)")</f>
        <v>여비교통비</v>
      </c>
    </row>
    <row r="233" customFormat="false" ht="16.5" hidden="false" customHeight="false" outlineLevel="0" collapsed="false">
      <c r="A233" s="317" t="s">
        <v>791</v>
      </c>
      <c r="B233" s="314" t="n">
        <v>64000040</v>
      </c>
      <c r="C233" s="314" t="s">
        <v>1988</v>
      </c>
      <c r="D233" s="314" t="s">
        <v>1879</v>
      </c>
      <c r="E233" s="314" t="s">
        <v>1924</v>
      </c>
      <c r="F233" s="314" t="s">
        <v>1989</v>
      </c>
      <c r="G233" s="314" t="s">
        <v>1926</v>
      </c>
      <c r="H233" s="314" t="s">
        <v>1495</v>
      </c>
      <c r="I233" s="314" t="s">
        <v>1941</v>
      </c>
      <c r="J233" s="314" t="s">
        <v>1458</v>
      </c>
      <c r="K233" s="314" t="s">
        <v>1942</v>
      </c>
      <c r="L233" s="324" t="s">
        <v>1929</v>
      </c>
      <c r="M233" s="324" t="s">
        <v>348</v>
      </c>
      <c r="N233" s="324" t="s">
        <v>1929</v>
      </c>
      <c r="O233" s="324" t="s">
        <v>348</v>
      </c>
      <c r="P233" s="324" t="s">
        <v>348</v>
      </c>
      <c r="Q233" s="325" t="n">
        <v>808759233</v>
      </c>
      <c r="R233" s="325" t="n">
        <v>31158830</v>
      </c>
      <c r="S233" s="325" t="n">
        <v>73743577</v>
      </c>
      <c r="T233" s="325" t="n">
        <v>119778074</v>
      </c>
      <c r="U233" s="325" t="n">
        <v>170027225</v>
      </c>
      <c r="V233" s="325" t="n">
        <v>224433171</v>
      </c>
      <c r="W233" s="325" t="n">
        <v>283206636</v>
      </c>
      <c r="X233" s="325" t="n">
        <v>329220378</v>
      </c>
      <c r="Y233" s="325" t="n">
        <v>377301699</v>
      </c>
      <c r="Z233" s="325" t="n">
        <v>417021348</v>
      </c>
      <c r="AA233" s="325"/>
      <c r="AB233" s="325"/>
      <c r="AC233" s="325"/>
      <c r="AD233" s="325"/>
      <c r="AE233" s="325" t="n">
        <f aca="false">R233</f>
        <v>31158830</v>
      </c>
      <c r="AF233" s="325" t="n">
        <f aca="false">S233-R233</f>
        <v>42584747</v>
      </c>
      <c r="AG233" s="325" t="n">
        <f aca="false">T233-S233</f>
        <v>46034497</v>
      </c>
      <c r="AH233" s="325" t="n">
        <f aca="false">U233-T233</f>
        <v>50249151</v>
      </c>
      <c r="AI233" s="325" t="n">
        <f aca="false">V233-U233</f>
        <v>54405946</v>
      </c>
      <c r="AJ233" s="325" t="n">
        <f aca="false">W233-V233</f>
        <v>58773465</v>
      </c>
      <c r="AK233" s="325" t="n">
        <f aca="false">X233-W233</f>
        <v>46013742</v>
      </c>
      <c r="AL233" s="325" t="n">
        <f aca="false">Y233-X233</f>
        <v>48081321</v>
      </c>
      <c r="AM233" s="325" t="n">
        <f aca="false">Z233-Y233</f>
        <v>39719649</v>
      </c>
      <c r="AN233" s="325" t="s">
        <v>1679</v>
      </c>
      <c r="AO233" s="325" t="n">
        <f aca="false">AB233-AA233</f>
        <v>0</v>
      </c>
      <c r="AP233" s="325" t="n">
        <f aca="false">AC233-AB233</f>
        <v>0</v>
      </c>
      <c r="AR233" s="314" t="str">
        <f aca="false">IFERROR(VLOOKUP(M233,'PL_DEC.2026'!$D$11:$D$99,1,FALSE()),"(미존재)")</f>
        <v>접대비</v>
      </c>
    </row>
    <row r="234" customFormat="false" ht="16.5" hidden="false" customHeight="false" outlineLevel="0" collapsed="false">
      <c r="A234" s="317" t="s">
        <v>791</v>
      </c>
      <c r="B234" s="314" t="n">
        <v>64000710</v>
      </c>
      <c r="C234" s="314" t="s">
        <v>1990</v>
      </c>
      <c r="D234" s="314" t="s">
        <v>1879</v>
      </c>
      <c r="E234" s="314" t="s">
        <v>1924</v>
      </c>
      <c r="F234" s="314" t="s">
        <v>1957</v>
      </c>
      <c r="G234" s="314" t="s">
        <v>1926</v>
      </c>
      <c r="H234" s="314" t="s">
        <v>1495</v>
      </c>
      <c r="I234" s="314" t="s">
        <v>1941</v>
      </c>
      <c r="J234" s="314" t="s">
        <v>1458</v>
      </c>
      <c r="K234" s="314" t="s">
        <v>1942</v>
      </c>
      <c r="L234" s="324" t="s">
        <v>1929</v>
      </c>
      <c r="M234" s="324" t="s">
        <v>332</v>
      </c>
      <c r="N234" s="324" t="s">
        <v>1929</v>
      </c>
      <c r="O234" s="324" t="s">
        <v>332</v>
      </c>
      <c r="P234" s="324" t="s">
        <v>332</v>
      </c>
      <c r="Q234" s="325" t="n">
        <v>60050855</v>
      </c>
      <c r="R234" s="325" t="n">
        <v>1870235</v>
      </c>
      <c r="S234" s="325" t="n">
        <v>4921958</v>
      </c>
      <c r="T234" s="325" t="n">
        <v>7522337</v>
      </c>
      <c r="U234" s="325" t="n">
        <v>16299721</v>
      </c>
      <c r="V234" s="325" t="n">
        <v>21722484</v>
      </c>
      <c r="W234" s="325" t="n">
        <v>27213626</v>
      </c>
      <c r="X234" s="325" t="n">
        <v>35004566</v>
      </c>
      <c r="Y234" s="325" t="n">
        <v>46583608</v>
      </c>
      <c r="Z234" s="325" t="n">
        <v>49659829</v>
      </c>
      <c r="AA234" s="325"/>
      <c r="AB234" s="325"/>
      <c r="AC234" s="325"/>
      <c r="AD234" s="325"/>
      <c r="AE234" s="325" t="n">
        <f aca="false">R234</f>
        <v>1870235</v>
      </c>
      <c r="AF234" s="325" t="n">
        <f aca="false">S234-R234</f>
        <v>3051723</v>
      </c>
      <c r="AG234" s="325" t="n">
        <f aca="false">T234-S234</f>
        <v>2600379</v>
      </c>
      <c r="AH234" s="325" t="n">
        <f aca="false">U234-T234</f>
        <v>8777384</v>
      </c>
      <c r="AI234" s="325" t="n">
        <f aca="false">V234-U234</f>
        <v>5422763</v>
      </c>
      <c r="AJ234" s="325" t="n">
        <f aca="false">W234-V234</f>
        <v>5491142</v>
      </c>
      <c r="AK234" s="325" t="n">
        <f aca="false">X234-W234</f>
        <v>7790940</v>
      </c>
      <c r="AL234" s="325" t="n">
        <f aca="false">Y234-X234</f>
        <v>11579042</v>
      </c>
      <c r="AM234" s="325" t="n">
        <f aca="false">Z234-Y234</f>
        <v>3076221</v>
      </c>
      <c r="AN234" s="325" t="s">
        <v>1679</v>
      </c>
      <c r="AO234" s="325" t="n">
        <f aca="false">AB234-AA234</f>
        <v>0</v>
      </c>
      <c r="AP234" s="325" t="n">
        <f aca="false">AC234-AB234</f>
        <v>0</v>
      </c>
      <c r="AR234" s="314" t="str">
        <f aca="false">IFERROR(VLOOKUP(M234,'PL_DEC.2026'!$D$11:$D$99,1,FALSE()),"(미존재)")</f>
        <v>여비교통비</v>
      </c>
    </row>
    <row r="235" customFormat="false" ht="16.5" hidden="false" customHeight="false" outlineLevel="0" collapsed="false">
      <c r="A235" s="317" t="s">
        <v>791</v>
      </c>
      <c r="B235" s="314" t="n">
        <v>64000915</v>
      </c>
      <c r="C235" s="314" t="s">
        <v>1991</v>
      </c>
      <c r="D235" s="314" t="s">
        <v>1879</v>
      </c>
      <c r="E235" s="314" t="s">
        <v>1924</v>
      </c>
      <c r="F235" s="314" t="s">
        <v>1957</v>
      </c>
      <c r="G235" s="314" t="s">
        <v>1926</v>
      </c>
      <c r="H235" s="314" t="s">
        <v>1495</v>
      </c>
      <c r="I235" s="314" t="s">
        <v>1941</v>
      </c>
      <c r="J235" s="314" t="s">
        <v>1458</v>
      </c>
      <c r="K235" s="314" t="s">
        <v>1942</v>
      </c>
      <c r="L235" s="324" t="s">
        <v>1929</v>
      </c>
      <c r="M235" s="324" t="s">
        <v>332</v>
      </c>
      <c r="N235" s="324" t="s">
        <v>1929</v>
      </c>
      <c r="O235" s="324" t="s">
        <v>332</v>
      </c>
      <c r="P235" s="324" t="s">
        <v>332</v>
      </c>
      <c r="Q235" s="325" t="n">
        <v>1110815</v>
      </c>
      <c r="R235" s="325" t="n">
        <v>46200</v>
      </c>
      <c r="S235" s="325" t="n">
        <v>93680</v>
      </c>
      <c r="T235" s="325" t="n">
        <v>111953</v>
      </c>
      <c r="U235" s="325" t="n">
        <v>151397</v>
      </c>
      <c r="V235" s="325" t="n">
        <v>287368</v>
      </c>
      <c r="W235" s="325" t="n">
        <v>313868</v>
      </c>
      <c r="X235" s="325" t="n">
        <v>313868</v>
      </c>
      <c r="Y235" s="325" t="n">
        <v>500026</v>
      </c>
      <c r="Z235" s="325" t="n">
        <v>500026</v>
      </c>
      <c r="AA235" s="325"/>
      <c r="AB235" s="325"/>
      <c r="AC235" s="325"/>
      <c r="AD235" s="325"/>
      <c r="AE235" s="325" t="n">
        <f aca="false">R235</f>
        <v>46200</v>
      </c>
      <c r="AF235" s="325" t="n">
        <f aca="false">S235-R235</f>
        <v>47480</v>
      </c>
      <c r="AG235" s="325" t="n">
        <f aca="false">T235-S235</f>
        <v>18273</v>
      </c>
      <c r="AH235" s="325" t="n">
        <f aca="false">U235-T235</f>
        <v>39444</v>
      </c>
      <c r="AI235" s="325" t="n">
        <f aca="false">V235-U235</f>
        <v>135971</v>
      </c>
      <c r="AJ235" s="325" t="n">
        <f aca="false">W235-V235</f>
        <v>26500</v>
      </c>
      <c r="AK235" s="325" t="n">
        <f aca="false">X235-W235</f>
        <v>0</v>
      </c>
      <c r="AL235" s="325" t="n">
        <f aca="false">Y235-X235</f>
        <v>186158</v>
      </c>
      <c r="AM235" s="325" t="n">
        <f aca="false">Z235-Y235</f>
        <v>0</v>
      </c>
      <c r="AN235" s="325" t="s">
        <v>1679</v>
      </c>
      <c r="AO235" s="325" t="n">
        <f aca="false">AB235-AA235</f>
        <v>0</v>
      </c>
      <c r="AP235" s="325" t="n">
        <f aca="false">AC235-AB235</f>
        <v>0</v>
      </c>
      <c r="AR235" s="314" t="str">
        <f aca="false">IFERROR(VLOOKUP(M235,'PL_DEC.2026'!$D$11:$D$99,1,FALSE()),"(미존재)")</f>
        <v>여비교통비</v>
      </c>
    </row>
    <row r="236" customFormat="false" ht="16.5" hidden="false" customHeight="false" outlineLevel="0" collapsed="false">
      <c r="A236" s="317" t="s">
        <v>791</v>
      </c>
      <c r="B236" s="314" t="n">
        <v>64110000</v>
      </c>
      <c r="C236" s="314" t="s">
        <v>1992</v>
      </c>
      <c r="D236" s="314" t="s">
        <v>1879</v>
      </c>
      <c r="E236" s="314" t="s">
        <v>1924</v>
      </c>
      <c r="F236" s="314" t="s">
        <v>1925</v>
      </c>
      <c r="G236" s="314" t="s">
        <v>1926</v>
      </c>
      <c r="H236" s="314" t="s">
        <v>1495</v>
      </c>
      <c r="I236" s="314" t="s">
        <v>1941</v>
      </c>
      <c r="J236" s="314" t="s">
        <v>1458</v>
      </c>
      <c r="K236" s="314" t="s">
        <v>1942</v>
      </c>
      <c r="L236" s="324" t="s">
        <v>1929</v>
      </c>
      <c r="M236" s="324" t="s">
        <v>344</v>
      </c>
      <c r="N236" s="324" t="s">
        <v>1929</v>
      </c>
      <c r="O236" s="324" t="s">
        <v>344</v>
      </c>
      <c r="P236" s="324" t="s">
        <v>344</v>
      </c>
      <c r="Q236" s="325" t="n">
        <v>797608255</v>
      </c>
      <c r="R236" s="325" t="n">
        <v>59406199</v>
      </c>
      <c r="S236" s="325" t="n">
        <v>132667649</v>
      </c>
      <c r="T236" s="325" t="n">
        <v>202372477</v>
      </c>
      <c r="U236" s="325" t="n">
        <v>285506243</v>
      </c>
      <c r="V236" s="325" t="n">
        <v>338251742</v>
      </c>
      <c r="W236" s="325" t="n">
        <v>356649657</v>
      </c>
      <c r="X236" s="325" t="n">
        <v>422996361</v>
      </c>
      <c r="Y236" s="325" t="n">
        <v>467252996</v>
      </c>
      <c r="Z236" s="325" t="n">
        <v>510410764</v>
      </c>
      <c r="AA236" s="325"/>
      <c r="AB236" s="325"/>
      <c r="AC236" s="325"/>
      <c r="AD236" s="325"/>
      <c r="AE236" s="325" t="n">
        <f aca="false">R236</f>
        <v>59406199</v>
      </c>
      <c r="AF236" s="325" t="n">
        <f aca="false">S236-R236</f>
        <v>73261450</v>
      </c>
      <c r="AG236" s="325" t="n">
        <f aca="false">T236-S236</f>
        <v>69704828</v>
      </c>
      <c r="AH236" s="325" t="n">
        <f aca="false">U236-T236</f>
        <v>83133766</v>
      </c>
      <c r="AI236" s="325" t="n">
        <f aca="false">V236-U236</f>
        <v>52745499</v>
      </c>
      <c r="AJ236" s="325" t="n">
        <f aca="false">W236-V236</f>
        <v>18397915</v>
      </c>
      <c r="AK236" s="325" t="n">
        <f aca="false">X236-W236</f>
        <v>66346704</v>
      </c>
      <c r="AL236" s="325" t="n">
        <f aca="false">Y236-X236</f>
        <v>44256635</v>
      </c>
      <c r="AM236" s="325" t="n">
        <f aca="false">Z236-Y236</f>
        <v>43157768</v>
      </c>
      <c r="AN236" s="325" t="s">
        <v>1679</v>
      </c>
      <c r="AO236" s="325" t="n">
        <f aca="false">AB236-AA236</f>
        <v>0</v>
      </c>
      <c r="AP236" s="325" t="n">
        <f aca="false">AC236-AB236</f>
        <v>0</v>
      </c>
      <c r="AR236" s="314" t="str">
        <f aca="false">IFERROR(VLOOKUP(M236,'PL_DEC.2026'!$D$11:$D$99,1,FALSE()),"(미존재)")</f>
        <v>지급수수료</v>
      </c>
    </row>
    <row r="237" customFormat="false" ht="16.5" hidden="false" customHeight="false" outlineLevel="0" collapsed="false">
      <c r="A237" s="317" t="s">
        <v>791</v>
      </c>
      <c r="B237" s="314" t="n">
        <v>64200000</v>
      </c>
      <c r="C237" s="314" t="s">
        <v>1993</v>
      </c>
      <c r="D237" s="314" t="s">
        <v>1879</v>
      </c>
      <c r="E237" s="314" t="s">
        <v>1924</v>
      </c>
      <c r="F237" s="314" t="s">
        <v>1925</v>
      </c>
      <c r="G237" s="314" t="s">
        <v>1926</v>
      </c>
      <c r="H237" s="314" t="s">
        <v>1495</v>
      </c>
      <c r="I237" s="314" t="s">
        <v>1941</v>
      </c>
      <c r="J237" s="314" t="s">
        <v>1458</v>
      </c>
      <c r="K237" s="314" t="s">
        <v>1942</v>
      </c>
      <c r="L237" s="324" t="s">
        <v>1929</v>
      </c>
      <c r="M237" s="324" t="s">
        <v>344</v>
      </c>
      <c r="N237" s="324" t="s">
        <v>1929</v>
      </c>
      <c r="O237" s="324" t="s">
        <v>344</v>
      </c>
      <c r="P237" s="324" t="s">
        <v>344</v>
      </c>
      <c r="Q237" s="325" t="n">
        <v>110116910</v>
      </c>
      <c r="R237" s="325" t="n">
        <v>10145833</v>
      </c>
      <c r="S237" s="325" t="n">
        <v>20291667</v>
      </c>
      <c r="T237" s="325" t="n">
        <v>38777500</v>
      </c>
      <c r="U237" s="325" t="n">
        <v>31919037</v>
      </c>
      <c r="V237" s="325" t="n">
        <v>41844871</v>
      </c>
      <c r="W237" s="325" t="n">
        <v>51770704</v>
      </c>
      <c r="X237" s="325" t="n">
        <v>61696537</v>
      </c>
      <c r="Y237" s="325" t="n">
        <v>71622371</v>
      </c>
      <c r="Z237" s="325" t="n">
        <v>81548204</v>
      </c>
      <c r="AA237" s="325"/>
      <c r="AB237" s="325"/>
      <c r="AC237" s="325"/>
      <c r="AD237" s="325"/>
      <c r="AE237" s="325" t="n">
        <f aca="false">R237</f>
        <v>10145833</v>
      </c>
      <c r="AF237" s="325" t="n">
        <f aca="false">S237-R237</f>
        <v>10145834</v>
      </c>
      <c r="AG237" s="325" t="n">
        <f aca="false">T237-S237</f>
        <v>18485833</v>
      </c>
      <c r="AH237" s="325" t="n">
        <f aca="false">U237-T237</f>
        <v>-6858463</v>
      </c>
      <c r="AI237" s="325" t="n">
        <f aca="false">V237-U237</f>
        <v>9925834</v>
      </c>
      <c r="AJ237" s="325" t="n">
        <f aca="false">W237-V237</f>
        <v>9925833</v>
      </c>
      <c r="AK237" s="325" t="n">
        <f aca="false">X237-W237</f>
        <v>9925833</v>
      </c>
      <c r="AL237" s="325" t="n">
        <f aca="false">Y237-X237</f>
        <v>9925834</v>
      </c>
      <c r="AM237" s="325" t="n">
        <f aca="false">Z237-Y237</f>
        <v>9925833</v>
      </c>
      <c r="AN237" s="325" t="s">
        <v>1679</v>
      </c>
      <c r="AO237" s="325" t="n">
        <f aca="false">AB237-AA237</f>
        <v>0</v>
      </c>
      <c r="AP237" s="325" t="n">
        <f aca="false">AC237-AB237</f>
        <v>0</v>
      </c>
      <c r="AR237" s="314" t="str">
        <f aca="false">IFERROR(VLOOKUP(M237,'PL_DEC.2026'!$D$11:$D$99,1,FALSE()),"(미존재)")</f>
        <v>지급수수료</v>
      </c>
    </row>
    <row r="238" customFormat="false" ht="16.5" hidden="false" customHeight="false" outlineLevel="0" collapsed="false">
      <c r="A238" s="317" t="s">
        <v>791</v>
      </c>
      <c r="B238" s="314" t="n">
        <v>64200700</v>
      </c>
      <c r="C238" s="314" t="s">
        <v>1994</v>
      </c>
      <c r="D238" s="314" t="s">
        <v>1879</v>
      </c>
      <c r="E238" s="314" t="s">
        <v>1924</v>
      </c>
      <c r="F238" s="314" t="s">
        <v>1925</v>
      </c>
      <c r="G238" s="314" t="s">
        <v>1926</v>
      </c>
      <c r="H238" s="314" t="s">
        <v>1495</v>
      </c>
      <c r="I238" s="314" t="s">
        <v>1941</v>
      </c>
      <c r="J238" s="314" t="s">
        <v>1458</v>
      </c>
      <c r="K238" s="314" t="s">
        <v>1942</v>
      </c>
      <c r="L238" s="324" t="s">
        <v>1929</v>
      </c>
      <c r="M238" s="324" t="s">
        <v>344</v>
      </c>
      <c r="N238" s="324" t="s">
        <v>1929</v>
      </c>
      <c r="O238" s="324" t="s">
        <v>344</v>
      </c>
      <c r="P238" s="324" t="s">
        <v>344</v>
      </c>
      <c r="Q238" s="325" t="n">
        <v>212456564</v>
      </c>
      <c r="R238" s="325" t="n">
        <v>12902458</v>
      </c>
      <c r="S238" s="325" t="n">
        <v>17969124</v>
      </c>
      <c r="T238" s="325" t="n">
        <v>20735791</v>
      </c>
      <c r="U238" s="325" t="n">
        <v>28502458</v>
      </c>
      <c r="V238" s="325" t="n">
        <v>31269124</v>
      </c>
      <c r="W238" s="325" t="n">
        <v>34035791</v>
      </c>
      <c r="X238" s="325" t="n">
        <v>36802458</v>
      </c>
      <c r="Y238" s="325" t="n">
        <v>43776242</v>
      </c>
      <c r="Z238" s="325" t="n">
        <v>54542909</v>
      </c>
      <c r="AA238" s="325"/>
      <c r="AB238" s="325"/>
      <c r="AC238" s="325"/>
      <c r="AD238" s="325"/>
      <c r="AE238" s="325" t="n">
        <f aca="false">R238</f>
        <v>12902458</v>
      </c>
      <c r="AF238" s="325" t="n">
        <f aca="false">S238-R238</f>
        <v>5066666</v>
      </c>
      <c r="AG238" s="325" t="n">
        <f aca="false">T238-S238</f>
        <v>2766667</v>
      </c>
      <c r="AH238" s="325" t="n">
        <f aca="false">U238-T238</f>
        <v>7766667</v>
      </c>
      <c r="AI238" s="325" t="n">
        <f aca="false">V238-U238</f>
        <v>2766666</v>
      </c>
      <c r="AJ238" s="325" t="n">
        <f aca="false">W238-V238</f>
        <v>2766667</v>
      </c>
      <c r="AK238" s="325" t="n">
        <f aca="false">X238-W238</f>
        <v>2766667</v>
      </c>
      <c r="AL238" s="325" t="n">
        <f aca="false">Y238-X238</f>
        <v>6973784</v>
      </c>
      <c r="AM238" s="325" t="n">
        <f aca="false">Z238-Y238</f>
        <v>10766667</v>
      </c>
      <c r="AN238" s="325" t="s">
        <v>1679</v>
      </c>
      <c r="AO238" s="325" t="n">
        <f aca="false">AB238-AA238</f>
        <v>0</v>
      </c>
      <c r="AP238" s="325" t="n">
        <f aca="false">AC238-AB238</f>
        <v>0</v>
      </c>
      <c r="AR238" s="314" t="str">
        <f aca="false">IFERROR(VLOOKUP(M238,'PL_DEC.2026'!$D$11:$D$99,1,FALSE()),"(미존재)")</f>
        <v>지급수수료</v>
      </c>
    </row>
    <row r="239" customFormat="false" ht="16.5" hidden="false" customHeight="false" outlineLevel="0" collapsed="false">
      <c r="A239" s="317" t="s">
        <v>791</v>
      </c>
      <c r="B239" s="314" t="n">
        <v>64200800</v>
      </c>
      <c r="C239" s="314" t="s">
        <v>1995</v>
      </c>
      <c r="D239" s="314" t="s">
        <v>1879</v>
      </c>
      <c r="E239" s="314" t="s">
        <v>1924</v>
      </c>
      <c r="F239" s="314" t="s">
        <v>1925</v>
      </c>
      <c r="G239" s="314" t="s">
        <v>1926</v>
      </c>
      <c r="H239" s="314" t="s">
        <v>1495</v>
      </c>
      <c r="I239" s="314" t="s">
        <v>1941</v>
      </c>
      <c r="J239" s="314" t="s">
        <v>1458</v>
      </c>
      <c r="K239" s="314" t="s">
        <v>1942</v>
      </c>
      <c r="L239" s="324" t="s">
        <v>1929</v>
      </c>
      <c r="M239" s="324" t="s">
        <v>344</v>
      </c>
      <c r="N239" s="324" t="s">
        <v>1929</v>
      </c>
      <c r="O239" s="324" t="s">
        <v>344</v>
      </c>
      <c r="P239" s="324" t="s">
        <v>344</v>
      </c>
      <c r="Q239" s="325" t="n">
        <v>10692000</v>
      </c>
      <c r="R239" s="325" t="n">
        <v>1012000</v>
      </c>
      <c r="S239" s="325" t="n">
        <v>2024000</v>
      </c>
      <c r="T239" s="325" t="n">
        <v>2904000</v>
      </c>
      <c r="U239" s="325" t="n">
        <v>4048000</v>
      </c>
      <c r="V239" s="325" t="n">
        <v>4928000</v>
      </c>
      <c r="W239" s="325" t="n">
        <v>5808000</v>
      </c>
      <c r="X239" s="325" t="n">
        <v>6688000</v>
      </c>
      <c r="Y239" s="325" t="n">
        <v>7568000</v>
      </c>
      <c r="Z239" s="325" t="n">
        <v>8580000</v>
      </c>
      <c r="AA239" s="325"/>
      <c r="AB239" s="325"/>
      <c r="AC239" s="325"/>
      <c r="AD239" s="325"/>
      <c r="AE239" s="325" t="n">
        <f aca="false">R239</f>
        <v>1012000</v>
      </c>
      <c r="AF239" s="325" t="n">
        <f aca="false">S239-R239</f>
        <v>1012000</v>
      </c>
      <c r="AG239" s="325" t="n">
        <f aca="false">T239-S239</f>
        <v>880000</v>
      </c>
      <c r="AH239" s="325" t="n">
        <f aca="false">U239-T239</f>
        <v>1144000</v>
      </c>
      <c r="AI239" s="325" t="n">
        <f aca="false">V239-U239</f>
        <v>880000</v>
      </c>
      <c r="AJ239" s="325" t="n">
        <f aca="false">W239-V239</f>
        <v>880000</v>
      </c>
      <c r="AK239" s="325" t="n">
        <f aca="false">X239-W239</f>
        <v>880000</v>
      </c>
      <c r="AL239" s="325" t="n">
        <f aca="false">Y239-X239</f>
        <v>880000</v>
      </c>
      <c r="AM239" s="325" t="n">
        <f aca="false">Z239-Y239</f>
        <v>1012000</v>
      </c>
      <c r="AN239" s="325" t="s">
        <v>1679</v>
      </c>
      <c r="AO239" s="325" t="n">
        <f aca="false">AB239-AA239</f>
        <v>0</v>
      </c>
      <c r="AP239" s="325" t="n">
        <f aca="false">AC239-AB239</f>
        <v>0</v>
      </c>
      <c r="AR239" s="314" t="str">
        <f aca="false">IFERROR(VLOOKUP(M239,'PL_DEC.2026'!$D$11:$D$99,1,FALSE()),"(미존재)")</f>
        <v>지급수수료</v>
      </c>
    </row>
    <row r="240" customFormat="false" ht="16.5" hidden="false" customHeight="false" outlineLevel="0" collapsed="false">
      <c r="A240" s="317" t="s">
        <v>791</v>
      </c>
      <c r="B240" s="314" t="n">
        <v>64200801</v>
      </c>
      <c r="C240" s="314" t="s">
        <v>1996</v>
      </c>
      <c r="D240" s="314" t="s">
        <v>1879</v>
      </c>
      <c r="E240" s="314" t="s">
        <v>1924</v>
      </c>
      <c r="F240" s="314" t="s">
        <v>1925</v>
      </c>
      <c r="G240" s="314" t="s">
        <v>1926</v>
      </c>
      <c r="H240" s="314" t="s">
        <v>1495</v>
      </c>
      <c r="I240" s="314" t="s">
        <v>1941</v>
      </c>
      <c r="J240" s="314" t="s">
        <v>1458</v>
      </c>
      <c r="K240" s="314" t="s">
        <v>1942</v>
      </c>
      <c r="L240" s="324" t="s">
        <v>1929</v>
      </c>
      <c r="M240" s="324" t="s">
        <v>344</v>
      </c>
      <c r="N240" s="324" t="s">
        <v>1929</v>
      </c>
      <c r="O240" s="324" t="s">
        <v>344</v>
      </c>
      <c r="P240" s="324" t="s">
        <v>344</v>
      </c>
      <c r="Q240" s="325" t="n">
        <v>127512955</v>
      </c>
      <c r="R240" s="325" t="n">
        <v>1220000</v>
      </c>
      <c r="S240" s="325" t="n">
        <v>11409171</v>
      </c>
      <c r="T240" s="325" t="n">
        <v>12579880</v>
      </c>
      <c r="U240" s="325" t="n">
        <v>16919986</v>
      </c>
      <c r="V240" s="325" t="n">
        <v>31148896</v>
      </c>
      <c r="W240" s="325" t="n">
        <v>62152385</v>
      </c>
      <c r="X240" s="325" t="n">
        <v>66913064</v>
      </c>
      <c r="Y240" s="325" t="n">
        <v>71133064</v>
      </c>
      <c r="Z240" s="325" t="n">
        <v>75353064</v>
      </c>
      <c r="AA240" s="325"/>
      <c r="AB240" s="325"/>
      <c r="AC240" s="325"/>
      <c r="AD240" s="325"/>
      <c r="AE240" s="325" t="n">
        <f aca="false">R240</f>
        <v>1220000</v>
      </c>
      <c r="AF240" s="325" t="n">
        <f aca="false">S240-R240</f>
        <v>10189171</v>
      </c>
      <c r="AG240" s="325" t="n">
        <f aca="false">T240-S240</f>
        <v>1170709</v>
      </c>
      <c r="AH240" s="325" t="n">
        <f aca="false">U240-T240</f>
        <v>4340106</v>
      </c>
      <c r="AI240" s="325" t="n">
        <f aca="false">V240-U240</f>
        <v>14228910</v>
      </c>
      <c r="AJ240" s="325" t="n">
        <f aca="false">W240-V240</f>
        <v>31003489</v>
      </c>
      <c r="AK240" s="325" t="n">
        <f aca="false">X240-W240</f>
        <v>4760679</v>
      </c>
      <c r="AL240" s="325" t="n">
        <f aca="false">Y240-X240</f>
        <v>4220000</v>
      </c>
      <c r="AM240" s="325" t="n">
        <f aca="false">Z240-Y240</f>
        <v>4220000</v>
      </c>
      <c r="AN240" s="325" t="s">
        <v>1679</v>
      </c>
      <c r="AO240" s="325" t="n">
        <f aca="false">AB240-AA240</f>
        <v>0</v>
      </c>
      <c r="AP240" s="325" t="n">
        <f aca="false">AC240-AB240</f>
        <v>0</v>
      </c>
      <c r="AR240" s="314" t="str">
        <f aca="false">IFERROR(VLOOKUP(M240,'PL_DEC.2026'!$D$11:$D$99,1,FALSE()),"(미존재)")</f>
        <v>지급수수료</v>
      </c>
    </row>
    <row r="241" customFormat="false" ht="16.5" hidden="false" customHeight="false" outlineLevel="0" collapsed="false">
      <c r="A241" s="317" t="s">
        <v>791</v>
      </c>
      <c r="B241" s="314" t="n">
        <v>64200802</v>
      </c>
      <c r="C241" s="314" t="s">
        <v>1997</v>
      </c>
      <c r="D241" s="314" t="s">
        <v>1879</v>
      </c>
      <c r="E241" s="314" t="s">
        <v>1924</v>
      </c>
      <c r="F241" s="314" t="s">
        <v>1925</v>
      </c>
      <c r="G241" s="314" t="s">
        <v>1926</v>
      </c>
      <c r="H241" s="314" t="s">
        <v>1495</v>
      </c>
      <c r="I241" s="314" t="s">
        <v>1941</v>
      </c>
      <c r="J241" s="314" t="s">
        <v>1458</v>
      </c>
      <c r="K241" s="314" t="s">
        <v>1942</v>
      </c>
      <c r="L241" s="324" t="s">
        <v>1929</v>
      </c>
      <c r="M241" s="324" t="s">
        <v>344</v>
      </c>
      <c r="N241" s="324" t="s">
        <v>1929</v>
      </c>
      <c r="O241" s="324" t="s">
        <v>344</v>
      </c>
      <c r="P241" s="324" t="s">
        <v>344</v>
      </c>
      <c r="Q241" s="325" t="n">
        <v>0</v>
      </c>
      <c r="R241" s="325" t="n">
        <v>0</v>
      </c>
      <c r="S241" s="325" t="n">
        <v>0</v>
      </c>
      <c r="T241" s="325" t="n">
        <v>0</v>
      </c>
      <c r="U241" s="325" t="n">
        <v>9433609</v>
      </c>
      <c r="V241" s="325" t="n">
        <v>9433609</v>
      </c>
      <c r="W241" s="325" t="n">
        <v>9433609</v>
      </c>
      <c r="X241" s="325" t="n">
        <v>9433609</v>
      </c>
      <c r="Y241" s="325" t="n">
        <v>9433609</v>
      </c>
      <c r="Z241" s="325" t="n">
        <v>9433609</v>
      </c>
      <c r="AA241" s="325"/>
      <c r="AB241" s="325"/>
      <c r="AC241" s="325"/>
      <c r="AD241" s="325"/>
      <c r="AE241" s="325" t="n">
        <f aca="false">R241</f>
        <v>0</v>
      </c>
      <c r="AF241" s="325" t="n">
        <f aca="false">S241-R241</f>
        <v>0</v>
      </c>
      <c r="AG241" s="325" t="n">
        <f aca="false">T241-S241</f>
        <v>0</v>
      </c>
      <c r="AH241" s="325" t="n">
        <f aca="false">U241-T241</f>
        <v>9433609</v>
      </c>
      <c r="AI241" s="325" t="n">
        <f aca="false">V241-U241</f>
        <v>0</v>
      </c>
      <c r="AJ241" s="325" t="n">
        <f aca="false">W241-V241</f>
        <v>0</v>
      </c>
      <c r="AK241" s="325" t="n">
        <f aca="false">X241-W241</f>
        <v>0</v>
      </c>
      <c r="AL241" s="325" t="n">
        <f aca="false">Y241-X241</f>
        <v>0</v>
      </c>
      <c r="AM241" s="325" t="n">
        <f aca="false">Z241-Y241</f>
        <v>0</v>
      </c>
      <c r="AN241" s="325" t="s">
        <v>1679</v>
      </c>
      <c r="AO241" s="325" t="n">
        <f aca="false">AB241-AA241</f>
        <v>0</v>
      </c>
      <c r="AP241" s="325" t="n">
        <f aca="false">AC241-AB241</f>
        <v>0</v>
      </c>
      <c r="AR241" s="314" t="str">
        <f aca="false">IFERROR(VLOOKUP(M241,'PL_DEC.2026'!$D$11:$D$99,1,FALSE()),"(미존재)")</f>
        <v>지급수수료</v>
      </c>
    </row>
    <row r="242" customFormat="false" ht="16.5" hidden="false" customHeight="false" outlineLevel="0" collapsed="false">
      <c r="A242" s="317" t="s">
        <v>791</v>
      </c>
      <c r="B242" s="314" t="n">
        <v>64212171</v>
      </c>
      <c r="C242" s="314" t="s">
        <v>1998</v>
      </c>
      <c r="D242" s="314" t="s">
        <v>1879</v>
      </c>
      <c r="E242" s="314" t="s">
        <v>1924</v>
      </c>
      <c r="F242" s="314" t="s">
        <v>1925</v>
      </c>
      <c r="G242" s="314" t="s">
        <v>1926</v>
      </c>
      <c r="H242" s="314" t="s">
        <v>1495</v>
      </c>
      <c r="I242" s="314" t="s">
        <v>1941</v>
      </c>
      <c r="J242" s="314" t="s">
        <v>1458</v>
      </c>
      <c r="K242" s="314" t="s">
        <v>1942</v>
      </c>
      <c r="L242" s="324" t="s">
        <v>1929</v>
      </c>
      <c r="M242" s="324" t="s">
        <v>344</v>
      </c>
      <c r="N242" s="324" t="s">
        <v>1929</v>
      </c>
      <c r="O242" s="324" t="s">
        <v>344</v>
      </c>
      <c r="P242" s="324" t="s">
        <v>344</v>
      </c>
      <c r="Q242" s="325" t="n">
        <v>193401123</v>
      </c>
      <c r="R242" s="325" t="n">
        <v>-185676865</v>
      </c>
      <c r="S242" s="325" t="n">
        <v>-125690609</v>
      </c>
      <c r="T242" s="325" t="n">
        <v>132999287</v>
      </c>
      <c r="U242" s="325" t="n">
        <v>199281524</v>
      </c>
      <c r="V242" s="325" t="n">
        <v>239102908</v>
      </c>
      <c r="W242" s="325" t="n">
        <v>82808197</v>
      </c>
      <c r="X242" s="325" t="n">
        <v>193009854</v>
      </c>
      <c r="Y242" s="325" t="n">
        <v>441136138</v>
      </c>
      <c r="Z242" s="325" t="n">
        <v>461336963</v>
      </c>
      <c r="AA242" s="325"/>
      <c r="AB242" s="325"/>
      <c r="AC242" s="325"/>
      <c r="AD242" s="325"/>
      <c r="AE242" s="325" t="n">
        <f aca="false">R242</f>
        <v>-185676865</v>
      </c>
      <c r="AF242" s="325" t="n">
        <f aca="false">S242-R242</f>
        <v>59986256</v>
      </c>
      <c r="AG242" s="325" t="n">
        <f aca="false">T242-S242</f>
        <v>258689896</v>
      </c>
      <c r="AH242" s="325" t="n">
        <f aca="false">U242-T242</f>
        <v>66282237</v>
      </c>
      <c r="AI242" s="325" t="n">
        <f aca="false">V242-U242</f>
        <v>39821384</v>
      </c>
      <c r="AJ242" s="325" t="n">
        <f aca="false">W242-V242</f>
        <v>-156294711</v>
      </c>
      <c r="AK242" s="325" t="n">
        <f aca="false">X242-W242</f>
        <v>110201657</v>
      </c>
      <c r="AL242" s="325" t="n">
        <f aca="false">Y242-X242</f>
        <v>248126284</v>
      </c>
      <c r="AM242" s="325" t="n">
        <f aca="false">Z242-Y242</f>
        <v>20200825</v>
      </c>
      <c r="AN242" s="325" t="s">
        <v>1679</v>
      </c>
      <c r="AO242" s="325" t="n">
        <f aca="false">AB242-AA242</f>
        <v>0</v>
      </c>
      <c r="AP242" s="325" t="n">
        <f aca="false">AC242-AB242</f>
        <v>0</v>
      </c>
      <c r="AR242" s="314" t="str">
        <f aca="false">IFERROR(VLOOKUP(M242,'PL_DEC.2026'!$D$11:$D$99,1,FALSE()),"(미존재)")</f>
        <v>지급수수료</v>
      </c>
    </row>
    <row r="243" customFormat="false" ht="16.5" hidden="false" customHeight="false" outlineLevel="0" collapsed="false">
      <c r="A243" s="317" t="s">
        <v>791</v>
      </c>
      <c r="B243" s="314" t="n">
        <v>64212450</v>
      </c>
      <c r="C243" s="314" t="s">
        <v>1999</v>
      </c>
      <c r="D243" s="314" t="s">
        <v>1879</v>
      </c>
      <c r="E243" s="314" t="s">
        <v>1924</v>
      </c>
      <c r="F243" s="314" t="s">
        <v>1925</v>
      </c>
      <c r="G243" s="314" t="s">
        <v>1926</v>
      </c>
      <c r="H243" s="314" t="s">
        <v>1495</v>
      </c>
      <c r="I243" s="314" t="s">
        <v>1941</v>
      </c>
      <c r="J243" s="314" t="s">
        <v>1458</v>
      </c>
      <c r="K243" s="314" t="s">
        <v>1942</v>
      </c>
      <c r="L243" s="324" t="s">
        <v>1929</v>
      </c>
      <c r="M243" s="324" t="s">
        <v>344</v>
      </c>
      <c r="N243" s="324" t="s">
        <v>1929</v>
      </c>
      <c r="O243" s="324" t="s">
        <v>344</v>
      </c>
      <c r="P243" s="324" t="s">
        <v>344</v>
      </c>
      <c r="Q243" s="325" t="n">
        <v>53376663</v>
      </c>
      <c r="R243" s="325" t="n">
        <v>11774447</v>
      </c>
      <c r="S243" s="325" t="n">
        <v>16046853</v>
      </c>
      <c r="T243" s="325" t="n">
        <v>74200768</v>
      </c>
      <c r="U243" s="325" t="n">
        <v>33718199</v>
      </c>
      <c r="V243" s="325" t="n">
        <v>42232128</v>
      </c>
      <c r="W243" s="325" t="n">
        <v>50837305</v>
      </c>
      <c r="X243" s="325" t="n">
        <v>59330234</v>
      </c>
      <c r="Y243" s="325" t="n">
        <v>68469580</v>
      </c>
      <c r="Z243" s="325" t="n">
        <v>72741420</v>
      </c>
      <c r="AA243" s="325"/>
      <c r="AB243" s="325"/>
      <c r="AC243" s="325"/>
      <c r="AD243" s="325"/>
      <c r="AE243" s="325" t="n">
        <f aca="false">R243</f>
        <v>11774447</v>
      </c>
      <c r="AF243" s="325" t="n">
        <f aca="false">S243-R243</f>
        <v>4272406</v>
      </c>
      <c r="AG243" s="325" t="n">
        <f aca="false">T243-S243</f>
        <v>58153915</v>
      </c>
      <c r="AH243" s="325" t="n">
        <f aca="false">U243-T243</f>
        <v>-40482569</v>
      </c>
      <c r="AI243" s="325" t="n">
        <f aca="false">V243-U243</f>
        <v>8513929</v>
      </c>
      <c r="AJ243" s="325" t="n">
        <f aca="false">W243-V243</f>
        <v>8605177</v>
      </c>
      <c r="AK243" s="325" t="n">
        <f aca="false">X243-W243</f>
        <v>8492929</v>
      </c>
      <c r="AL243" s="325" t="n">
        <f aca="false">Y243-X243</f>
        <v>9139346</v>
      </c>
      <c r="AM243" s="325" t="n">
        <f aca="false">Z243-Y243</f>
        <v>4271840</v>
      </c>
      <c r="AN243" s="325" t="s">
        <v>1679</v>
      </c>
      <c r="AO243" s="325" t="n">
        <f aca="false">AB243-AA243</f>
        <v>0</v>
      </c>
      <c r="AP243" s="325" t="n">
        <f aca="false">AC243-AB243</f>
        <v>0</v>
      </c>
      <c r="AR243" s="314" t="str">
        <f aca="false">IFERROR(VLOOKUP(M243,'PL_DEC.2026'!$D$11:$D$99,1,FALSE()),"(미존재)")</f>
        <v>지급수수료</v>
      </c>
    </row>
    <row r="244" customFormat="false" ht="16.5" hidden="false" customHeight="false" outlineLevel="0" collapsed="false">
      <c r="A244" s="317" t="s">
        <v>791</v>
      </c>
      <c r="B244" s="314" t="n">
        <v>64290000</v>
      </c>
      <c r="C244" s="314" t="s">
        <v>2000</v>
      </c>
      <c r="D244" s="314" t="s">
        <v>1879</v>
      </c>
      <c r="E244" s="314" t="s">
        <v>1924</v>
      </c>
      <c r="F244" s="314" t="s">
        <v>1925</v>
      </c>
      <c r="G244" s="314" t="s">
        <v>1926</v>
      </c>
      <c r="H244" s="314" t="s">
        <v>1495</v>
      </c>
      <c r="I244" s="314" t="s">
        <v>1941</v>
      </c>
      <c r="J244" s="314" t="s">
        <v>1458</v>
      </c>
      <c r="K244" s="314" t="s">
        <v>1942</v>
      </c>
      <c r="L244" s="324" t="s">
        <v>1929</v>
      </c>
      <c r="M244" s="324" t="s">
        <v>344</v>
      </c>
      <c r="N244" s="324" t="s">
        <v>1929</v>
      </c>
      <c r="O244" s="324" t="s">
        <v>344</v>
      </c>
      <c r="P244" s="324" t="s">
        <v>344</v>
      </c>
      <c r="Q244" s="325" t="n">
        <v>1181290912</v>
      </c>
      <c r="R244" s="325" t="n">
        <v>-34925370</v>
      </c>
      <c r="S244" s="325" t="n">
        <v>-36714767</v>
      </c>
      <c r="T244" s="325" t="n">
        <v>-67255861</v>
      </c>
      <c r="U244" s="325" t="n">
        <v>7820442</v>
      </c>
      <c r="V244" s="325" t="n">
        <v>13046837</v>
      </c>
      <c r="W244" s="325" t="n">
        <v>237682103</v>
      </c>
      <c r="X244" s="325" t="n">
        <v>758386880</v>
      </c>
      <c r="Y244" s="325" t="n">
        <v>238809488</v>
      </c>
      <c r="Z244" s="325" t="n">
        <v>247604987</v>
      </c>
      <c r="AA244" s="325"/>
      <c r="AB244" s="325"/>
      <c r="AC244" s="325"/>
      <c r="AD244" s="325"/>
      <c r="AE244" s="325" t="n">
        <f aca="false">R244</f>
        <v>-34925370</v>
      </c>
      <c r="AF244" s="325" t="n">
        <f aca="false">S244-R244</f>
        <v>-1789397</v>
      </c>
      <c r="AG244" s="325" t="n">
        <f aca="false">T244-S244</f>
        <v>-30541094</v>
      </c>
      <c r="AH244" s="325" t="n">
        <f aca="false">U244-T244</f>
        <v>75076303</v>
      </c>
      <c r="AI244" s="325" t="n">
        <f aca="false">V244-U244</f>
        <v>5226395</v>
      </c>
      <c r="AJ244" s="325" t="n">
        <f aca="false">W244-V244</f>
        <v>224635266</v>
      </c>
      <c r="AK244" s="325" t="n">
        <f aca="false">X244-W244</f>
        <v>520704777</v>
      </c>
      <c r="AL244" s="325" t="n">
        <f aca="false">Y244-X244</f>
        <v>-519577392</v>
      </c>
      <c r="AM244" s="325" t="n">
        <f aca="false">Z244-Y244</f>
        <v>8795499</v>
      </c>
      <c r="AN244" s="325" t="s">
        <v>1679</v>
      </c>
      <c r="AO244" s="325" t="n">
        <f aca="false">AB244-AA244</f>
        <v>0</v>
      </c>
      <c r="AP244" s="325" t="n">
        <f aca="false">AC244-AB244</f>
        <v>0</v>
      </c>
      <c r="AR244" s="314" t="str">
        <f aca="false">IFERROR(VLOOKUP(M244,'PL_DEC.2026'!$D$11:$D$99,1,FALSE()),"(미존재)")</f>
        <v>지급수수료</v>
      </c>
    </row>
    <row r="245" customFormat="false" ht="16.5" hidden="false" customHeight="false" outlineLevel="0" collapsed="false">
      <c r="A245" s="317" t="s">
        <v>791</v>
      </c>
      <c r="B245" s="314" t="n">
        <v>64290090</v>
      </c>
      <c r="C245" s="314" t="s">
        <v>2001</v>
      </c>
      <c r="D245" s="314" t="s">
        <v>1879</v>
      </c>
      <c r="E245" s="314" t="s">
        <v>1924</v>
      </c>
      <c r="F245" s="314" t="s">
        <v>1925</v>
      </c>
      <c r="G245" s="314" t="s">
        <v>1926</v>
      </c>
      <c r="H245" s="314" t="s">
        <v>1495</v>
      </c>
      <c r="I245" s="314" t="s">
        <v>1941</v>
      </c>
      <c r="J245" s="314" t="s">
        <v>1458</v>
      </c>
      <c r="K245" s="314" t="s">
        <v>1942</v>
      </c>
      <c r="L245" s="324" t="s">
        <v>1929</v>
      </c>
      <c r="M245" s="324" t="s">
        <v>344</v>
      </c>
      <c r="N245" s="324" t="s">
        <v>1929</v>
      </c>
      <c r="O245" s="324" t="s">
        <v>344</v>
      </c>
      <c r="P245" s="324" t="s">
        <v>344</v>
      </c>
      <c r="Q245" s="325" t="n">
        <v>115116809</v>
      </c>
      <c r="R245" s="325" t="n">
        <v>57832281</v>
      </c>
      <c r="S245" s="325" t="n">
        <v>60480562</v>
      </c>
      <c r="T245" s="325" t="n">
        <v>7944843</v>
      </c>
      <c r="U245" s="325" t="n">
        <v>10593124</v>
      </c>
      <c r="V245" s="325" t="n">
        <v>13241405</v>
      </c>
      <c r="W245" s="325" t="n">
        <v>15889686</v>
      </c>
      <c r="X245" s="325" t="n">
        <v>19000186</v>
      </c>
      <c r="Y245" s="325" t="n">
        <v>22110686</v>
      </c>
      <c r="Z245" s="325" t="n">
        <v>25221186</v>
      </c>
      <c r="AA245" s="325"/>
      <c r="AB245" s="325"/>
      <c r="AC245" s="325"/>
      <c r="AD245" s="325"/>
      <c r="AE245" s="325" t="n">
        <f aca="false">R245</f>
        <v>57832281</v>
      </c>
      <c r="AF245" s="325" t="n">
        <f aca="false">S245-R245</f>
        <v>2648281</v>
      </c>
      <c r="AG245" s="325" t="n">
        <f aca="false">T245-S245</f>
        <v>-52535719</v>
      </c>
      <c r="AH245" s="325" t="n">
        <f aca="false">U245-T245</f>
        <v>2648281</v>
      </c>
      <c r="AI245" s="325" t="n">
        <f aca="false">V245-U245</f>
        <v>2648281</v>
      </c>
      <c r="AJ245" s="325" t="n">
        <f aca="false">W245-V245</f>
        <v>2648281</v>
      </c>
      <c r="AK245" s="325" t="n">
        <f aca="false">X245-W245</f>
        <v>3110500</v>
      </c>
      <c r="AL245" s="325" t="n">
        <f aca="false">Y245-X245</f>
        <v>3110500</v>
      </c>
      <c r="AM245" s="325" t="n">
        <f aca="false">Z245-Y245</f>
        <v>3110500</v>
      </c>
      <c r="AN245" s="325" t="s">
        <v>1679</v>
      </c>
      <c r="AO245" s="325" t="n">
        <f aca="false">AB245-AA245</f>
        <v>0</v>
      </c>
      <c r="AP245" s="325" t="n">
        <f aca="false">AC245-AB245</f>
        <v>0</v>
      </c>
      <c r="AR245" s="314" t="str">
        <f aca="false">IFERROR(VLOOKUP(M245,'PL_DEC.2026'!$D$11:$D$99,1,FALSE()),"(미존재)")</f>
        <v>지급수수료</v>
      </c>
    </row>
    <row r="246" customFormat="false" ht="16.5" hidden="false" customHeight="false" outlineLevel="0" collapsed="false">
      <c r="A246" s="317" t="s">
        <v>791</v>
      </c>
      <c r="B246" s="314" t="n">
        <v>64290150</v>
      </c>
      <c r="C246" s="314" t="s">
        <v>2002</v>
      </c>
      <c r="D246" s="314" t="s">
        <v>1879</v>
      </c>
      <c r="E246" s="314" t="s">
        <v>1924</v>
      </c>
      <c r="F246" s="314" t="s">
        <v>1925</v>
      </c>
      <c r="G246" s="314" t="s">
        <v>1926</v>
      </c>
      <c r="H246" s="314" t="s">
        <v>1495</v>
      </c>
      <c r="I246" s="314" t="s">
        <v>1941</v>
      </c>
      <c r="J246" s="314" t="s">
        <v>1458</v>
      </c>
      <c r="K246" s="314" t="s">
        <v>1942</v>
      </c>
      <c r="L246" s="324" t="s">
        <v>1929</v>
      </c>
      <c r="M246" s="324" t="s">
        <v>344</v>
      </c>
      <c r="N246" s="324" t="s">
        <v>1929</v>
      </c>
      <c r="O246" s="324" t="s">
        <v>344</v>
      </c>
      <c r="P246" s="324" t="s">
        <v>344</v>
      </c>
      <c r="Q246" s="325" t="n">
        <v>858696709</v>
      </c>
      <c r="R246" s="325" t="n">
        <v>11738998</v>
      </c>
      <c r="S246" s="325" t="n">
        <v>32857315</v>
      </c>
      <c r="T246" s="325" t="n">
        <v>40405801</v>
      </c>
      <c r="U246" s="325" t="n">
        <v>172121188</v>
      </c>
      <c r="V246" s="325" t="n">
        <v>178168409</v>
      </c>
      <c r="W246" s="325" t="n">
        <v>212751374</v>
      </c>
      <c r="X246" s="325" t="n">
        <v>250086513</v>
      </c>
      <c r="Y246" s="325" t="n">
        <v>501571522</v>
      </c>
      <c r="Z246" s="325" t="n">
        <v>543554392</v>
      </c>
      <c r="AA246" s="325"/>
      <c r="AB246" s="325"/>
      <c r="AC246" s="325"/>
      <c r="AD246" s="325"/>
      <c r="AE246" s="325" t="n">
        <f aca="false">R246</f>
        <v>11738998</v>
      </c>
      <c r="AF246" s="325" t="n">
        <f aca="false">S246-R246</f>
        <v>21118317</v>
      </c>
      <c r="AG246" s="325" t="n">
        <f aca="false">T246-S246</f>
        <v>7548486</v>
      </c>
      <c r="AH246" s="325" t="n">
        <f aca="false">U246-T246</f>
        <v>131715387</v>
      </c>
      <c r="AI246" s="325" t="n">
        <f aca="false">V246-U246</f>
        <v>6047221</v>
      </c>
      <c r="AJ246" s="325" t="n">
        <f aca="false">W246-V246</f>
        <v>34582965</v>
      </c>
      <c r="AK246" s="325" t="n">
        <f aca="false">X246-W246</f>
        <v>37335139</v>
      </c>
      <c r="AL246" s="325" t="n">
        <f aca="false">Y246-X246</f>
        <v>251485009</v>
      </c>
      <c r="AM246" s="325" t="n">
        <f aca="false">Z246-Y246</f>
        <v>41982870</v>
      </c>
      <c r="AN246" s="325" t="s">
        <v>1679</v>
      </c>
      <c r="AO246" s="325" t="n">
        <f aca="false">AB246-AA246</f>
        <v>0</v>
      </c>
      <c r="AP246" s="325" t="n">
        <f aca="false">AC246-AB246</f>
        <v>0</v>
      </c>
      <c r="AR246" s="314" t="str">
        <f aca="false">IFERROR(VLOOKUP(M246,'PL_DEC.2026'!$D$11:$D$99,1,FALSE()),"(미존재)")</f>
        <v>지급수수료</v>
      </c>
    </row>
    <row r="247" customFormat="false" ht="16.5" hidden="false" customHeight="false" outlineLevel="0" collapsed="false">
      <c r="A247" s="317" t="s">
        <v>791</v>
      </c>
      <c r="B247" s="314" t="n">
        <v>64290601</v>
      </c>
      <c r="C247" s="314" t="s">
        <v>2003</v>
      </c>
      <c r="D247" s="314" t="s">
        <v>1879</v>
      </c>
      <c r="E247" s="314" t="s">
        <v>1924</v>
      </c>
      <c r="F247" s="314" t="s">
        <v>1925</v>
      </c>
      <c r="G247" s="314" t="s">
        <v>1926</v>
      </c>
      <c r="H247" s="314" t="s">
        <v>1495</v>
      </c>
      <c r="I247" s="314" t="s">
        <v>1941</v>
      </c>
      <c r="J247" s="314" t="s">
        <v>1458</v>
      </c>
      <c r="K247" s="314" t="s">
        <v>1942</v>
      </c>
      <c r="L247" s="324" t="s">
        <v>1929</v>
      </c>
      <c r="M247" s="324" t="s">
        <v>344</v>
      </c>
      <c r="N247" s="324" t="s">
        <v>1929</v>
      </c>
      <c r="O247" s="324" t="s">
        <v>344</v>
      </c>
      <c r="P247" s="324" t="s">
        <v>344</v>
      </c>
      <c r="Q247" s="325" t="n">
        <v>4740000</v>
      </c>
      <c r="R247" s="325" t="n">
        <v>0</v>
      </c>
      <c r="S247" s="325" t="n">
        <v>0</v>
      </c>
      <c r="T247" s="325" t="n">
        <v>0</v>
      </c>
      <c r="U247" s="325" t="n">
        <v>165000</v>
      </c>
      <c r="V247" s="325" t="n">
        <v>8165000</v>
      </c>
      <c r="W247" s="325" t="n">
        <v>8165000</v>
      </c>
      <c r="X247" s="325" t="n">
        <v>8165000</v>
      </c>
      <c r="Y247" s="325" t="n">
        <v>8165000</v>
      </c>
      <c r="Z247" s="325" t="n">
        <v>8165000</v>
      </c>
      <c r="AA247" s="325"/>
      <c r="AB247" s="325"/>
      <c r="AC247" s="325"/>
      <c r="AD247" s="325"/>
      <c r="AE247" s="325" t="n">
        <f aca="false">R247</f>
        <v>0</v>
      </c>
      <c r="AF247" s="325" t="n">
        <f aca="false">S247-R247</f>
        <v>0</v>
      </c>
      <c r="AG247" s="325" t="n">
        <f aca="false">T247-S247</f>
        <v>0</v>
      </c>
      <c r="AH247" s="325" t="n">
        <f aca="false">U247-T247</f>
        <v>165000</v>
      </c>
      <c r="AI247" s="325" t="n">
        <f aca="false">V247-U247</f>
        <v>8000000</v>
      </c>
      <c r="AJ247" s="325" t="n">
        <f aca="false">W247-V247</f>
        <v>0</v>
      </c>
      <c r="AK247" s="325" t="n">
        <f aca="false">X247-W247</f>
        <v>0</v>
      </c>
      <c r="AL247" s="325" t="n">
        <f aca="false">Y247-X247</f>
        <v>0</v>
      </c>
      <c r="AM247" s="325" t="n">
        <f aca="false">Z247-Y247</f>
        <v>0</v>
      </c>
      <c r="AN247" s="325" t="s">
        <v>1679</v>
      </c>
      <c r="AO247" s="325" t="n">
        <f aca="false">AB247-AA247</f>
        <v>0</v>
      </c>
      <c r="AP247" s="325" t="n">
        <f aca="false">AC247-AB247</f>
        <v>0</v>
      </c>
      <c r="AR247" s="314" t="str">
        <f aca="false">IFERROR(VLOOKUP(M247,'PL_DEC.2026'!$D$11:$D$99,1,FALSE()),"(미존재)")</f>
        <v>지급수수료</v>
      </c>
    </row>
    <row r="248" customFormat="false" ht="16.5" hidden="false" customHeight="false" outlineLevel="0" collapsed="false">
      <c r="A248" s="317" t="s">
        <v>791</v>
      </c>
      <c r="B248" s="314" t="n">
        <v>64514001</v>
      </c>
      <c r="C248" s="314" t="s">
        <v>2004</v>
      </c>
      <c r="D248" s="314" t="s">
        <v>1879</v>
      </c>
      <c r="E248" s="314" t="s">
        <v>1959</v>
      </c>
      <c r="F248" s="314" t="s">
        <v>2005</v>
      </c>
      <c r="G248" s="314" t="s">
        <v>1926</v>
      </c>
      <c r="H248" s="314" t="s">
        <v>1495</v>
      </c>
      <c r="I248" s="314" t="s">
        <v>1941</v>
      </c>
      <c r="J248" s="314" t="s">
        <v>1458</v>
      </c>
      <c r="K248" s="314" t="s">
        <v>1942</v>
      </c>
      <c r="L248" s="324" t="s">
        <v>1929</v>
      </c>
      <c r="M248" s="324" t="s">
        <v>315</v>
      </c>
      <c r="N248" s="324" t="s">
        <v>1961</v>
      </c>
      <c r="O248" s="324" t="s">
        <v>315</v>
      </c>
      <c r="P248" s="324" t="s">
        <v>315</v>
      </c>
      <c r="Q248" s="325" t="n">
        <v>101073465</v>
      </c>
      <c r="R248" s="325" t="n">
        <v>1396960</v>
      </c>
      <c r="S248" s="325" t="n">
        <v>5742758</v>
      </c>
      <c r="T248" s="325" t="n">
        <v>20541300</v>
      </c>
      <c r="U248" s="325" t="n">
        <v>24132220</v>
      </c>
      <c r="V248" s="325" t="n">
        <v>27378220</v>
      </c>
      <c r="W248" s="325" t="n">
        <v>83476954</v>
      </c>
      <c r="X248" s="325" t="n">
        <v>103243832</v>
      </c>
      <c r="Y248" s="325" t="n">
        <v>103376332</v>
      </c>
      <c r="Z248" s="325" t="n">
        <v>103422332</v>
      </c>
      <c r="AA248" s="325"/>
      <c r="AB248" s="325"/>
      <c r="AC248" s="325"/>
      <c r="AD248" s="325"/>
      <c r="AE248" s="325" t="n">
        <f aca="false">R248</f>
        <v>1396960</v>
      </c>
      <c r="AF248" s="325" t="n">
        <f aca="false">S248-R248</f>
        <v>4345798</v>
      </c>
      <c r="AG248" s="325" t="n">
        <f aca="false">T248-S248</f>
        <v>14798542</v>
      </c>
      <c r="AH248" s="325" t="n">
        <f aca="false">U248-T248</f>
        <v>3590920</v>
      </c>
      <c r="AI248" s="325" t="n">
        <f aca="false">V248-U248</f>
        <v>3246000</v>
      </c>
      <c r="AJ248" s="325" t="n">
        <f aca="false">W248-V248</f>
        <v>56098734</v>
      </c>
      <c r="AK248" s="325" t="n">
        <f aca="false">X248-W248</f>
        <v>19766878</v>
      </c>
      <c r="AL248" s="325" t="n">
        <f aca="false">Y248-X248</f>
        <v>132500</v>
      </c>
      <c r="AM248" s="325" t="n">
        <f aca="false">Z248-Y248</f>
        <v>46000</v>
      </c>
      <c r="AN248" s="325" t="s">
        <v>1679</v>
      </c>
      <c r="AO248" s="325" t="n">
        <f aca="false">AB248-AA248</f>
        <v>0</v>
      </c>
      <c r="AP248" s="325" t="n">
        <f aca="false">AC248-AB248</f>
        <v>0</v>
      </c>
      <c r="AR248" s="314" t="str">
        <f aca="false">IFERROR(VLOOKUP(M248,'PL_DEC.2026'!$D$11:$D$99,1,FALSE()),"(미존재)")</f>
        <v>광고선전비</v>
      </c>
    </row>
    <row r="249" customFormat="false" ht="16.5" hidden="false" customHeight="false" outlineLevel="0" collapsed="false">
      <c r="A249" s="317" t="s">
        <v>791</v>
      </c>
      <c r="B249" s="314" t="n">
        <v>64516004</v>
      </c>
      <c r="C249" s="314" t="s">
        <v>2006</v>
      </c>
      <c r="D249" s="314" t="s">
        <v>1879</v>
      </c>
      <c r="E249" s="314" t="s">
        <v>1924</v>
      </c>
      <c r="F249" s="314" t="s">
        <v>2007</v>
      </c>
      <c r="G249" s="314" t="s">
        <v>1926</v>
      </c>
      <c r="H249" s="314" t="s">
        <v>1495</v>
      </c>
      <c r="I249" s="314" t="s">
        <v>1941</v>
      </c>
      <c r="J249" s="314" t="s">
        <v>1458</v>
      </c>
      <c r="K249" s="314" t="s">
        <v>1942</v>
      </c>
      <c r="L249" s="324" t="s">
        <v>1929</v>
      </c>
      <c r="M249" s="324" t="s">
        <v>315</v>
      </c>
      <c r="N249" s="324" t="s">
        <v>1929</v>
      </c>
      <c r="O249" s="324" t="s">
        <v>343</v>
      </c>
      <c r="P249" s="324" t="s">
        <v>343</v>
      </c>
      <c r="Q249" s="325" t="n">
        <v>1146378033</v>
      </c>
      <c r="R249" s="325" t="n">
        <v>1531581</v>
      </c>
      <c r="S249" s="325" t="n">
        <v>35531581</v>
      </c>
      <c r="T249" s="325" t="n">
        <v>128001807</v>
      </c>
      <c r="U249" s="325" t="n">
        <v>224864641</v>
      </c>
      <c r="V249" s="325" t="n">
        <v>229758436</v>
      </c>
      <c r="W249" s="325" t="n">
        <v>352426259</v>
      </c>
      <c r="X249" s="325" t="n">
        <v>567042737</v>
      </c>
      <c r="Y249" s="325" t="n">
        <v>725687913</v>
      </c>
      <c r="Z249" s="325" t="n">
        <v>835585092</v>
      </c>
      <c r="AA249" s="325"/>
      <c r="AB249" s="325"/>
      <c r="AC249" s="325"/>
      <c r="AD249" s="325"/>
      <c r="AE249" s="325" t="n">
        <f aca="false">R249</f>
        <v>1531581</v>
      </c>
      <c r="AF249" s="325" t="n">
        <f aca="false">S249-R249</f>
        <v>34000000</v>
      </c>
      <c r="AG249" s="325" t="n">
        <f aca="false">T249-S249</f>
        <v>92470226</v>
      </c>
      <c r="AH249" s="325" t="n">
        <f aca="false">U249-T249</f>
        <v>96862834</v>
      </c>
      <c r="AI249" s="325" t="n">
        <f aca="false">V249-U249</f>
        <v>4893795</v>
      </c>
      <c r="AJ249" s="325" t="n">
        <f aca="false">W249-V249</f>
        <v>122667823</v>
      </c>
      <c r="AK249" s="325" t="n">
        <f aca="false">X249-W249</f>
        <v>214616478</v>
      </c>
      <c r="AL249" s="325" t="n">
        <f aca="false">Y249-X249</f>
        <v>158645176</v>
      </c>
      <c r="AM249" s="325" t="n">
        <f aca="false">Z249-Y249</f>
        <v>109897179</v>
      </c>
      <c r="AN249" s="325" t="s">
        <v>1679</v>
      </c>
      <c r="AO249" s="325" t="n">
        <f aca="false">AB249-AA249</f>
        <v>0</v>
      </c>
      <c r="AP249" s="325" t="n">
        <f aca="false">AC249-AB249</f>
        <v>0</v>
      </c>
      <c r="AR249" s="314" t="str">
        <f aca="false">IFERROR(VLOOKUP(M249,'PL_DEC.2026'!$D$11:$D$99,1,FALSE()),"(미존재)")</f>
        <v>광고선전비</v>
      </c>
    </row>
    <row r="250" customFormat="false" ht="16.5" hidden="false" customHeight="false" outlineLevel="0" collapsed="false">
      <c r="A250" s="317" t="s">
        <v>791</v>
      </c>
      <c r="B250" s="314" t="n">
        <v>64550000</v>
      </c>
      <c r="C250" s="314" t="s">
        <v>2008</v>
      </c>
      <c r="G250" s="314" t="s">
        <v>1882</v>
      </c>
      <c r="H250" s="314" t="s">
        <v>1495</v>
      </c>
      <c r="I250" s="314" t="s">
        <v>2009</v>
      </c>
      <c r="K250" s="314" t="s">
        <v>977</v>
      </c>
      <c r="L250" s="324" t="s">
        <v>1929</v>
      </c>
      <c r="M250" s="324" t="s">
        <v>315</v>
      </c>
      <c r="N250" s="324" t="s">
        <v>1961</v>
      </c>
      <c r="O250" s="324" t="s">
        <v>315</v>
      </c>
      <c r="P250" s="324" t="s">
        <v>315</v>
      </c>
      <c r="Q250" s="325" t="n">
        <v>-266854</v>
      </c>
      <c r="R250" s="325" t="n">
        <v>0</v>
      </c>
      <c r="S250" s="325" t="n">
        <v>0</v>
      </c>
      <c r="T250" s="325" t="n">
        <v>0</v>
      </c>
      <c r="U250" s="325" t="n">
        <v>0</v>
      </c>
      <c r="V250" s="325" t="n">
        <v>0</v>
      </c>
      <c r="W250" s="325" t="n">
        <v>0</v>
      </c>
      <c r="X250" s="325" t="n">
        <v>0</v>
      </c>
      <c r="Y250" s="325" t="n">
        <v>0</v>
      </c>
      <c r="Z250" s="325" t="n">
        <v>0</v>
      </c>
      <c r="AA250" s="325"/>
      <c r="AB250" s="325"/>
      <c r="AC250" s="325"/>
      <c r="AD250" s="325"/>
      <c r="AE250" s="325" t="n">
        <f aca="false">R250</f>
        <v>0</v>
      </c>
      <c r="AF250" s="325" t="n">
        <f aca="false">S250-R250</f>
        <v>0</v>
      </c>
      <c r="AG250" s="325" t="n">
        <f aca="false">T250-S250</f>
        <v>0</v>
      </c>
      <c r="AH250" s="325" t="n">
        <f aca="false">U250-T250</f>
        <v>0</v>
      </c>
      <c r="AI250" s="325" t="n">
        <f aca="false">V250-U250</f>
        <v>0</v>
      </c>
      <c r="AJ250" s="325" t="n">
        <f aca="false">W250-V250</f>
        <v>0</v>
      </c>
      <c r="AK250" s="325" t="n">
        <f aca="false">X250-W250</f>
        <v>0</v>
      </c>
      <c r="AL250" s="325" t="n">
        <f aca="false">Y250-X250</f>
        <v>0</v>
      </c>
      <c r="AM250" s="325" t="n">
        <f aca="false">Z250-Y250</f>
        <v>0</v>
      </c>
      <c r="AN250" s="325" t="s">
        <v>1679</v>
      </c>
      <c r="AO250" s="325" t="n">
        <f aca="false">AB250-AA250</f>
        <v>0</v>
      </c>
      <c r="AP250" s="325" t="n">
        <f aca="false">AC250-AB250</f>
        <v>0</v>
      </c>
      <c r="AR250" s="314" t="str">
        <f aca="false">IFERROR(VLOOKUP(M250,'PL_DEC.2026'!$D$11:$D$99,1,FALSE()),"(미존재)")</f>
        <v>광고선전비</v>
      </c>
    </row>
    <row r="251" customFormat="false" ht="16.5" hidden="false" customHeight="false" outlineLevel="0" collapsed="false">
      <c r="A251" s="317" t="s">
        <v>791</v>
      </c>
      <c r="B251" s="314" t="n">
        <v>64570000</v>
      </c>
      <c r="C251" s="314" t="s">
        <v>2010</v>
      </c>
      <c r="D251" s="314" t="s">
        <v>1879</v>
      </c>
      <c r="E251" s="314" t="s">
        <v>1959</v>
      </c>
      <c r="F251" s="314" t="s">
        <v>2005</v>
      </c>
      <c r="G251" s="314" t="s">
        <v>1926</v>
      </c>
      <c r="H251" s="314" t="s">
        <v>1495</v>
      </c>
      <c r="I251" s="314" t="s">
        <v>1941</v>
      </c>
      <c r="J251" s="314" t="s">
        <v>1458</v>
      </c>
      <c r="K251" s="314" t="s">
        <v>1942</v>
      </c>
      <c r="L251" s="324" t="s">
        <v>1929</v>
      </c>
      <c r="M251" s="324" t="s">
        <v>315</v>
      </c>
      <c r="N251" s="324" t="s">
        <v>1961</v>
      </c>
      <c r="O251" s="324" t="s">
        <v>315</v>
      </c>
      <c r="P251" s="324" t="s">
        <v>315</v>
      </c>
      <c r="Q251" s="325" t="n">
        <v>1617944637</v>
      </c>
      <c r="R251" s="325" t="n">
        <v>2181667</v>
      </c>
      <c r="S251" s="325" t="n">
        <v>157150595</v>
      </c>
      <c r="T251" s="325" t="n">
        <v>292721435</v>
      </c>
      <c r="U251" s="325" t="n">
        <v>333682317</v>
      </c>
      <c r="V251" s="325" t="n">
        <v>529726557</v>
      </c>
      <c r="W251" s="325" t="n">
        <v>666995811</v>
      </c>
      <c r="X251" s="325" t="n">
        <v>812212643</v>
      </c>
      <c r="Y251" s="325" t="n">
        <v>972959115</v>
      </c>
      <c r="Z251" s="325" t="n">
        <v>1152026115</v>
      </c>
      <c r="AA251" s="325"/>
      <c r="AB251" s="325"/>
      <c r="AC251" s="325"/>
      <c r="AD251" s="325"/>
      <c r="AE251" s="325" t="n">
        <f aca="false">R251</f>
        <v>2181667</v>
      </c>
      <c r="AF251" s="325" t="n">
        <f aca="false">S251-R251</f>
        <v>154968928</v>
      </c>
      <c r="AG251" s="325" t="n">
        <f aca="false">T251-S251</f>
        <v>135570840</v>
      </c>
      <c r="AH251" s="325" t="n">
        <f aca="false">U251-T251</f>
        <v>40960882</v>
      </c>
      <c r="AI251" s="325" t="n">
        <f aca="false">V251-U251</f>
        <v>196044240</v>
      </c>
      <c r="AJ251" s="325" t="n">
        <f aca="false">W251-V251</f>
        <v>137269254</v>
      </c>
      <c r="AK251" s="325" t="n">
        <f aca="false">X251-W251</f>
        <v>145216832</v>
      </c>
      <c r="AL251" s="325" t="n">
        <f aca="false">Y251-X251</f>
        <v>160746472</v>
      </c>
      <c r="AM251" s="325" t="n">
        <f aca="false">Z251-Y251</f>
        <v>179067000</v>
      </c>
      <c r="AN251" s="325" t="s">
        <v>1679</v>
      </c>
      <c r="AO251" s="325" t="n">
        <f aca="false">AB251-AA251</f>
        <v>0</v>
      </c>
      <c r="AP251" s="325" t="n">
        <f aca="false">AC251-AB251</f>
        <v>0</v>
      </c>
      <c r="AR251" s="314" t="str">
        <f aca="false">IFERROR(VLOOKUP(M251,'PL_DEC.2026'!$D$11:$D$99,1,FALSE()),"(미존재)")</f>
        <v>광고선전비</v>
      </c>
    </row>
    <row r="252" customFormat="false" ht="16.5" hidden="false" customHeight="false" outlineLevel="0" collapsed="false">
      <c r="A252" s="317" t="s">
        <v>791</v>
      </c>
      <c r="B252" s="314" t="n">
        <v>64570654</v>
      </c>
      <c r="C252" s="314" t="s">
        <v>2011</v>
      </c>
      <c r="D252" s="314" t="s">
        <v>1879</v>
      </c>
      <c r="E252" s="314" t="s">
        <v>1959</v>
      </c>
      <c r="F252" s="314" t="s">
        <v>2005</v>
      </c>
      <c r="G252" s="314" t="s">
        <v>1926</v>
      </c>
      <c r="H252" s="314" t="s">
        <v>1495</v>
      </c>
      <c r="I252" s="314" t="s">
        <v>1941</v>
      </c>
      <c r="J252" s="314" t="s">
        <v>1458</v>
      </c>
      <c r="K252" s="314" t="s">
        <v>1942</v>
      </c>
      <c r="L252" s="324" t="s">
        <v>1929</v>
      </c>
      <c r="M252" s="324" t="s">
        <v>315</v>
      </c>
      <c r="N252" s="324" t="s">
        <v>1961</v>
      </c>
      <c r="O252" s="324" t="s">
        <v>315</v>
      </c>
      <c r="P252" s="324" t="s">
        <v>315</v>
      </c>
      <c r="Q252" s="325" t="n">
        <v>4235790455</v>
      </c>
      <c r="R252" s="325" t="n">
        <v>36880280</v>
      </c>
      <c r="S252" s="325" t="n">
        <v>274245461</v>
      </c>
      <c r="T252" s="325" t="n">
        <v>575949970</v>
      </c>
      <c r="U252" s="325" t="n">
        <v>794482410</v>
      </c>
      <c r="V252" s="325" t="n">
        <v>724977376</v>
      </c>
      <c r="W252" s="325" t="n">
        <v>1150180305</v>
      </c>
      <c r="X252" s="325" t="n">
        <v>1399819248</v>
      </c>
      <c r="Y252" s="325" t="n">
        <v>1556059313</v>
      </c>
      <c r="Z252" s="325" t="n">
        <v>2245127049</v>
      </c>
      <c r="AA252" s="325"/>
      <c r="AB252" s="325"/>
      <c r="AC252" s="325"/>
      <c r="AD252" s="325"/>
      <c r="AE252" s="325" t="n">
        <f aca="false">R252</f>
        <v>36880280</v>
      </c>
      <c r="AF252" s="325" t="n">
        <f aca="false">S252-R252</f>
        <v>237365181</v>
      </c>
      <c r="AG252" s="325" t="n">
        <f aca="false">T252-S252</f>
        <v>301704509</v>
      </c>
      <c r="AH252" s="325" t="n">
        <f aca="false">U252-T252</f>
        <v>218532440</v>
      </c>
      <c r="AI252" s="325" t="n">
        <f aca="false">V252-U252</f>
        <v>-69505034</v>
      </c>
      <c r="AJ252" s="325" t="n">
        <f aca="false">W252-V252</f>
        <v>425202929</v>
      </c>
      <c r="AK252" s="325" t="n">
        <f aca="false">X252-W252</f>
        <v>249638943</v>
      </c>
      <c r="AL252" s="325" t="n">
        <f aca="false">Y252-X252</f>
        <v>156240065</v>
      </c>
      <c r="AM252" s="325" t="n">
        <f aca="false">Z252-Y252</f>
        <v>689067736</v>
      </c>
      <c r="AN252" s="325" t="s">
        <v>1679</v>
      </c>
      <c r="AO252" s="325" t="n">
        <f aca="false">AB252-AA252</f>
        <v>0</v>
      </c>
      <c r="AP252" s="325" t="n">
        <f aca="false">AC252-AB252</f>
        <v>0</v>
      </c>
      <c r="AR252" s="314" t="str">
        <f aca="false">IFERROR(VLOOKUP(M252,'PL_DEC.2026'!$D$11:$D$99,1,FALSE()),"(미존재)")</f>
        <v>광고선전비</v>
      </c>
    </row>
    <row r="253" customFormat="false" ht="16.5" hidden="false" customHeight="false" outlineLevel="0" collapsed="false">
      <c r="A253" s="317" t="s">
        <v>791</v>
      </c>
      <c r="B253" s="314" t="n">
        <v>64590000</v>
      </c>
      <c r="C253" s="314" t="s">
        <v>2012</v>
      </c>
      <c r="D253" s="314" t="s">
        <v>1879</v>
      </c>
      <c r="E253" s="314" t="s">
        <v>1959</v>
      </c>
      <c r="F253" s="314" t="s">
        <v>2013</v>
      </c>
      <c r="G253" s="314" t="s">
        <v>1926</v>
      </c>
      <c r="H253" s="314" t="s">
        <v>1495</v>
      </c>
      <c r="I253" s="314" t="s">
        <v>1941</v>
      </c>
      <c r="J253" s="314" t="s">
        <v>1458</v>
      </c>
      <c r="K253" s="314" t="s">
        <v>1942</v>
      </c>
      <c r="L253" s="324" t="s">
        <v>1929</v>
      </c>
      <c r="M253" s="324" t="s">
        <v>315</v>
      </c>
      <c r="N253" s="324" t="s">
        <v>1961</v>
      </c>
      <c r="O253" s="324" t="s">
        <v>315</v>
      </c>
      <c r="P253" s="324" t="s">
        <v>315</v>
      </c>
      <c r="Q253" s="325" t="n">
        <v>684330614</v>
      </c>
      <c r="R253" s="325" t="n">
        <v>25122562</v>
      </c>
      <c r="S253" s="325" t="n">
        <v>50054062</v>
      </c>
      <c r="T253" s="325" t="n">
        <v>110590583</v>
      </c>
      <c r="U253" s="325" t="n">
        <v>146393946</v>
      </c>
      <c r="V253" s="325" t="n">
        <v>174879761</v>
      </c>
      <c r="W253" s="325" t="n">
        <v>328186329</v>
      </c>
      <c r="X253" s="325" t="n">
        <v>386183236</v>
      </c>
      <c r="Y253" s="325" t="n">
        <v>486633565</v>
      </c>
      <c r="Z253" s="325" t="n">
        <v>574412708</v>
      </c>
      <c r="AA253" s="325"/>
      <c r="AB253" s="325"/>
      <c r="AC253" s="325"/>
      <c r="AD253" s="325"/>
      <c r="AE253" s="325" t="n">
        <f aca="false">R253</f>
        <v>25122562</v>
      </c>
      <c r="AF253" s="325" t="n">
        <f aca="false">S253-R253</f>
        <v>24931500</v>
      </c>
      <c r="AG253" s="325" t="n">
        <f aca="false">T253-S253</f>
        <v>60536521</v>
      </c>
      <c r="AH253" s="325" t="n">
        <f aca="false">U253-T253</f>
        <v>35803363</v>
      </c>
      <c r="AI253" s="325" t="n">
        <f aca="false">V253-U253</f>
        <v>28485815</v>
      </c>
      <c r="AJ253" s="325" t="n">
        <f aca="false">W253-V253</f>
        <v>153306568</v>
      </c>
      <c r="AK253" s="325" t="n">
        <f aca="false">X253-W253</f>
        <v>57996907</v>
      </c>
      <c r="AL253" s="325" t="n">
        <f aca="false">Y253-X253</f>
        <v>100450329</v>
      </c>
      <c r="AM253" s="325" t="n">
        <f aca="false">Z253-Y253</f>
        <v>87779143</v>
      </c>
      <c r="AN253" s="325" t="s">
        <v>1679</v>
      </c>
      <c r="AO253" s="325" t="n">
        <f aca="false">AB253-AA253</f>
        <v>0</v>
      </c>
      <c r="AP253" s="325" t="n">
        <f aca="false">AC253-AB253</f>
        <v>0</v>
      </c>
      <c r="AR253" s="314" t="str">
        <f aca="false">IFERROR(VLOOKUP(M253,'PL_DEC.2026'!$D$11:$D$99,1,FALSE()),"(미존재)")</f>
        <v>광고선전비</v>
      </c>
    </row>
    <row r="254" customFormat="false" ht="16.5" hidden="false" customHeight="false" outlineLevel="0" collapsed="false">
      <c r="A254" s="317" t="s">
        <v>791</v>
      </c>
      <c r="B254" s="314" t="n">
        <v>64590017</v>
      </c>
      <c r="C254" s="314" t="s">
        <v>2014</v>
      </c>
      <c r="D254" s="314" t="s">
        <v>1879</v>
      </c>
      <c r="E254" s="314" t="s">
        <v>1924</v>
      </c>
      <c r="F254" s="314" t="s">
        <v>1925</v>
      </c>
      <c r="G254" s="314" t="s">
        <v>1926</v>
      </c>
      <c r="H254" s="314" t="s">
        <v>1495</v>
      </c>
      <c r="I254" s="314" t="s">
        <v>1941</v>
      </c>
      <c r="J254" s="314" t="s">
        <v>1458</v>
      </c>
      <c r="K254" s="314" t="s">
        <v>1942</v>
      </c>
      <c r="L254" s="324" t="s">
        <v>1929</v>
      </c>
      <c r="M254" s="324" t="s">
        <v>344</v>
      </c>
      <c r="N254" s="324" t="s">
        <v>1929</v>
      </c>
      <c r="O254" s="324" t="s">
        <v>344</v>
      </c>
      <c r="P254" s="324" t="s">
        <v>344</v>
      </c>
      <c r="Q254" s="325" t="n">
        <v>4000000</v>
      </c>
      <c r="R254" s="325" t="n">
        <v>0</v>
      </c>
      <c r="S254" s="325" t="n">
        <v>0</v>
      </c>
      <c r="T254" s="325" t="n">
        <v>0</v>
      </c>
      <c r="U254" s="325" t="n">
        <v>0</v>
      </c>
      <c r="V254" s="325" t="n">
        <v>0</v>
      </c>
      <c r="W254" s="325" t="n">
        <v>0</v>
      </c>
      <c r="X254" s="325" t="n">
        <v>0</v>
      </c>
      <c r="Y254" s="325" t="n">
        <v>0</v>
      </c>
      <c r="Z254" s="325" t="n">
        <v>0</v>
      </c>
      <c r="AA254" s="325"/>
      <c r="AB254" s="325"/>
      <c r="AC254" s="325"/>
      <c r="AD254" s="325"/>
      <c r="AE254" s="325" t="n">
        <f aca="false">R254</f>
        <v>0</v>
      </c>
      <c r="AF254" s="325" t="n">
        <f aca="false">S254-R254</f>
        <v>0</v>
      </c>
      <c r="AG254" s="325" t="n">
        <f aca="false">T254-S254</f>
        <v>0</v>
      </c>
      <c r="AH254" s="325" t="n">
        <f aca="false">U254-T254</f>
        <v>0</v>
      </c>
      <c r="AI254" s="325" t="n">
        <f aca="false">V254-U254</f>
        <v>0</v>
      </c>
      <c r="AJ254" s="325" t="n">
        <f aca="false">W254-V254</f>
        <v>0</v>
      </c>
      <c r="AK254" s="325" t="n">
        <f aca="false">X254-W254</f>
        <v>0</v>
      </c>
      <c r="AL254" s="325" t="n">
        <f aca="false">Y254-X254</f>
        <v>0</v>
      </c>
      <c r="AM254" s="325" t="n">
        <f aca="false">Z254-Y254</f>
        <v>0</v>
      </c>
      <c r="AN254" s="325" t="s">
        <v>1679</v>
      </c>
      <c r="AO254" s="325" t="n">
        <f aca="false">AB254-AA254</f>
        <v>0</v>
      </c>
      <c r="AP254" s="325" t="n">
        <f aca="false">AC254-AB254</f>
        <v>0</v>
      </c>
      <c r="AR254" s="314" t="str">
        <f aca="false">IFERROR(VLOOKUP(M254,'PL_DEC.2026'!$D$11:$D$99,1,FALSE()),"(미존재)")</f>
        <v>지급수수료</v>
      </c>
    </row>
    <row r="255" customFormat="false" ht="16.5" hidden="false" customHeight="false" outlineLevel="0" collapsed="false">
      <c r="A255" s="317" t="s">
        <v>791</v>
      </c>
      <c r="B255" s="314" t="n">
        <v>64590020</v>
      </c>
      <c r="C255" s="314" t="s">
        <v>2015</v>
      </c>
      <c r="D255" s="314" t="s">
        <v>1879</v>
      </c>
      <c r="E255" s="314" t="s">
        <v>1959</v>
      </c>
      <c r="F255" s="314" t="s">
        <v>2005</v>
      </c>
      <c r="G255" s="314" t="s">
        <v>1926</v>
      </c>
      <c r="H255" s="314" t="s">
        <v>1495</v>
      </c>
      <c r="I255" s="314" t="s">
        <v>1941</v>
      </c>
      <c r="J255" s="314" t="s">
        <v>1458</v>
      </c>
      <c r="K255" s="314" t="s">
        <v>1942</v>
      </c>
      <c r="L255" s="324" t="s">
        <v>1929</v>
      </c>
      <c r="M255" s="324" t="s">
        <v>315</v>
      </c>
      <c r="N255" s="324" t="s">
        <v>1961</v>
      </c>
      <c r="O255" s="324" t="s">
        <v>315</v>
      </c>
      <c r="P255" s="324" t="s">
        <v>315</v>
      </c>
      <c r="Q255" s="325" t="n">
        <v>-43933200</v>
      </c>
      <c r="R255" s="325" t="n">
        <v>0</v>
      </c>
      <c r="S255" s="325" t="n">
        <v>0</v>
      </c>
      <c r="T255" s="325" t="n">
        <v>0</v>
      </c>
      <c r="U255" s="325" t="n">
        <v>0</v>
      </c>
      <c r="V255" s="325" t="n">
        <v>0</v>
      </c>
      <c r="W255" s="325" t="n">
        <v>0</v>
      </c>
      <c r="X255" s="325" t="n">
        <v>0</v>
      </c>
      <c r="Y255" s="325" t="n">
        <v>0</v>
      </c>
      <c r="Z255" s="325" t="n">
        <v>0</v>
      </c>
      <c r="AA255" s="325"/>
      <c r="AB255" s="325"/>
      <c r="AC255" s="325"/>
      <c r="AD255" s="325"/>
      <c r="AE255" s="325" t="n">
        <f aca="false">R255</f>
        <v>0</v>
      </c>
      <c r="AF255" s="325" t="n">
        <f aca="false">S255-R255</f>
        <v>0</v>
      </c>
      <c r="AG255" s="325" t="n">
        <f aca="false">T255-S255</f>
        <v>0</v>
      </c>
      <c r="AH255" s="325" t="n">
        <f aca="false">U255-T255</f>
        <v>0</v>
      </c>
      <c r="AI255" s="325" t="n">
        <f aca="false">V255-U255</f>
        <v>0</v>
      </c>
      <c r="AJ255" s="325" t="n">
        <f aca="false">W255-V255</f>
        <v>0</v>
      </c>
      <c r="AK255" s="325" t="n">
        <f aca="false">X255-W255</f>
        <v>0</v>
      </c>
      <c r="AL255" s="325" t="n">
        <f aca="false">Y255-X255</f>
        <v>0</v>
      </c>
      <c r="AM255" s="325" t="n">
        <f aca="false">Z255-Y255</f>
        <v>0</v>
      </c>
      <c r="AN255" s="325" t="s">
        <v>1679</v>
      </c>
      <c r="AO255" s="325" t="n">
        <f aca="false">AB255-AA255</f>
        <v>0</v>
      </c>
      <c r="AP255" s="325" t="n">
        <f aca="false">AC255-AB255</f>
        <v>0</v>
      </c>
      <c r="AR255" s="314" t="str">
        <f aca="false">IFERROR(VLOOKUP(M255,'PL_DEC.2026'!$D$11:$D$99,1,FALSE()),"(미존재)")</f>
        <v>광고선전비</v>
      </c>
    </row>
    <row r="256" customFormat="false" ht="16.5" hidden="false" customHeight="false" outlineLevel="0" collapsed="false">
      <c r="A256" s="317" t="s">
        <v>791</v>
      </c>
      <c r="B256" s="314" t="n">
        <v>64590050</v>
      </c>
      <c r="C256" s="314" t="s">
        <v>2016</v>
      </c>
      <c r="D256" s="314" t="s">
        <v>1879</v>
      </c>
      <c r="E256" s="314" t="s">
        <v>1924</v>
      </c>
      <c r="F256" s="314" t="s">
        <v>1965</v>
      </c>
      <c r="G256" s="314" t="s">
        <v>1926</v>
      </c>
      <c r="H256" s="314" t="s">
        <v>1495</v>
      </c>
      <c r="I256" s="314" t="s">
        <v>1941</v>
      </c>
      <c r="J256" s="314" t="s">
        <v>1458</v>
      </c>
      <c r="K256" s="314" t="s">
        <v>1942</v>
      </c>
      <c r="L256" s="324" t="s">
        <v>1929</v>
      </c>
      <c r="M256" s="324" t="s">
        <v>346</v>
      </c>
      <c r="N256" s="324" t="s">
        <v>1929</v>
      </c>
      <c r="O256" s="324" t="s">
        <v>1966</v>
      </c>
      <c r="P256" s="324" t="s">
        <v>1966</v>
      </c>
      <c r="Q256" s="325" t="n">
        <v>419798628</v>
      </c>
      <c r="R256" s="325" t="n">
        <v>29897137</v>
      </c>
      <c r="S256" s="325" t="n">
        <v>64545804</v>
      </c>
      <c r="T256" s="325" t="n">
        <v>102557911</v>
      </c>
      <c r="U256" s="325" t="n">
        <v>134162878</v>
      </c>
      <c r="V256" s="325" t="n">
        <v>168664745</v>
      </c>
      <c r="W256" s="325" t="n">
        <v>200658849</v>
      </c>
      <c r="X256" s="325" t="n">
        <v>234631754</v>
      </c>
      <c r="Y256" s="325" t="n">
        <v>266300421</v>
      </c>
      <c r="Z256" s="325" t="n">
        <v>296221488</v>
      </c>
      <c r="AA256" s="325"/>
      <c r="AB256" s="325"/>
      <c r="AC256" s="325"/>
      <c r="AD256" s="325"/>
      <c r="AE256" s="325" t="n">
        <f aca="false">R256</f>
        <v>29897137</v>
      </c>
      <c r="AF256" s="325" t="n">
        <f aca="false">S256-R256</f>
        <v>34648667</v>
      </c>
      <c r="AG256" s="325" t="n">
        <f aca="false">T256-S256</f>
        <v>38012107</v>
      </c>
      <c r="AH256" s="325" t="n">
        <f aca="false">U256-T256</f>
        <v>31604967</v>
      </c>
      <c r="AI256" s="325" t="n">
        <f aca="false">V256-U256</f>
        <v>34501867</v>
      </c>
      <c r="AJ256" s="325" t="n">
        <f aca="false">W256-V256</f>
        <v>31994104</v>
      </c>
      <c r="AK256" s="325" t="n">
        <f aca="false">X256-W256</f>
        <v>33972905</v>
      </c>
      <c r="AL256" s="325" t="n">
        <f aca="false">Y256-X256</f>
        <v>31668667</v>
      </c>
      <c r="AM256" s="325" t="n">
        <f aca="false">Z256-Y256</f>
        <v>29921067</v>
      </c>
      <c r="AN256" s="325" t="s">
        <v>1679</v>
      </c>
      <c r="AO256" s="325" t="n">
        <f aca="false">AB256-AA256</f>
        <v>0</v>
      </c>
      <c r="AP256" s="325" t="n">
        <f aca="false">AC256-AB256</f>
        <v>0</v>
      </c>
      <c r="AR256" s="314" t="str">
        <f aca="false">IFERROR(VLOOKUP(M256,'PL_DEC.2026'!$D$11:$D$99,1,FALSE()),"(미존재)")</f>
        <v>제세공과</v>
      </c>
    </row>
    <row r="257" customFormat="false" ht="16.5" hidden="false" customHeight="false" outlineLevel="0" collapsed="false">
      <c r="A257" s="317" t="s">
        <v>791</v>
      </c>
      <c r="B257" s="314" t="n">
        <v>64590052</v>
      </c>
      <c r="C257" s="314" t="s">
        <v>2017</v>
      </c>
      <c r="D257" s="314" t="s">
        <v>1879</v>
      </c>
      <c r="E257" s="314" t="s">
        <v>1924</v>
      </c>
      <c r="F257" s="314" t="s">
        <v>1925</v>
      </c>
      <c r="G257" s="314" t="s">
        <v>1926</v>
      </c>
      <c r="H257" s="314" t="s">
        <v>1495</v>
      </c>
      <c r="I257" s="314" t="s">
        <v>1941</v>
      </c>
      <c r="J257" s="314" t="s">
        <v>1458</v>
      </c>
      <c r="K257" s="314" t="s">
        <v>1942</v>
      </c>
      <c r="L257" s="324" t="s">
        <v>1929</v>
      </c>
      <c r="M257" s="324" t="s">
        <v>344</v>
      </c>
      <c r="N257" s="324" t="s">
        <v>1929</v>
      </c>
      <c r="O257" s="324" t="s">
        <v>344</v>
      </c>
      <c r="P257" s="324" t="s">
        <v>344</v>
      </c>
      <c r="Q257" s="325" t="n">
        <v>732418362</v>
      </c>
      <c r="R257" s="325" t="n">
        <v>41349998</v>
      </c>
      <c r="S257" s="325" t="n">
        <v>91605384</v>
      </c>
      <c r="T257" s="325" t="n">
        <v>182802972</v>
      </c>
      <c r="U257" s="325" t="n">
        <v>238318639</v>
      </c>
      <c r="V257" s="325" t="n">
        <v>263043039</v>
      </c>
      <c r="W257" s="325" t="n">
        <v>292366095</v>
      </c>
      <c r="X257" s="325" t="n">
        <v>354816109</v>
      </c>
      <c r="Y257" s="325" t="n">
        <v>402423909</v>
      </c>
      <c r="Z257" s="325" t="n">
        <v>454576863</v>
      </c>
      <c r="AA257" s="325"/>
      <c r="AB257" s="325"/>
      <c r="AC257" s="325"/>
      <c r="AD257" s="325"/>
      <c r="AE257" s="325" t="n">
        <f aca="false">R257</f>
        <v>41349998</v>
      </c>
      <c r="AF257" s="325" t="n">
        <f aca="false">S257-R257</f>
        <v>50255386</v>
      </c>
      <c r="AG257" s="325" t="n">
        <f aca="false">T257-S257</f>
        <v>91197588</v>
      </c>
      <c r="AH257" s="325" t="n">
        <f aca="false">U257-T257</f>
        <v>55515667</v>
      </c>
      <c r="AI257" s="325" t="n">
        <f aca="false">V257-U257</f>
        <v>24724400</v>
      </c>
      <c r="AJ257" s="325" t="n">
        <f aca="false">W257-V257</f>
        <v>29323056</v>
      </c>
      <c r="AK257" s="325" t="n">
        <f aca="false">X257-W257</f>
        <v>62450014</v>
      </c>
      <c r="AL257" s="325" t="n">
        <f aca="false">Y257-X257</f>
        <v>47607800</v>
      </c>
      <c r="AM257" s="325" t="n">
        <f aca="false">Z257-Y257</f>
        <v>52152954</v>
      </c>
      <c r="AN257" s="325" t="s">
        <v>1679</v>
      </c>
      <c r="AO257" s="325" t="n">
        <f aca="false">AB257-AA257</f>
        <v>0</v>
      </c>
      <c r="AP257" s="325" t="n">
        <f aca="false">AC257-AB257</f>
        <v>0</v>
      </c>
      <c r="AR257" s="314" t="str">
        <f aca="false">IFERROR(VLOOKUP(M257,'PL_DEC.2026'!$D$11:$D$99,1,FALSE()),"(미존재)")</f>
        <v>지급수수료</v>
      </c>
    </row>
    <row r="258" customFormat="false" ht="16.5" hidden="false" customHeight="false" outlineLevel="0" collapsed="false">
      <c r="A258" s="317" t="s">
        <v>791</v>
      </c>
      <c r="B258" s="314" t="n">
        <v>64590063</v>
      </c>
      <c r="C258" s="314" t="s">
        <v>2018</v>
      </c>
      <c r="D258" s="314" t="s">
        <v>1879</v>
      </c>
      <c r="E258" s="314" t="s">
        <v>1959</v>
      </c>
      <c r="F258" s="314" t="s">
        <v>2005</v>
      </c>
      <c r="G258" s="314" t="s">
        <v>1926</v>
      </c>
      <c r="H258" s="314" t="s">
        <v>1495</v>
      </c>
      <c r="I258" s="314" t="s">
        <v>1941</v>
      </c>
      <c r="J258" s="314" t="s">
        <v>1458</v>
      </c>
      <c r="K258" s="314" t="s">
        <v>1942</v>
      </c>
      <c r="L258" s="324" t="s">
        <v>1929</v>
      </c>
      <c r="M258" s="324" t="s">
        <v>315</v>
      </c>
      <c r="N258" s="324" t="s">
        <v>1961</v>
      </c>
      <c r="O258" s="324" t="s">
        <v>315</v>
      </c>
      <c r="P258" s="324" t="s">
        <v>315</v>
      </c>
      <c r="Q258" s="325" t="n">
        <v>2592263449</v>
      </c>
      <c r="R258" s="325" t="n">
        <v>20000000</v>
      </c>
      <c r="S258" s="325" t="n">
        <v>26000000</v>
      </c>
      <c r="T258" s="325" t="n">
        <v>112200000</v>
      </c>
      <c r="U258" s="325" t="n">
        <v>586772728</v>
      </c>
      <c r="V258" s="325" t="n">
        <v>721897148</v>
      </c>
      <c r="W258" s="325" t="n">
        <v>839897148</v>
      </c>
      <c r="X258" s="325" t="n">
        <v>957897148</v>
      </c>
      <c r="Y258" s="325" t="n">
        <v>972897148</v>
      </c>
      <c r="Z258" s="325" t="n">
        <v>1383397148</v>
      </c>
      <c r="AA258" s="325"/>
      <c r="AB258" s="325"/>
      <c r="AC258" s="325"/>
      <c r="AD258" s="325"/>
      <c r="AE258" s="325" t="n">
        <f aca="false">R258</f>
        <v>20000000</v>
      </c>
      <c r="AF258" s="325" t="n">
        <f aca="false">S258-R258</f>
        <v>6000000</v>
      </c>
      <c r="AG258" s="325" t="n">
        <f aca="false">T258-S258</f>
        <v>86200000</v>
      </c>
      <c r="AH258" s="325" t="n">
        <f aca="false">U258-T258</f>
        <v>474572728</v>
      </c>
      <c r="AI258" s="325" t="n">
        <f aca="false">V258-U258</f>
        <v>135124420</v>
      </c>
      <c r="AJ258" s="325" t="n">
        <f aca="false">W258-V258</f>
        <v>118000000</v>
      </c>
      <c r="AK258" s="325" t="n">
        <f aca="false">X258-W258</f>
        <v>118000000</v>
      </c>
      <c r="AL258" s="325" t="n">
        <f aca="false">Y258-X258</f>
        <v>15000000</v>
      </c>
      <c r="AM258" s="325" t="n">
        <f aca="false">Z258-Y258</f>
        <v>410500000</v>
      </c>
      <c r="AN258" s="325" t="s">
        <v>1679</v>
      </c>
      <c r="AO258" s="325" t="n">
        <f aca="false">AB258-AA258</f>
        <v>0</v>
      </c>
      <c r="AP258" s="325" t="n">
        <f aca="false">AC258-AB258</f>
        <v>0</v>
      </c>
      <c r="AR258" s="314" t="str">
        <f aca="false">IFERROR(VLOOKUP(M258,'PL_DEC.2026'!$D$11:$D$99,1,FALSE()),"(미존재)")</f>
        <v>광고선전비</v>
      </c>
    </row>
    <row r="259" customFormat="false" ht="16.5" hidden="false" customHeight="false" outlineLevel="0" collapsed="false">
      <c r="A259" s="317" t="s">
        <v>791</v>
      </c>
      <c r="B259" s="314" t="n">
        <v>64590719</v>
      </c>
      <c r="C259" s="314" t="s">
        <v>2019</v>
      </c>
      <c r="D259" s="314" t="s">
        <v>1879</v>
      </c>
      <c r="E259" s="314" t="s">
        <v>1924</v>
      </c>
      <c r="F259" s="314" t="s">
        <v>2020</v>
      </c>
      <c r="G259" s="314" t="s">
        <v>1926</v>
      </c>
      <c r="H259" s="314" t="s">
        <v>1495</v>
      </c>
      <c r="I259" s="314" t="s">
        <v>1941</v>
      </c>
      <c r="J259" s="314" t="s">
        <v>1458</v>
      </c>
      <c r="K259" s="314" t="s">
        <v>1942</v>
      </c>
      <c r="L259" s="324" t="s">
        <v>1929</v>
      </c>
      <c r="M259" s="324" t="s">
        <v>315</v>
      </c>
      <c r="N259" s="324" t="s">
        <v>1929</v>
      </c>
      <c r="O259" s="324" t="s">
        <v>366</v>
      </c>
      <c r="P259" s="324" t="s">
        <v>366</v>
      </c>
      <c r="Q259" s="325" t="n">
        <v>413713160</v>
      </c>
      <c r="R259" s="325" t="n">
        <v>83925473</v>
      </c>
      <c r="S259" s="325" t="n">
        <v>98725473</v>
      </c>
      <c r="T259" s="325" t="n">
        <v>180277001</v>
      </c>
      <c r="U259" s="325" t="n">
        <v>204877001</v>
      </c>
      <c r="V259" s="325" t="n">
        <v>247171205</v>
      </c>
      <c r="W259" s="325" t="n">
        <v>296424589</v>
      </c>
      <c r="X259" s="325" t="n">
        <v>328724589</v>
      </c>
      <c r="Y259" s="325" t="n">
        <v>348924589</v>
      </c>
      <c r="Z259" s="325" t="n">
        <v>383074589</v>
      </c>
      <c r="AA259" s="325"/>
      <c r="AB259" s="325"/>
      <c r="AC259" s="325"/>
      <c r="AD259" s="325"/>
      <c r="AE259" s="325" t="n">
        <f aca="false">R259</f>
        <v>83925473</v>
      </c>
      <c r="AF259" s="325" t="n">
        <f aca="false">S259-R259</f>
        <v>14800000</v>
      </c>
      <c r="AG259" s="325" t="n">
        <f aca="false">T259-S259</f>
        <v>81551528</v>
      </c>
      <c r="AH259" s="325" t="n">
        <f aca="false">U259-T259</f>
        <v>24600000</v>
      </c>
      <c r="AI259" s="325" t="n">
        <f aca="false">V259-U259</f>
        <v>42294204</v>
      </c>
      <c r="AJ259" s="325" t="n">
        <f aca="false">W259-V259</f>
        <v>49253384</v>
      </c>
      <c r="AK259" s="325" t="n">
        <f aca="false">X259-W259</f>
        <v>32300000</v>
      </c>
      <c r="AL259" s="325" t="n">
        <f aca="false">Y259-X259</f>
        <v>20200000</v>
      </c>
      <c r="AM259" s="325" t="n">
        <f aca="false">Z259-Y259</f>
        <v>34150000</v>
      </c>
      <c r="AN259" s="325" t="s">
        <v>1679</v>
      </c>
      <c r="AO259" s="325" t="n">
        <f aca="false">AB259-AA259</f>
        <v>0</v>
      </c>
      <c r="AP259" s="325" t="n">
        <f aca="false">AC259-AB259</f>
        <v>0</v>
      </c>
      <c r="AR259" s="314" t="str">
        <f aca="false">IFERROR(VLOOKUP(M259,'PL_DEC.2026'!$D$11:$D$99,1,FALSE()),"(미존재)")</f>
        <v>광고선전비</v>
      </c>
    </row>
    <row r="260" customFormat="false" ht="16.5" hidden="false" customHeight="false" outlineLevel="0" collapsed="false">
      <c r="A260" s="317" t="s">
        <v>791</v>
      </c>
      <c r="B260" s="314" t="n">
        <v>64591000</v>
      </c>
      <c r="C260" s="314" t="s">
        <v>2021</v>
      </c>
      <c r="D260" s="314" t="s">
        <v>1879</v>
      </c>
      <c r="E260" s="314" t="s">
        <v>1959</v>
      </c>
      <c r="F260" s="314" t="s">
        <v>2005</v>
      </c>
      <c r="G260" s="314" t="s">
        <v>1926</v>
      </c>
      <c r="H260" s="314" t="s">
        <v>1495</v>
      </c>
      <c r="I260" s="314" t="s">
        <v>1941</v>
      </c>
      <c r="J260" s="314" t="s">
        <v>1458</v>
      </c>
      <c r="K260" s="314" t="s">
        <v>1942</v>
      </c>
      <c r="L260" s="324" t="s">
        <v>1929</v>
      </c>
      <c r="M260" s="324" t="s">
        <v>315</v>
      </c>
      <c r="N260" s="324" t="s">
        <v>1961</v>
      </c>
      <c r="O260" s="324" t="s">
        <v>315</v>
      </c>
      <c r="P260" s="324" t="s">
        <v>315</v>
      </c>
      <c r="Q260" s="325" t="n">
        <v>1098853873</v>
      </c>
      <c r="R260" s="325" t="n">
        <v>64519500</v>
      </c>
      <c r="S260" s="325" t="n">
        <v>117269752</v>
      </c>
      <c r="T260" s="325" t="n">
        <v>242404156</v>
      </c>
      <c r="U260" s="325" t="n">
        <v>307368067</v>
      </c>
      <c r="V260" s="325" t="n">
        <v>349254034</v>
      </c>
      <c r="W260" s="325" t="n">
        <v>471748956</v>
      </c>
      <c r="X260" s="325" t="n">
        <v>504132964</v>
      </c>
      <c r="Y260" s="325" t="n">
        <v>540435381</v>
      </c>
      <c r="Z260" s="325" t="n">
        <v>760619973</v>
      </c>
      <c r="AA260" s="325"/>
      <c r="AB260" s="325"/>
      <c r="AC260" s="325"/>
      <c r="AD260" s="325"/>
      <c r="AE260" s="325" t="n">
        <f aca="false">R260</f>
        <v>64519500</v>
      </c>
      <c r="AF260" s="325" t="n">
        <f aca="false">S260-R260</f>
        <v>52750252</v>
      </c>
      <c r="AG260" s="325" t="n">
        <f aca="false">T260-S260</f>
        <v>125134404</v>
      </c>
      <c r="AH260" s="325" t="n">
        <f aca="false">U260-T260</f>
        <v>64963911</v>
      </c>
      <c r="AI260" s="325" t="n">
        <f aca="false">V260-U260</f>
        <v>41885967</v>
      </c>
      <c r="AJ260" s="325" t="n">
        <f aca="false">W260-V260</f>
        <v>122494922</v>
      </c>
      <c r="AK260" s="325" t="n">
        <f aca="false">X260-W260</f>
        <v>32384008</v>
      </c>
      <c r="AL260" s="325" t="n">
        <f aca="false">Y260-X260</f>
        <v>36302417</v>
      </c>
      <c r="AM260" s="325" t="n">
        <f aca="false">Z260-Y260</f>
        <v>220184592</v>
      </c>
      <c r="AN260" s="325" t="s">
        <v>1679</v>
      </c>
      <c r="AO260" s="325" t="n">
        <f aca="false">AB260-AA260</f>
        <v>0</v>
      </c>
      <c r="AP260" s="325" t="n">
        <f aca="false">AC260-AB260</f>
        <v>0</v>
      </c>
      <c r="AR260" s="314" t="str">
        <f aca="false">IFERROR(VLOOKUP(M260,'PL_DEC.2026'!$D$11:$D$99,1,FALSE()),"(미존재)")</f>
        <v>광고선전비</v>
      </c>
    </row>
    <row r="261" customFormat="false" ht="16.5" hidden="false" customHeight="false" outlineLevel="0" collapsed="false">
      <c r="A261" s="317" t="s">
        <v>791</v>
      </c>
      <c r="B261" s="314" t="n">
        <v>64591002</v>
      </c>
      <c r="C261" s="314" t="s">
        <v>2022</v>
      </c>
      <c r="D261" s="314" t="s">
        <v>1879</v>
      </c>
      <c r="E261" s="314" t="s">
        <v>1959</v>
      </c>
      <c r="F261" s="314" t="s">
        <v>2005</v>
      </c>
      <c r="G261" s="314" t="s">
        <v>1926</v>
      </c>
      <c r="H261" s="314" t="s">
        <v>1495</v>
      </c>
      <c r="I261" s="314" t="s">
        <v>1941</v>
      </c>
      <c r="J261" s="314" t="s">
        <v>1458</v>
      </c>
      <c r="K261" s="314" t="s">
        <v>1942</v>
      </c>
      <c r="L261" s="324" t="s">
        <v>1929</v>
      </c>
      <c r="M261" s="324" t="s">
        <v>315</v>
      </c>
      <c r="N261" s="324" t="s">
        <v>1961</v>
      </c>
      <c r="O261" s="324" t="s">
        <v>315</v>
      </c>
      <c r="P261" s="324" t="s">
        <v>315</v>
      </c>
      <c r="Q261" s="325" t="n">
        <v>1913268307</v>
      </c>
      <c r="R261" s="325" t="n">
        <v>67069604</v>
      </c>
      <c r="S261" s="325" t="n">
        <v>173962662</v>
      </c>
      <c r="T261" s="325" t="n">
        <v>317055486</v>
      </c>
      <c r="U261" s="325" t="n">
        <v>492540726</v>
      </c>
      <c r="V261" s="325" t="n">
        <v>603555579</v>
      </c>
      <c r="W261" s="325" t="n">
        <v>836574145</v>
      </c>
      <c r="X261" s="325" t="n">
        <v>973524085</v>
      </c>
      <c r="Y261" s="325" t="n">
        <v>1081079388</v>
      </c>
      <c r="Z261" s="325" t="n">
        <v>1187318831</v>
      </c>
      <c r="AA261" s="325"/>
      <c r="AB261" s="325"/>
      <c r="AC261" s="325"/>
      <c r="AD261" s="325"/>
      <c r="AE261" s="325" t="n">
        <f aca="false">R261</f>
        <v>67069604</v>
      </c>
      <c r="AF261" s="325" t="n">
        <f aca="false">S261-R261</f>
        <v>106893058</v>
      </c>
      <c r="AG261" s="325" t="n">
        <f aca="false">T261-S261</f>
        <v>143092824</v>
      </c>
      <c r="AH261" s="325" t="n">
        <f aca="false">U261-T261</f>
        <v>175485240</v>
      </c>
      <c r="AI261" s="325" t="n">
        <f aca="false">V261-U261</f>
        <v>111014853</v>
      </c>
      <c r="AJ261" s="325" t="n">
        <f aca="false">W261-V261</f>
        <v>233018566</v>
      </c>
      <c r="AK261" s="325" t="n">
        <f aca="false">X261-W261</f>
        <v>136949940</v>
      </c>
      <c r="AL261" s="325" t="n">
        <f aca="false">Y261-X261</f>
        <v>107555303</v>
      </c>
      <c r="AM261" s="325" t="n">
        <f aca="false">Z261-Y261</f>
        <v>106239443</v>
      </c>
      <c r="AN261" s="325" t="s">
        <v>1679</v>
      </c>
      <c r="AO261" s="325" t="n">
        <f aca="false">AB261-AA261</f>
        <v>0</v>
      </c>
      <c r="AP261" s="325" t="n">
        <f aca="false">AC261-AB261</f>
        <v>0</v>
      </c>
      <c r="AR261" s="314" t="str">
        <f aca="false">IFERROR(VLOOKUP(M261,'PL_DEC.2026'!$D$11:$D$99,1,FALSE()),"(미존재)")</f>
        <v>광고선전비</v>
      </c>
    </row>
    <row r="262" customFormat="false" ht="16.5" hidden="false" customHeight="false" outlineLevel="0" collapsed="false">
      <c r="A262" s="317" t="s">
        <v>791</v>
      </c>
      <c r="B262" s="314" t="n">
        <v>64591006</v>
      </c>
      <c r="C262" s="314" t="s">
        <v>2023</v>
      </c>
      <c r="G262" s="314" t="s">
        <v>1926</v>
      </c>
      <c r="H262" s="314" t="s">
        <v>1495</v>
      </c>
      <c r="I262" s="314" t="s">
        <v>1941</v>
      </c>
      <c r="J262" s="314" t="s">
        <v>1458</v>
      </c>
      <c r="K262" s="314" t="s">
        <v>1942</v>
      </c>
      <c r="L262" s="324" t="s">
        <v>1929</v>
      </c>
      <c r="M262" s="324" t="s">
        <v>315</v>
      </c>
      <c r="N262" s="324" t="s">
        <v>1961</v>
      </c>
      <c r="O262" s="324" t="s">
        <v>315</v>
      </c>
      <c r="P262" s="324" t="s">
        <v>315</v>
      </c>
      <c r="Q262" s="325" t="n">
        <v>0</v>
      </c>
      <c r="R262" s="325" t="n">
        <v>0</v>
      </c>
      <c r="S262" s="325" t="n">
        <v>0</v>
      </c>
      <c r="T262" s="325" t="n">
        <v>0</v>
      </c>
      <c r="U262" s="325" t="n">
        <v>0</v>
      </c>
      <c r="V262" s="325" t="n">
        <v>0</v>
      </c>
      <c r="W262" s="325" t="n">
        <v>0</v>
      </c>
      <c r="X262" s="325" t="n">
        <v>0</v>
      </c>
      <c r="Y262" s="325" t="n">
        <v>0</v>
      </c>
      <c r="Z262" s="325" t="n">
        <v>0</v>
      </c>
      <c r="AA262" s="325"/>
      <c r="AB262" s="325"/>
      <c r="AC262" s="325"/>
      <c r="AD262" s="325"/>
      <c r="AE262" s="325" t="n">
        <f aca="false">R262</f>
        <v>0</v>
      </c>
      <c r="AF262" s="325" t="n">
        <f aca="false">S262-R262</f>
        <v>0</v>
      </c>
      <c r="AG262" s="325" t="n">
        <f aca="false">T262-S262</f>
        <v>0</v>
      </c>
      <c r="AH262" s="325" t="n">
        <f aca="false">U262-T262</f>
        <v>0</v>
      </c>
      <c r="AI262" s="325" t="n">
        <f aca="false">V262-U262</f>
        <v>0</v>
      </c>
      <c r="AJ262" s="325" t="n">
        <f aca="false">W262-V262</f>
        <v>0</v>
      </c>
      <c r="AK262" s="325" t="n">
        <f aca="false">X262-W262</f>
        <v>0</v>
      </c>
      <c r="AL262" s="325" t="n">
        <f aca="false">Y262-X262</f>
        <v>0</v>
      </c>
      <c r="AM262" s="325" t="n">
        <f aca="false">Z262-Y262</f>
        <v>0</v>
      </c>
      <c r="AN262" s="325" t="s">
        <v>1679</v>
      </c>
      <c r="AO262" s="325" t="n">
        <f aca="false">AB262-AA262</f>
        <v>0</v>
      </c>
      <c r="AP262" s="325" t="n">
        <f aca="false">AC262-AB262</f>
        <v>0</v>
      </c>
      <c r="AR262" s="314" t="str">
        <f aca="false">IFERROR(VLOOKUP(M262,'PL_DEC.2026'!$D$11:$D$99,1,FALSE()),"(미존재)")</f>
        <v>광고선전비</v>
      </c>
    </row>
    <row r="263" customFormat="false" ht="16.5" hidden="false" customHeight="false" outlineLevel="0" collapsed="false">
      <c r="A263" s="317" t="s">
        <v>791</v>
      </c>
      <c r="B263" s="314" t="n">
        <v>64591012</v>
      </c>
      <c r="C263" s="314" t="s">
        <v>2024</v>
      </c>
      <c r="D263" s="314" t="s">
        <v>1879</v>
      </c>
      <c r="E263" s="314" t="s">
        <v>1959</v>
      </c>
      <c r="F263" s="314" t="s">
        <v>2005</v>
      </c>
      <c r="G263" s="314" t="s">
        <v>1926</v>
      </c>
      <c r="H263" s="314" t="s">
        <v>1495</v>
      </c>
      <c r="I263" s="314" t="s">
        <v>1941</v>
      </c>
      <c r="J263" s="314" t="s">
        <v>1458</v>
      </c>
      <c r="K263" s="314" t="s">
        <v>1942</v>
      </c>
      <c r="L263" s="324" t="s">
        <v>1929</v>
      </c>
      <c r="M263" s="324" t="s">
        <v>355</v>
      </c>
      <c r="N263" s="324" t="s">
        <v>1961</v>
      </c>
      <c r="O263" s="324" t="s">
        <v>315</v>
      </c>
      <c r="P263" s="324" t="s">
        <v>315</v>
      </c>
      <c r="Q263" s="325" t="n">
        <v>3899617646</v>
      </c>
      <c r="R263" s="325" t="n">
        <v>483488709</v>
      </c>
      <c r="S263" s="325" t="n">
        <v>639417737</v>
      </c>
      <c r="T263" s="325" t="n">
        <v>776251921</v>
      </c>
      <c r="U263" s="325" t="n">
        <v>978358031</v>
      </c>
      <c r="V263" s="325" t="n">
        <v>1512952296</v>
      </c>
      <c r="W263" s="325" t="n">
        <v>1869985432</v>
      </c>
      <c r="X263" s="325" t="n">
        <v>2128623852</v>
      </c>
      <c r="Y263" s="325" t="n">
        <v>2569284383</v>
      </c>
      <c r="Z263" s="325" t="n">
        <v>2672791433</v>
      </c>
      <c r="AA263" s="325"/>
      <c r="AB263" s="325"/>
      <c r="AC263" s="325"/>
      <c r="AD263" s="325"/>
      <c r="AE263" s="325" t="n">
        <f aca="false">R263</f>
        <v>483488709</v>
      </c>
      <c r="AF263" s="325" t="n">
        <f aca="false">S263-R263</f>
        <v>155929028</v>
      </c>
      <c r="AG263" s="325" t="n">
        <f aca="false">T263-S263</f>
        <v>136834184</v>
      </c>
      <c r="AH263" s="325" t="n">
        <f aca="false">U263-T263</f>
        <v>202106110</v>
      </c>
      <c r="AI263" s="325" t="n">
        <f aca="false">V263-U263</f>
        <v>534594265</v>
      </c>
      <c r="AJ263" s="325" t="n">
        <f aca="false">W263-V263</f>
        <v>357033136</v>
      </c>
      <c r="AK263" s="325" t="n">
        <f aca="false">X263-W263</f>
        <v>258638420</v>
      </c>
      <c r="AL263" s="325" t="n">
        <f aca="false">Y263-X263</f>
        <v>440660531</v>
      </c>
      <c r="AM263" s="325" t="n">
        <f aca="false">Z263-Y263</f>
        <v>103507050</v>
      </c>
      <c r="AN263" s="325" t="s">
        <v>1679</v>
      </c>
      <c r="AO263" s="325" t="n">
        <f aca="false">AB263-AA263</f>
        <v>0</v>
      </c>
      <c r="AP263" s="325" t="n">
        <f aca="false">AC263-AB263</f>
        <v>0</v>
      </c>
      <c r="AR263" s="314" t="str">
        <f aca="false">IFERROR(VLOOKUP(M263,'PL_DEC.2026'!$D$11:$D$99,1,FALSE()),"(미존재)")</f>
        <v>임상증례조사비</v>
      </c>
    </row>
    <row r="264" customFormat="false" ht="16.5" hidden="false" customHeight="false" outlineLevel="0" collapsed="false">
      <c r="A264" s="317" t="s">
        <v>791</v>
      </c>
      <c r="B264" s="314" t="n">
        <v>64591013</v>
      </c>
      <c r="C264" s="314" t="s">
        <v>2025</v>
      </c>
      <c r="D264" s="314" t="s">
        <v>1879</v>
      </c>
      <c r="E264" s="314" t="s">
        <v>1924</v>
      </c>
      <c r="F264" s="314" t="s">
        <v>2007</v>
      </c>
      <c r="G264" s="314" t="s">
        <v>1926</v>
      </c>
      <c r="H264" s="314" t="s">
        <v>1495</v>
      </c>
      <c r="I264" s="314" t="s">
        <v>1941</v>
      </c>
      <c r="J264" s="314" t="s">
        <v>1458</v>
      </c>
      <c r="K264" s="314" t="s">
        <v>1942</v>
      </c>
      <c r="L264" s="324" t="s">
        <v>1929</v>
      </c>
      <c r="M264" s="324" t="s">
        <v>315</v>
      </c>
      <c r="N264" s="324" t="s">
        <v>1929</v>
      </c>
      <c r="O264" s="324" t="s">
        <v>343</v>
      </c>
      <c r="P264" s="324" t="s">
        <v>343</v>
      </c>
      <c r="Q264" s="325" t="n">
        <v>3433479830</v>
      </c>
      <c r="R264" s="325" t="n">
        <v>167504726</v>
      </c>
      <c r="S264" s="325" t="n">
        <v>279083835</v>
      </c>
      <c r="T264" s="325" t="n">
        <v>611631789</v>
      </c>
      <c r="U264" s="325" t="n">
        <v>971464901</v>
      </c>
      <c r="V264" s="325" t="n">
        <v>1276578586</v>
      </c>
      <c r="W264" s="325" t="n">
        <v>1605428073</v>
      </c>
      <c r="X264" s="325" t="n">
        <v>1904794654</v>
      </c>
      <c r="Y264" s="325" t="n">
        <v>2141446227</v>
      </c>
      <c r="Z264" s="325" t="n">
        <v>2311855062</v>
      </c>
      <c r="AA264" s="325"/>
      <c r="AB264" s="325"/>
      <c r="AC264" s="325"/>
      <c r="AD264" s="325"/>
      <c r="AE264" s="325" t="n">
        <f aca="false">R264</f>
        <v>167504726</v>
      </c>
      <c r="AF264" s="325" t="n">
        <f aca="false">S264-R264</f>
        <v>111579109</v>
      </c>
      <c r="AG264" s="325" t="n">
        <f aca="false">T264-S264</f>
        <v>332547954</v>
      </c>
      <c r="AH264" s="325" t="n">
        <f aca="false">U264-T264</f>
        <v>359833112</v>
      </c>
      <c r="AI264" s="325" t="n">
        <f aca="false">V264-U264</f>
        <v>305113685</v>
      </c>
      <c r="AJ264" s="325" t="n">
        <f aca="false">W264-V264</f>
        <v>328849487</v>
      </c>
      <c r="AK264" s="325" t="n">
        <f aca="false">X264-W264</f>
        <v>299366581</v>
      </c>
      <c r="AL264" s="325" t="n">
        <f aca="false">Y264-X264</f>
        <v>236651573</v>
      </c>
      <c r="AM264" s="325" t="n">
        <f aca="false">Z264-Y264</f>
        <v>170408835</v>
      </c>
      <c r="AN264" s="325" t="s">
        <v>1679</v>
      </c>
      <c r="AO264" s="325" t="n">
        <f aca="false">AB264-AA264</f>
        <v>0</v>
      </c>
      <c r="AP264" s="325" t="n">
        <f aca="false">AC264-AB264</f>
        <v>0</v>
      </c>
      <c r="AR264" s="314" t="str">
        <f aca="false">IFERROR(VLOOKUP(M264,'PL_DEC.2026'!$D$11:$D$99,1,FALSE()),"(미존재)")</f>
        <v>광고선전비</v>
      </c>
    </row>
    <row r="265" customFormat="false" ht="16.5" hidden="false" customHeight="false" outlineLevel="0" collapsed="false">
      <c r="A265" s="317" t="s">
        <v>791</v>
      </c>
      <c r="B265" s="314" t="n">
        <v>64591023</v>
      </c>
      <c r="C265" s="314" t="s">
        <v>2026</v>
      </c>
      <c r="D265" s="314" t="s">
        <v>1879</v>
      </c>
      <c r="E265" s="314" t="s">
        <v>1924</v>
      </c>
      <c r="F265" s="314" t="s">
        <v>1931</v>
      </c>
      <c r="G265" s="314" t="s">
        <v>1926</v>
      </c>
      <c r="H265" s="314" t="s">
        <v>1495</v>
      </c>
      <c r="I265" s="314" t="s">
        <v>1941</v>
      </c>
      <c r="J265" s="314" t="s">
        <v>1458</v>
      </c>
      <c r="K265" s="314" t="s">
        <v>1942</v>
      </c>
      <c r="L265" s="324" t="s">
        <v>1929</v>
      </c>
      <c r="M265" s="324" t="s">
        <v>355</v>
      </c>
      <c r="N265" s="324" t="s">
        <v>1929</v>
      </c>
      <c r="O265" s="324" t="s">
        <v>1932</v>
      </c>
      <c r="P265" s="324" t="s">
        <v>1932</v>
      </c>
      <c r="Q265" s="325" t="n">
        <v>5337493600</v>
      </c>
      <c r="R265" s="325" t="n">
        <v>610685396</v>
      </c>
      <c r="S265" s="325" t="n">
        <v>1120419029</v>
      </c>
      <c r="T265" s="325" t="n">
        <v>1145168894</v>
      </c>
      <c r="U265" s="325" t="n">
        <v>1962088329</v>
      </c>
      <c r="V265" s="325" t="n">
        <v>2239239957</v>
      </c>
      <c r="W265" s="325" t="n">
        <v>2245640373</v>
      </c>
      <c r="X265" s="325" t="n">
        <v>2966609036</v>
      </c>
      <c r="Y265" s="325" t="n">
        <v>3278025626</v>
      </c>
      <c r="Z265" s="325" t="n">
        <v>3336401089</v>
      </c>
      <c r="AA265" s="325"/>
      <c r="AB265" s="325"/>
      <c r="AC265" s="325"/>
      <c r="AD265" s="325"/>
      <c r="AE265" s="325" t="n">
        <f aca="false">R265</f>
        <v>610685396</v>
      </c>
      <c r="AF265" s="325" t="n">
        <f aca="false">S265-R265</f>
        <v>509733633</v>
      </c>
      <c r="AG265" s="325" t="n">
        <f aca="false">T265-S265</f>
        <v>24749865</v>
      </c>
      <c r="AH265" s="325" t="n">
        <f aca="false">U265-T265</f>
        <v>816919435</v>
      </c>
      <c r="AI265" s="325" t="n">
        <f aca="false">V265-U265</f>
        <v>277151628</v>
      </c>
      <c r="AJ265" s="325" t="n">
        <f aca="false">W265-V265</f>
        <v>6400416</v>
      </c>
      <c r="AK265" s="325" t="n">
        <f aca="false">X265-W265</f>
        <v>720968663</v>
      </c>
      <c r="AL265" s="325" t="n">
        <f aca="false">Y265-X265</f>
        <v>311416590</v>
      </c>
      <c r="AM265" s="325" t="n">
        <f aca="false">Z265-Y265</f>
        <v>58375463</v>
      </c>
      <c r="AN265" s="325" t="s">
        <v>1679</v>
      </c>
      <c r="AO265" s="325" t="n">
        <f aca="false">AB265-AA265</f>
        <v>0</v>
      </c>
      <c r="AP265" s="325" t="n">
        <f aca="false">AC265-AB265</f>
        <v>0</v>
      </c>
      <c r="AR265" s="314" t="str">
        <f aca="false">IFERROR(VLOOKUP(M265,'PL_DEC.2026'!$D$11:$D$99,1,FALSE()),"(미존재)")</f>
        <v>임상증례조사비</v>
      </c>
    </row>
    <row r="266" customFormat="false" ht="16.5" hidden="false" customHeight="false" outlineLevel="0" collapsed="false">
      <c r="A266" s="317" t="s">
        <v>791</v>
      </c>
      <c r="B266" s="314" t="n">
        <v>64591062</v>
      </c>
      <c r="C266" s="314" t="s">
        <v>2027</v>
      </c>
      <c r="D266" s="314" t="s">
        <v>1879</v>
      </c>
      <c r="E266" s="314" t="s">
        <v>1924</v>
      </c>
      <c r="F266" s="314" t="s">
        <v>1925</v>
      </c>
      <c r="G266" s="314" t="s">
        <v>1926</v>
      </c>
      <c r="H266" s="314" t="s">
        <v>1495</v>
      </c>
      <c r="I266" s="314" t="s">
        <v>1941</v>
      </c>
      <c r="J266" s="314" t="s">
        <v>1458</v>
      </c>
      <c r="K266" s="314" t="s">
        <v>1942</v>
      </c>
      <c r="L266" s="324" t="s">
        <v>1929</v>
      </c>
      <c r="M266" s="324" t="s">
        <v>344</v>
      </c>
      <c r="N266" s="324" t="s">
        <v>1929</v>
      </c>
      <c r="O266" s="324" t="s">
        <v>344</v>
      </c>
      <c r="P266" s="324" t="s">
        <v>344</v>
      </c>
      <c r="Q266" s="325" t="n">
        <v>34257251</v>
      </c>
      <c r="R266" s="325" t="n">
        <v>0</v>
      </c>
      <c r="S266" s="325" t="n">
        <v>0</v>
      </c>
      <c r="T266" s="325" t="n">
        <v>0</v>
      </c>
      <c r="U266" s="325" t="n">
        <v>0</v>
      </c>
      <c r="V266" s="325" t="n">
        <v>0</v>
      </c>
      <c r="W266" s="325" t="n">
        <v>0</v>
      </c>
      <c r="X266" s="325" t="n">
        <v>0</v>
      </c>
      <c r="Y266" s="325" t="n">
        <v>0</v>
      </c>
      <c r="Z266" s="325" t="n">
        <v>0</v>
      </c>
      <c r="AA266" s="325"/>
      <c r="AB266" s="325"/>
      <c r="AC266" s="325"/>
      <c r="AD266" s="325"/>
      <c r="AE266" s="325" t="n">
        <f aca="false">R266</f>
        <v>0</v>
      </c>
      <c r="AF266" s="325" t="n">
        <f aca="false">S266-R266</f>
        <v>0</v>
      </c>
      <c r="AG266" s="325" t="n">
        <f aca="false">T266-S266</f>
        <v>0</v>
      </c>
      <c r="AH266" s="325" t="n">
        <f aca="false">U266-T266</f>
        <v>0</v>
      </c>
      <c r="AI266" s="325" t="n">
        <f aca="false">V266-U266</f>
        <v>0</v>
      </c>
      <c r="AJ266" s="325" t="n">
        <f aca="false">W266-V266</f>
        <v>0</v>
      </c>
      <c r="AK266" s="325" t="n">
        <f aca="false">X266-W266</f>
        <v>0</v>
      </c>
      <c r="AL266" s="325" t="n">
        <f aca="false">Y266-X266</f>
        <v>0</v>
      </c>
      <c r="AM266" s="325" t="n">
        <f aca="false">Z266-Y266</f>
        <v>0</v>
      </c>
      <c r="AN266" s="325" t="s">
        <v>1679</v>
      </c>
      <c r="AO266" s="325" t="n">
        <f aca="false">AB266-AA266</f>
        <v>0</v>
      </c>
      <c r="AP266" s="325" t="n">
        <f aca="false">AC266-AB266</f>
        <v>0</v>
      </c>
      <c r="AR266" s="314" t="str">
        <f aca="false">IFERROR(VLOOKUP(M266,'PL_DEC.2026'!$D$11:$D$99,1,FALSE()),"(미존재)")</f>
        <v>지급수수료</v>
      </c>
    </row>
    <row r="267" customFormat="false" ht="16.5" hidden="false" customHeight="false" outlineLevel="0" collapsed="false">
      <c r="A267" s="317" t="s">
        <v>791</v>
      </c>
      <c r="B267" s="314" t="n">
        <v>64591075</v>
      </c>
      <c r="C267" s="314" t="s">
        <v>2028</v>
      </c>
      <c r="D267" s="314" t="s">
        <v>1879</v>
      </c>
      <c r="E267" s="314" t="s">
        <v>1924</v>
      </c>
      <c r="F267" s="314" t="s">
        <v>2029</v>
      </c>
      <c r="G267" s="314" t="s">
        <v>1926</v>
      </c>
      <c r="H267" s="314" t="s">
        <v>1495</v>
      </c>
      <c r="I267" s="314" t="s">
        <v>1941</v>
      </c>
      <c r="J267" s="314" t="s">
        <v>1458</v>
      </c>
      <c r="K267" s="314" t="s">
        <v>1942</v>
      </c>
      <c r="L267" s="324" t="s">
        <v>870</v>
      </c>
      <c r="M267" s="324" t="s">
        <v>393</v>
      </c>
      <c r="N267" s="324" t="s">
        <v>1929</v>
      </c>
      <c r="O267" s="324" t="s">
        <v>335</v>
      </c>
      <c r="P267" s="324" t="s">
        <v>335</v>
      </c>
      <c r="Q267" s="325" t="n">
        <v>55278600</v>
      </c>
      <c r="R267" s="325" t="n">
        <v>-1027610</v>
      </c>
      <c r="S267" s="325" t="n">
        <v>6517070</v>
      </c>
      <c r="T267" s="325" t="n">
        <v>23350410</v>
      </c>
      <c r="U267" s="325" t="n">
        <v>33151940</v>
      </c>
      <c r="V267" s="325" t="n">
        <v>48016790</v>
      </c>
      <c r="W267" s="325" t="n">
        <v>61693370</v>
      </c>
      <c r="X267" s="325" t="n">
        <v>74523910</v>
      </c>
      <c r="Y267" s="325" t="n">
        <v>72970620</v>
      </c>
      <c r="Z267" s="325" t="n">
        <v>75168530</v>
      </c>
      <c r="AA267" s="325"/>
      <c r="AB267" s="325"/>
      <c r="AC267" s="325"/>
      <c r="AD267" s="325"/>
      <c r="AE267" s="325" t="n">
        <f aca="false">R267</f>
        <v>-1027610</v>
      </c>
      <c r="AF267" s="325" t="n">
        <f aca="false">S267-R267</f>
        <v>7544680</v>
      </c>
      <c r="AG267" s="325" t="n">
        <f aca="false">T267-S267</f>
        <v>16833340</v>
      </c>
      <c r="AH267" s="325" t="n">
        <f aca="false">U267-T267</f>
        <v>9801530</v>
      </c>
      <c r="AI267" s="325" t="n">
        <f aca="false">V267-U267</f>
        <v>14864850</v>
      </c>
      <c r="AJ267" s="325" t="n">
        <f aca="false">W267-V267</f>
        <v>13676580</v>
      </c>
      <c r="AK267" s="325" t="n">
        <f aca="false">X267-W267</f>
        <v>12830540</v>
      </c>
      <c r="AL267" s="325" t="n">
        <f aca="false">Y267-X267</f>
        <v>-1553290</v>
      </c>
      <c r="AM267" s="325" t="n">
        <f aca="false">Z267-Y267</f>
        <v>2197910</v>
      </c>
      <c r="AN267" s="325" t="s">
        <v>1679</v>
      </c>
      <c r="AO267" s="325" t="n">
        <f aca="false">AB267-AA267</f>
        <v>0</v>
      </c>
      <c r="AP267" s="325" t="n">
        <f aca="false">AC267-AB267</f>
        <v>0</v>
      </c>
      <c r="AR267" s="314" t="str">
        <f aca="false">IFERROR(VLOOKUP(M267,'PL_DEC.2026'!$D$11:$D$99,1,FALSE()),"(미존재)")</f>
        <v>잡이익</v>
      </c>
    </row>
    <row r="268" customFormat="false" ht="16.5" hidden="false" customHeight="false" outlineLevel="0" collapsed="false">
      <c r="A268" s="317" t="s">
        <v>791</v>
      </c>
      <c r="B268" s="314" t="n">
        <v>64591076</v>
      </c>
      <c r="C268" s="314" t="s">
        <v>2030</v>
      </c>
      <c r="D268" s="314" t="s">
        <v>1879</v>
      </c>
      <c r="E268" s="314" t="s">
        <v>1924</v>
      </c>
      <c r="F268" s="314" t="s">
        <v>1925</v>
      </c>
      <c r="G268" s="314" t="s">
        <v>1926</v>
      </c>
      <c r="H268" s="314" t="s">
        <v>1495</v>
      </c>
      <c r="I268" s="314" t="s">
        <v>1941</v>
      </c>
      <c r="J268" s="314" t="s">
        <v>1458</v>
      </c>
      <c r="K268" s="314" t="s">
        <v>1942</v>
      </c>
      <c r="L268" s="324" t="s">
        <v>1929</v>
      </c>
      <c r="M268" s="324" t="s">
        <v>344</v>
      </c>
      <c r="N268" s="324" t="s">
        <v>1929</v>
      </c>
      <c r="O268" s="324" t="s">
        <v>344</v>
      </c>
      <c r="P268" s="324" t="s">
        <v>344</v>
      </c>
      <c r="Q268" s="325" t="n">
        <v>143196600</v>
      </c>
      <c r="R268" s="325" t="n">
        <v>4743500</v>
      </c>
      <c r="S268" s="325" t="n">
        <v>8145682</v>
      </c>
      <c r="T268" s="325" t="n">
        <v>14312582</v>
      </c>
      <c r="U268" s="325" t="n">
        <v>17962064</v>
      </c>
      <c r="V268" s="325" t="n">
        <v>35063064</v>
      </c>
      <c r="W268" s="325" t="n">
        <v>45739264</v>
      </c>
      <c r="X268" s="325" t="n">
        <v>48697764</v>
      </c>
      <c r="Y268" s="325" t="n">
        <v>58552664</v>
      </c>
      <c r="Z268" s="325" t="n">
        <v>60782292</v>
      </c>
      <c r="AA268" s="325"/>
      <c r="AB268" s="325"/>
      <c r="AC268" s="325"/>
      <c r="AD268" s="325"/>
      <c r="AE268" s="325" t="n">
        <f aca="false">R268</f>
        <v>4743500</v>
      </c>
      <c r="AF268" s="325" t="n">
        <f aca="false">S268-R268</f>
        <v>3402182</v>
      </c>
      <c r="AG268" s="325" t="n">
        <f aca="false">T268-S268</f>
        <v>6166900</v>
      </c>
      <c r="AH268" s="325" t="n">
        <f aca="false">U268-T268</f>
        <v>3649482</v>
      </c>
      <c r="AI268" s="325" t="n">
        <f aca="false">V268-U268</f>
        <v>17101000</v>
      </c>
      <c r="AJ268" s="325" t="n">
        <f aca="false">W268-V268</f>
        <v>10676200</v>
      </c>
      <c r="AK268" s="325" t="n">
        <f aca="false">X268-W268</f>
        <v>2958500</v>
      </c>
      <c r="AL268" s="325" t="n">
        <f aca="false">Y268-X268</f>
        <v>9854900</v>
      </c>
      <c r="AM268" s="325" t="n">
        <f aca="false">Z268-Y268</f>
        <v>2229628</v>
      </c>
      <c r="AN268" s="325" t="s">
        <v>1679</v>
      </c>
      <c r="AO268" s="325" t="n">
        <f aca="false">AB268-AA268</f>
        <v>0</v>
      </c>
      <c r="AP268" s="325" t="n">
        <f aca="false">AC268-AB268</f>
        <v>0</v>
      </c>
      <c r="AR268" s="314" t="str">
        <f aca="false">IFERROR(VLOOKUP(M268,'PL_DEC.2026'!$D$11:$D$99,1,FALSE()),"(미존재)")</f>
        <v>지급수수료</v>
      </c>
    </row>
    <row r="269" customFormat="false" ht="16.5" hidden="false" customHeight="false" outlineLevel="0" collapsed="false">
      <c r="A269" s="317" t="s">
        <v>791</v>
      </c>
      <c r="B269" s="314" t="n">
        <v>64591078</v>
      </c>
      <c r="C269" s="314" t="s">
        <v>2031</v>
      </c>
      <c r="D269" s="314" t="s">
        <v>1879</v>
      </c>
      <c r="E269" s="314" t="s">
        <v>1924</v>
      </c>
      <c r="F269" s="314" t="s">
        <v>1925</v>
      </c>
      <c r="G269" s="314" t="s">
        <v>1926</v>
      </c>
      <c r="H269" s="314" t="s">
        <v>1495</v>
      </c>
      <c r="I269" s="314" t="s">
        <v>1941</v>
      </c>
      <c r="J269" s="314" t="s">
        <v>1458</v>
      </c>
      <c r="K269" s="314" t="s">
        <v>1942</v>
      </c>
      <c r="L269" s="324" t="s">
        <v>1929</v>
      </c>
      <c r="M269" s="324" t="s">
        <v>344</v>
      </c>
      <c r="N269" s="324" t="s">
        <v>1929</v>
      </c>
      <c r="O269" s="324" t="s">
        <v>344</v>
      </c>
      <c r="P269" s="324" t="s">
        <v>344</v>
      </c>
      <c r="Q269" s="325" t="n">
        <v>113760726</v>
      </c>
      <c r="R269" s="325" t="n">
        <v>6132168</v>
      </c>
      <c r="S269" s="325" t="n">
        <v>14736256</v>
      </c>
      <c r="T269" s="325" t="n">
        <v>37730557</v>
      </c>
      <c r="U269" s="325" t="n">
        <v>44736557</v>
      </c>
      <c r="V269" s="325" t="n">
        <v>57084389</v>
      </c>
      <c r="W269" s="325" t="n">
        <v>72787769</v>
      </c>
      <c r="X269" s="325" t="n">
        <v>85223338</v>
      </c>
      <c r="Y269" s="325" t="n">
        <v>99310968</v>
      </c>
      <c r="Z269" s="325" t="n">
        <v>114532971</v>
      </c>
      <c r="AA269" s="325"/>
      <c r="AB269" s="325"/>
      <c r="AC269" s="325"/>
      <c r="AD269" s="325"/>
      <c r="AE269" s="325" t="n">
        <f aca="false">R269</f>
        <v>6132168</v>
      </c>
      <c r="AF269" s="325" t="n">
        <f aca="false">S269-R269</f>
        <v>8604088</v>
      </c>
      <c r="AG269" s="325" t="n">
        <f aca="false">T269-S269</f>
        <v>22994301</v>
      </c>
      <c r="AH269" s="325" t="n">
        <f aca="false">U269-T269</f>
        <v>7006000</v>
      </c>
      <c r="AI269" s="325" t="n">
        <f aca="false">V269-U269</f>
        <v>12347832</v>
      </c>
      <c r="AJ269" s="325" t="n">
        <f aca="false">W269-V269</f>
        <v>15703380</v>
      </c>
      <c r="AK269" s="325" t="n">
        <f aca="false">X269-W269</f>
        <v>12435569</v>
      </c>
      <c r="AL269" s="325" t="n">
        <f aca="false">Y269-X269</f>
        <v>14087630</v>
      </c>
      <c r="AM269" s="325" t="n">
        <f aca="false">Z269-Y269</f>
        <v>15222003</v>
      </c>
      <c r="AN269" s="325" t="s">
        <v>1679</v>
      </c>
      <c r="AO269" s="325" t="n">
        <f aca="false">AB269-AA269</f>
        <v>0</v>
      </c>
      <c r="AP269" s="325" t="n">
        <f aca="false">AC269-AB269</f>
        <v>0</v>
      </c>
      <c r="AR269" s="314" t="str">
        <f aca="false">IFERROR(VLOOKUP(M269,'PL_DEC.2026'!$D$11:$D$99,1,FALSE()),"(미존재)")</f>
        <v>지급수수료</v>
      </c>
    </row>
    <row r="270" customFormat="false" ht="16.5" hidden="false" customHeight="false" outlineLevel="0" collapsed="false">
      <c r="A270" s="317" t="s">
        <v>791</v>
      </c>
      <c r="B270" s="314" t="n">
        <v>64600005</v>
      </c>
      <c r="C270" s="314" t="s">
        <v>2032</v>
      </c>
      <c r="D270" s="314" t="s">
        <v>1879</v>
      </c>
      <c r="E270" s="314" t="s">
        <v>1959</v>
      </c>
      <c r="F270" s="314" t="s">
        <v>2005</v>
      </c>
      <c r="G270" s="314" t="s">
        <v>1926</v>
      </c>
      <c r="H270" s="314" t="s">
        <v>1495</v>
      </c>
      <c r="I270" s="314" t="s">
        <v>2033</v>
      </c>
      <c r="K270" s="314" t="s">
        <v>2034</v>
      </c>
      <c r="L270" s="324" t="s">
        <v>1929</v>
      </c>
      <c r="M270" s="324" t="s">
        <v>344</v>
      </c>
      <c r="N270" s="324" t="s">
        <v>1961</v>
      </c>
      <c r="O270" s="324" t="s">
        <v>315</v>
      </c>
      <c r="P270" s="324" t="s">
        <v>315</v>
      </c>
      <c r="Q270" s="325" t="n">
        <v>11966044</v>
      </c>
      <c r="R270" s="325" t="n">
        <v>0</v>
      </c>
      <c r="S270" s="325" t="n">
        <v>0</v>
      </c>
      <c r="T270" s="325" t="n">
        <v>0</v>
      </c>
      <c r="U270" s="325" t="n">
        <v>0</v>
      </c>
      <c r="V270" s="325" t="n">
        <v>17760</v>
      </c>
      <c r="W270" s="325" t="n">
        <v>4037000</v>
      </c>
      <c r="X270" s="325" t="n">
        <v>7628538</v>
      </c>
      <c r="Y270" s="325" t="n">
        <v>8048515</v>
      </c>
      <c r="Z270" s="325" t="n">
        <v>5671111</v>
      </c>
      <c r="AA270" s="325"/>
      <c r="AB270" s="325"/>
      <c r="AC270" s="325"/>
      <c r="AD270" s="325"/>
      <c r="AE270" s="325" t="n">
        <f aca="false">R270</f>
        <v>0</v>
      </c>
      <c r="AF270" s="325" t="n">
        <f aca="false">S270-R270</f>
        <v>0</v>
      </c>
      <c r="AG270" s="325" t="n">
        <f aca="false">T270-S270</f>
        <v>0</v>
      </c>
      <c r="AH270" s="325" t="n">
        <f aca="false">U270-T270</f>
        <v>0</v>
      </c>
      <c r="AI270" s="325" t="n">
        <f aca="false">V270-U270</f>
        <v>17760</v>
      </c>
      <c r="AJ270" s="325" t="n">
        <f aca="false">W270-V270</f>
        <v>4019240</v>
      </c>
      <c r="AK270" s="325" t="n">
        <f aca="false">X270-W270</f>
        <v>3591538</v>
      </c>
      <c r="AL270" s="325" t="n">
        <f aca="false">Y270-X270</f>
        <v>419977</v>
      </c>
      <c r="AM270" s="325" t="n">
        <f aca="false">Z270-Y270</f>
        <v>-2377404</v>
      </c>
      <c r="AN270" s="325" t="s">
        <v>1679</v>
      </c>
      <c r="AO270" s="325" t="n">
        <f aca="false">AB270-AA270</f>
        <v>0</v>
      </c>
      <c r="AP270" s="325" t="n">
        <f aca="false">AC270-AB270</f>
        <v>0</v>
      </c>
      <c r="AR270" s="314" t="str">
        <f aca="false">IFERROR(VLOOKUP(M270,'PL_DEC.2026'!$D$11:$D$99,1,FALSE()),"(미존재)")</f>
        <v>지급수수료</v>
      </c>
    </row>
    <row r="271" customFormat="false" ht="16.5" hidden="false" customHeight="false" outlineLevel="0" collapsed="false">
      <c r="A271" s="317" t="s">
        <v>791</v>
      </c>
      <c r="B271" s="314" t="n">
        <v>64600030</v>
      </c>
      <c r="C271" s="314" t="s">
        <v>2035</v>
      </c>
      <c r="D271" s="314" t="s">
        <v>1879</v>
      </c>
      <c r="E271" s="314" t="s">
        <v>1924</v>
      </c>
      <c r="F271" s="314" t="s">
        <v>2036</v>
      </c>
      <c r="G271" s="314" t="s">
        <v>1926</v>
      </c>
      <c r="H271" s="314" t="s">
        <v>1495</v>
      </c>
      <c r="I271" s="314" t="s">
        <v>1941</v>
      </c>
      <c r="J271" s="314" t="s">
        <v>1458</v>
      </c>
      <c r="K271" s="314" t="s">
        <v>1942</v>
      </c>
      <c r="L271" s="324" t="s">
        <v>1929</v>
      </c>
      <c r="M271" s="324" t="s">
        <v>334</v>
      </c>
      <c r="N271" s="324" t="s">
        <v>1929</v>
      </c>
      <c r="O271" s="324" t="s">
        <v>334</v>
      </c>
      <c r="P271" s="324" t="s">
        <v>334</v>
      </c>
      <c r="Q271" s="325" t="n">
        <v>29264836</v>
      </c>
      <c r="R271" s="325" t="n">
        <v>1525400</v>
      </c>
      <c r="S271" s="325" t="n">
        <v>3690160</v>
      </c>
      <c r="T271" s="325" t="n">
        <v>5968840</v>
      </c>
      <c r="U271" s="325" t="n">
        <v>9166570</v>
      </c>
      <c r="V271" s="325" t="n">
        <v>10937960</v>
      </c>
      <c r="W271" s="325" t="n">
        <v>13191850</v>
      </c>
      <c r="X271" s="325" t="n">
        <v>15504370</v>
      </c>
      <c r="Y271" s="325" t="n">
        <v>17258830</v>
      </c>
      <c r="Z271" s="325" t="n">
        <v>19716910</v>
      </c>
      <c r="AA271" s="325"/>
      <c r="AB271" s="325"/>
      <c r="AC271" s="325"/>
      <c r="AD271" s="325"/>
      <c r="AE271" s="325" t="n">
        <f aca="false">R271</f>
        <v>1525400</v>
      </c>
      <c r="AF271" s="325" t="n">
        <f aca="false">S271-R271</f>
        <v>2164760</v>
      </c>
      <c r="AG271" s="325" t="n">
        <f aca="false">T271-S271</f>
        <v>2278680</v>
      </c>
      <c r="AH271" s="325" t="n">
        <f aca="false">U271-T271</f>
        <v>3197730</v>
      </c>
      <c r="AI271" s="325" t="n">
        <f aca="false">V271-U271</f>
        <v>1771390</v>
      </c>
      <c r="AJ271" s="325" t="n">
        <f aca="false">W271-V271</f>
        <v>2253890</v>
      </c>
      <c r="AK271" s="325" t="n">
        <f aca="false">X271-W271</f>
        <v>2312520</v>
      </c>
      <c r="AL271" s="325" t="n">
        <f aca="false">Y271-X271</f>
        <v>1754460</v>
      </c>
      <c r="AM271" s="325" t="n">
        <f aca="false">Z271-Y271</f>
        <v>2458080</v>
      </c>
      <c r="AN271" s="325" t="s">
        <v>1679</v>
      </c>
      <c r="AO271" s="325" t="n">
        <f aca="false">AB271-AA271</f>
        <v>0</v>
      </c>
      <c r="AP271" s="325" t="n">
        <f aca="false">AC271-AB271</f>
        <v>0</v>
      </c>
      <c r="AR271" s="314" t="str">
        <f aca="false">IFERROR(VLOOKUP(M271,'PL_DEC.2026'!$D$11:$D$99,1,FALSE()),"(미존재)")</f>
        <v>통신비</v>
      </c>
    </row>
    <row r="272" customFormat="false" ht="16.5" hidden="false" customHeight="false" outlineLevel="0" collapsed="false">
      <c r="A272" s="317" t="s">
        <v>791</v>
      </c>
      <c r="B272" s="314" t="n">
        <v>64600050</v>
      </c>
      <c r="C272" s="314" t="s">
        <v>2037</v>
      </c>
      <c r="D272" s="314" t="s">
        <v>1879</v>
      </c>
      <c r="E272" s="314" t="s">
        <v>1924</v>
      </c>
      <c r="F272" s="314" t="s">
        <v>2038</v>
      </c>
      <c r="G272" s="314" t="s">
        <v>1926</v>
      </c>
      <c r="H272" s="314" t="s">
        <v>1495</v>
      </c>
      <c r="I272" s="314" t="s">
        <v>1941</v>
      </c>
      <c r="J272" s="314" t="s">
        <v>1458</v>
      </c>
      <c r="K272" s="314" t="s">
        <v>1942</v>
      </c>
      <c r="L272" s="324" t="s">
        <v>1929</v>
      </c>
      <c r="M272" s="324" t="s">
        <v>312</v>
      </c>
      <c r="N272" s="324" t="s">
        <v>1929</v>
      </c>
      <c r="O272" s="324" t="s">
        <v>351</v>
      </c>
      <c r="P272" s="324" t="s">
        <v>351</v>
      </c>
      <c r="Q272" s="325" t="n">
        <v>1224384275</v>
      </c>
      <c r="R272" s="325" t="n">
        <v>0</v>
      </c>
      <c r="S272" s="325" t="n">
        <v>160940419</v>
      </c>
      <c r="T272" s="325" t="n">
        <v>245332335</v>
      </c>
      <c r="U272" s="325" t="n">
        <v>306038983</v>
      </c>
      <c r="V272" s="325" t="n">
        <v>406524289</v>
      </c>
      <c r="W272" s="325" t="n">
        <v>489201656</v>
      </c>
      <c r="X272" s="325" t="n">
        <v>577961389</v>
      </c>
      <c r="Y272" s="325" t="n">
        <v>670209456</v>
      </c>
      <c r="Z272" s="325" t="n">
        <v>759893265</v>
      </c>
      <c r="AA272" s="325"/>
      <c r="AB272" s="325"/>
      <c r="AC272" s="325"/>
      <c r="AD272" s="325"/>
      <c r="AE272" s="325" t="n">
        <f aca="false">R272</f>
        <v>0</v>
      </c>
      <c r="AF272" s="325" t="n">
        <f aca="false">S272-R272</f>
        <v>160940419</v>
      </c>
      <c r="AG272" s="325" t="n">
        <f aca="false">T272-S272</f>
        <v>84391916</v>
      </c>
      <c r="AH272" s="325" t="n">
        <f aca="false">U272-T272</f>
        <v>60706648</v>
      </c>
      <c r="AI272" s="325" t="n">
        <f aca="false">V272-U272</f>
        <v>100485306</v>
      </c>
      <c r="AJ272" s="325" t="n">
        <f aca="false">W272-V272</f>
        <v>82677367</v>
      </c>
      <c r="AK272" s="325" t="n">
        <f aca="false">X272-W272</f>
        <v>88759733</v>
      </c>
      <c r="AL272" s="325" t="n">
        <f aca="false">Y272-X272</f>
        <v>92248067</v>
      </c>
      <c r="AM272" s="325" t="n">
        <f aca="false">Z272-Y272</f>
        <v>89683809</v>
      </c>
      <c r="AN272" s="325" t="s">
        <v>1679</v>
      </c>
      <c r="AO272" s="325" t="n">
        <f aca="false">AB272-AA272</f>
        <v>0</v>
      </c>
      <c r="AP272" s="325" t="n">
        <f aca="false">AC272-AB272</f>
        <v>0</v>
      </c>
      <c r="AR272" s="314" t="str">
        <f aca="false">IFERROR(VLOOKUP(M272,'PL_DEC.2026'!$D$11:$D$99,1,FALSE()),"(미존재)")</f>
        <v>하조및운임</v>
      </c>
    </row>
    <row r="273" customFormat="false" ht="16.5" hidden="false" customHeight="false" outlineLevel="0" collapsed="false">
      <c r="A273" s="317" t="s">
        <v>791</v>
      </c>
      <c r="B273" s="314" t="n">
        <v>64600060</v>
      </c>
      <c r="C273" s="314" t="s">
        <v>2039</v>
      </c>
      <c r="D273" s="314" t="s">
        <v>1879</v>
      </c>
      <c r="E273" s="314" t="s">
        <v>1924</v>
      </c>
      <c r="F273" s="314" t="s">
        <v>1931</v>
      </c>
      <c r="G273" s="314" t="s">
        <v>1882</v>
      </c>
      <c r="H273" s="314" t="s">
        <v>1495</v>
      </c>
      <c r="I273" s="314" t="s">
        <v>1941</v>
      </c>
      <c r="J273" s="314" t="s">
        <v>1458</v>
      </c>
      <c r="K273" s="314" t="s">
        <v>1942</v>
      </c>
      <c r="L273" s="324" t="s">
        <v>1929</v>
      </c>
      <c r="M273" s="324" t="s">
        <v>344</v>
      </c>
      <c r="N273" s="324" t="s">
        <v>1929</v>
      </c>
      <c r="O273" s="324" t="s">
        <v>1932</v>
      </c>
      <c r="P273" s="324" t="s">
        <v>1932</v>
      </c>
      <c r="Q273" s="325" t="n">
        <v>1127731372</v>
      </c>
      <c r="R273" s="325" t="n">
        <v>23649100</v>
      </c>
      <c r="S273" s="325" t="n">
        <v>115635785</v>
      </c>
      <c r="T273" s="325" t="n">
        <v>152970726</v>
      </c>
      <c r="U273" s="325" t="n">
        <v>223594059</v>
      </c>
      <c r="V273" s="325" t="n">
        <v>229449392</v>
      </c>
      <c r="W273" s="325" t="n">
        <v>296410442</v>
      </c>
      <c r="X273" s="325" t="n">
        <v>339595742</v>
      </c>
      <c r="Y273" s="325" t="n">
        <v>395681576</v>
      </c>
      <c r="Z273" s="325" t="n">
        <v>532256757</v>
      </c>
      <c r="AA273" s="325"/>
      <c r="AB273" s="325"/>
      <c r="AC273" s="325"/>
      <c r="AD273" s="325"/>
      <c r="AE273" s="325" t="n">
        <f aca="false">R273</f>
        <v>23649100</v>
      </c>
      <c r="AF273" s="325" t="n">
        <f aca="false">S273-R273</f>
        <v>91986685</v>
      </c>
      <c r="AG273" s="325" t="n">
        <f aca="false">T273-S273</f>
        <v>37334941</v>
      </c>
      <c r="AH273" s="325" t="n">
        <f aca="false">U273-T273</f>
        <v>70623333</v>
      </c>
      <c r="AI273" s="325" t="n">
        <f aca="false">V273-U273</f>
        <v>5855333</v>
      </c>
      <c r="AJ273" s="325" t="n">
        <f aca="false">W273-V273</f>
        <v>66961050</v>
      </c>
      <c r="AK273" s="325" t="n">
        <f aca="false">X273-W273</f>
        <v>43185300</v>
      </c>
      <c r="AL273" s="325" t="n">
        <f aca="false">Y273-X273</f>
        <v>56085834</v>
      </c>
      <c r="AM273" s="325" t="n">
        <f aca="false">Z273-Y273</f>
        <v>136575181</v>
      </c>
      <c r="AN273" s="325" t="s">
        <v>1679</v>
      </c>
      <c r="AO273" s="325" t="n">
        <f aca="false">AB273-AA273</f>
        <v>0</v>
      </c>
      <c r="AP273" s="325" t="n">
        <f aca="false">AC273-AB273</f>
        <v>0</v>
      </c>
      <c r="AR273" s="314" t="str">
        <f aca="false">IFERROR(VLOOKUP(M273,'PL_DEC.2026'!$D$11:$D$99,1,FALSE()),"(미존재)")</f>
        <v>지급수수료</v>
      </c>
    </row>
    <row r="274" customFormat="false" ht="16.5" hidden="false" customHeight="false" outlineLevel="0" collapsed="false">
      <c r="A274" s="317" t="s">
        <v>791</v>
      </c>
      <c r="B274" s="314" t="n">
        <v>64600077</v>
      </c>
      <c r="C274" s="314" t="s">
        <v>2040</v>
      </c>
      <c r="G274" s="314" t="s">
        <v>1926</v>
      </c>
      <c r="H274" s="314" t="s">
        <v>1495</v>
      </c>
      <c r="I274" s="314" t="s">
        <v>1941</v>
      </c>
      <c r="J274" s="314" t="s">
        <v>1458</v>
      </c>
      <c r="K274" s="314" t="s">
        <v>1942</v>
      </c>
      <c r="L274" s="324" t="s">
        <v>1929</v>
      </c>
      <c r="M274" s="324" t="s">
        <v>344</v>
      </c>
      <c r="N274" s="324" t="s">
        <v>1929</v>
      </c>
      <c r="O274" s="324" t="s">
        <v>344</v>
      </c>
      <c r="P274" s="324" t="s">
        <v>344</v>
      </c>
      <c r="Q274" s="325" t="n">
        <v>883118930</v>
      </c>
      <c r="R274" s="325" t="n">
        <v>-79518930</v>
      </c>
      <c r="S274" s="325" t="n">
        <v>-79518930</v>
      </c>
      <c r="T274" s="325" t="n">
        <v>-65929880</v>
      </c>
      <c r="U274" s="325" t="n">
        <v>-65929880</v>
      </c>
      <c r="V274" s="325" t="n">
        <v>-65929880</v>
      </c>
      <c r="W274" s="325" t="n">
        <v>-162981298</v>
      </c>
      <c r="X274" s="325" t="n">
        <v>-162981298</v>
      </c>
      <c r="Y274" s="325" t="n">
        <v>-162981298</v>
      </c>
      <c r="Z274" s="325" t="n">
        <v>-162981298</v>
      </c>
      <c r="AA274" s="325"/>
      <c r="AB274" s="325"/>
      <c r="AC274" s="325"/>
      <c r="AD274" s="325"/>
      <c r="AE274" s="325" t="n">
        <f aca="false">R274</f>
        <v>-79518930</v>
      </c>
      <c r="AF274" s="325" t="n">
        <f aca="false">S274-R274</f>
        <v>0</v>
      </c>
      <c r="AG274" s="325" t="n">
        <f aca="false">T274-S274</f>
        <v>13589050</v>
      </c>
      <c r="AH274" s="325" t="n">
        <f aca="false">U274-T274</f>
        <v>0</v>
      </c>
      <c r="AI274" s="325" t="n">
        <f aca="false">V274-U274</f>
        <v>0</v>
      </c>
      <c r="AJ274" s="325" t="n">
        <f aca="false">W274-V274</f>
        <v>-97051418</v>
      </c>
      <c r="AK274" s="325" t="n">
        <f aca="false">X274-W274</f>
        <v>0</v>
      </c>
      <c r="AL274" s="325" t="n">
        <f aca="false">Y274-X274</f>
        <v>0</v>
      </c>
      <c r="AM274" s="325" t="n">
        <f aca="false">Z274-Y274</f>
        <v>0</v>
      </c>
      <c r="AN274" s="325" t="s">
        <v>1679</v>
      </c>
      <c r="AO274" s="325" t="n">
        <f aca="false">AB274-AA274</f>
        <v>0</v>
      </c>
      <c r="AP274" s="325" t="n">
        <f aca="false">AC274-AB274</f>
        <v>0</v>
      </c>
      <c r="AR274" s="314" t="str">
        <f aca="false">IFERROR(VLOOKUP(M274,'PL_DEC.2026'!$D$11:$D$99,1,FALSE()),"(미존재)")</f>
        <v>지급수수료</v>
      </c>
    </row>
    <row r="275" customFormat="false" ht="16.5" hidden="false" customHeight="false" outlineLevel="0" collapsed="false">
      <c r="A275" s="317" t="s">
        <v>791</v>
      </c>
      <c r="B275" s="314" t="n">
        <v>64600111</v>
      </c>
      <c r="C275" s="314" t="s">
        <v>2041</v>
      </c>
      <c r="D275" s="314" t="s">
        <v>1879</v>
      </c>
      <c r="E275" s="314" t="s">
        <v>1924</v>
      </c>
      <c r="F275" s="314" t="s">
        <v>1925</v>
      </c>
      <c r="G275" s="314" t="s">
        <v>1926</v>
      </c>
      <c r="H275" s="314" t="s">
        <v>1495</v>
      </c>
      <c r="I275" s="314" t="s">
        <v>1941</v>
      </c>
      <c r="J275" s="314" t="s">
        <v>1458</v>
      </c>
      <c r="K275" s="314" t="s">
        <v>1942</v>
      </c>
      <c r="L275" s="324" t="s">
        <v>1929</v>
      </c>
      <c r="M275" s="324" t="s">
        <v>344</v>
      </c>
      <c r="N275" s="324" t="s">
        <v>1929</v>
      </c>
      <c r="O275" s="324" t="s">
        <v>344</v>
      </c>
      <c r="P275" s="324" t="s">
        <v>344</v>
      </c>
      <c r="Q275" s="325" t="n">
        <v>31857000</v>
      </c>
      <c r="R275" s="325" t="n">
        <v>8362884</v>
      </c>
      <c r="S275" s="325" t="n">
        <v>16916828</v>
      </c>
      <c r="T275" s="325" t="n">
        <v>35388420</v>
      </c>
      <c r="U275" s="325" t="n">
        <v>46958330</v>
      </c>
      <c r="V275" s="325" t="n">
        <v>75996717</v>
      </c>
      <c r="W275" s="325" t="n">
        <v>94436605</v>
      </c>
      <c r="X275" s="325" t="n">
        <v>111215593</v>
      </c>
      <c r="Y275" s="325" t="n">
        <v>139255778</v>
      </c>
      <c r="Z275" s="325" t="n">
        <v>146120884</v>
      </c>
      <c r="AA275" s="325"/>
      <c r="AB275" s="325"/>
      <c r="AC275" s="325"/>
      <c r="AD275" s="325"/>
      <c r="AE275" s="325" t="n">
        <f aca="false">R275</f>
        <v>8362884</v>
      </c>
      <c r="AF275" s="325" t="n">
        <f aca="false">S275-R275</f>
        <v>8553944</v>
      </c>
      <c r="AG275" s="325" t="n">
        <f aca="false">T275-S275</f>
        <v>18471592</v>
      </c>
      <c r="AH275" s="325" t="n">
        <f aca="false">U275-T275</f>
        <v>11569910</v>
      </c>
      <c r="AI275" s="325" t="n">
        <f aca="false">V275-U275</f>
        <v>29038387</v>
      </c>
      <c r="AJ275" s="325" t="n">
        <f aca="false">W275-V275</f>
        <v>18439888</v>
      </c>
      <c r="AK275" s="325" t="n">
        <f aca="false">X275-W275</f>
        <v>16778988</v>
      </c>
      <c r="AL275" s="325" t="n">
        <f aca="false">Y275-X275</f>
        <v>28040185</v>
      </c>
      <c r="AM275" s="325" t="n">
        <f aca="false">Z275-Y275</f>
        <v>6865106</v>
      </c>
      <c r="AN275" s="325" t="s">
        <v>1679</v>
      </c>
      <c r="AO275" s="325" t="n">
        <f aca="false">AB275-AA275</f>
        <v>0</v>
      </c>
      <c r="AP275" s="325" t="n">
        <f aca="false">AC275-AB275</f>
        <v>0</v>
      </c>
      <c r="AR275" s="314" t="str">
        <f aca="false">IFERROR(VLOOKUP(M275,'PL_DEC.2026'!$D$11:$D$99,1,FALSE()),"(미존재)")</f>
        <v>지급수수료</v>
      </c>
    </row>
    <row r="276" customFormat="false" ht="16.5" hidden="false" customHeight="false" outlineLevel="0" collapsed="false">
      <c r="A276" s="317" t="s">
        <v>791</v>
      </c>
      <c r="B276" s="314" t="n">
        <v>64650047</v>
      </c>
      <c r="C276" s="314" t="s">
        <v>2042</v>
      </c>
      <c r="D276" s="314" t="s">
        <v>1879</v>
      </c>
      <c r="E276" s="314" t="s">
        <v>1924</v>
      </c>
      <c r="F276" s="314" t="s">
        <v>1970</v>
      </c>
      <c r="G276" s="314" t="s">
        <v>1926</v>
      </c>
      <c r="H276" s="314" t="s">
        <v>1495</v>
      </c>
      <c r="I276" s="314" t="s">
        <v>1941</v>
      </c>
      <c r="J276" s="314" t="s">
        <v>1458</v>
      </c>
      <c r="K276" s="314" t="s">
        <v>1942</v>
      </c>
      <c r="L276" s="324" t="s">
        <v>1929</v>
      </c>
      <c r="M276" s="324" t="s">
        <v>330</v>
      </c>
      <c r="N276" s="324" t="s">
        <v>1929</v>
      </c>
      <c r="O276" s="324" t="s">
        <v>330</v>
      </c>
      <c r="P276" s="324" t="s">
        <v>330</v>
      </c>
      <c r="Q276" s="325" t="n">
        <v>715350610</v>
      </c>
      <c r="R276" s="325" t="n">
        <v>41484855</v>
      </c>
      <c r="S276" s="325" t="n">
        <v>138809606</v>
      </c>
      <c r="T276" s="325" t="n">
        <v>223677419</v>
      </c>
      <c r="U276" s="325" t="n">
        <v>191020961</v>
      </c>
      <c r="V276" s="325" t="n">
        <v>255606571</v>
      </c>
      <c r="W276" s="325" t="n">
        <v>341157489</v>
      </c>
      <c r="X276" s="325" t="n">
        <v>518960522</v>
      </c>
      <c r="Y276" s="325" t="n">
        <v>542138611</v>
      </c>
      <c r="Z276" s="325" t="n">
        <v>557246116</v>
      </c>
      <c r="AA276" s="325"/>
      <c r="AB276" s="325"/>
      <c r="AC276" s="325"/>
      <c r="AD276" s="325"/>
      <c r="AE276" s="325" t="n">
        <f aca="false">R276</f>
        <v>41484855</v>
      </c>
      <c r="AF276" s="325" t="n">
        <f aca="false">S276-R276</f>
        <v>97324751</v>
      </c>
      <c r="AG276" s="325" t="n">
        <f aca="false">T276-S276</f>
        <v>84867813</v>
      </c>
      <c r="AH276" s="325" t="n">
        <f aca="false">U276-T276</f>
        <v>-32656458</v>
      </c>
      <c r="AI276" s="325" t="n">
        <f aca="false">V276-U276</f>
        <v>64585610</v>
      </c>
      <c r="AJ276" s="325" t="n">
        <f aca="false">W276-V276</f>
        <v>85550918</v>
      </c>
      <c r="AK276" s="325" t="n">
        <f aca="false">X276-W276</f>
        <v>177803033</v>
      </c>
      <c r="AL276" s="325" t="n">
        <f aca="false">Y276-X276</f>
        <v>23178089</v>
      </c>
      <c r="AM276" s="325" t="n">
        <f aca="false">Z276-Y276</f>
        <v>15107505</v>
      </c>
      <c r="AN276" s="325" t="s">
        <v>1679</v>
      </c>
      <c r="AO276" s="325" t="n">
        <f aca="false">AB276-AA276</f>
        <v>0</v>
      </c>
      <c r="AP276" s="325" t="n">
        <f aca="false">AC276-AB276</f>
        <v>0</v>
      </c>
      <c r="AR276" s="314" t="str">
        <f aca="false">IFERROR(VLOOKUP(M276,'PL_DEC.2026'!$D$11:$D$99,1,FALSE()),"(미존재)")</f>
        <v>복리후생비</v>
      </c>
    </row>
    <row r="277" customFormat="false" ht="16.5" hidden="false" customHeight="false" outlineLevel="0" collapsed="false">
      <c r="A277" s="317" t="s">
        <v>791</v>
      </c>
      <c r="B277" s="314" t="n">
        <v>64700600</v>
      </c>
      <c r="C277" s="314" t="s">
        <v>2043</v>
      </c>
      <c r="D277" s="314" t="s">
        <v>1879</v>
      </c>
      <c r="E277" s="314" t="s">
        <v>1924</v>
      </c>
      <c r="F277" s="314" t="s">
        <v>2029</v>
      </c>
      <c r="G277" s="314" t="s">
        <v>1926</v>
      </c>
      <c r="H277" s="314" t="s">
        <v>1495</v>
      </c>
      <c r="I277" s="314" t="s">
        <v>1941</v>
      </c>
      <c r="J277" s="314" t="s">
        <v>1458</v>
      </c>
      <c r="K277" s="314" t="s">
        <v>1942</v>
      </c>
      <c r="L277" s="324" t="s">
        <v>1929</v>
      </c>
      <c r="M277" s="324" t="s">
        <v>335</v>
      </c>
      <c r="N277" s="324" t="s">
        <v>1929</v>
      </c>
      <c r="O277" s="324" t="s">
        <v>335</v>
      </c>
      <c r="P277" s="324" t="s">
        <v>335</v>
      </c>
      <c r="Q277" s="325" t="n">
        <v>15325687</v>
      </c>
      <c r="R277" s="325" t="n">
        <v>0</v>
      </c>
      <c r="S277" s="325" t="n">
        <v>280000</v>
      </c>
      <c r="T277" s="325" t="n">
        <v>149913</v>
      </c>
      <c r="U277" s="325" t="n">
        <v>149913</v>
      </c>
      <c r="V277" s="325" t="n">
        <v>149913</v>
      </c>
      <c r="W277" s="325" t="n">
        <v>149913</v>
      </c>
      <c r="X277" s="325" t="n">
        <v>364913</v>
      </c>
      <c r="Y277" s="325" t="n">
        <v>464913</v>
      </c>
      <c r="Z277" s="325" t="n">
        <v>579913</v>
      </c>
      <c r="AA277" s="325"/>
      <c r="AB277" s="325"/>
      <c r="AC277" s="325"/>
      <c r="AD277" s="325"/>
      <c r="AE277" s="325" t="n">
        <f aca="false">R277</f>
        <v>0</v>
      </c>
      <c r="AF277" s="325" t="n">
        <f aca="false">S277-R277</f>
        <v>280000</v>
      </c>
      <c r="AG277" s="325" t="n">
        <f aca="false">T277-S277</f>
        <v>-130087</v>
      </c>
      <c r="AH277" s="325" t="n">
        <f aca="false">U277-T277</f>
        <v>0</v>
      </c>
      <c r="AI277" s="325" t="n">
        <f aca="false">V277-U277</f>
        <v>0</v>
      </c>
      <c r="AJ277" s="325" t="n">
        <f aca="false">W277-V277</f>
        <v>0</v>
      </c>
      <c r="AK277" s="325" t="n">
        <f aca="false">X277-W277</f>
        <v>215000</v>
      </c>
      <c r="AL277" s="325" t="n">
        <f aca="false">Y277-X277</f>
        <v>100000</v>
      </c>
      <c r="AM277" s="325" t="n">
        <f aca="false">Z277-Y277</f>
        <v>115000</v>
      </c>
      <c r="AN277" s="325" t="s">
        <v>1679</v>
      </c>
      <c r="AO277" s="325" t="n">
        <f aca="false">AB277-AA277</f>
        <v>0</v>
      </c>
      <c r="AP277" s="325" t="n">
        <f aca="false">AC277-AB277</f>
        <v>0</v>
      </c>
      <c r="AR277" s="314" t="str">
        <f aca="false">IFERROR(VLOOKUP(M277,'PL_DEC.2026'!$D$11:$D$99,1,FALSE()),"(미존재)")</f>
        <v>소모품비</v>
      </c>
    </row>
    <row r="278" customFormat="false" ht="16.5" hidden="false" customHeight="false" outlineLevel="0" collapsed="false">
      <c r="A278" s="317" t="s">
        <v>791</v>
      </c>
      <c r="B278" s="314" t="n">
        <v>64800050</v>
      </c>
      <c r="C278" s="314" t="s">
        <v>2044</v>
      </c>
      <c r="D278" s="314" t="s">
        <v>1879</v>
      </c>
      <c r="E278" s="314" t="s">
        <v>1924</v>
      </c>
      <c r="F278" s="314" t="s">
        <v>1931</v>
      </c>
      <c r="G278" s="314" t="s">
        <v>1926</v>
      </c>
      <c r="H278" s="314" t="s">
        <v>1495</v>
      </c>
      <c r="I278" s="314" t="s">
        <v>1941</v>
      </c>
      <c r="J278" s="314" t="s">
        <v>1458</v>
      </c>
      <c r="K278" s="314" t="s">
        <v>1942</v>
      </c>
      <c r="L278" s="324" t="s">
        <v>1929</v>
      </c>
      <c r="M278" s="324" t="s">
        <v>355</v>
      </c>
      <c r="N278" s="324" t="s">
        <v>1929</v>
      </c>
      <c r="O278" s="324" t="s">
        <v>1932</v>
      </c>
      <c r="P278" s="324" t="s">
        <v>1932</v>
      </c>
      <c r="Q278" s="325" t="n">
        <v>9782100</v>
      </c>
      <c r="R278" s="325" t="n">
        <v>0</v>
      </c>
      <c r="S278" s="325" t="n">
        <v>0</v>
      </c>
      <c r="T278" s="325" t="n">
        <v>10194220</v>
      </c>
      <c r="U278" s="325" t="n">
        <v>10194220</v>
      </c>
      <c r="V278" s="325" t="n">
        <v>10194220</v>
      </c>
      <c r="W278" s="325" t="n">
        <v>10194220</v>
      </c>
      <c r="X278" s="325" t="n">
        <v>10194220</v>
      </c>
      <c r="Y278" s="325" t="n">
        <v>10194220</v>
      </c>
      <c r="Z278" s="325" t="n">
        <v>21599970</v>
      </c>
      <c r="AA278" s="325"/>
      <c r="AB278" s="325"/>
      <c r="AC278" s="325"/>
      <c r="AD278" s="325"/>
      <c r="AE278" s="325" t="n">
        <f aca="false">R278</f>
        <v>0</v>
      </c>
      <c r="AF278" s="325" t="n">
        <f aca="false">S278-R278</f>
        <v>0</v>
      </c>
      <c r="AG278" s="325" t="n">
        <f aca="false">T278-S278</f>
        <v>10194220</v>
      </c>
      <c r="AH278" s="325" t="n">
        <f aca="false">U278-T278</f>
        <v>0</v>
      </c>
      <c r="AI278" s="325" t="n">
        <f aca="false">V278-U278</f>
        <v>0</v>
      </c>
      <c r="AJ278" s="325" t="n">
        <f aca="false">W278-V278</f>
        <v>0</v>
      </c>
      <c r="AK278" s="325" t="n">
        <f aca="false">X278-W278</f>
        <v>0</v>
      </c>
      <c r="AL278" s="325" t="n">
        <f aca="false">Y278-X278</f>
        <v>0</v>
      </c>
      <c r="AM278" s="325" t="n">
        <f aca="false">Z278-Y278</f>
        <v>11405750</v>
      </c>
      <c r="AN278" s="325" t="s">
        <v>1679</v>
      </c>
      <c r="AO278" s="325" t="n">
        <f aca="false">AB278-AA278</f>
        <v>0</v>
      </c>
      <c r="AP278" s="325" t="n">
        <f aca="false">AC278-AB278</f>
        <v>0</v>
      </c>
      <c r="AR278" s="314" t="str">
        <f aca="false">IFERROR(VLOOKUP(M278,'PL_DEC.2026'!$D$11:$D$99,1,FALSE()),"(미존재)")</f>
        <v>임상증례조사비</v>
      </c>
    </row>
    <row r="279" customFormat="false" ht="16.5" hidden="false" customHeight="false" outlineLevel="0" collapsed="false">
      <c r="A279" s="317" t="s">
        <v>791</v>
      </c>
      <c r="B279" s="314" t="n">
        <v>65000000</v>
      </c>
      <c r="C279" s="314" t="s">
        <v>2045</v>
      </c>
      <c r="D279" s="314" t="s">
        <v>1879</v>
      </c>
      <c r="E279" s="314" t="s">
        <v>1924</v>
      </c>
      <c r="F279" s="314" t="s">
        <v>2046</v>
      </c>
      <c r="G279" s="314" t="s">
        <v>1926</v>
      </c>
      <c r="H279" s="314" t="s">
        <v>1495</v>
      </c>
      <c r="I279" s="314" t="s">
        <v>1941</v>
      </c>
      <c r="J279" s="314" t="s">
        <v>1458</v>
      </c>
      <c r="K279" s="314" t="s">
        <v>1942</v>
      </c>
      <c r="L279" s="324" t="s">
        <v>1929</v>
      </c>
      <c r="M279" s="324" t="s">
        <v>338</v>
      </c>
      <c r="N279" s="324" t="s">
        <v>1929</v>
      </c>
      <c r="O279" s="324" t="s">
        <v>338</v>
      </c>
      <c r="P279" s="324" t="s">
        <v>338</v>
      </c>
      <c r="Q279" s="325" t="n">
        <v>1339014190</v>
      </c>
      <c r="R279" s="325" t="n">
        <v>163863490</v>
      </c>
      <c r="S279" s="325" t="n">
        <v>211656900</v>
      </c>
      <c r="T279" s="325" t="n">
        <v>259450310</v>
      </c>
      <c r="U279" s="325" t="n">
        <v>423313800</v>
      </c>
      <c r="V279" s="325" t="n">
        <v>587177290</v>
      </c>
      <c r="W279" s="325" t="n">
        <v>751040780</v>
      </c>
      <c r="X279" s="325" t="n">
        <v>914904270</v>
      </c>
      <c r="Y279" s="325" t="n">
        <v>1078767760</v>
      </c>
      <c r="Z279" s="325" t="n">
        <v>1242631250</v>
      </c>
      <c r="AA279" s="325"/>
      <c r="AB279" s="325"/>
      <c r="AC279" s="325"/>
      <c r="AD279" s="325"/>
      <c r="AE279" s="325" t="n">
        <f aca="false">R279</f>
        <v>163863490</v>
      </c>
      <c r="AF279" s="325" t="n">
        <f aca="false">S279-R279</f>
        <v>47793410</v>
      </c>
      <c r="AG279" s="325" t="n">
        <f aca="false">T279-S279</f>
        <v>47793410</v>
      </c>
      <c r="AH279" s="325" t="n">
        <f aca="false">U279-T279</f>
        <v>163863490</v>
      </c>
      <c r="AI279" s="325" t="n">
        <f aca="false">V279-U279</f>
        <v>163863490</v>
      </c>
      <c r="AJ279" s="325" t="n">
        <f aca="false">W279-V279</f>
        <v>163863490</v>
      </c>
      <c r="AK279" s="325" t="n">
        <f aca="false">X279-W279</f>
        <v>163863490</v>
      </c>
      <c r="AL279" s="325" t="n">
        <f aca="false">Y279-X279</f>
        <v>163863490</v>
      </c>
      <c r="AM279" s="325" t="n">
        <f aca="false">Z279-Y279</f>
        <v>163863490</v>
      </c>
      <c r="AN279" s="325" t="s">
        <v>1679</v>
      </c>
      <c r="AO279" s="325" t="n">
        <f aca="false">AB279-AA279</f>
        <v>0</v>
      </c>
      <c r="AP279" s="325" t="n">
        <f aca="false">AC279-AB279</f>
        <v>0</v>
      </c>
      <c r="AR279" s="314" t="str">
        <f aca="false">IFERROR(VLOOKUP(M279,'PL_DEC.2026'!$D$11:$D$99,1,FALSE()),"(미존재)")</f>
        <v>임차료</v>
      </c>
    </row>
    <row r="280" customFormat="false" ht="16.5" hidden="false" customHeight="false" outlineLevel="0" collapsed="false">
      <c r="A280" s="317" t="s">
        <v>791</v>
      </c>
      <c r="B280" s="314" t="n">
        <v>65000001</v>
      </c>
      <c r="C280" s="314" t="s">
        <v>2047</v>
      </c>
      <c r="D280" s="314" t="s">
        <v>1879</v>
      </c>
      <c r="E280" s="314" t="s">
        <v>1924</v>
      </c>
      <c r="F280" s="314" t="s">
        <v>2046</v>
      </c>
      <c r="G280" s="314" t="s">
        <v>1635</v>
      </c>
      <c r="H280" s="314" t="s">
        <v>1495</v>
      </c>
      <c r="I280" s="314" t="s">
        <v>1941</v>
      </c>
      <c r="J280" s="314" t="s">
        <v>1458</v>
      </c>
      <c r="K280" s="314" t="s">
        <v>1942</v>
      </c>
      <c r="L280" s="324" t="s">
        <v>1929</v>
      </c>
      <c r="M280" s="324" t="s">
        <v>338</v>
      </c>
      <c r="N280" s="324" t="s">
        <v>1929</v>
      </c>
      <c r="O280" s="324" t="s">
        <v>338</v>
      </c>
      <c r="P280" s="324" t="s">
        <v>338</v>
      </c>
      <c r="Q280" s="325" t="n">
        <v>-1126894020</v>
      </c>
      <c r="R280" s="325" t="n">
        <v>-116070084</v>
      </c>
      <c r="S280" s="325" t="n">
        <v>-116070084</v>
      </c>
      <c r="T280" s="325" t="n">
        <v>-116070084</v>
      </c>
      <c r="U280" s="325" t="n">
        <v>-232140168</v>
      </c>
      <c r="V280" s="325" t="n">
        <v>-348210252</v>
      </c>
      <c r="W280" s="325" t="n">
        <v>-464280336</v>
      </c>
      <c r="X280" s="325" t="n">
        <v>-580350420</v>
      </c>
      <c r="Y280" s="325" t="n">
        <v>-696420504</v>
      </c>
      <c r="Z280" s="325" t="n">
        <v>-812490588</v>
      </c>
      <c r="AA280" s="325"/>
      <c r="AB280" s="325"/>
      <c r="AC280" s="325"/>
      <c r="AD280" s="325"/>
      <c r="AE280" s="325" t="n">
        <f aca="false">R280</f>
        <v>-116070084</v>
      </c>
      <c r="AF280" s="325" t="n">
        <f aca="false">S280-R280</f>
        <v>0</v>
      </c>
      <c r="AG280" s="325" t="n">
        <f aca="false">T280-S280</f>
        <v>0</v>
      </c>
      <c r="AH280" s="325" t="n">
        <f aca="false">U280-T280</f>
        <v>-116070084</v>
      </c>
      <c r="AI280" s="325" t="n">
        <f aca="false">V280-U280</f>
        <v>-116070084</v>
      </c>
      <c r="AJ280" s="325" t="n">
        <f aca="false">W280-V280</f>
        <v>-116070084</v>
      </c>
      <c r="AK280" s="325" t="n">
        <f aca="false">X280-W280</f>
        <v>-116070084</v>
      </c>
      <c r="AL280" s="325" t="n">
        <f aca="false">Y280-X280</f>
        <v>-116070084</v>
      </c>
      <c r="AM280" s="325" t="n">
        <f aca="false">Z280-Y280</f>
        <v>-116070084</v>
      </c>
      <c r="AN280" s="325" t="s">
        <v>1679</v>
      </c>
      <c r="AO280" s="325" t="n">
        <f aca="false">AB280-AA280</f>
        <v>0</v>
      </c>
      <c r="AP280" s="325" t="n">
        <f aca="false">AC280-AB280</f>
        <v>0</v>
      </c>
      <c r="AR280" s="314" t="str">
        <f aca="false">IFERROR(VLOOKUP(M280,'PL_DEC.2026'!$D$11:$D$99,1,FALSE()),"(미존재)")</f>
        <v>임차료</v>
      </c>
    </row>
    <row r="281" customFormat="false" ht="16.5" hidden="false" customHeight="false" outlineLevel="0" collapsed="false">
      <c r="A281" s="317" t="s">
        <v>791</v>
      </c>
      <c r="B281" s="314" t="n">
        <v>65200000</v>
      </c>
      <c r="C281" s="314" t="s">
        <v>2048</v>
      </c>
      <c r="D281" s="314" t="s">
        <v>1879</v>
      </c>
      <c r="E281" s="314" t="s">
        <v>1924</v>
      </c>
      <c r="F281" s="314" t="s">
        <v>2049</v>
      </c>
      <c r="G281" s="314" t="s">
        <v>1926</v>
      </c>
      <c r="H281" s="314" t="s">
        <v>1495</v>
      </c>
      <c r="I281" s="314" t="s">
        <v>1941</v>
      </c>
      <c r="J281" s="314" t="s">
        <v>1458</v>
      </c>
      <c r="K281" s="314" t="s">
        <v>1942</v>
      </c>
      <c r="L281" s="324" t="s">
        <v>1929</v>
      </c>
      <c r="M281" s="324" t="s">
        <v>342</v>
      </c>
      <c r="N281" s="324" t="s">
        <v>1929</v>
      </c>
      <c r="O281" s="324" t="s">
        <v>342</v>
      </c>
      <c r="P281" s="324" t="s">
        <v>342</v>
      </c>
      <c r="Q281" s="325" t="n">
        <v>26593320</v>
      </c>
      <c r="R281" s="325" t="n">
        <v>1766400</v>
      </c>
      <c r="S281" s="325" t="n">
        <v>3605480</v>
      </c>
      <c r="T281" s="325" t="n">
        <v>5223130</v>
      </c>
      <c r="U281" s="325" t="n">
        <v>6973660</v>
      </c>
      <c r="V281" s="325" t="n">
        <v>8642340</v>
      </c>
      <c r="W281" s="325" t="n">
        <v>10461950</v>
      </c>
      <c r="X281" s="325" t="n">
        <v>12415810</v>
      </c>
      <c r="Y281" s="325" t="n">
        <v>14400590</v>
      </c>
      <c r="Z281" s="325" t="n">
        <v>16172820</v>
      </c>
      <c r="AA281" s="325"/>
      <c r="AB281" s="325"/>
      <c r="AC281" s="325"/>
      <c r="AD281" s="325"/>
      <c r="AE281" s="325" t="n">
        <f aca="false">R281</f>
        <v>1766400</v>
      </c>
      <c r="AF281" s="325" t="n">
        <f aca="false">S281-R281</f>
        <v>1839080</v>
      </c>
      <c r="AG281" s="325" t="n">
        <f aca="false">T281-S281</f>
        <v>1617650</v>
      </c>
      <c r="AH281" s="325" t="n">
        <f aca="false">U281-T281</f>
        <v>1750530</v>
      </c>
      <c r="AI281" s="325" t="n">
        <f aca="false">V281-U281</f>
        <v>1668680</v>
      </c>
      <c r="AJ281" s="325" t="n">
        <f aca="false">W281-V281</f>
        <v>1819610</v>
      </c>
      <c r="AK281" s="325" t="n">
        <f aca="false">X281-W281</f>
        <v>1953860</v>
      </c>
      <c r="AL281" s="325" t="n">
        <f aca="false">Y281-X281</f>
        <v>1984780</v>
      </c>
      <c r="AM281" s="325" t="n">
        <f aca="false">Z281-Y281</f>
        <v>1772230</v>
      </c>
      <c r="AN281" s="325" t="s">
        <v>1679</v>
      </c>
      <c r="AO281" s="325" t="n">
        <f aca="false">AB281-AA281</f>
        <v>0</v>
      </c>
      <c r="AP281" s="325" t="n">
        <f aca="false">AC281-AB281</f>
        <v>0</v>
      </c>
      <c r="AR281" s="314" t="str">
        <f aca="false">IFERROR(VLOOKUP(M281,'PL_DEC.2026'!$D$11:$D$99,1,FALSE()),"(미존재)")</f>
        <v>수도광열비</v>
      </c>
    </row>
    <row r="282" customFormat="false" ht="16.5" hidden="false" customHeight="false" outlineLevel="0" collapsed="false">
      <c r="A282" s="317" t="s">
        <v>791</v>
      </c>
      <c r="B282" s="314" t="n">
        <v>65300000</v>
      </c>
      <c r="C282" s="314" t="s">
        <v>2050</v>
      </c>
      <c r="D282" s="314" t="s">
        <v>1879</v>
      </c>
      <c r="E282" s="314" t="s">
        <v>1924</v>
      </c>
      <c r="F282" s="314" t="s">
        <v>2036</v>
      </c>
      <c r="G282" s="314" t="s">
        <v>1926</v>
      </c>
      <c r="H282" s="314" t="s">
        <v>1495</v>
      </c>
      <c r="I282" s="314" t="s">
        <v>1941</v>
      </c>
      <c r="J282" s="314" t="s">
        <v>1458</v>
      </c>
      <c r="K282" s="314" t="s">
        <v>1942</v>
      </c>
      <c r="L282" s="324" t="s">
        <v>1929</v>
      </c>
      <c r="M282" s="324" t="s">
        <v>334</v>
      </c>
      <c r="N282" s="324" t="s">
        <v>1929</v>
      </c>
      <c r="O282" s="324" t="s">
        <v>334</v>
      </c>
      <c r="P282" s="324" t="s">
        <v>334</v>
      </c>
      <c r="Q282" s="325" t="n">
        <v>168925257</v>
      </c>
      <c r="R282" s="325" t="n">
        <v>1387253</v>
      </c>
      <c r="S282" s="325" t="n">
        <v>3034887</v>
      </c>
      <c r="T282" s="325" t="n">
        <v>53567418</v>
      </c>
      <c r="U282" s="325" t="n">
        <v>65559473</v>
      </c>
      <c r="V282" s="325" t="n">
        <v>78983087</v>
      </c>
      <c r="W282" s="325" t="n">
        <v>91270051</v>
      </c>
      <c r="X282" s="325" t="n">
        <v>105346285</v>
      </c>
      <c r="Y282" s="325" t="n">
        <v>117061319</v>
      </c>
      <c r="Z282" s="325" t="n">
        <v>128587635</v>
      </c>
      <c r="AA282" s="325"/>
      <c r="AB282" s="325"/>
      <c r="AC282" s="325"/>
      <c r="AD282" s="325"/>
      <c r="AE282" s="325" t="n">
        <f aca="false">R282</f>
        <v>1387253</v>
      </c>
      <c r="AF282" s="325" t="n">
        <f aca="false">S282-R282</f>
        <v>1647634</v>
      </c>
      <c r="AG282" s="325" t="n">
        <f aca="false">T282-S282</f>
        <v>50532531</v>
      </c>
      <c r="AH282" s="325" t="n">
        <f aca="false">U282-T282</f>
        <v>11992055</v>
      </c>
      <c r="AI282" s="325" t="n">
        <f aca="false">V282-U282</f>
        <v>13423614</v>
      </c>
      <c r="AJ282" s="325" t="n">
        <f aca="false">W282-V282</f>
        <v>12286964</v>
      </c>
      <c r="AK282" s="325" t="n">
        <f aca="false">X282-W282</f>
        <v>14076234</v>
      </c>
      <c r="AL282" s="325" t="n">
        <f aca="false">Y282-X282</f>
        <v>11715034</v>
      </c>
      <c r="AM282" s="325" t="n">
        <f aca="false">Z282-Y282</f>
        <v>11526316</v>
      </c>
      <c r="AN282" s="325" t="s">
        <v>1679</v>
      </c>
      <c r="AO282" s="325" t="n">
        <f aca="false">AB282-AA282</f>
        <v>0</v>
      </c>
      <c r="AP282" s="325" t="n">
        <f aca="false">AC282-AB282</f>
        <v>0</v>
      </c>
      <c r="AR282" s="314" t="str">
        <f aca="false">IFERROR(VLOOKUP(M282,'PL_DEC.2026'!$D$11:$D$99,1,FALSE()),"(미존재)")</f>
        <v>통신비</v>
      </c>
    </row>
    <row r="283" customFormat="false" ht="16.5" hidden="false" customHeight="false" outlineLevel="0" collapsed="false">
      <c r="A283" s="317" t="s">
        <v>791</v>
      </c>
      <c r="B283" s="314" t="n">
        <v>65300020</v>
      </c>
      <c r="C283" s="314" t="s">
        <v>2051</v>
      </c>
      <c r="D283" s="314" t="s">
        <v>1879</v>
      </c>
      <c r="E283" s="314" t="s">
        <v>1924</v>
      </c>
      <c r="F283" s="314" t="s">
        <v>2036</v>
      </c>
      <c r="G283" s="314" t="s">
        <v>1926</v>
      </c>
      <c r="H283" s="314" t="s">
        <v>1495</v>
      </c>
      <c r="I283" s="314" t="s">
        <v>1941</v>
      </c>
      <c r="J283" s="314" t="s">
        <v>1458</v>
      </c>
      <c r="K283" s="314" t="s">
        <v>1942</v>
      </c>
      <c r="L283" s="324" t="s">
        <v>1929</v>
      </c>
      <c r="M283" s="324" t="s">
        <v>334</v>
      </c>
      <c r="N283" s="324" t="s">
        <v>1929</v>
      </c>
      <c r="O283" s="324" t="s">
        <v>334</v>
      </c>
      <c r="P283" s="324" t="s">
        <v>334</v>
      </c>
      <c r="Q283" s="325" t="n">
        <v>206717269</v>
      </c>
      <c r="R283" s="325" t="n">
        <v>10723044</v>
      </c>
      <c r="S283" s="325" t="n">
        <v>24247499</v>
      </c>
      <c r="T283" s="325" t="n">
        <v>41426716</v>
      </c>
      <c r="U283" s="325" t="n">
        <v>58118451</v>
      </c>
      <c r="V283" s="325" t="n">
        <v>73380847</v>
      </c>
      <c r="W283" s="325" t="n">
        <v>89712691</v>
      </c>
      <c r="X283" s="325" t="n">
        <v>108293316</v>
      </c>
      <c r="Y283" s="325" t="n">
        <v>123093768</v>
      </c>
      <c r="Z283" s="325" t="n">
        <v>137733970</v>
      </c>
      <c r="AA283" s="325"/>
      <c r="AB283" s="325"/>
      <c r="AC283" s="325"/>
      <c r="AD283" s="325"/>
      <c r="AE283" s="325" t="n">
        <f aca="false">R283</f>
        <v>10723044</v>
      </c>
      <c r="AF283" s="325" t="n">
        <f aca="false">S283-R283</f>
        <v>13524455</v>
      </c>
      <c r="AG283" s="325" t="n">
        <f aca="false">T283-S283</f>
        <v>17179217</v>
      </c>
      <c r="AH283" s="325" t="n">
        <f aca="false">U283-T283</f>
        <v>16691735</v>
      </c>
      <c r="AI283" s="325" t="n">
        <f aca="false">V283-U283</f>
        <v>15262396</v>
      </c>
      <c r="AJ283" s="325" t="n">
        <f aca="false">W283-V283</f>
        <v>16331844</v>
      </c>
      <c r="AK283" s="325" t="n">
        <f aca="false">X283-W283</f>
        <v>18580625</v>
      </c>
      <c r="AL283" s="325" t="n">
        <f aca="false">Y283-X283</f>
        <v>14800452</v>
      </c>
      <c r="AM283" s="325" t="n">
        <f aca="false">Z283-Y283</f>
        <v>14640202</v>
      </c>
      <c r="AN283" s="325" t="s">
        <v>1679</v>
      </c>
      <c r="AO283" s="325" t="n">
        <f aca="false">AB283-AA283</f>
        <v>0</v>
      </c>
      <c r="AP283" s="325" t="n">
        <f aca="false">AC283-AB283</f>
        <v>0</v>
      </c>
      <c r="AR283" s="314" t="str">
        <f aca="false">IFERROR(VLOOKUP(M283,'PL_DEC.2026'!$D$11:$D$99,1,FALSE()),"(미존재)")</f>
        <v>통신비</v>
      </c>
    </row>
    <row r="284" customFormat="false" ht="16.5" hidden="false" customHeight="false" outlineLevel="0" collapsed="false">
      <c r="A284" s="317" t="s">
        <v>791</v>
      </c>
      <c r="B284" s="314" t="n">
        <v>65300050</v>
      </c>
      <c r="C284" s="314" t="s">
        <v>2052</v>
      </c>
      <c r="D284" s="314" t="s">
        <v>1879</v>
      </c>
      <c r="E284" s="314" t="s">
        <v>1924</v>
      </c>
      <c r="F284" s="314" t="s">
        <v>2053</v>
      </c>
      <c r="G284" s="314" t="s">
        <v>1926</v>
      </c>
      <c r="H284" s="314" t="s">
        <v>1495</v>
      </c>
      <c r="I284" s="314" t="s">
        <v>1941</v>
      </c>
      <c r="J284" s="314" t="s">
        <v>1458</v>
      </c>
      <c r="K284" s="314" t="s">
        <v>1942</v>
      </c>
      <c r="L284" s="324" t="s">
        <v>1929</v>
      </c>
      <c r="M284" s="324" t="s">
        <v>341</v>
      </c>
      <c r="N284" s="324" t="s">
        <v>1929</v>
      </c>
      <c r="O284" s="324" t="s">
        <v>341</v>
      </c>
      <c r="P284" s="324" t="s">
        <v>341</v>
      </c>
      <c r="Q284" s="325" t="n">
        <v>97560000</v>
      </c>
      <c r="R284" s="325" t="n">
        <v>10630000</v>
      </c>
      <c r="S284" s="325" t="n">
        <v>17360000</v>
      </c>
      <c r="T284" s="325" t="n">
        <v>24090000</v>
      </c>
      <c r="U284" s="325" t="n">
        <v>30820000</v>
      </c>
      <c r="V284" s="325" t="n">
        <v>37550000</v>
      </c>
      <c r="W284" s="325" t="n">
        <v>44280000</v>
      </c>
      <c r="X284" s="325" t="n">
        <v>51010000</v>
      </c>
      <c r="Y284" s="325" t="n">
        <v>62465000</v>
      </c>
      <c r="Z284" s="325" t="n">
        <v>69195000</v>
      </c>
      <c r="AA284" s="325"/>
      <c r="AB284" s="325"/>
      <c r="AC284" s="325"/>
      <c r="AD284" s="325"/>
      <c r="AE284" s="325" t="n">
        <f aca="false">R284</f>
        <v>10630000</v>
      </c>
      <c r="AF284" s="325" t="n">
        <f aca="false">S284-R284</f>
        <v>6730000</v>
      </c>
      <c r="AG284" s="325" t="n">
        <f aca="false">T284-S284</f>
        <v>6730000</v>
      </c>
      <c r="AH284" s="325" t="n">
        <f aca="false">U284-T284</f>
        <v>6730000</v>
      </c>
      <c r="AI284" s="325" t="n">
        <f aca="false">V284-U284</f>
        <v>6730000</v>
      </c>
      <c r="AJ284" s="325" t="n">
        <f aca="false">W284-V284</f>
        <v>6730000</v>
      </c>
      <c r="AK284" s="325" t="n">
        <f aca="false">X284-W284</f>
        <v>6730000</v>
      </c>
      <c r="AL284" s="325" t="n">
        <f aca="false">Y284-X284</f>
        <v>11455000</v>
      </c>
      <c r="AM284" s="325" t="n">
        <f aca="false">Z284-Y284</f>
        <v>6730000</v>
      </c>
      <c r="AN284" s="325" t="s">
        <v>1679</v>
      </c>
      <c r="AO284" s="325" t="n">
        <f aca="false">AB284-AA284</f>
        <v>0</v>
      </c>
      <c r="AP284" s="325" t="n">
        <f aca="false">AC284-AB284</f>
        <v>0</v>
      </c>
      <c r="AR284" s="314" t="str">
        <f aca="false">IFERROR(VLOOKUP(M284,'PL_DEC.2026'!$D$11:$D$99,1,FALSE()),"(미존재)")</f>
        <v>수선비</v>
      </c>
    </row>
    <row r="285" customFormat="false" ht="16.5" hidden="false" customHeight="false" outlineLevel="0" collapsed="false">
      <c r="A285" s="317" t="s">
        <v>791</v>
      </c>
      <c r="B285" s="314" t="n">
        <v>65300510</v>
      </c>
      <c r="C285" s="314" t="s">
        <v>2054</v>
      </c>
      <c r="D285" s="314" t="s">
        <v>1879</v>
      </c>
      <c r="E285" s="314" t="s">
        <v>1924</v>
      </c>
      <c r="F285" s="314" t="s">
        <v>2053</v>
      </c>
      <c r="G285" s="314" t="s">
        <v>1926</v>
      </c>
      <c r="H285" s="314" t="s">
        <v>1495</v>
      </c>
      <c r="I285" s="314" t="s">
        <v>1941</v>
      </c>
      <c r="J285" s="314" t="s">
        <v>1458</v>
      </c>
      <c r="K285" s="314" t="s">
        <v>1942</v>
      </c>
      <c r="L285" s="324" t="s">
        <v>1929</v>
      </c>
      <c r="M285" s="324" t="s">
        <v>335</v>
      </c>
      <c r="N285" s="324" t="s">
        <v>1929</v>
      </c>
      <c r="O285" s="324" t="s">
        <v>341</v>
      </c>
      <c r="P285" s="324" t="s">
        <v>341</v>
      </c>
      <c r="Q285" s="325" t="n">
        <v>57475140</v>
      </c>
      <c r="R285" s="325" t="n">
        <v>1081900</v>
      </c>
      <c r="S285" s="325" t="n">
        <v>5157616</v>
      </c>
      <c r="T285" s="325" t="n">
        <v>8552316</v>
      </c>
      <c r="U285" s="325" t="n">
        <v>10536916</v>
      </c>
      <c r="V285" s="325" t="n">
        <v>12206784</v>
      </c>
      <c r="W285" s="325" t="n">
        <v>15423624</v>
      </c>
      <c r="X285" s="325" t="n">
        <v>17203114</v>
      </c>
      <c r="Y285" s="325" t="n">
        <v>18763034</v>
      </c>
      <c r="Z285" s="325" t="n">
        <v>22739938</v>
      </c>
      <c r="AA285" s="325"/>
      <c r="AB285" s="325"/>
      <c r="AC285" s="325"/>
      <c r="AD285" s="325"/>
      <c r="AE285" s="325" t="n">
        <f aca="false">R285</f>
        <v>1081900</v>
      </c>
      <c r="AF285" s="325" t="n">
        <f aca="false">S285-R285</f>
        <v>4075716</v>
      </c>
      <c r="AG285" s="325" t="n">
        <f aca="false">T285-S285</f>
        <v>3394700</v>
      </c>
      <c r="AH285" s="325" t="n">
        <f aca="false">U285-T285</f>
        <v>1984600</v>
      </c>
      <c r="AI285" s="325" t="n">
        <f aca="false">V285-U285</f>
        <v>1669868</v>
      </c>
      <c r="AJ285" s="325" t="n">
        <f aca="false">W285-V285</f>
        <v>3216840</v>
      </c>
      <c r="AK285" s="325" t="n">
        <f aca="false">X285-W285</f>
        <v>1779490</v>
      </c>
      <c r="AL285" s="325" t="n">
        <f aca="false">Y285-X285</f>
        <v>1559920</v>
      </c>
      <c r="AM285" s="325" t="n">
        <f aca="false">Z285-Y285</f>
        <v>3976904</v>
      </c>
      <c r="AN285" s="325" t="s">
        <v>1679</v>
      </c>
      <c r="AO285" s="325" t="n">
        <f aca="false">AB285-AA285</f>
        <v>0</v>
      </c>
      <c r="AP285" s="325" t="n">
        <f aca="false">AC285-AB285</f>
        <v>0</v>
      </c>
      <c r="AR285" s="314" t="str">
        <f aca="false">IFERROR(VLOOKUP(M285,'PL_DEC.2026'!$D$11:$D$99,1,FALSE()),"(미존재)")</f>
        <v>소모품비</v>
      </c>
    </row>
    <row r="286" customFormat="false" ht="16.5" hidden="false" customHeight="false" outlineLevel="0" collapsed="false">
      <c r="A286" s="317" t="s">
        <v>791</v>
      </c>
      <c r="B286" s="314" t="n">
        <v>65550003</v>
      </c>
      <c r="C286" s="314" t="s">
        <v>2055</v>
      </c>
      <c r="D286" s="314" t="s">
        <v>1879</v>
      </c>
      <c r="E286" s="314" t="s">
        <v>1924</v>
      </c>
      <c r="F286" s="314" t="s">
        <v>1947</v>
      </c>
      <c r="G286" s="314" t="s">
        <v>1926</v>
      </c>
      <c r="H286" s="314" t="s">
        <v>1495</v>
      </c>
      <c r="I286" s="314" t="s">
        <v>1941</v>
      </c>
      <c r="J286" s="314" t="s">
        <v>1458</v>
      </c>
      <c r="K286" s="314" t="s">
        <v>1942</v>
      </c>
      <c r="L286" s="324" t="s">
        <v>1929</v>
      </c>
      <c r="M286" s="324" t="s">
        <v>358</v>
      </c>
      <c r="N286" s="324" t="s">
        <v>1929</v>
      </c>
      <c r="O286" s="324" t="s">
        <v>358</v>
      </c>
      <c r="P286" s="324" t="s">
        <v>358</v>
      </c>
      <c r="Q286" s="325" t="n">
        <v>133379604</v>
      </c>
      <c r="R286" s="325" t="n">
        <v>9870060</v>
      </c>
      <c r="S286" s="325" t="n">
        <v>19740120</v>
      </c>
      <c r="T286" s="325" t="n">
        <v>29610180</v>
      </c>
      <c r="U286" s="325" t="n">
        <v>36707807</v>
      </c>
      <c r="V286" s="325" t="n">
        <v>43403098</v>
      </c>
      <c r="W286" s="325" t="n">
        <v>52500788</v>
      </c>
      <c r="X286" s="325" t="n">
        <v>61598477</v>
      </c>
      <c r="Y286" s="325" t="n">
        <v>70696166</v>
      </c>
      <c r="Z286" s="325" t="n">
        <v>79793855</v>
      </c>
      <c r="AA286" s="325"/>
      <c r="AB286" s="325"/>
      <c r="AC286" s="325"/>
      <c r="AD286" s="325"/>
      <c r="AE286" s="325" t="n">
        <f aca="false">R286</f>
        <v>9870060</v>
      </c>
      <c r="AF286" s="325" t="n">
        <f aca="false">S286-R286</f>
        <v>9870060</v>
      </c>
      <c r="AG286" s="325" t="n">
        <f aca="false">T286-S286</f>
        <v>9870060</v>
      </c>
      <c r="AH286" s="325" t="n">
        <f aca="false">U286-T286</f>
        <v>7097627</v>
      </c>
      <c r="AI286" s="325" t="n">
        <f aca="false">V286-U286</f>
        <v>6695291</v>
      </c>
      <c r="AJ286" s="325" t="n">
        <f aca="false">W286-V286</f>
        <v>9097690</v>
      </c>
      <c r="AK286" s="325" t="n">
        <f aca="false">X286-W286</f>
        <v>9097689</v>
      </c>
      <c r="AL286" s="325" t="n">
        <f aca="false">Y286-X286</f>
        <v>9097689</v>
      </c>
      <c r="AM286" s="325" t="n">
        <f aca="false">Z286-Y286</f>
        <v>9097689</v>
      </c>
      <c r="AN286" s="325" t="s">
        <v>1679</v>
      </c>
      <c r="AO286" s="325" t="n">
        <f aca="false">AB286-AA286</f>
        <v>0</v>
      </c>
      <c r="AP286" s="325" t="n">
        <f aca="false">AC286-AB286</f>
        <v>0</v>
      </c>
      <c r="AR286" s="314" t="str">
        <f aca="false">IFERROR(VLOOKUP(M286,'PL_DEC.2026'!$D$11:$D$99,1,FALSE()),"(미존재)")</f>
        <v>감가상각비</v>
      </c>
    </row>
    <row r="287" customFormat="false" ht="16.5" hidden="false" customHeight="false" outlineLevel="0" collapsed="false">
      <c r="A287" s="317" t="s">
        <v>791</v>
      </c>
      <c r="B287" s="314" t="n">
        <v>65550004</v>
      </c>
      <c r="C287" s="314" t="s">
        <v>2056</v>
      </c>
      <c r="D287" s="314" t="s">
        <v>1879</v>
      </c>
      <c r="E287" s="314" t="s">
        <v>1924</v>
      </c>
      <c r="F287" s="314" t="s">
        <v>1947</v>
      </c>
      <c r="G287" s="314" t="s">
        <v>1926</v>
      </c>
      <c r="H287" s="314" t="s">
        <v>1495</v>
      </c>
      <c r="I287" s="314" t="s">
        <v>1941</v>
      </c>
      <c r="J287" s="314" t="s">
        <v>1458</v>
      </c>
      <c r="K287" s="314" t="s">
        <v>1942</v>
      </c>
      <c r="L287" s="324" t="s">
        <v>1929</v>
      </c>
      <c r="M287" s="324" t="s">
        <v>358</v>
      </c>
      <c r="N287" s="324" t="s">
        <v>1929</v>
      </c>
      <c r="O287" s="324" t="s">
        <v>358</v>
      </c>
      <c r="P287" s="324" t="s">
        <v>358</v>
      </c>
      <c r="Q287" s="325" t="n">
        <v>-383857</v>
      </c>
      <c r="R287" s="325" t="n">
        <v>0</v>
      </c>
      <c r="S287" s="325" t="n">
        <v>0</v>
      </c>
      <c r="T287" s="325" t="n">
        <v>0</v>
      </c>
      <c r="U287" s="325" t="n">
        <v>0</v>
      </c>
      <c r="V287" s="325" t="n">
        <v>0</v>
      </c>
      <c r="W287" s="325" t="n">
        <v>0</v>
      </c>
      <c r="X287" s="325" t="n">
        <v>0</v>
      </c>
      <c r="Y287" s="325" t="n">
        <v>0</v>
      </c>
      <c r="Z287" s="325" t="n">
        <v>0</v>
      </c>
      <c r="AA287" s="325"/>
      <c r="AB287" s="325"/>
      <c r="AC287" s="325"/>
      <c r="AD287" s="325"/>
      <c r="AE287" s="325" t="n">
        <f aca="false">R287</f>
        <v>0</v>
      </c>
      <c r="AF287" s="325" t="n">
        <f aca="false">S287-R287</f>
        <v>0</v>
      </c>
      <c r="AG287" s="325" t="n">
        <f aca="false">T287-S287</f>
        <v>0</v>
      </c>
      <c r="AH287" s="325" t="n">
        <f aca="false">U287-T287</f>
        <v>0</v>
      </c>
      <c r="AI287" s="325" t="n">
        <f aca="false">V287-U287</f>
        <v>0</v>
      </c>
      <c r="AJ287" s="325" t="n">
        <f aca="false">W287-V287</f>
        <v>0</v>
      </c>
      <c r="AK287" s="325" t="n">
        <f aca="false">X287-W287</f>
        <v>0</v>
      </c>
      <c r="AL287" s="325" t="n">
        <f aca="false">Y287-X287</f>
        <v>0</v>
      </c>
      <c r="AM287" s="325" t="n">
        <f aca="false">Z287-Y287</f>
        <v>0</v>
      </c>
      <c r="AN287" s="325" t="s">
        <v>1679</v>
      </c>
      <c r="AO287" s="325" t="n">
        <f aca="false">AB287-AA287</f>
        <v>0</v>
      </c>
      <c r="AP287" s="325" t="n">
        <f aca="false">AC287-AB287</f>
        <v>0</v>
      </c>
      <c r="AR287" s="314" t="str">
        <f aca="false">IFERROR(VLOOKUP(M287,'PL_DEC.2026'!$D$11:$D$99,1,FALSE()),"(미존재)")</f>
        <v>감가상각비</v>
      </c>
    </row>
    <row r="288" customFormat="false" ht="16.5" hidden="false" customHeight="false" outlineLevel="0" collapsed="false">
      <c r="A288" s="317" t="s">
        <v>791</v>
      </c>
      <c r="B288" s="314" t="n">
        <v>65550008</v>
      </c>
      <c r="C288" s="314" t="s">
        <v>2057</v>
      </c>
      <c r="D288" s="314" t="s">
        <v>1879</v>
      </c>
      <c r="E288" s="314" t="s">
        <v>1924</v>
      </c>
      <c r="F288" s="314" t="s">
        <v>1947</v>
      </c>
      <c r="G288" s="314" t="s">
        <v>1926</v>
      </c>
      <c r="H288" s="314" t="s">
        <v>1495</v>
      </c>
      <c r="I288" s="314" t="s">
        <v>1941</v>
      </c>
      <c r="J288" s="314" t="s">
        <v>1458</v>
      </c>
      <c r="K288" s="314" t="s">
        <v>1942</v>
      </c>
      <c r="L288" s="324" t="s">
        <v>1929</v>
      </c>
      <c r="M288" s="324" t="s">
        <v>358</v>
      </c>
      <c r="N288" s="324" t="s">
        <v>1929</v>
      </c>
      <c r="O288" s="324" t="s">
        <v>358</v>
      </c>
      <c r="P288" s="324" t="s">
        <v>358</v>
      </c>
      <c r="Q288" s="325" t="n">
        <v>454321850</v>
      </c>
      <c r="R288" s="325" t="n">
        <v>37860154</v>
      </c>
      <c r="S288" s="325" t="n">
        <v>75720308</v>
      </c>
      <c r="T288" s="325" t="n">
        <v>113580463</v>
      </c>
      <c r="U288" s="325" t="n">
        <v>151440617</v>
      </c>
      <c r="V288" s="325" t="n">
        <v>189300771</v>
      </c>
      <c r="W288" s="325" t="n">
        <v>227160925</v>
      </c>
      <c r="X288" s="325" t="n">
        <v>265021079</v>
      </c>
      <c r="Y288" s="325" t="n">
        <v>302881233</v>
      </c>
      <c r="Z288" s="325" t="n">
        <v>340741388</v>
      </c>
      <c r="AA288" s="325"/>
      <c r="AB288" s="325"/>
      <c r="AC288" s="325"/>
      <c r="AD288" s="325"/>
      <c r="AE288" s="325" t="n">
        <f aca="false">R288</f>
        <v>37860154</v>
      </c>
      <c r="AF288" s="325" t="n">
        <f aca="false">S288-R288</f>
        <v>37860154</v>
      </c>
      <c r="AG288" s="325" t="n">
        <f aca="false">T288-S288</f>
        <v>37860155</v>
      </c>
      <c r="AH288" s="325" t="n">
        <f aca="false">U288-T288</f>
        <v>37860154</v>
      </c>
      <c r="AI288" s="325" t="n">
        <f aca="false">V288-U288</f>
        <v>37860154</v>
      </c>
      <c r="AJ288" s="325" t="n">
        <f aca="false">W288-V288</f>
        <v>37860154</v>
      </c>
      <c r="AK288" s="325" t="n">
        <f aca="false">X288-W288</f>
        <v>37860154</v>
      </c>
      <c r="AL288" s="325" t="n">
        <f aca="false">Y288-X288</f>
        <v>37860154</v>
      </c>
      <c r="AM288" s="325" t="n">
        <f aca="false">Z288-Y288</f>
        <v>37860155</v>
      </c>
      <c r="AN288" s="325" t="s">
        <v>1679</v>
      </c>
      <c r="AO288" s="325" t="n">
        <f aca="false">AB288-AA288</f>
        <v>0</v>
      </c>
      <c r="AP288" s="325" t="n">
        <f aca="false">AC288-AB288</f>
        <v>0</v>
      </c>
      <c r="AR288" s="314" t="str">
        <f aca="false">IFERROR(VLOOKUP(M288,'PL_DEC.2026'!$D$11:$D$99,1,FALSE()),"(미존재)")</f>
        <v>감가상각비</v>
      </c>
    </row>
    <row r="289" customFormat="false" ht="16.5" hidden="false" customHeight="false" outlineLevel="0" collapsed="false">
      <c r="A289" s="317" t="s">
        <v>791</v>
      </c>
      <c r="B289" s="314" t="n">
        <v>65550012</v>
      </c>
      <c r="C289" s="314" t="s">
        <v>2058</v>
      </c>
      <c r="D289" s="314" t="s">
        <v>1879</v>
      </c>
      <c r="E289" s="314" t="s">
        <v>1924</v>
      </c>
      <c r="F289" s="314" t="s">
        <v>1947</v>
      </c>
      <c r="G289" s="314" t="s">
        <v>1926</v>
      </c>
      <c r="H289" s="314" t="s">
        <v>1495</v>
      </c>
      <c r="I289" s="314" t="s">
        <v>1941</v>
      </c>
      <c r="J289" s="314" t="s">
        <v>1458</v>
      </c>
      <c r="K289" s="314" t="s">
        <v>1942</v>
      </c>
      <c r="L289" s="324" t="s">
        <v>1929</v>
      </c>
      <c r="M289" s="324" t="s">
        <v>358</v>
      </c>
      <c r="N289" s="324" t="s">
        <v>1929</v>
      </c>
      <c r="O289" s="324" t="s">
        <v>358</v>
      </c>
      <c r="P289" s="324" t="s">
        <v>358</v>
      </c>
      <c r="Q289" s="325" t="n">
        <v>54992000</v>
      </c>
      <c r="R289" s="325" t="n">
        <v>4582667</v>
      </c>
      <c r="S289" s="325" t="n">
        <v>9165333</v>
      </c>
      <c r="T289" s="325" t="n">
        <v>13748000</v>
      </c>
      <c r="U289" s="325" t="n">
        <v>18330667</v>
      </c>
      <c r="V289" s="325" t="n">
        <v>22913333</v>
      </c>
      <c r="W289" s="325" t="n">
        <v>27496000</v>
      </c>
      <c r="X289" s="325" t="n">
        <v>32078667</v>
      </c>
      <c r="Y289" s="325" t="n">
        <v>36661333</v>
      </c>
      <c r="Z289" s="325" t="n">
        <v>41244000</v>
      </c>
      <c r="AA289" s="325"/>
      <c r="AB289" s="325"/>
      <c r="AC289" s="325"/>
      <c r="AD289" s="325"/>
      <c r="AE289" s="325" t="n">
        <f aca="false">R289</f>
        <v>4582667</v>
      </c>
      <c r="AF289" s="325" t="n">
        <f aca="false">S289-R289</f>
        <v>4582666</v>
      </c>
      <c r="AG289" s="325" t="n">
        <f aca="false">T289-S289</f>
        <v>4582667</v>
      </c>
      <c r="AH289" s="325" t="n">
        <f aca="false">U289-T289</f>
        <v>4582667</v>
      </c>
      <c r="AI289" s="325" t="n">
        <f aca="false">V289-U289</f>
        <v>4582666</v>
      </c>
      <c r="AJ289" s="325" t="n">
        <f aca="false">W289-V289</f>
        <v>4582667</v>
      </c>
      <c r="AK289" s="325" t="n">
        <f aca="false">X289-W289</f>
        <v>4582667</v>
      </c>
      <c r="AL289" s="325" t="n">
        <f aca="false">Y289-X289</f>
        <v>4582666</v>
      </c>
      <c r="AM289" s="325" t="n">
        <f aca="false">Z289-Y289</f>
        <v>4582667</v>
      </c>
      <c r="AN289" s="325" t="s">
        <v>1679</v>
      </c>
      <c r="AO289" s="325" t="n">
        <f aca="false">AB289-AA289</f>
        <v>0</v>
      </c>
      <c r="AP289" s="325" t="n">
        <f aca="false">AC289-AB289</f>
        <v>0</v>
      </c>
      <c r="AR289" s="314" t="str">
        <f aca="false">IFERROR(VLOOKUP(M289,'PL_DEC.2026'!$D$11:$D$99,1,FALSE()),"(미존재)")</f>
        <v>감가상각비</v>
      </c>
    </row>
    <row r="290" customFormat="false" ht="16.5" hidden="false" customHeight="false" outlineLevel="0" collapsed="false">
      <c r="A290" s="317" t="s">
        <v>791</v>
      </c>
      <c r="B290" s="314" t="n">
        <v>65600000</v>
      </c>
      <c r="C290" s="314" t="s">
        <v>2059</v>
      </c>
      <c r="D290" s="314" t="s">
        <v>1879</v>
      </c>
      <c r="E290" s="314" t="s">
        <v>1924</v>
      </c>
      <c r="F290" s="314" t="s">
        <v>2053</v>
      </c>
      <c r="G290" s="314" t="s">
        <v>1926</v>
      </c>
      <c r="H290" s="314" t="s">
        <v>1495</v>
      </c>
      <c r="I290" s="314" t="s">
        <v>1941</v>
      </c>
      <c r="J290" s="314" t="s">
        <v>1458</v>
      </c>
      <c r="K290" s="314" t="s">
        <v>1942</v>
      </c>
      <c r="L290" s="324" t="s">
        <v>1929</v>
      </c>
      <c r="M290" s="324" t="s">
        <v>344</v>
      </c>
      <c r="N290" s="324" t="s">
        <v>1929</v>
      </c>
      <c r="O290" s="324" t="s">
        <v>341</v>
      </c>
      <c r="P290" s="324" t="s">
        <v>341</v>
      </c>
      <c r="Q290" s="325" t="n">
        <v>255551702</v>
      </c>
      <c r="R290" s="325" t="n">
        <v>2099254</v>
      </c>
      <c r="S290" s="325" t="n">
        <v>8761906</v>
      </c>
      <c r="T290" s="325" t="n">
        <v>11466163</v>
      </c>
      <c r="U290" s="325" t="n">
        <v>13294380</v>
      </c>
      <c r="V290" s="325" t="n">
        <v>15869653</v>
      </c>
      <c r="W290" s="325" t="n">
        <v>13934926</v>
      </c>
      <c r="X290" s="325" t="n">
        <v>16032926</v>
      </c>
      <c r="Y290" s="325" t="n">
        <v>18194562</v>
      </c>
      <c r="Z290" s="325" t="n">
        <v>19654241</v>
      </c>
      <c r="AA290" s="325"/>
      <c r="AB290" s="325"/>
      <c r="AC290" s="325"/>
      <c r="AD290" s="325"/>
      <c r="AE290" s="325" t="n">
        <f aca="false">R290</f>
        <v>2099254</v>
      </c>
      <c r="AF290" s="325" t="n">
        <f aca="false">S290-R290</f>
        <v>6662652</v>
      </c>
      <c r="AG290" s="325" t="n">
        <f aca="false">T290-S290</f>
        <v>2704257</v>
      </c>
      <c r="AH290" s="325" t="n">
        <f aca="false">U290-T290</f>
        <v>1828217</v>
      </c>
      <c r="AI290" s="325" t="n">
        <f aca="false">V290-U290</f>
        <v>2575273</v>
      </c>
      <c r="AJ290" s="325" t="n">
        <f aca="false">W290-V290</f>
        <v>-1934727</v>
      </c>
      <c r="AK290" s="325" t="n">
        <f aca="false">X290-W290</f>
        <v>2098000</v>
      </c>
      <c r="AL290" s="325" t="n">
        <f aca="false">Y290-X290</f>
        <v>2161636</v>
      </c>
      <c r="AM290" s="325" t="n">
        <f aca="false">Z290-Y290</f>
        <v>1459679</v>
      </c>
      <c r="AN290" s="325" t="s">
        <v>1679</v>
      </c>
      <c r="AO290" s="325" t="n">
        <f aca="false">AB290-AA290</f>
        <v>0</v>
      </c>
      <c r="AP290" s="325" t="n">
        <f aca="false">AC290-AB290</f>
        <v>0</v>
      </c>
      <c r="AR290" s="314" t="str">
        <f aca="false">IFERROR(VLOOKUP(M290,'PL_DEC.2026'!$D$11:$D$99,1,FALSE()),"(미존재)")</f>
        <v>지급수수료</v>
      </c>
    </row>
    <row r="291" customFormat="false" ht="16.5" hidden="false" customHeight="false" outlineLevel="0" collapsed="false">
      <c r="A291" s="317" t="s">
        <v>791</v>
      </c>
      <c r="B291" s="314" t="n">
        <v>65600040</v>
      </c>
      <c r="C291" s="314" t="s">
        <v>2060</v>
      </c>
      <c r="D291" s="314" t="s">
        <v>1879</v>
      </c>
      <c r="E291" s="314" t="s">
        <v>1924</v>
      </c>
      <c r="F291" s="314" t="s">
        <v>2053</v>
      </c>
      <c r="G291" s="314" t="s">
        <v>1926</v>
      </c>
      <c r="H291" s="314" t="s">
        <v>1495</v>
      </c>
      <c r="I291" s="314" t="s">
        <v>1941</v>
      </c>
      <c r="J291" s="314" t="s">
        <v>1458</v>
      </c>
      <c r="K291" s="314" t="s">
        <v>1942</v>
      </c>
      <c r="L291" s="324" t="s">
        <v>1929</v>
      </c>
      <c r="M291" s="324" t="s">
        <v>341</v>
      </c>
      <c r="N291" s="324" t="s">
        <v>1929</v>
      </c>
      <c r="O291" s="324" t="s">
        <v>341</v>
      </c>
      <c r="P291" s="324" t="s">
        <v>341</v>
      </c>
      <c r="Q291" s="325" t="n">
        <v>-1420070</v>
      </c>
      <c r="R291" s="325" t="n">
        <v>2762531</v>
      </c>
      <c r="S291" s="325" t="n">
        <v>2762531</v>
      </c>
      <c r="T291" s="325" t="n">
        <v>2762531</v>
      </c>
      <c r="U291" s="325" t="n">
        <v>2762531</v>
      </c>
      <c r="V291" s="325" t="n">
        <v>2533174</v>
      </c>
      <c r="W291" s="325" t="n">
        <v>2533174</v>
      </c>
      <c r="X291" s="325" t="n">
        <v>2533174</v>
      </c>
      <c r="Y291" s="325" t="n">
        <v>2533174</v>
      </c>
      <c r="Z291" s="325" t="n">
        <v>2533174</v>
      </c>
      <c r="AA291" s="325"/>
      <c r="AB291" s="325"/>
      <c r="AC291" s="325"/>
      <c r="AD291" s="325"/>
      <c r="AE291" s="325" t="n">
        <f aca="false">R291</f>
        <v>2762531</v>
      </c>
      <c r="AF291" s="325" t="n">
        <f aca="false">S291-R291</f>
        <v>0</v>
      </c>
      <c r="AG291" s="325" t="n">
        <f aca="false">T291-S291</f>
        <v>0</v>
      </c>
      <c r="AH291" s="325" t="n">
        <f aca="false">U291-T291</f>
        <v>0</v>
      </c>
      <c r="AI291" s="325" t="n">
        <f aca="false">V291-U291</f>
        <v>-229357</v>
      </c>
      <c r="AJ291" s="325" t="n">
        <f aca="false">W291-V291</f>
        <v>0</v>
      </c>
      <c r="AK291" s="325" t="n">
        <f aca="false">X291-W291</f>
        <v>0</v>
      </c>
      <c r="AL291" s="325" t="n">
        <f aca="false">Y291-X291</f>
        <v>0</v>
      </c>
      <c r="AM291" s="325" t="n">
        <f aca="false">Z291-Y291</f>
        <v>0</v>
      </c>
      <c r="AN291" s="325" t="s">
        <v>1679</v>
      </c>
      <c r="AO291" s="325" t="n">
        <f aca="false">AB291-AA291</f>
        <v>0</v>
      </c>
      <c r="AP291" s="325" t="n">
        <f aca="false">AC291-AB291</f>
        <v>0</v>
      </c>
      <c r="AR291" s="314" t="str">
        <f aca="false">IFERROR(VLOOKUP(M291,'PL_DEC.2026'!$D$11:$D$99,1,FALSE()),"(미존재)")</f>
        <v>수선비</v>
      </c>
    </row>
    <row r="292" customFormat="false" ht="16.5" hidden="false" customHeight="false" outlineLevel="0" collapsed="false">
      <c r="A292" s="317" t="s">
        <v>791</v>
      </c>
      <c r="B292" s="314" t="n">
        <v>65650700</v>
      </c>
      <c r="C292" s="314" t="s">
        <v>2061</v>
      </c>
      <c r="D292" s="314" t="s">
        <v>1879</v>
      </c>
      <c r="E292" s="314" t="s">
        <v>1924</v>
      </c>
      <c r="F292" s="314" t="s">
        <v>2062</v>
      </c>
      <c r="G292" s="314" t="s">
        <v>1926</v>
      </c>
      <c r="H292" s="314" t="s">
        <v>1495</v>
      </c>
      <c r="I292" s="314" t="s">
        <v>1941</v>
      </c>
      <c r="J292" s="314" t="s">
        <v>1458</v>
      </c>
      <c r="K292" s="314" t="s">
        <v>1942</v>
      </c>
      <c r="L292" s="324" t="s">
        <v>1929</v>
      </c>
      <c r="M292" s="324" t="s">
        <v>353</v>
      </c>
      <c r="N292" s="324" t="s">
        <v>1929</v>
      </c>
      <c r="O292" s="324" t="s">
        <v>353</v>
      </c>
      <c r="P292" s="324" t="s">
        <v>353</v>
      </c>
      <c r="Q292" s="325" t="n">
        <v>1991992</v>
      </c>
      <c r="R292" s="325" t="n">
        <v>399916</v>
      </c>
      <c r="S292" s="325" t="n">
        <v>654160</v>
      </c>
      <c r="T292" s="325" t="n">
        <v>943013</v>
      </c>
      <c r="U292" s="325" t="n">
        <v>1535708</v>
      </c>
      <c r="V292" s="325" t="n">
        <v>1722776</v>
      </c>
      <c r="W292" s="325" t="n">
        <v>2191731</v>
      </c>
      <c r="X292" s="325" t="n">
        <v>2508483</v>
      </c>
      <c r="Y292" s="325" t="n">
        <v>2664340</v>
      </c>
      <c r="Z292" s="325" t="n">
        <v>274311</v>
      </c>
      <c r="AA292" s="325"/>
      <c r="AB292" s="325"/>
      <c r="AC292" s="325"/>
      <c r="AD292" s="325"/>
      <c r="AE292" s="325" t="n">
        <f aca="false">R292</f>
        <v>399916</v>
      </c>
      <c r="AF292" s="325" t="n">
        <f aca="false">S292-R292</f>
        <v>254244</v>
      </c>
      <c r="AG292" s="325" t="n">
        <f aca="false">T292-S292</f>
        <v>288853</v>
      </c>
      <c r="AH292" s="325" t="n">
        <f aca="false">U292-T292</f>
        <v>592695</v>
      </c>
      <c r="AI292" s="325" t="n">
        <f aca="false">V292-U292</f>
        <v>187068</v>
      </c>
      <c r="AJ292" s="325" t="n">
        <f aca="false">W292-V292</f>
        <v>468955</v>
      </c>
      <c r="AK292" s="325" t="n">
        <f aca="false">X292-W292</f>
        <v>316752</v>
      </c>
      <c r="AL292" s="325" t="n">
        <f aca="false">Y292-X292</f>
        <v>155857</v>
      </c>
      <c r="AM292" s="325" t="n">
        <f aca="false">Z292-Y292</f>
        <v>-2390029</v>
      </c>
      <c r="AN292" s="325" t="s">
        <v>1679</v>
      </c>
      <c r="AO292" s="325" t="n">
        <f aca="false">AB292-AA292</f>
        <v>0</v>
      </c>
      <c r="AP292" s="325" t="n">
        <f aca="false">AC292-AB292</f>
        <v>0</v>
      </c>
      <c r="AR292" s="314" t="str">
        <f aca="false">IFERROR(VLOOKUP(M292,'PL_DEC.2026'!$D$11:$D$99,1,FALSE()),"(미존재)")</f>
        <v>차량비</v>
      </c>
    </row>
    <row r="293" customFormat="false" ht="16.5" hidden="false" customHeight="false" outlineLevel="0" collapsed="false">
      <c r="A293" s="317" t="s">
        <v>791</v>
      </c>
      <c r="B293" s="314" t="n">
        <v>66000000</v>
      </c>
      <c r="C293" s="314" t="s">
        <v>2063</v>
      </c>
      <c r="D293" s="314" t="s">
        <v>1879</v>
      </c>
      <c r="E293" s="314" t="s">
        <v>1924</v>
      </c>
      <c r="F293" s="314" t="s">
        <v>2029</v>
      </c>
      <c r="G293" s="314" t="s">
        <v>1926</v>
      </c>
      <c r="H293" s="314" t="s">
        <v>1495</v>
      </c>
      <c r="I293" s="314" t="s">
        <v>1941</v>
      </c>
      <c r="J293" s="314" t="s">
        <v>1458</v>
      </c>
      <c r="K293" s="314" t="s">
        <v>1942</v>
      </c>
      <c r="L293" s="324" t="s">
        <v>1929</v>
      </c>
      <c r="M293" s="324" t="s">
        <v>335</v>
      </c>
      <c r="N293" s="324" t="s">
        <v>1929</v>
      </c>
      <c r="O293" s="324" t="s">
        <v>335</v>
      </c>
      <c r="P293" s="324" t="s">
        <v>335</v>
      </c>
      <c r="Q293" s="325" t="n">
        <v>64946303</v>
      </c>
      <c r="R293" s="325" t="n">
        <v>2954886</v>
      </c>
      <c r="S293" s="325" t="n">
        <v>8754702</v>
      </c>
      <c r="T293" s="325" t="n">
        <v>10921492</v>
      </c>
      <c r="U293" s="325" t="n">
        <v>11365592</v>
      </c>
      <c r="V293" s="325" t="n">
        <v>18298122</v>
      </c>
      <c r="W293" s="325" t="n">
        <v>21572793</v>
      </c>
      <c r="X293" s="325" t="n">
        <v>23612697</v>
      </c>
      <c r="Y293" s="325" t="n">
        <v>27290018</v>
      </c>
      <c r="Z293" s="325" t="n">
        <v>29290731</v>
      </c>
      <c r="AA293" s="325"/>
      <c r="AB293" s="325"/>
      <c r="AC293" s="325"/>
      <c r="AD293" s="325"/>
      <c r="AE293" s="325" t="n">
        <f aca="false">R293</f>
        <v>2954886</v>
      </c>
      <c r="AF293" s="325" t="n">
        <f aca="false">S293-R293</f>
        <v>5799816</v>
      </c>
      <c r="AG293" s="325" t="n">
        <f aca="false">T293-S293</f>
        <v>2166790</v>
      </c>
      <c r="AH293" s="325" t="n">
        <f aca="false">U293-T293</f>
        <v>444100</v>
      </c>
      <c r="AI293" s="325" t="n">
        <f aca="false">V293-U293</f>
        <v>6932530</v>
      </c>
      <c r="AJ293" s="325" t="n">
        <f aca="false">W293-V293</f>
        <v>3274671</v>
      </c>
      <c r="AK293" s="325" t="n">
        <f aca="false">X293-W293</f>
        <v>2039904</v>
      </c>
      <c r="AL293" s="325" t="n">
        <f aca="false">Y293-X293</f>
        <v>3677321</v>
      </c>
      <c r="AM293" s="325" t="n">
        <f aca="false">Z293-Y293</f>
        <v>2000713</v>
      </c>
      <c r="AN293" s="325" t="s">
        <v>1679</v>
      </c>
      <c r="AO293" s="325" t="n">
        <f aca="false">AB293-AA293</f>
        <v>0</v>
      </c>
      <c r="AP293" s="325" t="n">
        <f aca="false">AC293-AB293</f>
        <v>0</v>
      </c>
      <c r="AR293" s="314" t="str">
        <f aca="false">IFERROR(VLOOKUP(M293,'PL_DEC.2026'!$D$11:$D$99,1,FALSE()),"(미존재)")</f>
        <v>소모품비</v>
      </c>
    </row>
    <row r="294" customFormat="false" ht="16.5" hidden="false" customHeight="false" outlineLevel="0" collapsed="false">
      <c r="A294" s="317" t="s">
        <v>791</v>
      </c>
      <c r="B294" s="314" t="n">
        <v>66000703</v>
      </c>
      <c r="C294" s="314" t="s">
        <v>2064</v>
      </c>
      <c r="D294" s="314" t="s">
        <v>1879</v>
      </c>
      <c r="E294" s="314" t="s">
        <v>1924</v>
      </c>
      <c r="F294" s="314" t="s">
        <v>1931</v>
      </c>
      <c r="G294" s="314" t="s">
        <v>1926</v>
      </c>
      <c r="H294" s="314" t="s">
        <v>1495</v>
      </c>
      <c r="I294" s="314" t="s">
        <v>1941</v>
      </c>
      <c r="J294" s="314" t="s">
        <v>1458</v>
      </c>
      <c r="K294" s="314" t="s">
        <v>1942</v>
      </c>
      <c r="L294" s="324" t="s">
        <v>1929</v>
      </c>
      <c r="M294" s="324" t="s">
        <v>355</v>
      </c>
      <c r="N294" s="324" t="s">
        <v>1929</v>
      </c>
      <c r="O294" s="324" t="s">
        <v>355</v>
      </c>
      <c r="P294" s="324" t="s">
        <v>355</v>
      </c>
      <c r="Q294" s="325" t="n">
        <v>0</v>
      </c>
      <c r="R294" s="325" t="n">
        <v>0</v>
      </c>
      <c r="S294" s="325" t="n">
        <v>0</v>
      </c>
      <c r="T294" s="325" t="n">
        <v>0</v>
      </c>
      <c r="U294" s="325" t="n">
        <v>33888811</v>
      </c>
      <c r="V294" s="325" t="n">
        <v>15222519</v>
      </c>
      <c r="W294" s="325" t="n">
        <v>-54612</v>
      </c>
      <c r="X294" s="325" t="n">
        <v>181874</v>
      </c>
      <c r="Y294" s="325" t="n">
        <v>31591154</v>
      </c>
      <c r="Z294" s="325" t="n">
        <v>31591154</v>
      </c>
      <c r="AA294" s="325"/>
      <c r="AB294" s="325"/>
      <c r="AC294" s="325"/>
      <c r="AD294" s="325"/>
      <c r="AE294" s="325" t="n">
        <f aca="false">R294</f>
        <v>0</v>
      </c>
      <c r="AF294" s="325" t="n">
        <f aca="false">S294-R294</f>
        <v>0</v>
      </c>
      <c r="AG294" s="325" t="n">
        <f aca="false">T294-S294</f>
        <v>0</v>
      </c>
      <c r="AH294" s="325" t="n">
        <f aca="false">U294-T294</f>
        <v>33888811</v>
      </c>
      <c r="AI294" s="325" t="n">
        <f aca="false">V294-U294</f>
        <v>-18666292</v>
      </c>
      <c r="AJ294" s="325" t="n">
        <f aca="false">W294-V294</f>
        <v>-15277131</v>
      </c>
      <c r="AK294" s="325" t="n">
        <f aca="false">X294-W294</f>
        <v>236486</v>
      </c>
      <c r="AL294" s="325" t="n">
        <f aca="false">Y294-X294</f>
        <v>31409280</v>
      </c>
      <c r="AM294" s="325" t="n">
        <f aca="false">Z294-Y294</f>
        <v>0</v>
      </c>
      <c r="AN294" s="325" t="s">
        <v>1679</v>
      </c>
      <c r="AO294" s="325" t="n">
        <f aca="false">AB294-AA294</f>
        <v>0</v>
      </c>
      <c r="AP294" s="325" t="n">
        <f aca="false">AC294-AB294</f>
        <v>0</v>
      </c>
      <c r="AR294" s="314" t="str">
        <f aca="false">IFERROR(VLOOKUP(M294,'PL_DEC.2026'!$D$11:$D$99,1,FALSE()),"(미존재)")</f>
        <v>임상증례조사비</v>
      </c>
    </row>
    <row r="295" customFormat="false" ht="16.5" hidden="false" customHeight="false" outlineLevel="0" collapsed="false">
      <c r="A295" s="317" t="s">
        <v>791</v>
      </c>
      <c r="B295" s="314" t="n">
        <v>66000004</v>
      </c>
      <c r="C295" s="314" t="s">
        <v>2065</v>
      </c>
      <c r="D295" s="314" t="s">
        <v>1879</v>
      </c>
      <c r="E295" s="314" t="s">
        <v>1924</v>
      </c>
      <c r="F295" s="314" t="s">
        <v>1970</v>
      </c>
      <c r="G295" s="314" t="s">
        <v>1926</v>
      </c>
      <c r="H295" s="314" t="s">
        <v>1495</v>
      </c>
      <c r="I295" s="314" t="s">
        <v>1941</v>
      </c>
      <c r="J295" s="314" t="s">
        <v>1458</v>
      </c>
      <c r="K295" s="314" t="s">
        <v>1942</v>
      </c>
      <c r="L295" s="324" t="s">
        <v>1929</v>
      </c>
      <c r="M295" s="324" t="s">
        <v>330</v>
      </c>
      <c r="N295" s="324" t="s">
        <v>1929</v>
      </c>
      <c r="O295" s="324" t="s">
        <v>330</v>
      </c>
      <c r="P295" s="324" t="s">
        <v>330</v>
      </c>
      <c r="Q295" s="325" t="n">
        <v>79853060</v>
      </c>
      <c r="R295" s="325" t="n">
        <v>-140270944</v>
      </c>
      <c r="S295" s="325" t="n">
        <v>-136589435</v>
      </c>
      <c r="T295" s="325" t="n">
        <v>-133429426</v>
      </c>
      <c r="U295" s="325" t="n">
        <v>-129796049</v>
      </c>
      <c r="V295" s="325" t="n">
        <v>-126136733</v>
      </c>
      <c r="W295" s="325" t="n">
        <v>-123020049</v>
      </c>
      <c r="X295" s="325" t="n">
        <v>-119276840</v>
      </c>
      <c r="Y295" s="325" t="n">
        <v>-116338481</v>
      </c>
      <c r="Z295" s="325" t="n">
        <v>-113205122</v>
      </c>
      <c r="AA295" s="325"/>
      <c r="AB295" s="325"/>
      <c r="AC295" s="325"/>
      <c r="AD295" s="325"/>
      <c r="AE295" s="325" t="n">
        <f aca="false">R295</f>
        <v>-140270944</v>
      </c>
      <c r="AF295" s="325" t="n">
        <f aca="false">S295-R295</f>
        <v>3681509</v>
      </c>
      <c r="AG295" s="325" t="n">
        <f aca="false">T295-S295</f>
        <v>3160009</v>
      </c>
      <c r="AH295" s="325" t="n">
        <f aca="false">U295-T295</f>
        <v>3633377</v>
      </c>
      <c r="AI295" s="325" t="n">
        <f aca="false">V295-U295</f>
        <v>3659316</v>
      </c>
      <c r="AJ295" s="325" t="n">
        <f aca="false">W295-V295</f>
        <v>3116684</v>
      </c>
      <c r="AK295" s="325" t="n">
        <f aca="false">X295-W295</f>
        <v>3743209</v>
      </c>
      <c r="AL295" s="325" t="n">
        <f aca="false">Y295-X295</f>
        <v>2938359</v>
      </c>
      <c r="AM295" s="325" t="n">
        <f aca="false">Z295-Y295</f>
        <v>3133359</v>
      </c>
      <c r="AN295" s="325" t="s">
        <v>1679</v>
      </c>
      <c r="AO295" s="325" t="n">
        <f aca="false">AB295-AA295</f>
        <v>0</v>
      </c>
      <c r="AP295" s="325" t="n">
        <f aca="false">AC295-AB295</f>
        <v>0</v>
      </c>
      <c r="AR295" s="314" t="str">
        <f aca="false">IFERROR(VLOOKUP(M295,'PL_DEC.2026'!$D$11:$D$99,1,FALSE()),"(미존재)")</f>
        <v>복리후생비</v>
      </c>
    </row>
    <row r="296" customFormat="false" ht="16.5" hidden="false" customHeight="false" outlineLevel="0" collapsed="false">
      <c r="A296" s="317" t="s">
        <v>791</v>
      </c>
      <c r="B296" s="314" t="n">
        <v>66000060</v>
      </c>
      <c r="C296" s="314" t="s">
        <v>2066</v>
      </c>
      <c r="D296" s="314" t="s">
        <v>1879</v>
      </c>
      <c r="E296" s="314" t="s">
        <v>1924</v>
      </c>
      <c r="F296" s="314" t="s">
        <v>2067</v>
      </c>
      <c r="G296" s="314" t="s">
        <v>1926</v>
      </c>
      <c r="H296" s="314" t="s">
        <v>1495</v>
      </c>
      <c r="I296" s="314" t="s">
        <v>1941</v>
      </c>
      <c r="J296" s="314" t="s">
        <v>1458</v>
      </c>
      <c r="K296" s="314" t="s">
        <v>1942</v>
      </c>
      <c r="L296" s="324" t="s">
        <v>1929</v>
      </c>
      <c r="M296" s="324" t="s">
        <v>336</v>
      </c>
      <c r="N296" s="324" t="s">
        <v>1929</v>
      </c>
      <c r="O296" s="324" t="s">
        <v>336</v>
      </c>
      <c r="P296" s="324" t="s">
        <v>336</v>
      </c>
      <c r="Q296" s="325" t="n">
        <v>5701984</v>
      </c>
      <c r="R296" s="325" t="n">
        <v>-4202965</v>
      </c>
      <c r="S296" s="325" t="n">
        <v>-4148965</v>
      </c>
      <c r="T296" s="325" t="n">
        <v>-4239874</v>
      </c>
      <c r="U296" s="325" t="n">
        <v>-4239874</v>
      </c>
      <c r="V296" s="325" t="n">
        <v>-2839874</v>
      </c>
      <c r="W296" s="325" t="n">
        <v>739419</v>
      </c>
      <c r="X296" s="325" t="n">
        <v>3456419</v>
      </c>
      <c r="Y296" s="325" t="n">
        <v>8956419</v>
      </c>
      <c r="Z296" s="325" t="n">
        <v>8549981</v>
      </c>
      <c r="AA296" s="325"/>
      <c r="AB296" s="325"/>
      <c r="AC296" s="325"/>
      <c r="AD296" s="325"/>
      <c r="AE296" s="325" t="n">
        <f aca="false">R296</f>
        <v>-4202965</v>
      </c>
      <c r="AF296" s="325" t="n">
        <f aca="false">S296-R296</f>
        <v>54000</v>
      </c>
      <c r="AG296" s="325" t="n">
        <f aca="false">T296-S296</f>
        <v>-90909</v>
      </c>
      <c r="AH296" s="325" t="n">
        <f aca="false">U296-T296</f>
        <v>0</v>
      </c>
      <c r="AI296" s="325" t="n">
        <f aca="false">V296-U296</f>
        <v>1400000</v>
      </c>
      <c r="AJ296" s="325" t="n">
        <f aca="false">W296-V296</f>
        <v>3579293</v>
      </c>
      <c r="AK296" s="325" t="n">
        <f aca="false">X296-W296</f>
        <v>2717000</v>
      </c>
      <c r="AL296" s="325" t="n">
        <f aca="false">Y296-X296</f>
        <v>5500000</v>
      </c>
      <c r="AM296" s="325" t="n">
        <f aca="false">Z296-Y296</f>
        <v>-406438</v>
      </c>
      <c r="AN296" s="325" t="s">
        <v>1679</v>
      </c>
      <c r="AO296" s="325" t="n">
        <f aca="false">AB296-AA296</f>
        <v>0</v>
      </c>
      <c r="AP296" s="325" t="n">
        <f aca="false">AC296-AB296</f>
        <v>0</v>
      </c>
      <c r="AR296" s="314" t="str">
        <f aca="false">IFERROR(VLOOKUP(M296,'PL_DEC.2026'!$D$11:$D$99,1,FALSE()),"(미존재)")</f>
        <v>도서인쇄비</v>
      </c>
    </row>
    <row r="297" customFormat="false" ht="16.5" hidden="false" customHeight="false" outlineLevel="0" collapsed="false">
      <c r="A297" s="317" t="s">
        <v>791</v>
      </c>
      <c r="B297" s="314" t="n">
        <v>66000650</v>
      </c>
      <c r="C297" s="314" t="s">
        <v>2068</v>
      </c>
      <c r="D297" s="314" t="s">
        <v>1879</v>
      </c>
      <c r="E297" s="314" t="s">
        <v>1924</v>
      </c>
      <c r="F297" s="314" t="s">
        <v>2067</v>
      </c>
      <c r="G297" s="314" t="s">
        <v>1926</v>
      </c>
      <c r="H297" s="314" t="s">
        <v>1495</v>
      </c>
      <c r="I297" s="314" t="s">
        <v>1941</v>
      </c>
      <c r="J297" s="314" t="s">
        <v>1458</v>
      </c>
      <c r="K297" s="314" t="s">
        <v>1942</v>
      </c>
      <c r="L297" s="324" t="s">
        <v>1929</v>
      </c>
      <c r="M297" s="324" t="s">
        <v>336</v>
      </c>
      <c r="N297" s="324" t="s">
        <v>1929</v>
      </c>
      <c r="O297" s="324" t="s">
        <v>336</v>
      </c>
      <c r="P297" s="324" t="s">
        <v>336</v>
      </c>
      <c r="Q297" s="325" t="n">
        <v>299612978</v>
      </c>
      <c r="R297" s="325" t="n">
        <v>45564627</v>
      </c>
      <c r="S297" s="325" t="n">
        <v>64505694</v>
      </c>
      <c r="T297" s="325" t="n">
        <v>166156620</v>
      </c>
      <c r="U297" s="325" t="n">
        <v>211997812</v>
      </c>
      <c r="V297" s="325" t="n">
        <v>230324513</v>
      </c>
      <c r="W297" s="325" t="n">
        <v>254203861</v>
      </c>
      <c r="X297" s="325" t="n">
        <v>371200762</v>
      </c>
      <c r="Y297" s="325" t="n">
        <v>425884536</v>
      </c>
      <c r="Z297" s="325" t="n">
        <v>453188710</v>
      </c>
      <c r="AA297" s="325"/>
      <c r="AB297" s="325"/>
      <c r="AC297" s="325"/>
      <c r="AD297" s="325"/>
      <c r="AE297" s="325" t="n">
        <f aca="false">R297</f>
        <v>45564627</v>
      </c>
      <c r="AF297" s="325" t="n">
        <f aca="false">S297-R297</f>
        <v>18941067</v>
      </c>
      <c r="AG297" s="325" t="n">
        <f aca="false">T297-S297</f>
        <v>101650926</v>
      </c>
      <c r="AH297" s="325" t="n">
        <f aca="false">U297-T297</f>
        <v>45841192</v>
      </c>
      <c r="AI297" s="325" t="n">
        <f aca="false">V297-U297</f>
        <v>18326701</v>
      </c>
      <c r="AJ297" s="325" t="n">
        <f aca="false">W297-V297</f>
        <v>23879348</v>
      </c>
      <c r="AK297" s="325" t="n">
        <f aca="false">X297-W297</f>
        <v>116996901</v>
      </c>
      <c r="AL297" s="325" t="n">
        <f aca="false">Y297-X297</f>
        <v>54683774</v>
      </c>
      <c r="AM297" s="325" t="n">
        <f aca="false">Z297-Y297</f>
        <v>27304174</v>
      </c>
      <c r="AN297" s="325" t="s">
        <v>1679</v>
      </c>
      <c r="AO297" s="325" t="n">
        <f aca="false">AB297-AA297</f>
        <v>0</v>
      </c>
      <c r="AP297" s="325" t="n">
        <f aca="false">AC297-AB297</f>
        <v>0</v>
      </c>
      <c r="AR297" s="314" t="str">
        <f aca="false">IFERROR(VLOOKUP(M297,'PL_DEC.2026'!$D$11:$D$99,1,FALSE()),"(미존재)")</f>
        <v>도서인쇄비</v>
      </c>
    </row>
    <row r="298" customFormat="false" ht="16.5" hidden="false" customHeight="false" outlineLevel="0" collapsed="false">
      <c r="A298" s="317" t="s">
        <v>791</v>
      </c>
      <c r="B298" s="314" t="n">
        <v>66100020</v>
      </c>
      <c r="C298" s="314" t="s">
        <v>2069</v>
      </c>
      <c r="D298" s="314" t="s">
        <v>1879</v>
      </c>
      <c r="E298" s="314" t="s">
        <v>1924</v>
      </c>
      <c r="F298" s="314" t="s">
        <v>2070</v>
      </c>
      <c r="G298" s="314" t="s">
        <v>1926</v>
      </c>
      <c r="H298" s="314" t="s">
        <v>1495</v>
      </c>
      <c r="I298" s="314" t="s">
        <v>1941</v>
      </c>
      <c r="J298" s="314" t="s">
        <v>1458</v>
      </c>
      <c r="K298" s="314" t="s">
        <v>1942</v>
      </c>
      <c r="L298" s="324" t="s">
        <v>1929</v>
      </c>
      <c r="M298" s="324" t="s">
        <v>361</v>
      </c>
      <c r="N298" s="324" t="s">
        <v>1929</v>
      </c>
      <c r="O298" s="324" t="s">
        <v>361</v>
      </c>
      <c r="P298" s="324" t="s">
        <v>361</v>
      </c>
      <c r="Q298" s="325" t="n">
        <v>248286549</v>
      </c>
      <c r="R298" s="325" t="n">
        <v>23122548</v>
      </c>
      <c r="S298" s="325" t="n">
        <v>46245096</v>
      </c>
      <c r="T298" s="325" t="n">
        <v>69367644</v>
      </c>
      <c r="U298" s="325" t="n">
        <v>92490187</v>
      </c>
      <c r="V298" s="325" t="n">
        <v>115102155</v>
      </c>
      <c r="W298" s="325" t="n">
        <v>139120329</v>
      </c>
      <c r="X298" s="325" t="n">
        <v>162904830</v>
      </c>
      <c r="Y298" s="325" t="n">
        <v>186689331</v>
      </c>
      <c r="Z298" s="325" t="n">
        <v>218563083</v>
      </c>
      <c r="AA298" s="325"/>
      <c r="AB298" s="325"/>
      <c r="AC298" s="325"/>
      <c r="AD298" s="325"/>
      <c r="AE298" s="325" t="n">
        <f aca="false">R298</f>
        <v>23122548</v>
      </c>
      <c r="AF298" s="325" t="n">
        <f aca="false">S298-R298</f>
        <v>23122548</v>
      </c>
      <c r="AG298" s="325" t="n">
        <f aca="false">T298-S298</f>
        <v>23122548</v>
      </c>
      <c r="AH298" s="325" t="n">
        <f aca="false">U298-T298</f>
        <v>23122543</v>
      </c>
      <c r="AI298" s="325" t="n">
        <f aca="false">V298-U298</f>
        <v>22611968</v>
      </c>
      <c r="AJ298" s="325" t="n">
        <f aca="false">W298-V298</f>
        <v>24018174</v>
      </c>
      <c r="AK298" s="325" t="n">
        <f aca="false">X298-W298</f>
        <v>23784501</v>
      </c>
      <c r="AL298" s="325" t="n">
        <f aca="false">Y298-X298</f>
        <v>23784501</v>
      </c>
      <c r="AM298" s="325" t="n">
        <f aca="false">Z298-Y298</f>
        <v>31873752</v>
      </c>
      <c r="AN298" s="325" t="s">
        <v>1679</v>
      </c>
      <c r="AO298" s="325" t="n">
        <f aca="false">AB298-AA298</f>
        <v>0</v>
      </c>
      <c r="AP298" s="325" t="n">
        <f aca="false">AC298-AB298</f>
        <v>0</v>
      </c>
      <c r="AR298" s="314" t="str">
        <f aca="false">IFERROR(VLOOKUP(M298,'PL_DEC.2026'!$D$11:$D$99,1,FALSE()),"(미존재)")</f>
        <v>보험료</v>
      </c>
    </row>
    <row r="299" customFormat="false" ht="16.5" hidden="false" customHeight="false" outlineLevel="0" collapsed="false">
      <c r="A299" s="317" t="s">
        <v>791</v>
      </c>
      <c r="B299" s="314" t="n">
        <v>66100707</v>
      </c>
      <c r="C299" s="314" t="s">
        <v>2071</v>
      </c>
      <c r="D299" s="314" t="s">
        <v>1879</v>
      </c>
      <c r="E299" s="314" t="s">
        <v>1924</v>
      </c>
      <c r="F299" s="314" t="s">
        <v>2070</v>
      </c>
      <c r="G299" s="314" t="s">
        <v>1926</v>
      </c>
      <c r="H299" s="314" t="s">
        <v>1495</v>
      </c>
      <c r="I299" s="314" t="s">
        <v>1941</v>
      </c>
      <c r="J299" s="314" t="s">
        <v>1458</v>
      </c>
      <c r="K299" s="314" t="s">
        <v>1942</v>
      </c>
      <c r="L299" s="324" t="s">
        <v>1929</v>
      </c>
      <c r="M299" s="324" t="s">
        <v>361</v>
      </c>
      <c r="N299" s="324" t="s">
        <v>1929</v>
      </c>
      <c r="O299" s="324" t="s">
        <v>361</v>
      </c>
      <c r="P299" s="324" t="s">
        <v>361</v>
      </c>
      <c r="Q299" s="325" t="n">
        <v>648706188</v>
      </c>
      <c r="R299" s="325" t="n">
        <v>55201268</v>
      </c>
      <c r="S299" s="325" t="n">
        <v>106680113</v>
      </c>
      <c r="T299" s="325" t="n">
        <v>-139865784</v>
      </c>
      <c r="U299" s="325" t="n">
        <v>-59302968</v>
      </c>
      <c r="V299" s="325" t="n">
        <v>-7518525</v>
      </c>
      <c r="W299" s="325" t="n">
        <v>46322133</v>
      </c>
      <c r="X299" s="325" t="n">
        <v>100272000</v>
      </c>
      <c r="Y299" s="325" t="n">
        <v>154646329</v>
      </c>
      <c r="Z299" s="325" t="n">
        <v>210123882</v>
      </c>
      <c r="AA299" s="325"/>
      <c r="AB299" s="325"/>
      <c r="AC299" s="325"/>
      <c r="AD299" s="325"/>
      <c r="AE299" s="325" t="n">
        <f aca="false">R299</f>
        <v>55201268</v>
      </c>
      <c r="AF299" s="325" t="n">
        <f aca="false">S299-R299</f>
        <v>51478845</v>
      </c>
      <c r="AG299" s="325" t="n">
        <f aca="false">T299-S299</f>
        <v>-246545897</v>
      </c>
      <c r="AH299" s="325" t="n">
        <f aca="false">U299-T299</f>
        <v>80562816</v>
      </c>
      <c r="AI299" s="325" t="n">
        <f aca="false">V299-U299</f>
        <v>51784443</v>
      </c>
      <c r="AJ299" s="325" t="n">
        <f aca="false">W299-V299</f>
        <v>53840658</v>
      </c>
      <c r="AK299" s="325" t="n">
        <f aca="false">X299-W299</f>
        <v>53949867</v>
      </c>
      <c r="AL299" s="325" t="n">
        <f aca="false">Y299-X299</f>
        <v>54374329</v>
      </c>
      <c r="AM299" s="325" t="n">
        <f aca="false">Z299-Y299</f>
        <v>55477553</v>
      </c>
      <c r="AN299" s="325" t="s">
        <v>1679</v>
      </c>
      <c r="AO299" s="325" t="n">
        <f aca="false">AB299-AA299</f>
        <v>0</v>
      </c>
      <c r="AP299" s="325" t="n">
        <f aca="false">AC299-AB299</f>
        <v>0</v>
      </c>
      <c r="AR299" s="314" t="str">
        <f aca="false">IFERROR(VLOOKUP(M299,'PL_DEC.2026'!$D$11:$D$99,1,FALSE()),"(미존재)")</f>
        <v>보험료</v>
      </c>
    </row>
    <row r="300" customFormat="false" ht="16.5" hidden="false" customHeight="false" outlineLevel="0" collapsed="false">
      <c r="A300" s="317" t="s">
        <v>791</v>
      </c>
      <c r="B300" s="314" t="n">
        <v>66200700</v>
      </c>
      <c r="C300" s="314" t="s">
        <v>2072</v>
      </c>
      <c r="D300" s="314" t="s">
        <v>1879</v>
      </c>
      <c r="E300" s="314" t="s">
        <v>1959</v>
      </c>
      <c r="F300" s="314" t="s">
        <v>2073</v>
      </c>
      <c r="G300" s="314" t="s">
        <v>1926</v>
      </c>
      <c r="H300" s="314" t="s">
        <v>1495</v>
      </c>
      <c r="I300" s="314" t="s">
        <v>1941</v>
      </c>
      <c r="J300" s="314" t="s">
        <v>1458</v>
      </c>
      <c r="K300" s="314" t="s">
        <v>1942</v>
      </c>
      <c r="L300" s="324" t="s">
        <v>1929</v>
      </c>
      <c r="M300" s="324" t="s">
        <v>312</v>
      </c>
      <c r="N300" s="324" t="s">
        <v>1961</v>
      </c>
      <c r="O300" s="324" t="s">
        <v>351</v>
      </c>
      <c r="P300" s="324" t="s">
        <v>351</v>
      </c>
      <c r="Q300" s="325" t="n">
        <v>1824005086</v>
      </c>
      <c r="R300" s="325" t="n">
        <v>747850</v>
      </c>
      <c r="S300" s="325" t="n">
        <v>148938070</v>
      </c>
      <c r="T300" s="325" t="n">
        <v>211862258</v>
      </c>
      <c r="U300" s="325" t="n">
        <v>277036109</v>
      </c>
      <c r="V300" s="325" t="n">
        <v>337303521</v>
      </c>
      <c r="W300" s="325" t="n">
        <v>439338585</v>
      </c>
      <c r="X300" s="325" t="n">
        <v>462992509</v>
      </c>
      <c r="Y300" s="325" t="n">
        <v>524751771</v>
      </c>
      <c r="Z300" s="325" t="n">
        <v>882045385</v>
      </c>
      <c r="AA300" s="325"/>
      <c r="AB300" s="325"/>
      <c r="AC300" s="325"/>
      <c r="AD300" s="325"/>
      <c r="AE300" s="325" t="n">
        <f aca="false">R300</f>
        <v>747850</v>
      </c>
      <c r="AF300" s="325" t="n">
        <f aca="false">S300-R300</f>
        <v>148190220</v>
      </c>
      <c r="AG300" s="325" t="n">
        <f aca="false">T300-S300</f>
        <v>62924188</v>
      </c>
      <c r="AH300" s="325" t="n">
        <f aca="false">U300-T300</f>
        <v>65173851</v>
      </c>
      <c r="AI300" s="325" t="n">
        <f aca="false">V300-U300</f>
        <v>60267412</v>
      </c>
      <c r="AJ300" s="325" t="n">
        <f aca="false">W300-V300</f>
        <v>102035064</v>
      </c>
      <c r="AK300" s="325" t="n">
        <f aca="false">X300-W300</f>
        <v>23653924</v>
      </c>
      <c r="AL300" s="325" t="n">
        <f aca="false">Y300-X300</f>
        <v>61759262</v>
      </c>
      <c r="AM300" s="325" t="n">
        <f aca="false">Z300-Y300</f>
        <v>357293614</v>
      </c>
      <c r="AN300" s="325" t="s">
        <v>1679</v>
      </c>
      <c r="AO300" s="325" t="n">
        <f aca="false">AB300-AA300</f>
        <v>0</v>
      </c>
      <c r="AP300" s="325" t="n">
        <f aca="false">AC300-AB300</f>
        <v>0</v>
      </c>
      <c r="AR300" s="314" t="str">
        <f aca="false">IFERROR(VLOOKUP(M300,'PL_DEC.2026'!$D$11:$D$99,1,FALSE()),"(미존재)")</f>
        <v>하조및운임</v>
      </c>
    </row>
    <row r="301" customFormat="false" ht="16.5" hidden="false" customHeight="false" outlineLevel="0" collapsed="false">
      <c r="A301" s="317" t="s">
        <v>791</v>
      </c>
      <c r="B301" s="314" t="n">
        <v>66300005</v>
      </c>
      <c r="C301" s="314" t="s">
        <v>2074</v>
      </c>
      <c r="D301" s="314" t="s">
        <v>1879</v>
      </c>
      <c r="E301" s="314" t="s">
        <v>1924</v>
      </c>
      <c r="F301" s="314" t="s">
        <v>2038</v>
      </c>
      <c r="G301" s="314" t="s">
        <v>1926</v>
      </c>
      <c r="H301" s="314" t="s">
        <v>1495</v>
      </c>
      <c r="I301" s="314" t="s">
        <v>1941</v>
      </c>
      <c r="J301" s="314" t="s">
        <v>1458</v>
      </c>
      <c r="K301" s="314" t="s">
        <v>1942</v>
      </c>
      <c r="L301" s="324" t="s">
        <v>1929</v>
      </c>
      <c r="M301" s="324" t="s">
        <v>312</v>
      </c>
      <c r="N301" s="324" t="s">
        <v>1929</v>
      </c>
      <c r="O301" s="324" t="s">
        <v>351</v>
      </c>
      <c r="P301" s="324" t="s">
        <v>351</v>
      </c>
      <c r="Q301" s="325" t="n">
        <v>1769103</v>
      </c>
      <c r="R301" s="325" t="n">
        <v>55000</v>
      </c>
      <c r="S301" s="325" t="n">
        <v>-55000</v>
      </c>
      <c r="T301" s="325" t="n">
        <v>-55000</v>
      </c>
      <c r="U301" s="325" t="n">
        <v>-55000</v>
      </c>
      <c r="V301" s="325" t="n">
        <v>-55000</v>
      </c>
      <c r="W301" s="325" t="n">
        <v>-55000</v>
      </c>
      <c r="X301" s="325" t="n">
        <v>-55000</v>
      </c>
      <c r="Y301" s="325" t="n">
        <v>-55000</v>
      </c>
      <c r="Z301" s="325" t="n">
        <v>-55000</v>
      </c>
      <c r="AA301" s="325"/>
      <c r="AB301" s="325"/>
      <c r="AC301" s="325"/>
      <c r="AD301" s="325"/>
      <c r="AE301" s="325" t="n">
        <f aca="false">R301</f>
        <v>55000</v>
      </c>
      <c r="AF301" s="325" t="n">
        <f aca="false">S301-R301</f>
        <v>-110000</v>
      </c>
      <c r="AG301" s="325" t="n">
        <f aca="false">T301-S301</f>
        <v>0</v>
      </c>
      <c r="AH301" s="325" t="n">
        <f aca="false">U301-T301</f>
        <v>0</v>
      </c>
      <c r="AI301" s="325" t="n">
        <f aca="false">V301-U301</f>
        <v>0</v>
      </c>
      <c r="AJ301" s="325" t="n">
        <f aca="false">W301-V301</f>
        <v>0</v>
      </c>
      <c r="AK301" s="325" t="n">
        <f aca="false">X301-W301</f>
        <v>0</v>
      </c>
      <c r="AL301" s="325" t="n">
        <f aca="false">Y301-X301</f>
        <v>0</v>
      </c>
      <c r="AM301" s="325" t="n">
        <f aca="false">Z301-Y301</f>
        <v>0</v>
      </c>
      <c r="AN301" s="325" t="s">
        <v>1679</v>
      </c>
      <c r="AO301" s="325" t="n">
        <f aca="false">AB301-AA301</f>
        <v>0</v>
      </c>
      <c r="AP301" s="325" t="n">
        <f aca="false">AC301-AB301</f>
        <v>0</v>
      </c>
      <c r="AR301" s="314" t="str">
        <f aca="false">IFERROR(VLOOKUP(M301,'PL_DEC.2026'!$D$11:$D$99,1,FALSE()),"(미존재)")</f>
        <v>하조및운임</v>
      </c>
    </row>
    <row r="302" customFormat="false" ht="16.5" hidden="false" customHeight="false" outlineLevel="0" collapsed="false">
      <c r="A302" s="317" t="s">
        <v>791</v>
      </c>
      <c r="B302" s="314" t="n">
        <v>66300915</v>
      </c>
      <c r="C302" s="314" t="s">
        <v>2075</v>
      </c>
      <c r="D302" s="314" t="s">
        <v>1879</v>
      </c>
      <c r="E302" s="314" t="s">
        <v>1924</v>
      </c>
      <c r="F302" s="314" t="s">
        <v>1965</v>
      </c>
      <c r="G302" s="314" t="s">
        <v>1926</v>
      </c>
      <c r="H302" s="314" t="s">
        <v>1495</v>
      </c>
      <c r="I302" s="314" t="s">
        <v>1941</v>
      </c>
      <c r="J302" s="314" t="s">
        <v>1458</v>
      </c>
      <c r="K302" s="314" t="s">
        <v>1942</v>
      </c>
      <c r="L302" s="324" t="s">
        <v>1929</v>
      </c>
      <c r="M302" s="324" t="s">
        <v>346</v>
      </c>
      <c r="N302" s="324" t="s">
        <v>1929</v>
      </c>
      <c r="O302" s="324" t="s">
        <v>1966</v>
      </c>
      <c r="P302" s="324" t="s">
        <v>1966</v>
      </c>
      <c r="Q302" s="325" t="n">
        <v>1407780</v>
      </c>
      <c r="R302" s="325" t="n">
        <v>189000</v>
      </c>
      <c r="S302" s="325" t="n">
        <v>189000</v>
      </c>
      <c r="T302" s="325" t="n">
        <v>189000</v>
      </c>
      <c r="U302" s="325" t="n">
        <v>339000</v>
      </c>
      <c r="V302" s="325" t="n">
        <v>339000</v>
      </c>
      <c r="W302" s="325" t="n">
        <v>7497550</v>
      </c>
      <c r="X302" s="325" t="n">
        <v>7497550</v>
      </c>
      <c r="Y302" s="325" t="n">
        <v>7497550</v>
      </c>
      <c r="Z302" s="325" t="n">
        <v>7497550</v>
      </c>
      <c r="AA302" s="325"/>
      <c r="AB302" s="325"/>
      <c r="AC302" s="325"/>
      <c r="AD302" s="325"/>
      <c r="AE302" s="325" t="n">
        <f aca="false">R302</f>
        <v>189000</v>
      </c>
      <c r="AF302" s="325" t="n">
        <f aca="false">S302-R302</f>
        <v>0</v>
      </c>
      <c r="AG302" s="325" t="n">
        <f aca="false">T302-S302</f>
        <v>0</v>
      </c>
      <c r="AH302" s="325" t="n">
        <f aca="false">U302-T302</f>
        <v>150000</v>
      </c>
      <c r="AI302" s="325" t="n">
        <f aca="false">V302-U302</f>
        <v>0</v>
      </c>
      <c r="AJ302" s="325" t="n">
        <f aca="false">W302-V302</f>
        <v>7158550</v>
      </c>
      <c r="AK302" s="325" t="n">
        <f aca="false">X302-W302</f>
        <v>0</v>
      </c>
      <c r="AL302" s="325" t="n">
        <f aca="false">Y302-X302</f>
        <v>0</v>
      </c>
      <c r="AM302" s="325" t="n">
        <f aca="false">Z302-Y302</f>
        <v>0</v>
      </c>
      <c r="AN302" s="325" t="s">
        <v>1679</v>
      </c>
      <c r="AO302" s="325" t="n">
        <f aca="false">AB302-AA302</f>
        <v>0</v>
      </c>
      <c r="AP302" s="325" t="n">
        <f aca="false">AC302-AB302</f>
        <v>0</v>
      </c>
      <c r="AR302" s="314" t="str">
        <f aca="false">IFERROR(VLOOKUP(M302,'PL_DEC.2026'!$D$11:$D$99,1,FALSE()),"(미존재)")</f>
        <v>제세공과</v>
      </c>
    </row>
    <row r="303" customFormat="false" ht="16.5" hidden="false" customHeight="false" outlineLevel="0" collapsed="false">
      <c r="A303" s="317" t="s">
        <v>791</v>
      </c>
      <c r="B303" s="314" t="n">
        <v>66500401</v>
      </c>
      <c r="C303" s="314" t="s">
        <v>2076</v>
      </c>
      <c r="D303" s="314" t="s">
        <v>1879</v>
      </c>
      <c r="E303" s="314" t="s">
        <v>1924</v>
      </c>
      <c r="F303" s="314" t="s">
        <v>1970</v>
      </c>
      <c r="G303" s="314" t="s">
        <v>1926</v>
      </c>
      <c r="H303" s="314" t="s">
        <v>1495</v>
      </c>
      <c r="I303" s="314" t="s">
        <v>1941</v>
      </c>
      <c r="J303" s="314" t="s">
        <v>1458</v>
      </c>
      <c r="K303" s="314" t="s">
        <v>1942</v>
      </c>
      <c r="L303" s="324" t="s">
        <v>1929</v>
      </c>
      <c r="M303" s="324" t="s">
        <v>330</v>
      </c>
      <c r="N303" s="324" t="s">
        <v>1929</v>
      </c>
      <c r="O303" s="324" t="s">
        <v>330</v>
      </c>
      <c r="P303" s="324" t="s">
        <v>330</v>
      </c>
      <c r="Q303" s="325" t="n">
        <v>400875300</v>
      </c>
      <c r="R303" s="325" t="n">
        <v>0</v>
      </c>
      <c r="S303" s="325" t="n">
        <v>0</v>
      </c>
      <c r="T303" s="325" t="n">
        <v>171518213</v>
      </c>
      <c r="U303" s="325" t="n">
        <v>171518213</v>
      </c>
      <c r="V303" s="325" t="n">
        <v>171518213</v>
      </c>
      <c r="W303" s="325" t="n">
        <v>231432743</v>
      </c>
      <c r="X303" s="325" t="n">
        <v>231432743</v>
      </c>
      <c r="Y303" s="325" t="n">
        <v>231432743</v>
      </c>
      <c r="Z303" s="325" t="n">
        <v>380536469</v>
      </c>
      <c r="AA303" s="325"/>
      <c r="AB303" s="325"/>
      <c r="AC303" s="325"/>
      <c r="AD303" s="325"/>
      <c r="AE303" s="325" t="n">
        <f aca="false">R303</f>
        <v>0</v>
      </c>
      <c r="AF303" s="325" t="n">
        <f aca="false">S303-R303</f>
        <v>0</v>
      </c>
      <c r="AG303" s="325" t="n">
        <f aca="false">T303-S303</f>
        <v>171518213</v>
      </c>
      <c r="AH303" s="325" t="n">
        <f aca="false">U303-T303</f>
        <v>0</v>
      </c>
      <c r="AI303" s="325" t="n">
        <f aca="false">V303-U303</f>
        <v>0</v>
      </c>
      <c r="AJ303" s="325" t="n">
        <f aca="false">W303-V303</f>
        <v>59914530</v>
      </c>
      <c r="AK303" s="325" t="n">
        <f aca="false">X303-W303</f>
        <v>0</v>
      </c>
      <c r="AL303" s="325" t="n">
        <f aca="false">Y303-X303</f>
        <v>0</v>
      </c>
      <c r="AM303" s="325" t="n">
        <f aca="false">Z303-Y303</f>
        <v>149103726</v>
      </c>
      <c r="AN303" s="325" t="s">
        <v>1679</v>
      </c>
      <c r="AO303" s="325" t="n">
        <f aca="false">AB303-AA303</f>
        <v>0</v>
      </c>
      <c r="AP303" s="325" t="n">
        <f aca="false">AC303-AB303</f>
        <v>0</v>
      </c>
      <c r="AR303" s="314" t="str">
        <f aca="false">IFERROR(VLOOKUP(M303,'PL_DEC.2026'!$D$11:$D$99,1,FALSE()),"(미존재)")</f>
        <v>복리후생비</v>
      </c>
    </row>
    <row r="304" customFormat="false" ht="16.5" hidden="false" customHeight="false" outlineLevel="0" collapsed="false">
      <c r="A304" s="317" t="s">
        <v>791</v>
      </c>
      <c r="B304" s="314" t="n">
        <v>66600000</v>
      </c>
      <c r="C304" s="314" t="s">
        <v>2077</v>
      </c>
      <c r="D304" s="314" t="s">
        <v>1879</v>
      </c>
      <c r="E304" s="314" t="s">
        <v>1924</v>
      </c>
      <c r="F304" s="314" t="s">
        <v>2067</v>
      </c>
      <c r="G304" s="314" t="s">
        <v>1926</v>
      </c>
      <c r="H304" s="314" t="s">
        <v>1495</v>
      </c>
      <c r="I304" s="314" t="s">
        <v>1941</v>
      </c>
      <c r="J304" s="314" t="s">
        <v>1458</v>
      </c>
      <c r="K304" s="314" t="s">
        <v>1942</v>
      </c>
      <c r="L304" s="324" t="s">
        <v>1929</v>
      </c>
      <c r="M304" s="324" t="s">
        <v>336</v>
      </c>
      <c r="N304" s="324" t="s">
        <v>1929</v>
      </c>
      <c r="O304" s="324" t="s">
        <v>336</v>
      </c>
      <c r="P304" s="324" t="s">
        <v>336</v>
      </c>
      <c r="Q304" s="325" t="n">
        <v>22040000</v>
      </c>
      <c r="R304" s="325" t="n">
        <v>1580000</v>
      </c>
      <c r="S304" s="325" t="n">
        <v>7860000</v>
      </c>
      <c r="T304" s="325" t="n">
        <v>9160000</v>
      </c>
      <c r="U304" s="325" t="n">
        <v>10610000</v>
      </c>
      <c r="V304" s="325" t="n">
        <v>11910000</v>
      </c>
      <c r="W304" s="325" t="n">
        <v>13490000</v>
      </c>
      <c r="X304" s="325" t="n">
        <v>8350000</v>
      </c>
      <c r="Y304" s="325" t="n">
        <v>10210000</v>
      </c>
      <c r="Z304" s="325" t="n">
        <v>11790000</v>
      </c>
      <c r="AA304" s="325"/>
      <c r="AB304" s="325"/>
      <c r="AC304" s="325"/>
      <c r="AD304" s="325"/>
      <c r="AE304" s="325" t="n">
        <f aca="false">R304</f>
        <v>1580000</v>
      </c>
      <c r="AF304" s="325" t="n">
        <f aca="false">S304-R304</f>
        <v>6280000</v>
      </c>
      <c r="AG304" s="325" t="n">
        <f aca="false">T304-S304</f>
        <v>1300000</v>
      </c>
      <c r="AH304" s="325" t="n">
        <f aca="false">U304-T304</f>
        <v>1450000</v>
      </c>
      <c r="AI304" s="325" t="n">
        <f aca="false">V304-U304</f>
        <v>1300000</v>
      </c>
      <c r="AJ304" s="325" t="n">
        <f aca="false">W304-V304</f>
        <v>1580000</v>
      </c>
      <c r="AK304" s="325" t="n">
        <f aca="false">X304-W304</f>
        <v>-5140000</v>
      </c>
      <c r="AL304" s="325" t="n">
        <f aca="false">Y304-X304</f>
        <v>1860000</v>
      </c>
      <c r="AM304" s="325" t="n">
        <f aca="false">Z304-Y304</f>
        <v>1580000</v>
      </c>
      <c r="AN304" s="325" t="s">
        <v>1679</v>
      </c>
      <c r="AO304" s="325" t="n">
        <f aca="false">AB304-AA304</f>
        <v>0</v>
      </c>
      <c r="AP304" s="325" t="n">
        <f aca="false">AC304-AB304</f>
        <v>0</v>
      </c>
      <c r="AR304" s="314" t="str">
        <f aca="false">IFERROR(VLOOKUP(M304,'PL_DEC.2026'!$D$11:$D$99,1,FALSE()),"(미존재)")</f>
        <v>도서인쇄비</v>
      </c>
    </row>
    <row r="305" customFormat="false" ht="16.5" hidden="false" customHeight="false" outlineLevel="0" collapsed="false">
      <c r="A305" s="317" t="s">
        <v>791</v>
      </c>
      <c r="B305" s="314" t="n">
        <v>66900000</v>
      </c>
      <c r="C305" s="314" t="s">
        <v>2078</v>
      </c>
      <c r="D305" s="314" t="s">
        <v>1879</v>
      </c>
      <c r="E305" s="314" t="s">
        <v>2079</v>
      </c>
      <c r="F305" s="314" t="s">
        <v>2080</v>
      </c>
      <c r="G305" s="314" t="s">
        <v>1926</v>
      </c>
      <c r="H305" s="314" t="s">
        <v>1495</v>
      </c>
      <c r="I305" s="314" t="s">
        <v>1941</v>
      </c>
      <c r="J305" s="314" t="s">
        <v>1458</v>
      </c>
      <c r="K305" s="314" t="s">
        <v>1942</v>
      </c>
      <c r="L305" s="324" t="s">
        <v>1090</v>
      </c>
      <c r="M305" s="324" t="s">
        <v>419</v>
      </c>
      <c r="N305" s="324" t="s">
        <v>1090</v>
      </c>
      <c r="O305" s="324" t="s">
        <v>1090</v>
      </c>
      <c r="P305" s="324" t="s">
        <v>419</v>
      </c>
      <c r="Q305" s="325" t="n">
        <v>97646461</v>
      </c>
      <c r="R305" s="325" t="n">
        <v>0</v>
      </c>
      <c r="S305" s="325" t="n">
        <v>49220</v>
      </c>
      <c r="T305" s="325" t="n">
        <v>-5647752</v>
      </c>
      <c r="U305" s="325" t="n">
        <v>10400748</v>
      </c>
      <c r="V305" s="325" t="n">
        <v>11261118</v>
      </c>
      <c r="W305" s="325" t="n">
        <v>463824</v>
      </c>
      <c r="X305" s="325" t="n">
        <v>463444</v>
      </c>
      <c r="Y305" s="325" t="n">
        <v>463444</v>
      </c>
      <c r="Z305" s="325" t="n">
        <v>-8407426</v>
      </c>
      <c r="AA305" s="325"/>
      <c r="AB305" s="325"/>
      <c r="AC305" s="325"/>
      <c r="AD305" s="325"/>
      <c r="AE305" s="325" t="n">
        <f aca="false">R305</f>
        <v>0</v>
      </c>
      <c r="AF305" s="325" t="n">
        <f aca="false">S305-R305</f>
        <v>49220</v>
      </c>
      <c r="AG305" s="325" t="n">
        <f aca="false">T305-S305</f>
        <v>-5696972</v>
      </c>
      <c r="AH305" s="325" t="n">
        <f aca="false">U305-T305</f>
        <v>16048500</v>
      </c>
      <c r="AI305" s="325" t="n">
        <f aca="false">V305-U305</f>
        <v>860370</v>
      </c>
      <c r="AJ305" s="325" t="n">
        <f aca="false">W305-V305</f>
        <v>-10797294</v>
      </c>
      <c r="AK305" s="325" t="n">
        <f aca="false">X305-W305</f>
        <v>-380</v>
      </c>
      <c r="AL305" s="325" t="n">
        <f aca="false">Y305-X305</f>
        <v>0</v>
      </c>
      <c r="AM305" s="325" t="n">
        <f aca="false">Z305-Y305</f>
        <v>-8870870</v>
      </c>
      <c r="AN305" s="325" t="s">
        <v>1679</v>
      </c>
      <c r="AO305" s="325" t="n">
        <f aca="false">AB305-AA305</f>
        <v>0</v>
      </c>
      <c r="AP305" s="325" t="n">
        <f aca="false">AC305-AB305</f>
        <v>0</v>
      </c>
      <c r="AR305" s="314" t="str">
        <f aca="false">IFERROR(VLOOKUP(M305,'PL_DEC.2026'!$D$11:$D$99,1,FALSE()),"(미존재)")</f>
        <v>잡손실</v>
      </c>
    </row>
    <row r="306" customFormat="false" ht="16.5" hidden="false" customHeight="false" outlineLevel="0" collapsed="false">
      <c r="A306" s="317" t="s">
        <v>791</v>
      </c>
      <c r="B306" s="314" t="n">
        <v>66900039</v>
      </c>
      <c r="C306" s="314" t="s">
        <v>2081</v>
      </c>
      <c r="D306" s="314" t="s">
        <v>1879</v>
      </c>
      <c r="E306" s="314" t="s">
        <v>2079</v>
      </c>
      <c r="F306" s="314" t="s">
        <v>2082</v>
      </c>
      <c r="G306" s="314" t="s">
        <v>1926</v>
      </c>
      <c r="H306" s="314" t="s">
        <v>1495</v>
      </c>
      <c r="I306" s="314" t="s">
        <v>1941</v>
      </c>
      <c r="J306" s="314" t="s">
        <v>1458</v>
      </c>
      <c r="K306" s="314" t="s">
        <v>1942</v>
      </c>
      <c r="L306" s="324" t="s">
        <v>2083</v>
      </c>
      <c r="M306" s="324" t="s">
        <v>406</v>
      </c>
      <c r="N306" s="324" t="s">
        <v>1090</v>
      </c>
      <c r="O306" s="324" t="s">
        <v>1090</v>
      </c>
      <c r="P306" s="324" t="s">
        <v>406</v>
      </c>
      <c r="Q306" s="325" t="n">
        <v>213198200</v>
      </c>
      <c r="R306" s="325" t="n">
        <v>0</v>
      </c>
      <c r="S306" s="325" t="n">
        <v>5000000</v>
      </c>
      <c r="T306" s="325" t="n">
        <v>5000000</v>
      </c>
      <c r="U306" s="325" t="n">
        <v>35000000</v>
      </c>
      <c r="V306" s="325" t="n">
        <v>145000000</v>
      </c>
      <c r="W306" s="325" t="n">
        <v>172797619</v>
      </c>
      <c r="X306" s="325" t="n">
        <v>227797619</v>
      </c>
      <c r="Y306" s="325" t="n">
        <v>283797619</v>
      </c>
      <c r="Z306" s="325" t="n">
        <v>285797619</v>
      </c>
      <c r="AA306" s="325"/>
      <c r="AB306" s="325"/>
      <c r="AC306" s="325"/>
      <c r="AD306" s="325"/>
      <c r="AE306" s="325" t="n">
        <f aca="false">R306</f>
        <v>0</v>
      </c>
      <c r="AF306" s="325" t="n">
        <f aca="false">S306-R306</f>
        <v>5000000</v>
      </c>
      <c r="AG306" s="325" t="n">
        <f aca="false">T306-S306</f>
        <v>0</v>
      </c>
      <c r="AH306" s="325" t="n">
        <f aca="false">U306-T306</f>
        <v>30000000</v>
      </c>
      <c r="AI306" s="325" t="n">
        <f aca="false">V306-U306</f>
        <v>110000000</v>
      </c>
      <c r="AJ306" s="325" t="n">
        <f aca="false">W306-V306</f>
        <v>27797619</v>
      </c>
      <c r="AK306" s="325" t="n">
        <f aca="false">X306-W306</f>
        <v>55000000</v>
      </c>
      <c r="AL306" s="325" t="n">
        <f aca="false">Y306-X306</f>
        <v>56000000</v>
      </c>
      <c r="AM306" s="325" t="n">
        <f aca="false">Z306-Y306</f>
        <v>2000000</v>
      </c>
      <c r="AN306" s="325" t="s">
        <v>1679</v>
      </c>
      <c r="AO306" s="325" t="n">
        <f aca="false">AB306-AA306</f>
        <v>0</v>
      </c>
      <c r="AP306" s="325" t="n">
        <f aca="false">AC306-AB306</f>
        <v>0</v>
      </c>
      <c r="AR306" s="314" t="str">
        <f aca="false">IFERROR(VLOOKUP(M306,'PL_DEC.2026'!$D$11:$D$99,1,FALSE()),"(미존재)")</f>
        <v>기부금</v>
      </c>
    </row>
    <row r="307" customFormat="false" ht="16.5" hidden="false" customHeight="false" outlineLevel="0" collapsed="false">
      <c r="A307" s="317" t="s">
        <v>791</v>
      </c>
      <c r="B307" s="314" t="n">
        <v>66900040</v>
      </c>
      <c r="C307" s="314" t="s">
        <v>2084</v>
      </c>
      <c r="D307" s="314" t="s">
        <v>1879</v>
      </c>
      <c r="E307" s="314" t="s">
        <v>2079</v>
      </c>
      <c r="F307" s="314" t="s">
        <v>2082</v>
      </c>
      <c r="G307" s="314" t="s">
        <v>1926</v>
      </c>
      <c r="H307" s="314" t="s">
        <v>1495</v>
      </c>
      <c r="I307" s="314" t="s">
        <v>1941</v>
      </c>
      <c r="J307" s="314" t="s">
        <v>1458</v>
      </c>
      <c r="K307" s="314" t="s">
        <v>1942</v>
      </c>
      <c r="L307" s="324" t="s">
        <v>2083</v>
      </c>
      <c r="M307" s="324" t="s">
        <v>406</v>
      </c>
      <c r="N307" s="324" t="s">
        <v>1090</v>
      </c>
      <c r="O307" s="324" t="s">
        <v>1090</v>
      </c>
      <c r="P307" s="324" t="s">
        <v>406</v>
      </c>
      <c r="Q307" s="325" t="n">
        <v>10000000</v>
      </c>
      <c r="R307" s="325" t="n">
        <v>0</v>
      </c>
      <c r="S307" s="325" t="n">
        <v>0</v>
      </c>
      <c r="T307" s="325" t="n">
        <v>0</v>
      </c>
      <c r="U307" s="325" t="n">
        <v>0</v>
      </c>
      <c r="V307" s="325" t="n">
        <v>0</v>
      </c>
      <c r="W307" s="325" t="n">
        <v>0</v>
      </c>
      <c r="X307" s="325" t="n">
        <v>0</v>
      </c>
      <c r="Y307" s="325" t="n">
        <v>0</v>
      </c>
      <c r="Z307" s="325" t="n">
        <v>0</v>
      </c>
      <c r="AA307" s="325"/>
      <c r="AB307" s="325"/>
      <c r="AC307" s="325"/>
      <c r="AD307" s="325"/>
      <c r="AE307" s="325" t="n">
        <f aca="false">R307</f>
        <v>0</v>
      </c>
      <c r="AF307" s="325" t="n">
        <f aca="false">S307-R307</f>
        <v>0</v>
      </c>
      <c r="AG307" s="325" t="n">
        <f aca="false">T307-S307</f>
        <v>0</v>
      </c>
      <c r="AH307" s="325" t="n">
        <f aca="false">U307-T307</f>
        <v>0</v>
      </c>
      <c r="AI307" s="325" t="n">
        <f aca="false">V307-U307</f>
        <v>0</v>
      </c>
      <c r="AJ307" s="325" t="n">
        <f aca="false">W307-V307</f>
        <v>0</v>
      </c>
      <c r="AK307" s="325" t="n">
        <f aca="false">X307-W307</f>
        <v>0</v>
      </c>
      <c r="AL307" s="325" t="n">
        <f aca="false">Y307-X307</f>
        <v>0</v>
      </c>
      <c r="AM307" s="325" t="n">
        <f aca="false">Z307-Y307</f>
        <v>0</v>
      </c>
      <c r="AN307" s="325" t="s">
        <v>1679</v>
      </c>
      <c r="AO307" s="325" t="n">
        <f aca="false">AB307-AA307</f>
        <v>0</v>
      </c>
      <c r="AP307" s="325" t="n">
        <f aca="false">AC307-AB307</f>
        <v>0</v>
      </c>
      <c r="AR307" s="314" t="str">
        <f aca="false">IFERROR(VLOOKUP(M307,'PL_DEC.2026'!$D$11:$D$99,1,FALSE()),"(미존재)")</f>
        <v>기부금</v>
      </c>
    </row>
    <row r="308" customFormat="false" ht="16.5" hidden="false" customHeight="false" outlineLevel="0" collapsed="false">
      <c r="A308" s="317" t="s">
        <v>791</v>
      </c>
      <c r="B308" s="314" t="n">
        <v>66900044</v>
      </c>
      <c r="C308" s="314" t="s">
        <v>2085</v>
      </c>
      <c r="D308" s="314" t="s">
        <v>1879</v>
      </c>
      <c r="E308" s="314" t="s">
        <v>2079</v>
      </c>
      <c r="F308" s="314" t="s">
        <v>2082</v>
      </c>
      <c r="G308" s="314" t="s">
        <v>1635</v>
      </c>
      <c r="H308" s="314" t="s">
        <v>1495</v>
      </c>
      <c r="I308" s="314" t="s">
        <v>1941</v>
      </c>
      <c r="J308" s="314" t="s">
        <v>1458</v>
      </c>
      <c r="K308" s="314" t="s">
        <v>1942</v>
      </c>
      <c r="L308" s="324" t="s">
        <v>2083</v>
      </c>
      <c r="M308" s="324" t="s">
        <v>406</v>
      </c>
      <c r="N308" s="324" t="s">
        <v>1090</v>
      </c>
      <c r="O308" s="324" t="s">
        <v>1090</v>
      </c>
      <c r="P308" s="324" t="s">
        <v>406</v>
      </c>
      <c r="Q308" s="325" t="n">
        <v>35855618</v>
      </c>
      <c r="R308" s="325" t="n">
        <v>0</v>
      </c>
      <c r="S308" s="325" t="n">
        <v>0</v>
      </c>
      <c r="T308" s="325" t="n">
        <v>0</v>
      </c>
      <c r="U308" s="325" t="n">
        <v>0</v>
      </c>
      <c r="V308" s="325" t="n">
        <v>0</v>
      </c>
      <c r="W308" s="325" t="n">
        <v>5000000</v>
      </c>
      <c r="X308" s="325" t="n">
        <v>5000000</v>
      </c>
      <c r="Y308" s="325" t="n">
        <v>5000000</v>
      </c>
      <c r="Z308" s="325" t="n">
        <v>5000000</v>
      </c>
      <c r="AA308" s="325"/>
      <c r="AB308" s="325"/>
      <c r="AC308" s="325"/>
      <c r="AD308" s="325"/>
      <c r="AE308" s="325" t="n">
        <f aca="false">R308</f>
        <v>0</v>
      </c>
      <c r="AF308" s="325" t="n">
        <f aca="false">S308-R308</f>
        <v>0</v>
      </c>
      <c r="AG308" s="325" t="n">
        <f aca="false">T308-S308</f>
        <v>0</v>
      </c>
      <c r="AH308" s="325" t="n">
        <f aca="false">U308-T308</f>
        <v>0</v>
      </c>
      <c r="AI308" s="325" t="n">
        <f aca="false">V308-U308</f>
        <v>0</v>
      </c>
      <c r="AJ308" s="325" t="n">
        <f aca="false">W308-V308</f>
        <v>5000000</v>
      </c>
      <c r="AK308" s="325" t="n">
        <f aca="false">X308-W308</f>
        <v>0</v>
      </c>
      <c r="AL308" s="325" t="n">
        <f aca="false">Y308-X308</f>
        <v>0</v>
      </c>
      <c r="AM308" s="325" t="n">
        <f aca="false">Z308-Y308</f>
        <v>0</v>
      </c>
      <c r="AN308" s="325" t="s">
        <v>1679</v>
      </c>
      <c r="AO308" s="325" t="n">
        <f aca="false">AB308-AA308</f>
        <v>0</v>
      </c>
      <c r="AP308" s="325" t="n">
        <f aca="false">AC308-AB308</f>
        <v>0</v>
      </c>
      <c r="AR308" s="314" t="str">
        <f aca="false">IFERROR(VLOOKUP(M308,'PL_DEC.2026'!$D$11:$D$99,1,FALSE()),"(미존재)")</f>
        <v>기부금</v>
      </c>
    </row>
    <row r="309" customFormat="false" ht="16.5" hidden="false" customHeight="false" outlineLevel="0" collapsed="false">
      <c r="A309" s="317" t="s">
        <v>791</v>
      </c>
      <c r="B309" s="314" t="n">
        <v>66900505</v>
      </c>
      <c r="C309" s="314" t="s">
        <v>2086</v>
      </c>
      <c r="D309" s="314" t="s">
        <v>1879</v>
      </c>
      <c r="E309" s="314" t="s">
        <v>1924</v>
      </c>
      <c r="F309" s="314" t="s">
        <v>1925</v>
      </c>
      <c r="G309" s="314" t="s">
        <v>1926</v>
      </c>
      <c r="H309" s="314" t="s">
        <v>1495</v>
      </c>
      <c r="I309" s="314" t="s">
        <v>1941</v>
      </c>
      <c r="J309" s="314" t="s">
        <v>1458</v>
      </c>
      <c r="K309" s="314" t="s">
        <v>1942</v>
      </c>
      <c r="L309" s="324" t="s">
        <v>1929</v>
      </c>
      <c r="M309" s="324" t="s">
        <v>344</v>
      </c>
      <c r="N309" s="324" t="s">
        <v>1929</v>
      </c>
      <c r="O309" s="324" t="s">
        <v>344</v>
      </c>
      <c r="P309" s="324" t="s">
        <v>344</v>
      </c>
      <c r="Q309" s="325" t="n">
        <v>81697788</v>
      </c>
      <c r="R309" s="325" t="n">
        <v>9760958</v>
      </c>
      <c r="S309" s="325" t="n">
        <v>17713909</v>
      </c>
      <c r="T309" s="325" t="n">
        <v>26214124</v>
      </c>
      <c r="U309" s="325" t="n">
        <v>32569742</v>
      </c>
      <c r="V309" s="325" t="n">
        <v>40438325</v>
      </c>
      <c r="W309" s="325" t="n">
        <v>48934676</v>
      </c>
      <c r="X309" s="325" t="n">
        <v>56328817</v>
      </c>
      <c r="Y309" s="325" t="n">
        <v>64286730</v>
      </c>
      <c r="Z309" s="325" t="n">
        <v>64618589</v>
      </c>
      <c r="AA309" s="325"/>
      <c r="AB309" s="325"/>
      <c r="AC309" s="325"/>
      <c r="AD309" s="325"/>
      <c r="AE309" s="325" t="n">
        <f aca="false">R309</f>
        <v>9760958</v>
      </c>
      <c r="AF309" s="325" t="n">
        <f aca="false">S309-R309</f>
        <v>7952951</v>
      </c>
      <c r="AG309" s="325" t="n">
        <f aca="false">T309-S309</f>
        <v>8500215</v>
      </c>
      <c r="AH309" s="325" t="n">
        <f aca="false">U309-T309</f>
        <v>6355618</v>
      </c>
      <c r="AI309" s="325" t="n">
        <f aca="false">V309-U309</f>
        <v>7868583</v>
      </c>
      <c r="AJ309" s="325" t="n">
        <f aca="false">W309-V309</f>
        <v>8496351</v>
      </c>
      <c r="AK309" s="325" t="n">
        <f aca="false">X309-W309</f>
        <v>7394141</v>
      </c>
      <c r="AL309" s="325" t="n">
        <f aca="false">Y309-X309</f>
        <v>7957913</v>
      </c>
      <c r="AM309" s="325" t="n">
        <f aca="false">Z309-Y309</f>
        <v>331859</v>
      </c>
      <c r="AN309" s="325" t="s">
        <v>1679</v>
      </c>
      <c r="AO309" s="325" t="n">
        <f aca="false">AB309-AA309</f>
        <v>0</v>
      </c>
      <c r="AP309" s="325" t="n">
        <f aca="false">AC309-AB309</f>
        <v>0</v>
      </c>
      <c r="AR309" s="314" t="str">
        <f aca="false">IFERROR(VLOOKUP(M309,'PL_DEC.2026'!$D$11:$D$99,1,FALSE()),"(미존재)")</f>
        <v>지급수수료</v>
      </c>
    </row>
    <row r="310" customFormat="false" ht="16.5" hidden="false" customHeight="false" outlineLevel="0" collapsed="false">
      <c r="A310" s="317" t="s">
        <v>791</v>
      </c>
      <c r="B310" s="314" t="n">
        <v>66900707</v>
      </c>
      <c r="C310" s="314" t="s">
        <v>2087</v>
      </c>
      <c r="D310" s="314" t="s">
        <v>1879</v>
      </c>
      <c r="E310" s="314" t="s">
        <v>1924</v>
      </c>
      <c r="F310" s="314" t="s">
        <v>1931</v>
      </c>
      <c r="G310" s="314" t="s">
        <v>1926</v>
      </c>
      <c r="H310" s="314" t="s">
        <v>1495</v>
      </c>
      <c r="I310" s="314" t="s">
        <v>1941</v>
      </c>
      <c r="J310" s="314" t="s">
        <v>1458</v>
      </c>
      <c r="K310" s="314" t="s">
        <v>1942</v>
      </c>
      <c r="L310" s="324" t="s">
        <v>1929</v>
      </c>
      <c r="M310" s="324" t="s">
        <v>355</v>
      </c>
      <c r="N310" s="324" t="s">
        <v>1929</v>
      </c>
      <c r="O310" s="324" t="s">
        <v>1932</v>
      </c>
      <c r="P310" s="324" t="s">
        <v>1932</v>
      </c>
      <c r="Q310" s="325" t="n">
        <v>-174835248</v>
      </c>
      <c r="R310" s="325" t="n">
        <v>0</v>
      </c>
      <c r="S310" s="325" t="n">
        <v>0</v>
      </c>
      <c r="T310" s="325" t="n">
        <v>0</v>
      </c>
      <c r="U310" s="325" t="n">
        <v>0</v>
      </c>
      <c r="V310" s="325" t="n">
        <v>0</v>
      </c>
      <c r="W310" s="325" t="n">
        <v>0</v>
      </c>
      <c r="X310" s="325" t="n">
        <v>0</v>
      </c>
      <c r="Y310" s="325" t="n">
        <v>0</v>
      </c>
      <c r="Z310" s="325" t="n">
        <v>0</v>
      </c>
      <c r="AA310" s="325"/>
      <c r="AB310" s="325"/>
      <c r="AC310" s="325"/>
      <c r="AD310" s="325"/>
      <c r="AE310" s="325" t="n">
        <f aca="false">R310</f>
        <v>0</v>
      </c>
      <c r="AF310" s="325" t="n">
        <f aca="false">S310-R310</f>
        <v>0</v>
      </c>
      <c r="AG310" s="325" t="n">
        <f aca="false">T310-S310</f>
        <v>0</v>
      </c>
      <c r="AH310" s="325" t="n">
        <f aca="false">U310-T310</f>
        <v>0</v>
      </c>
      <c r="AI310" s="325" t="n">
        <f aca="false">V310-U310</f>
        <v>0</v>
      </c>
      <c r="AJ310" s="325" t="n">
        <f aca="false">W310-V310</f>
        <v>0</v>
      </c>
      <c r="AK310" s="325" t="n">
        <f aca="false">X310-W310</f>
        <v>0</v>
      </c>
      <c r="AL310" s="325" t="n">
        <f aca="false">Y310-X310</f>
        <v>0</v>
      </c>
      <c r="AM310" s="325" t="n">
        <f aca="false">Z310-Y310</f>
        <v>0</v>
      </c>
      <c r="AN310" s="325" t="s">
        <v>1679</v>
      </c>
      <c r="AO310" s="325" t="n">
        <f aca="false">AB310-AA310</f>
        <v>0</v>
      </c>
      <c r="AP310" s="325" t="n">
        <f aca="false">AC310-AB310</f>
        <v>0</v>
      </c>
      <c r="AR310" s="314" t="str">
        <f aca="false">IFERROR(VLOOKUP(M310,'PL_DEC.2026'!$D$11:$D$99,1,FALSE()),"(미존재)")</f>
        <v>임상증례조사비</v>
      </c>
    </row>
    <row r="311" customFormat="false" ht="16.5" hidden="false" customHeight="false" outlineLevel="0" collapsed="false">
      <c r="A311" s="317" t="s">
        <v>791</v>
      </c>
      <c r="B311" s="314" t="n">
        <v>66900905</v>
      </c>
      <c r="C311" s="314" t="s">
        <v>2088</v>
      </c>
      <c r="D311" s="314" t="s">
        <v>1879</v>
      </c>
      <c r="E311" s="314" t="s">
        <v>1924</v>
      </c>
      <c r="F311" s="314" t="s">
        <v>1925</v>
      </c>
      <c r="G311" s="314" t="s">
        <v>1926</v>
      </c>
      <c r="H311" s="314" t="s">
        <v>1495</v>
      </c>
      <c r="I311" s="314" t="s">
        <v>1941</v>
      </c>
      <c r="J311" s="314" t="s">
        <v>1458</v>
      </c>
      <c r="K311" s="314" t="s">
        <v>1942</v>
      </c>
      <c r="L311" s="324" t="s">
        <v>1929</v>
      </c>
      <c r="M311" s="324" t="s">
        <v>344</v>
      </c>
      <c r="N311" s="324" t="s">
        <v>1929</v>
      </c>
      <c r="O311" s="324" t="s">
        <v>344</v>
      </c>
      <c r="P311" s="324" t="s">
        <v>344</v>
      </c>
      <c r="Q311" s="325" t="n">
        <v>244495750</v>
      </c>
      <c r="R311" s="325" t="n">
        <v>65464098</v>
      </c>
      <c r="S311" s="325" t="n">
        <v>98241058</v>
      </c>
      <c r="T311" s="325" t="n">
        <v>118481500</v>
      </c>
      <c r="U311" s="325" t="n">
        <v>322225542</v>
      </c>
      <c r="V311" s="325" t="n">
        <v>457344496</v>
      </c>
      <c r="W311" s="325" t="n">
        <v>280447770</v>
      </c>
      <c r="X311" s="325" t="n">
        <v>210371011</v>
      </c>
      <c r="Y311" s="325" t="n">
        <v>293842212</v>
      </c>
      <c r="Z311" s="325" t="n">
        <v>407970082</v>
      </c>
      <c r="AA311" s="325"/>
      <c r="AB311" s="325"/>
      <c r="AC311" s="325"/>
      <c r="AD311" s="325"/>
      <c r="AE311" s="325" t="n">
        <f aca="false">R311</f>
        <v>65464098</v>
      </c>
      <c r="AF311" s="325" t="n">
        <f aca="false">S311-R311</f>
        <v>32776960</v>
      </c>
      <c r="AG311" s="325" t="n">
        <f aca="false">T311-S311</f>
        <v>20240442</v>
      </c>
      <c r="AH311" s="325" t="n">
        <f aca="false">U311-T311</f>
        <v>203744042</v>
      </c>
      <c r="AI311" s="325" t="n">
        <f aca="false">V311-U311</f>
        <v>135118954</v>
      </c>
      <c r="AJ311" s="325" t="n">
        <f aca="false">W311-V311</f>
        <v>-176896726</v>
      </c>
      <c r="AK311" s="325" t="n">
        <f aca="false">X311-W311</f>
        <v>-70076759</v>
      </c>
      <c r="AL311" s="325" t="n">
        <f aca="false">Y311-X311</f>
        <v>83471201</v>
      </c>
      <c r="AM311" s="325" t="n">
        <f aca="false">Z311-Y311</f>
        <v>114127870</v>
      </c>
      <c r="AN311" s="325" t="s">
        <v>1679</v>
      </c>
      <c r="AO311" s="325" t="n">
        <f aca="false">AB311-AA311</f>
        <v>0</v>
      </c>
      <c r="AP311" s="325" t="n">
        <f aca="false">AC311-AB311</f>
        <v>0</v>
      </c>
      <c r="AR311" s="314" t="str">
        <f aca="false">IFERROR(VLOOKUP(M311,'PL_DEC.2026'!$D$11:$D$99,1,FALSE()),"(미존재)")</f>
        <v>지급수수료</v>
      </c>
    </row>
    <row r="312" customFormat="false" ht="16.5" hidden="false" customHeight="false" outlineLevel="0" collapsed="false">
      <c r="A312" s="317" t="s">
        <v>791</v>
      </c>
      <c r="B312" s="314" t="n">
        <v>67100028</v>
      </c>
      <c r="C312" s="314" t="s">
        <v>2089</v>
      </c>
      <c r="D312" s="314" t="s">
        <v>1879</v>
      </c>
      <c r="E312" s="314" t="s">
        <v>1924</v>
      </c>
      <c r="F312" s="314" t="s">
        <v>2090</v>
      </c>
      <c r="G312" s="314" t="s">
        <v>1882</v>
      </c>
      <c r="H312" s="314" t="s">
        <v>1495</v>
      </c>
      <c r="I312" s="314" t="s">
        <v>1886</v>
      </c>
      <c r="K312" s="314" t="s">
        <v>1887</v>
      </c>
      <c r="L312" s="324" t="s">
        <v>824</v>
      </c>
      <c r="M312" s="324" t="s">
        <v>269</v>
      </c>
      <c r="N312" s="324" t="s">
        <v>1929</v>
      </c>
      <c r="O312" s="324" t="s">
        <v>370</v>
      </c>
      <c r="P312" s="324" t="s">
        <v>370</v>
      </c>
      <c r="Q312" s="325" t="n">
        <v>4038906063</v>
      </c>
      <c r="R312" s="325" t="n">
        <v>191786034</v>
      </c>
      <c r="S312" s="325" t="n">
        <v>684829354</v>
      </c>
      <c r="T312" s="325" t="n">
        <v>1359943914</v>
      </c>
      <c r="U312" s="325" t="n">
        <v>1690365514</v>
      </c>
      <c r="V312" s="325" t="n">
        <v>2085901849</v>
      </c>
      <c r="W312" s="325" t="n">
        <v>2643874689</v>
      </c>
      <c r="X312" s="325" t="n">
        <v>2849468554</v>
      </c>
      <c r="Y312" s="325" t="n">
        <v>3377610569</v>
      </c>
      <c r="Z312" s="325" t="n">
        <v>3605799114</v>
      </c>
      <c r="AA312" s="325"/>
      <c r="AB312" s="325"/>
      <c r="AC312" s="325"/>
      <c r="AD312" s="325"/>
      <c r="AE312" s="325" t="n">
        <f aca="false">R312</f>
        <v>191786034</v>
      </c>
      <c r="AF312" s="325" t="n">
        <f aca="false">S312-R312</f>
        <v>493043320</v>
      </c>
      <c r="AG312" s="325" t="n">
        <f aca="false">T312-S312</f>
        <v>675114560</v>
      </c>
      <c r="AH312" s="325" t="n">
        <f aca="false">U312-T312</f>
        <v>330421600</v>
      </c>
      <c r="AI312" s="325" t="n">
        <f aca="false">V312-U312</f>
        <v>395536335</v>
      </c>
      <c r="AJ312" s="325" t="n">
        <f aca="false">W312-V312</f>
        <v>557972840</v>
      </c>
      <c r="AK312" s="325" t="n">
        <f aca="false">X312-W312</f>
        <v>205593865</v>
      </c>
      <c r="AL312" s="325" t="n">
        <f aca="false">Y312-X312</f>
        <v>528142015</v>
      </c>
      <c r="AM312" s="325" t="n">
        <f aca="false">Z312-Y312</f>
        <v>228188545</v>
      </c>
      <c r="AN312" s="325" t="s">
        <v>1679</v>
      </c>
      <c r="AO312" s="325" t="n">
        <f aca="false">AB312-AA312</f>
        <v>0</v>
      </c>
      <c r="AP312" s="325" t="n">
        <f aca="false">AC312-AB312</f>
        <v>0</v>
      </c>
      <c r="AR312" s="314" t="str">
        <f aca="false">IFERROR(VLOOKUP(M312,'PL_DEC.2026'!$D$11:$D$99,1,FALSE()),"(미존재)")</f>
        <v>상품매출원가</v>
      </c>
    </row>
    <row r="313" customFormat="false" ht="16.5" hidden="false" customHeight="false" outlineLevel="0" collapsed="false">
      <c r="A313" s="317" t="s">
        <v>791</v>
      </c>
      <c r="B313" s="314" t="n">
        <v>68011600</v>
      </c>
      <c r="C313" s="314" t="s">
        <v>2091</v>
      </c>
      <c r="D313" s="314" t="s">
        <v>1879</v>
      </c>
      <c r="E313" s="314" t="s">
        <v>1949</v>
      </c>
      <c r="F313" s="314" t="s">
        <v>1950</v>
      </c>
      <c r="G313" s="314" t="s">
        <v>1926</v>
      </c>
      <c r="H313" s="314" t="s">
        <v>1495</v>
      </c>
      <c r="I313" s="314" t="s">
        <v>1941</v>
      </c>
      <c r="J313" s="314" t="s">
        <v>1458</v>
      </c>
      <c r="K313" s="314" t="s">
        <v>1942</v>
      </c>
      <c r="L313" s="324" t="s">
        <v>1929</v>
      </c>
      <c r="M313" s="324" t="s">
        <v>319</v>
      </c>
      <c r="N313" s="324" t="s">
        <v>1929</v>
      </c>
      <c r="O313" s="324" t="s">
        <v>319</v>
      </c>
      <c r="P313" s="324" t="s">
        <v>319</v>
      </c>
      <c r="Q313" s="325" t="n">
        <v>712226358</v>
      </c>
      <c r="R313" s="325" t="n">
        <v>64224242</v>
      </c>
      <c r="S313" s="325" t="n">
        <v>128391231</v>
      </c>
      <c r="T313" s="325" t="n">
        <v>199160747</v>
      </c>
      <c r="U313" s="325" t="n">
        <v>269188782</v>
      </c>
      <c r="V313" s="325" t="n">
        <v>339149481</v>
      </c>
      <c r="W313" s="325" t="n">
        <v>409205664</v>
      </c>
      <c r="X313" s="325" t="n">
        <v>480350019</v>
      </c>
      <c r="Y313" s="325" t="n">
        <v>549897600</v>
      </c>
      <c r="Z313" s="325" t="n">
        <v>618790933</v>
      </c>
      <c r="AA313" s="325"/>
      <c r="AB313" s="325"/>
      <c r="AC313" s="325"/>
      <c r="AD313" s="325"/>
      <c r="AE313" s="325" t="n">
        <f aca="false">R313</f>
        <v>64224242</v>
      </c>
      <c r="AF313" s="325" t="n">
        <f aca="false">S313-R313</f>
        <v>64166989</v>
      </c>
      <c r="AG313" s="325" t="n">
        <f aca="false">T313-S313</f>
        <v>70769516</v>
      </c>
      <c r="AH313" s="325" t="n">
        <f aca="false">U313-T313</f>
        <v>70028035</v>
      </c>
      <c r="AI313" s="325" t="n">
        <f aca="false">V313-U313</f>
        <v>69960699</v>
      </c>
      <c r="AJ313" s="325" t="n">
        <f aca="false">W313-V313</f>
        <v>70056183</v>
      </c>
      <c r="AK313" s="325" t="n">
        <f aca="false">X313-W313</f>
        <v>71144355</v>
      </c>
      <c r="AL313" s="325" t="n">
        <f aca="false">Y313-X313</f>
        <v>69547581</v>
      </c>
      <c r="AM313" s="325" t="n">
        <f aca="false">Z313-Y313</f>
        <v>68893333</v>
      </c>
      <c r="AN313" s="325" t="s">
        <v>1679</v>
      </c>
      <c r="AO313" s="325" t="n">
        <f aca="false">AB313-AA313</f>
        <v>0</v>
      </c>
      <c r="AP313" s="325" t="n">
        <f aca="false">AC313-AB313</f>
        <v>0</v>
      </c>
      <c r="AR313" s="314" t="str">
        <f aca="false">IFERROR(VLOOKUP(M313,'PL_DEC.2026'!$D$11:$D$99,1,FALSE()),"(미존재)")</f>
        <v>급여</v>
      </c>
    </row>
    <row r="314" customFormat="false" ht="16.5" hidden="false" customHeight="false" outlineLevel="0" collapsed="false">
      <c r="A314" s="317" t="s">
        <v>791</v>
      </c>
      <c r="B314" s="314" t="n">
        <v>67100700</v>
      </c>
      <c r="C314" s="314" t="s">
        <v>2092</v>
      </c>
      <c r="D314" s="314" t="s">
        <v>1879</v>
      </c>
      <c r="E314" s="314" t="s">
        <v>1949</v>
      </c>
      <c r="F314" s="314" t="s">
        <v>1925</v>
      </c>
      <c r="G314" s="314" t="s">
        <v>1926</v>
      </c>
      <c r="H314" s="314" t="s">
        <v>1495</v>
      </c>
      <c r="I314" s="314" t="s">
        <v>1941</v>
      </c>
      <c r="J314" s="314" t="s">
        <v>1458</v>
      </c>
      <c r="K314" s="314" t="s">
        <v>1942</v>
      </c>
      <c r="L314" s="324" t="s">
        <v>1929</v>
      </c>
      <c r="M314" s="324" t="s">
        <v>344</v>
      </c>
      <c r="N314" s="324" t="s">
        <v>1929</v>
      </c>
      <c r="P314" s="324" t="s">
        <v>344</v>
      </c>
      <c r="Q314" s="325"/>
      <c r="R314" s="325"/>
      <c r="S314" s="325"/>
      <c r="T314" s="325"/>
      <c r="U314" s="325"/>
      <c r="V314" s="325"/>
      <c r="W314" s="325"/>
      <c r="X314" s="325"/>
      <c r="Y314" s="325"/>
      <c r="Z314" s="325" t="n">
        <v>151777885</v>
      </c>
      <c r="AA314" s="325"/>
      <c r="AB314" s="325"/>
      <c r="AC314" s="325"/>
      <c r="AD314" s="325"/>
      <c r="AE314" s="325" t="n">
        <f aca="false">R314</f>
        <v>0</v>
      </c>
      <c r="AF314" s="325" t="n">
        <f aca="false">S314-R314</f>
        <v>0</v>
      </c>
      <c r="AG314" s="325" t="n">
        <f aca="false">T314-S314</f>
        <v>0</v>
      </c>
      <c r="AH314" s="325" t="n">
        <f aca="false">U314-T314</f>
        <v>0</v>
      </c>
      <c r="AI314" s="325" t="n">
        <f aca="false">V314-U314</f>
        <v>0</v>
      </c>
      <c r="AJ314" s="325" t="n">
        <f aca="false">W314-V314</f>
        <v>0</v>
      </c>
      <c r="AK314" s="325" t="n">
        <f aca="false">X314-W314</f>
        <v>0</v>
      </c>
      <c r="AL314" s="325" t="n">
        <f aca="false">Y314-X314</f>
        <v>0</v>
      </c>
      <c r="AM314" s="325" t="n">
        <f aca="false">Z314-Y314</f>
        <v>151777885</v>
      </c>
      <c r="AN314" s="325" t="s">
        <v>1679</v>
      </c>
      <c r="AO314" s="325" t="n">
        <f aca="false">AB314-AA314</f>
        <v>0</v>
      </c>
      <c r="AP314" s="325" t="n">
        <f aca="false">AC314-AB314</f>
        <v>0</v>
      </c>
      <c r="AR314" s="314" t="str">
        <f aca="false">IFERROR(VLOOKUP(M314,'PL_DEC.2026'!$D$11:$D$99,1,FALSE()),"(미존재)")</f>
        <v>지급수수료</v>
      </c>
    </row>
    <row r="315" customFormat="false" ht="16.5" hidden="false" customHeight="false" outlineLevel="0" collapsed="false">
      <c r="A315" s="317" t="s">
        <v>791</v>
      </c>
      <c r="B315" s="314" t="n">
        <v>68014600</v>
      </c>
      <c r="C315" s="314" t="s">
        <v>2093</v>
      </c>
      <c r="D315" s="314" t="s">
        <v>1879</v>
      </c>
      <c r="E315" s="314" t="s">
        <v>1924</v>
      </c>
      <c r="F315" s="314" t="s">
        <v>2070</v>
      </c>
      <c r="G315" s="314" t="s">
        <v>1926</v>
      </c>
      <c r="H315" s="314" t="s">
        <v>1495</v>
      </c>
      <c r="I315" s="314" t="s">
        <v>1941</v>
      </c>
      <c r="J315" s="314" t="s">
        <v>1458</v>
      </c>
      <c r="K315" s="314" t="s">
        <v>1942</v>
      </c>
      <c r="L315" s="324" t="s">
        <v>1929</v>
      </c>
      <c r="M315" s="324" t="s">
        <v>361</v>
      </c>
      <c r="N315" s="324" t="s">
        <v>1929</v>
      </c>
      <c r="O315" s="324" t="s">
        <v>361</v>
      </c>
      <c r="P315" s="324" t="s">
        <v>361</v>
      </c>
      <c r="Q315" s="325" t="n">
        <v>847881416</v>
      </c>
      <c r="R315" s="325" t="n">
        <v>56298169</v>
      </c>
      <c r="S315" s="325" t="n">
        <v>109284617</v>
      </c>
      <c r="T315" s="325" t="n">
        <v>128408116</v>
      </c>
      <c r="U315" s="325" t="n">
        <v>231534047</v>
      </c>
      <c r="V315" s="325" t="n">
        <v>287692434</v>
      </c>
      <c r="W315" s="325" t="n">
        <v>344010861</v>
      </c>
      <c r="X315" s="325" t="n">
        <v>400538623</v>
      </c>
      <c r="Y315" s="325" t="n">
        <v>457374501</v>
      </c>
      <c r="Z315" s="325" t="n">
        <v>514428539</v>
      </c>
      <c r="AA315" s="325"/>
      <c r="AB315" s="325"/>
      <c r="AC315" s="325"/>
      <c r="AD315" s="325"/>
      <c r="AE315" s="325" t="n">
        <f aca="false">R315</f>
        <v>56298169</v>
      </c>
      <c r="AF315" s="325" t="n">
        <f aca="false">S315-R315</f>
        <v>52986448</v>
      </c>
      <c r="AG315" s="325" t="n">
        <f aca="false">T315-S315</f>
        <v>19123499</v>
      </c>
      <c r="AH315" s="325" t="n">
        <f aca="false">U315-T315</f>
        <v>103125931</v>
      </c>
      <c r="AI315" s="325" t="n">
        <f aca="false">V315-U315</f>
        <v>56158387</v>
      </c>
      <c r="AJ315" s="325" t="n">
        <f aca="false">W315-V315</f>
        <v>56318427</v>
      </c>
      <c r="AK315" s="325" t="n">
        <f aca="false">X315-W315</f>
        <v>56527762</v>
      </c>
      <c r="AL315" s="325" t="n">
        <f aca="false">Y315-X315</f>
        <v>56835878</v>
      </c>
      <c r="AM315" s="325" t="n">
        <f aca="false">Z315-Y315</f>
        <v>57054038</v>
      </c>
      <c r="AN315" s="325" t="s">
        <v>1679</v>
      </c>
      <c r="AO315" s="325" t="n">
        <f aca="false">AB315-AA315</f>
        <v>0</v>
      </c>
      <c r="AP315" s="325" t="n">
        <f aca="false">AC315-AB315</f>
        <v>0</v>
      </c>
      <c r="AR315" s="314" t="str">
        <f aca="false">IFERROR(VLOOKUP(M315,'PL_DEC.2026'!$D$11:$D$99,1,FALSE()),"(미존재)")</f>
        <v>보험료</v>
      </c>
    </row>
    <row r="316" customFormat="false" ht="16.5" hidden="false" customHeight="false" outlineLevel="0" collapsed="false">
      <c r="A316" s="317" t="s">
        <v>791</v>
      </c>
      <c r="B316" s="314" t="n">
        <v>68015600</v>
      </c>
      <c r="C316" s="314" t="s">
        <v>2094</v>
      </c>
      <c r="D316" s="314" t="s">
        <v>1879</v>
      </c>
      <c r="E316" s="314" t="s">
        <v>1924</v>
      </c>
      <c r="F316" s="314" t="s">
        <v>1970</v>
      </c>
      <c r="G316" s="314" t="s">
        <v>1926</v>
      </c>
      <c r="H316" s="314" t="s">
        <v>1495</v>
      </c>
      <c r="I316" s="314" t="s">
        <v>1941</v>
      </c>
      <c r="J316" s="314" t="s">
        <v>1458</v>
      </c>
      <c r="K316" s="314" t="s">
        <v>1942</v>
      </c>
      <c r="L316" s="324" t="s">
        <v>1929</v>
      </c>
      <c r="M316" s="324" t="s">
        <v>330</v>
      </c>
      <c r="N316" s="324" t="s">
        <v>1929</v>
      </c>
      <c r="O316" s="324" t="s">
        <v>330</v>
      </c>
      <c r="P316" s="324" t="s">
        <v>330</v>
      </c>
      <c r="Q316" s="325" t="n">
        <v>58248434</v>
      </c>
      <c r="R316" s="325" t="n">
        <v>0</v>
      </c>
      <c r="S316" s="325" t="n">
        <v>0</v>
      </c>
      <c r="T316" s="325" t="n">
        <v>0</v>
      </c>
      <c r="U316" s="325" t="n">
        <v>0</v>
      </c>
      <c r="V316" s="325" t="n">
        <v>0</v>
      </c>
      <c r="W316" s="325" t="n">
        <v>0</v>
      </c>
      <c r="X316" s="325" t="n">
        <v>0</v>
      </c>
      <c r="Y316" s="325" t="n">
        <v>0</v>
      </c>
      <c r="Z316" s="325" t="n">
        <v>0</v>
      </c>
      <c r="AA316" s="325"/>
      <c r="AB316" s="325"/>
      <c r="AC316" s="325"/>
      <c r="AD316" s="325"/>
      <c r="AE316" s="325" t="n">
        <f aca="false">R316</f>
        <v>0</v>
      </c>
      <c r="AF316" s="325" t="n">
        <f aca="false">S316-R316</f>
        <v>0</v>
      </c>
      <c r="AG316" s="325" t="n">
        <f aca="false">T316-S316</f>
        <v>0</v>
      </c>
      <c r="AH316" s="325" t="n">
        <f aca="false">U316-T316</f>
        <v>0</v>
      </c>
      <c r="AI316" s="325" t="n">
        <f aca="false">V316-U316</f>
        <v>0</v>
      </c>
      <c r="AJ316" s="325" t="n">
        <f aca="false">W316-V316</f>
        <v>0</v>
      </c>
      <c r="AK316" s="325" t="n">
        <f aca="false">X316-W316</f>
        <v>0</v>
      </c>
      <c r="AL316" s="325" t="n">
        <f aca="false">Y316-X316</f>
        <v>0</v>
      </c>
      <c r="AM316" s="325" t="n">
        <f aca="false">Z316-Y316</f>
        <v>0</v>
      </c>
      <c r="AN316" s="325" t="s">
        <v>1679</v>
      </c>
      <c r="AO316" s="325" t="n">
        <f aca="false">AB316-AA316</f>
        <v>0</v>
      </c>
      <c r="AP316" s="325" t="n">
        <f aca="false">AC316-AB316</f>
        <v>0</v>
      </c>
      <c r="AR316" s="314" t="str">
        <f aca="false">IFERROR(VLOOKUP(M316,'PL_DEC.2026'!$D$11:$D$99,1,FALSE()),"(미존재)")</f>
        <v>복리후생비</v>
      </c>
    </row>
    <row r="317" customFormat="false" ht="16.5" hidden="false" customHeight="false" outlineLevel="0" collapsed="false">
      <c r="A317" s="317" t="s">
        <v>791</v>
      </c>
      <c r="B317" s="314" t="n">
        <v>68031400</v>
      </c>
      <c r="C317" s="314" t="s">
        <v>2095</v>
      </c>
      <c r="D317" s="314" t="s">
        <v>1879</v>
      </c>
      <c r="E317" s="314" t="s">
        <v>1924</v>
      </c>
      <c r="F317" s="314" t="s">
        <v>1957</v>
      </c>
      <c r="G317" s="314" t="s">
        <v>1926</v>
      </c>
      <c r="H317" s="314" t="s">
        <v>1495</v>
      </c>
      <c r="I317" s="314" t="s">
        <v>1941</v>
      </c>
      <c r="J317" s="314" t="s">
        <v>1458</v>
      </c>
      <c r="K317" s="314" t="s">
        <v>1942</v>
      </c>
      <c r="L317" s="324" t="s">
        <v>1929</v>
      </c>
      <c r="M317" s="324" t="s">
        <v>332</v>
      </c>
      <c r="N317" s="324" t="s">
        <v>1929</v>
      </c>
      <c r="O317" s="324" t="s">
        <v>332</v>
      </c>
      <c r="P317" s="324" t="s">
        <v>332</v>
      </c>
      <c r="Q317" s="325" t="n">
        <v>781400436</v>
      </c>
      <c r="R317" s="325" t="n">
        <v>39831492</v>
      </c>
      <c r="S317" s="325" t="n">
        <v>91998804</v>
      </c>
      <c r="T317" s="325" t="n">
        <v>146919492</v>
      </c>
      <c r="U317" s="325" t="n">
        <v>207211968</v>
      </c>
      <c r="V317" s="325" t="n">
        <v>272915148</v>
      </c>
      <c r="W317" s="325" t="n">
        <v>330409674</v>
      </c>
      <c r="X317" s="325" t="n">
        <v>401677704</v>
      </c>
      <c r="Y317" s="325" t="n">
        <v>490386036</v>
      </c>
      <c r="Z317" s="325" t="n">
        <v>556899000</v>
      </c>
      <c r="AA317" s="325"/>
      <c r="AB317" s="325"/>
      <c r="AC317" s="325"/>
      <c r="AD317" s="325"/>
      <c r="AE317" s="325" t="n">
        <f aca="false">R317</f>
        <v>39831492</v>
      </c>
      <c r="AF317" s="325" t="n">
        <f aca="false">S317-R317</f>
        <v>52167312</v>
      </c>
      <c r="AG317" s="325" t="n">
        <f aca="false">T317-S317</f>
        <v>54920688</v>
      </c>
      <c r="AH317" s="325" t="n">
        <f aca="false">U317-T317</f>
        <v>60292476</v>
      </c>
      <c r="AI317" s="325" t="n">
        <f aca="false">V317-U317</f>
        <v>65703180</v>
      </c>
      <c r="AJ317" s="325" t="n">
        <f aca="false">W317-V317</f>
        <v>57494526</v>
      </c>
      <c r="AK317" s="325" t="n">
        <f aca="false">X317-W317</f>
        <v>71268030</v>
      </c>
      <c r="AL317" s="325" t="n">
        <f aca="false">Y317-X317</f>
        <v>88708332</v>
      </c>
      <c r="AM317" s="325" t="n">
        <f aca="false">Z317-Y317</f>
        <v>66512964</v>
      </c>
      <c r="AN317" s="325" t="s">
        <v>1679</v>
      </c>
      <c r="AO317" s="325" t="n">
        <f aca="false">AB317-AA317</f>
        <v>0</v>
      </c>
      <c r="AP317" s="325" t="n">
        <f aca="false">AC317-AB317</f>
        <v>0</v>
      </c>
      <c r="AR317" s="314" t="str">
        <f aca="false">IFERROR(VLOOKUP(M317,'PL_DEC.2026'!$D$11:$D$99,1,FALSE()),"(미존재)")</f>
        <v>여비교통비</v>
      </c>
    </row>
    <row r="318" customFormat="false" ht="16.5" hidden="false" customHeight="false" outlineLevel="0" collapsed="false">
      <c r="A318" s="317" t="s">
        <v>791</v>
      </c>
      <c r="B318" s="314" t="n">
        <v>68033200</v>
      </c>
      <c r="C318" s="314" t="s">
        <v>2096</v>
      </c>
      <c r="D318" s="314" t="s">
        <v>1879</v>
      </c>
      <c r="E318" s="314" t="s">
        <v>1924</v>
      </c>
      <c r="F318" s="314" t="s">
        <v>1925</v>
      </c>
      <c r="G318" s="314" t="s">
        <v>1926</v>
      </c>
      <c r="H318" s="314" t="s">
        <v>1495</v>
      </c>
      <c r="I318" s="314" t="s">
        <v>1941</v>
      </c>
      <c r="J318" s="314" t="s">
        <v>1458</v>
      </c>
      <c r="K318" s="314" t="s">
        <v>1942</v>
      </c>
      <c r="L318" s="324" t="s">
        <v>1929</v>
      </c>
      <c r="M318" s="324" t="s">
        <v>344</v>
      </c>
      <c r="N318" s="324" t="s">
        <v>1929</v>
      </c>
      <c r="O318" s="324" t="s">
        <v>344</v>
      </c>
      <c r="P318" s="324" t="s">
        <v>344</v>
      </c>
      <c r="Q318" s="325" t="n">
        <v>41848355</v>
      </c>
      <c r="R318" s="325" t="n">
        <v>20949745</v>
      </c>
      <c r="S318" s="325" t="n">
        <v>38786805</v>
      </c>
      <c r="T318" s="325" t="n">
        <v>39988775</v>
      </c>
      <c r="U318" s="325" t="n">
        <v>32168315</v>
      </c>
      <c r="V318" s="325" t="n">
        <v>-2637825</v>
      </c>
      <c r="W318" s="325" t="n">
        <v>-3839795</v>
      </c>
      <c r="X318" s="325" t="n">
        <v>29417295</v>
      </c>
      <c r="Y318" s="325" t="n">
        <v>41496005</v>
      </c>
      <c r="Z318" s="325" t="n">
        <v>41496005</v>
      </c>
      <c r="AA318" s="325"/>
      <c r="AB318" s="325"/>
      <c r="AC318" s="325"/>
      <c r="AD318" s="325"/>
      <c r="AE318" s="325" t="n">
        <f aca="false">R318</f>
        <v>20949745</v>
      </c>
      <c r="AF318" s="325" t="n">
        <f aca="false">S318-R318</f>
        <v>17837060</v>
      </c>
      <c r="AG318" s="325" t="n">
        <f aca="false">T318-S318</f>
        <v>1201970</v>
      </c>
      <c r="AH318" s="325" t="n">
        <f aca="false">U318-T318</f>
        <v>-7820460</v>
      </c>
      <c r="AI318" s="325" t="n">
        <f aca="false">V318-U318</f>
        <v>-34806140</v>
      </c>
      <c r="AJ318" s="325" t="n">
        <f aca="false">W318-V318</f>
        <v>-1201970</v>
      </c>
      <c r="AK318" s="325" t="n">
        <f aca="false">X318-W318</f>
        <v>33257090</v>
      </c>
      <c r="AL318" s="325" t="n">
        <f aca="false">Y318-X318</f>
        <v>12078710</v>
      </c>
      <c r="AM318" s="325" t="n">
        <f aca="false">Z318-Y318</f>
        <v>0</v>
      </c>
      <c r="AN318" s="325" t="s">
        <v>1679</v>
      </c>
      <c r="AO318" s="325" t="n">
        <f aca="false">AB318-AA318</f>
        <v>0</v>
      </c>
      <c r="AP318" s="325" t="n">
        <f aca="false">AC318-AB318</f>
        <v>0</v>
      </c>
      <c r="AR318" s="314" t="str">
        <f aca="false">IFERROR(VLOOKUP(M318,'PL_DEC.2026'!$D$11:$D$99,1,FALSE()),"(미존재)")</f>
        <v>지급수수료</v>
      </c>
    </row>
    <row r="319" customFormat="false" ht="16.5" hidden="false" customHeight="false" outlineLevel="0" collapsed="false">
      <c r="A319" s="317" t="s">
        <v>791</v>
      </c>
      <c r="B319" s="314" t="n">
        <v>68063200</v>
      </c>
      <c r="C319" s="314" t="s">
        <v>2097</v>
      </c>
      <c r="D319" s="314" t="s">
        <v>1879</v>
      </c>
      <c r="E319" s="314" t="s">
        <v>1924</v>
      </c>
      <c r="F319" s="314" t="s">
        <v>1925</v>
      </c>
      <c r="G319" s="314" t="s">
        <v>1926</v>
      </c>
      <c r="H319" s="314" t="s">
        <v>1495</v>
      </c>
      <c r="I319" s="314" t="s">
        <v>1941</v>
      </c>
      <c r="J319" s="314" t="s">
        <v>1458</v>
      </c>
      <c r="K319" s="314" t="s">
        <v>1942</v>
      </c>
      <c r="L319" s="324" t="s">
        <v>1929</v>
      </c>
      <c r="M319" s="324" t="s">
        <v>344</v>
      </c>
      <c r="N319" s="324" t="s">
        <v>1929</v>
      </c>
      <c r="O319" s="324" t="s">
        <v>344</v>
      </c>
      <c r="P319" s="324" t="s">
        <v>344</v>
      </c>
      <c r="Q319" s="325" t="n">
        <v>3500000</v>
      </c>
      <c r="R319" s="325" t="n">
        <v>14000000</v>
      </c>
      <c r="S319" s="325" t="n">
        <v>14000000</v>
      </c>
      <c r="T319" s="325" t="n">
        <v>10500000</v>
      </c>
      <c r="U319" s="325" t="n">
        <v>10500000</v>
      </c>
      <c r="V319" s="325" t="n">
        <v>17500000</v>
      </c>
      <c r="W319" s="325" t="n">
        <v>10500000</v>
      </c>
      <c r="X319" s="325" t="n">
        <v>10500000</v>
      </c>
      <c r="Y319" s="325" t="n">
        <v>10500000</v>
      </c>
      <c r="Z319" s="325" t="n">
        <v>10500000</v>
      </c>
      <c r="AA319" s="325"/>
      <c r="AB319" s="325"/>
      <c r="AC319" s="325"/>
      <c r="AD319" s="325"/>
      <c r="AE319" s="325" t="n">
        <f aca="false">R319</f>
        <v>14000000</v>
      </c>
      <c r="AF319" s="325" t="n">
        <f aca="false">S319-R319</f>
        <v>0</v>
      </c>
      <c r="AG319" s="325" t="n">
        <f aca="false">T319-S319</f>
        <v>-3500000</v>
      </c>
      <c r="AH319" s="325" t="n">
        <f aca="false">U319-T319</f>
        <v>0</v>
      </c>
      <c r="AI319" s="325" t="n">
        <f aca="false">V319-U319</f>
        <v>7000000</v>
      </c>
      <c r="AJ319" s="325" t="n">
        <f aca="false">W319-V319</f>
        <v>-7000000</v>
      </c>
      <c r="AK319" s="325" t="n">
        <f aca="false">X319-W319</f>
        <v>0</v>
      </c>
      <c r="AL319" s="325" t="n">
        <f aca="false">Y319-X319</f>
        <v>0</v>
      </c>
      <c r="AM319" s="325" t="n">
        <f aca="false">Z319-Y319</f>
        <v>0</v>
      </c>
      <c r="AN319" s="325" t="s">
        <v>1679</v>
      </c>
      <c r="AO319" s="325" t="n">
        <f aca="false">AB319-AA319</f>
        <v>0</v>
      </c>
      <c r="AP319" s="325" t="n">
        <f aca="false">AC319-AB319</f>
        <v>0</v>
      </c>
      <c r="AR319" s="314" t="str">
        <f aca="false">IFERROR(VLOOKUP(M319,'PL_DEC.2026'!$D$11:$D$99,1,FALSE()),"(미존재)")</f>
        <v>지급수수료</v>
      </c>
    </row>
    <row r="320" customFormat="false" ht="16.5" hidden="false" customHeight="false" outlineLevel="0" collapsed="false">
      <c r="A320" s="317" t="s">
        <v>791</v>
      </c>
      <c r="B320" s="314" t="n">
        <v>68075100</v>
      </c>
      <c r="C320" s="314" t="s">
        <v>2098</v>
      </c>
      <c r="D320" s="314" t="s">
        <v>1879</v>
      </c>
      <c r="E320" s="314" t="s">
        <v>1924</v>
      </c>
      <c r="F320" s="314" t="s">
        <v>1925</v>
      </c>
      <c r="G320" s="314" t="s">
        <v>1926</v>
      </c>
      <c r="H320" s="314" t="s">
        <v>1495</v>
      </c>
      <c r="I320" s="314" t="s">
        <v>1941</v>
      </c>
      <c r="J320" s="314" t="s">
        <v>1458</v>
      </c>
      <c r="K320" s="314" t="s">
        <v>1942</v>
      </c>
      <c r="L320" s="324" t="s">
        <v>1929</v>
      </c>
      <c r="M320" s="324" t="s">
        <v>344</v>
      </c>
      <c r="N320" s="324" t="s">
        <v>1929</v>
      </c>
      <c r="O320" s="324" t="s">
        <v>344</v>
      </c>
      <c r="P320" s="324" t="s">
        <v>344</v>
      </c>
      <c r="Q320" s="325" t="n">
        <v>6734076454</v>
      </c>
      <c r="R320" s="325" t="n">
        <v>468544535</v>
      </c>
      <c r="S320" s="325" t="n">
        <v>1017087308</v>
      </c>
      <c r="T320" s="325" t="n">
        <v>1524436299</v>
      </c>
      <c r="U320" s="325" t="n">
        <v>2036878370</v>
      </c>
      <c r="V320" s="325" t="n">
        <v>2551656738</v>
      </c>
      <c r="W320" s="325" t="n">
        <v>3057363387</v>
      </c>
      <c r="X320" s="325" t="n">
        <v>3595679189</v>
      </c>
      <c r="Y320" s="325" t="n">
        <v>4205457793</v>
      </c>
      <c r="Z320" s="325" t="n">
        <v>4675766018</v>
      </c>
      <c r="AA320" s="325"/>
      <c r="AB320" s="325"/>
      <c r="AC320" s="325"/>
      <c r="AD320" s="325"/>
      <c r="AE320" s="325" t="n">
        <f aca="false">R320</f>
        <v>468544535</v>
      </c>
      <c r="AF320" s="325" t="n">
        <f aca="false">S320-R320</f>
        <v>548542773</v>
      </c>
      <c r="AG320" s="325" t="n">
        <f aca="false">T320-S320</f>
        <v>507348991</v>
      </c>
      <c r="AH320" s="325" t="n">
        <f aca="false">U320-T320</f>
        <v>512442071</v>
      </c>
      <c r="AI320" s="325" t="n">
        <f aca="false">V320-U320</f>
        <v>514778368</v>
      </c>
      <c r="AJ320" s="325" t="n">
        <f aca="false">W320-V320</f>
        <v>505706649</v>
      </c>
      <c r="AK320" s="325" t="n">
        <f aca="false">X320-W320</f>
        <v>538315802</v>
      </c>
      <c r="AL320" s="325" t="n">
        <f aca="false">Y320-X320</f>
        <v>609778604</v>
      </c>
      <c r="AM320" s="325" t="n">
        <f aca="false">Z320-Y320</f>
        <v>470308225</v>
      </c>
      <c r="AN320" s="325" t="s">
        <v>1679</v>
      </c>
      <c r="AO320" s="325" t="n">
        <f aca="false">AB320-AA320</f>
        <v>0</v>
      </c>
      <c r="AP320" s="325" t="n">
        <f aca="false">AC320-AB320</f>
        <v>0</v>
      </c>
      <c r="AR320" s="314" t="str">
        <f aca="false">IFERROR(VLOOKUP(M320,'PL_DEC.2026'!$D$11:$D$99,1,FALSE()),"(미존재)")</f>
        <v>지급수수료</v>
      </c>
    </row>
    <row r="321" customFormat="false" ht="16.5" hidden="false" customHeight="false" outlineLevel="0" collapsed="false">
      <c r="A321" s="317" t="s">
        <v>791</v>
      </c>
      <c r="B321" s="314" t="n">
        <v>68132000</v>
      </c>
      <c r="C321" s="314" t="s">
        <v>2099</v>
      </c>
      <c r="D321" s="314" t="s">
        <v>1879</v>
      </c>
      <c r="E321" s="314" t="s">
        <v>1924</v>
      </c>
      <c r="F321" s="314" t="s">
        <v>2046</v>
      </c>
      <c r="G321" s="314" t="s">
        <v>1926</v>
      </c>
      <c r="H321" s="314" t="s">
        <v>1495</v>
      </c>
      <c r="I321" s="314" t="s">
        <v>1941</v>
      </c>
      <c r="J321" s="314" t="s">
        <v>1458</v>
      </c>
      <c r="K321" s="314" t="s">
        <v>1942</v>
      </c>
      <c r="L321" s="324" t="s">
        <v>1929</v>
      </c>
      <c r="M321" s="324" t="s">
        <v>338</v>
      </c>
      <c r="N321" s="324" t="s">
        <v>1929</v>
      </c>
      <c r="O321" s="324" t="s">
        <v>338</v>
      </c>
      <c r="P321" s="324" t="s">
        <v>338</v>
      </c>
      <c r="Q321" s="325" t="n">
        <v>125289400</v>
      </c>
      <c r="R321" s="325" t="n">
        <v>1800000</v>
      </c>
      <c r="S321" s="325" t="n">
        <v>3600000</v>
      </c>
      <c r="T321" s="325" t="n">
        <v>5400000</v>
      </c>
      <c r="U321" s="325" t="n">
        <v>7200000</v>
      </c>
      <c r="V321" s="325" t="n">
        <v>9000000</v>
      </c>
      <c r="W321" s="325" t="n">
        <v>10800000</v>
      </c>
      <c r="X321" s="325" t="n">
        <v>12600000</v>
      </c>
      <c r="Y321" s="325" t="n">
        <v>14400000</v>
      </c>
      <c r="Z321" s="325" t="n">
        <v>16200000</v>
      </c>
      <c r="AA321" s="325"/>
      <c r="AB321" s="325"/>
      <c r="AC321" s="325"/>
      <c r="AD321" s="325"/>
      <c r="AE321" s="325" t="n">
        <f aca="false">R321</f>
        <v>1800000</v>
      </c>
      <c r="AF321" s="325" t="n">
        <f aca="false">S321-R321</f>
        <v>1800000</v>
      </c>
      <c r="AG321" s="325" t="n">
        <f aca="false">T321-S321</f>
        <v>1800000</v>
      </c>
      <c r="AH321" s="325" t="n">
        <f aca="false">U321-T321</f>
        <v>1800000</v>
      </c>
      <c r="AI321" s="325" t="n">
        <f aca="false">V321-U321</f>
        <v>1800000</v>
      </c>
      <c r="AJ321" s="325" t="n">
        <f aca="false">W321-V321</f>
        <v>1800000</v>
      </c>
      <c r="AK321" s="325" t="n">
        <f aca="false">X321-W321</f>
        <v>1800000</v>
      </c>
      <c r="AL321" s="325" t="n">
        <f aca="false">Y321-X321</f>
        <v>1800000</v>
      </c>
      <c r="AM321" s="325" t="n">
        <f aca="false">Z321-Y321</f>
        <v>1800000</v>
      </c>
      <c r="AN321" s="325" t="s">
        <v>1679</v>
      </c>
      <c r="AO321" s="325" t="n">
        <f aca="false">AB321-AA321</f>
        <v>0</v>
      </c>
      <c r="AP321" s="325" t="n">
        <f aca="false">AC321-AB321</f>
        <v>0</v>
      </c>
      <c r="AR321" s="314" t="str">
        <f aca="false">IFERROR(VLOOKUP(M321,'PL_DEC.2026'!$D$11:$D$99,1,FALSE()),"(미존재)")</f>
        <v>임차료</v>
      </c>
    </row>
    <row r="322" customFormat="false" ht="16.5" hidden="false" customHeight="false" outlineLevel="0" collapsed="false">
      <c r="A322" s="317" t="s">
        <v>791</v>
      </c>
      <c r="B322" s="314" t="n">
        <v>68141100</v>
      </c>
      <c r="C322" s="314" t="s">
        <v>2100</v>
      </c>
      <c r="D322" s="314" t="s">
        <v>1879</v>
      </c>
      <c r="E322" s="314" t="s">
        <v>1924</v>
      </c>
      <c r="F322" s="314" t="s">
        <v>1947</v>
      </c>
      <c r="G322" s="314" t="s">
        <v>1926</v>
      </c>
      <c r="H322" s="314" t="s">
        <v>1495</v>
      </c>
      <c r="I322" s="314" t="s">
        <v>1941</v>
      </c>
      <c r="J322" s="314" t="s">
        <v>1458</v>
      </c>
      <c r="K322" s="314" t="s">
        <v>1942</v>
      </c>
      <c r="L322" s="324" t="s">
        <v>1929</v>
      </c>
      <c r="M322" s="324" t="s">
        <v>358</v>
      </c>
      <c r="N322" s="324" t="s">
        <v>1929</v>
      </c>
      <c r="O322" s="324" t="s">
        <v>358</v>
      </c>
      <c r="P322" s="324" t="s">
        <v>358</v>
      </c>
      <c r="Q322" s="325" t="n">
        <v>77527081</v>
      </c>
      <c r="R322" s="325" t="n">
        <v>6460591</v>
      </c>
      <c r="S322" s="325" t="n">
        <v>12921179</v>
      </c>
      <c r="T322" s="325" t="n">
        <v>19381770</v>
      </c>
      <c r="U322" s="325" t="n">
        <v>25842360</v>
      </c>
      <c r="V322" s="325" t="n">
        <v>32302951</v>
      </c>
      <c r="W322" s="325" t="n">
        <v>38763539</v>
      </c>
      <c r="X322" s="325" t="n">
        <v>45224130</v>
      </c>
      <c r="Y322" s="325" t="n">
        <v>51684720</v>
      </c>
      <c r="Z322" s="325" t="n">
        <v>58145311</v>
      </c>
      <c r="AA322" s="325"/>
      <c r="AB322" s="325"/>
      <c r="AC322" s="325"/>
      <c r="AD322" s="325"/>
      <c r="AE322" s="325" t="n">
        <f aca="false">R322</f>
        <v>6460591</v>
      </c>
      <c r="AF322" s="325" t="n">
        <f aca="false">S322-R322</f>
        <v>6460588</v>
      </c>
      <c r="AG322" s="325" t="n">
        <f aca="false">T322-S322</f>
        <v>6460591</v>
      </c>
      <c r="AH322" s="325" t="n">
        <f aca="false">U322-T322</f>
        <v>6460590</v>
      </c>
      <c r="AI322" s="325" t="n">
        <f aca="false">V322-U322</f>
        <v>6460591</v>
      </c>
      <c r="AJ322" s="325" t="n">
        <f aca="false">W322-V322</f>
        <v>6460588</v>
      </c>
      <c r="AK322" s="325" t="n">
        <f aca="false">X322-W322</f>
        <v>6460591</v>
      </c>
      <c r="AL322" s="325" t="n">
        <f aca="false">Y322-X322</f>
        <v>6460590</v>
      </c>
      <c r="AM322" s="325" t="n">
        <f aca="false">Z322-Y322</f>
        <v>6460591</v>
      </c>
      <c r="AN322" s="325" t="s">
        <v>1679</v>
      </c>
      <c r="AO322" s="325" t="n">
        <f aca="false">AB322-AA322</f>
        <v>0</v>
      </c>
      <c r="AP322" s="325" t="n">
        <f aca="false">AC322-AB322</f>
        <v>0</v>
      </c>
      <c r="AR322" s="314" t="str">
        <f aca="false">IFERROR(VLOOKUP(M322,'PL_DEC.2026'!$D$11:$D$99,1,FALSE()),"(미존재)")</f>
        <v>감가상각비</v>
      </c>
    </row>
    <row r="323" customFormat="false" ht="16.5" hidden="false" customHeight="false" outlineLevel="0" collapsed="false">
      <c r="A323" s="317" t="s">
        <v>791</v>
      </c>
      <c r="B323" s="314" t="n">
        <v>68142100</v>
      </c>
      <c r="C323" s="314" t="s">
        <v>2101</v>
      </c>
      <c r="D323" s="314" t="s">
        <v>1879</v>
      </c>
      <c r="E323" s="314" t="s">
        <v>1924</v>
      </c>
      <c r="F323" s="314" t="s">
        <v>1947</v>
      </c>
      <c r="G323" s="314" t="s">
        <v>1926</v>
      </c>
      <c r="H323" s="314" t="s">
        <v>1495</v>
      </c>
      <c r="I323" s="314" t="s">
        <v>1941</v>
      </c>
      <c r="J323" s="314" t="s">
        <v>1458</v>
      </c>
      <c r="K323" s="314" t="s">
        <v>1942</v>
      </c>
      <c r="L323" s="324" t="s">
        <v>1929</v>
      </c>
      <c r="M323" s="324" t="s">
        <v>358</v>
      </c>
      <c r="N323" s="324" t="s">
        <v>1929</v>
      </c>
      <c r="O323" s="324" t="s">
        <v>358</v>
      </c>
      <c r="P323" s="324" t="s">
        <v>358</v>
      </c>
      <c r="Q323" s="325" t="n">
        <v>59767139</v>
      </c>
      <c r="R323" s="325" t="n">
        <v>4787004</v>
      </c>
      <c r="S323" s="325" t="n">
        <v>9143215</v>
      </c>
      <c r="T323" s="325" t="n">
        <v>13499404</v>
      </c>
      <c r="U323" s="325" t="n">
        <v>17855597</v>
      </c>
      <c r="V323" s="325" t="n">
        <v>22211792</v>
      </c>
      <c r="W323" s="325" t="n">
        <v>26568007</v>
      </c>
      <c r="X323" s="325" t="n">
        <v>30924191</v>
      </c>
      <c r="Y323" s="325" t="n">
        <v>35280392</v>
      </c>
      <c r="Z323" s="325" t="n">
        <v>39636593</v>
      </c>
      <c r="AA323" s="325"/>
      <c r="AB323" s="325"/>
      <c r="AC323" s="325"/>
      <c r="AD323" s="325"/>
      <c r="AE323" s="325" t="n">
        <f aca="false">R323</f>
        <v>4787004</v>
      </c>
      <c r="AF323" s="325" t="n">
        <f aca="false">S323-R323</f>
        <v>4356211</v>
      </c>
      <c r="AG323" s="325" t="n">
        <f aca="false">T323-S323</f>
        <v>4356189</v>
      </c>
      <c r="AH323" s="325" t="n">
        <f aca="false">U323-T323</f>
        <v>4356193</v>
      </c>
      <c r="AI323" s="325" t="n">
        <f aca="false">V323-U323</f>
        <v>4356195</v>
      </c>
      <c r="AJ323" s="325" t="n">
        <f aca="false">W323-V323</f>
        <v>4356215</v>
      </c>
      <c r="AK323" s="325" t="n">
        <f aca="false">X323-W323</f>
        <v>4356184</v>
      </c>
      <c r="AL323" s="325" t="n">
        <f aca="false">Y323-X323</f>
        <v>4356201</v>
      </c>
      <c r="AM323" s="325" t="n">
        <f aca="false">Z323-Y323</f>
        <v>4356201</v>
      </c>
      <c r="AN323" s="325" t="s">
        <v>1679</v>
      </c>
      <c r="AO323" s="325" t="n">
        <f aca="false">AB323-AA323</f>
        <v>0</v>
      </c>
      <c r="AP323" s="325" t="n">
        <f aca="false">AC323-AB323</f>
        <v>0</v>
      </c>
      <c r="AR323" s="314" t="str">
        <f aca="false">IFERROR(VLOOKUP(M323,'PL_DEC.2026'!$D$11:$D$99,1,FALSE()),"(미존재)")</f>
        <v>감가상각비</v>
      </c>
    </row>
    <row r="324" customFormat="false" ht="16.5" hidden="false" customHeight="false" outlineLevel="0" collapsed="false">
      <c r="A324" s="317" t="s">
        <v>791</v>
      </c>
      <c r="B324" s="314" t="n">
        <v>68142200</v>
      </c>
      <c r="C324" s="314" t="s">
        <v>2102</v>
      </c>
      <c r="D324" s="314" t="s">
        <v>1879</v>
      </c>
      <c r="E324" s="314" t="s">
        <v>1924</v>
      </c>
      <c r="F324" s="314" t="s">
        <v>1947</v>
      </c>
      <c r="G324" s="314" t="s">
        <v>1926</v>
      </c>
      <c r="H324" s="314" t="s">
        <v>1495</v>
      </c>
      <c r="I324" s="314" t="s">
        <v>1941</v>
      </c>
      <c r="J324" s="314" t="s">
        <v>1458</v>
      </c>
      <c r="K324" s="314" t="s">
        <v>1942</v>
      </c>
      <c r="L324" s="324" t="s">
        <v>1929</v>
      </c>
      <c r="M324" s="324" t="s">
        <v>358</v>
      </c>
      <c r="N324" s="324" t="s">
        <v>1929</v>
      </c>
      <c r="O324" s="324" t="s">
        <v>358</v>
      </c>
      <c r="P324" s="324" t="s">
        <v>358</v>
      </c>
      <c r="Q324" s="325" t="n">
        <v>107649104</v>
      </c>
      <c r="R324" s="325" t="n">
        <v>8970759</v>
      </c>
      <c r="S324" s="325" t="n">
        <v>17941518</v>
      </c>
      <c r="T324" s="325" t="n">
        <v>26912277</v>
      </c>
      <c r="U324" s="325" t="n">
        <v>35883035</v>
      </c>
      <c r="V324" s="325" t="n">
        <v>44853793</v>
      </c>
      <c r="W324" s="325" t="n">
        <v>53824553</v>
      </c>
      <c r="X324" s="325" t="n">
        <v>62795312</v>
      </c>
      <c r="Y324" s="325" t="n">
        <v>70330792</v>
      </c>
      <c r="Z324" s="325" t="n">
        <v>77866274</v>
      </c>
      <c r="AA324" s="325"/>
      <c r="AB324" s="325"/>
      <c r="AC324" s="325"/>
      <c r="AD324" s="325"/>
      <c r="AE324" s="325" t="n">
        <f aca="false">R324</f>
        <v>8970759</v>
      </c>
      <c r="AF324" s="325" t="n">
        <f aca="false">S324-R324</f>
        <v>8970759</v>
      </c>
      <c r="AG324" s="325" t="n">
        <f aca="false">T324-S324</f>
        <v>8970759</v>
      </c>
      <c r="AH324" s="325" t="n">
        <f aca="false">U324-T324</f>
        <v>8970758</v>
      </c>
      <c r="AI324" s="325" t="n">
        <f aca="false">V324-U324</f>
        <v>8970758</v>
      </c>
      <c r="AJ324" s="325" t="n">
        <f aca="false">W324-V324</f>
        <v>8970760</v>
      </c>
      <c r="AK324" s="325" t="n">
        <f aca="false">X324-W324</f>
        <v>8970759</v>
      </c>
      <c r="AL324" s="325" t="n">
        <f aca="false">Y324-X324</f>
        <v>7535480</v>
      </c>
      <c r="AM324" s="325" t="n">
        <f aca="false">Z324-Y324</f>
        <v>7535482</v>
      </c>
      <c r="AN324" s="325" t="s">
        <v>1679</v>
      </c>
      <c r="AO324" s="325" t="n">
        <f aca="false">AB324-AA324</f>
        <v>0</v>
      </c>
      <c r="AP324" s="325" t="n">
        <f aca="false">AC324-AB324</f>
        <v>0</v>
      </c>
      <c r="AR324" s="314" t="str">
        <f aca="false">IFERROR(VLOOKUP(M324,'PL_DEC.2026'!$D$11:$D$99,1,FALSE()),"(미존재)")</f>
        <v>감가상각비</v>
      </c>
    </row>
    <row r="325" customFormat="false" ht="16.5" hidden="false" customHeight="false" outlineLevel="0" collapsed="false">
      <c r="A325" s="317" t="s">
        <v>791</v>
      </c>
      <c r="B325" s="314" t="n">
        <v>68142300</v>
      </c>
      <c r="C325" s="314" t="s">
        <v>2103</v>
      </c>
      <c r="D325" s="314" t="s">
        <v>1879</v>
      </c>
      <c r="E325" s="314" t="s">
        <v>1924</v>
      </c>
      <c r="F325" s="314" t="s">
        <v>1947</v>
      </c>
      <c r="G325" s="314" t="s">
        <v>1926</v>
      </c>
      <c r="H325" s="314" t="s">
        <v>1495</v>
      </c>
      <c r="I325" s="314" t="s">
        <v>1941</v>
      </c>
      <c r="J325" s="314" t="s">
        <v>1458</v>
      </c>
      <c r="K325" s="314" t="s">
        <v>1942</v>
      </c>
      <c r="L325" s="324" t="s">
        <v>1929</v>
      </c>
      <c r="M325" s="324" t="s">
        <v>358</v>
      </c>
      <c r="N325" s="324" t="s">
        <v>1929</v>
      </c>
      <c r="O325" s="324" t="s">
        <v>358</v>
      </c>
      <c r="P325" s="324" t="s">
        <v>358</v>
      </c>
      <c r="Q325" s="325" t="n">
        <v>58351890</v>
      </c>
      <c r="R325" s="325" t="n">
        <v>2881127</v>
      </c>
      <c r="S325" s="325" t="n">
        <v>5218525</v>
      </c>
      <c r="T325" s="325" t="n">
        <v>7555923</v>
      </c>
      <c r="U325" s="325" t="n">
        <v>9893321</v>
      </c>
      <c r="V325" s="325" t="n">
        <v>10893752</v>
      </c>
      <c r="W325" s="325" t="n">
        <v>10893752</v>
      </c>
      <c r="X325" s="325" t="n">
        <v>10893752</v>
      </c>
      <c r="Y325" s="325" t="n">
        <v>10893752</v>
      </c>
      <c r="Z325" s="325" t="n">
        <v>10893752</v>
      </c>
      <c r="AA325" s="325"/>
      <c r="AB325" s="325"/>
      <c r="AC325" s="325"/>
      <c r="AD325" s="325"/>
      <c r="AE325" s="325" t="n">
        <f aca="false">R325</f>
        <v>2881127</v>
      </c>
      <c r="AF325" s="325" t="n">
        <f aca="false">S325-R325</f>
        <v>2337398</v>
      </c>
      <c r="AG325" s="325" t="n">
        <f aca="false">T325-S325</f>
        <v>2337398</v>
      </c>
      <c r="AH325" s="325" t="n">
        <f aca="false">U325-T325</f>
        <v>2337398</v>
      </c>
      <c r="AI325" s="325" t="n">
        <f aca="false">V325-U325</f>
        <v>1000431</v>
      </c>
      <c r="AJ325" s="325" t="n">
        <f aca="false">W325-V325</f>
        <v>0</v>
      </c>
      <c r="AK325" s="325" t="n">
        <f aca="false">X325-W325</f>
        <v>0</v>
      </c>
      <c r="AL325" s="325" t="n">
        <f aca="false">Y325-X325</f>
        <v>0</v>
      </c>
      <c r="AM325" s="325" t="n">
        <f aca="false">Z325-Y325</f>
        <v>0</v>
      </c>
      <c r="AN325" s="325" t="s">
        <v>1679</v>
      </c>
      <c r="AO325" s="325" t="n">
        <f aca="false">AB325-AA325</f>
        <v>0</v>
      </c>
      <c r="AP325" s="325" t="n">
        <f aca="false">AC325-AB325</f>
        <v>0</v>
      </c>
      <c r="AR325" s="314" t="str">
        <f aca="false">IFERROR(VLOOKUP(M325,'PL_DEC.2026'!$D$11:$D$99,1,FALSE()),"(미존재)")</f>
        <v>감가상각비</v>
      </c>
    </row>
    <row r="326" customFormat="false" ht="16.5" hidden="false" customHeight="false" outlineLevel="0" collapsed="false">
      <c r="A326" s="317" t="s">
        <v>791</v>
      </c>
      <c r="B326" s="314" t="n">
        <v>68144000</v>
      </c>
      <c r="C326" s="314" t="s">
        <v>2104</v>
      </c>
      <c r="D326" s="314" t="s">
        <v>1879</v>
      </c>
      <c r="E326" s="314" t="s">
        <v>1924</v>
      </c>
      <c r="F326" s="314" t="s">
        <v>1947</v>
      </c>
      <c r="G326" s="314" t="s">
        <v>1926</v>
      </c>
      <c r="H326" s="314" t="s">
        <v>1495</v>
      </c>
      <c r="I326" s="314" t="s">
        <v>1941</v>
      </c>
      <c r="J326" s="314" t="s">
        <v>1458</v>
      </c>
      <c r="K326" s="314" t="s">
        <v>1942</v>
      </c>
      <c r="L326" s="324" t="s">
        <v>1929</v>
      </c>
      <c r="M326" s="324" t="s">
        <v>358</v>
      </c>
      <c r="N326" s="324" t="s">
        <v>1929</v>
      </c>
      <c r="O326" s="324" t="s">
        <v>358</v>
      </c>
      <c r="P326" s="324" t="s">
        <v>358</v>
      </c>
      <c r="Q326" s="325" t="n">
        <v>1302934776</v>
      </c>
      <c r="R326" s="325" t="n">
        <v>108577898</v>
      </c>
      <c r="S326" s="325" t="n">
        <v>217155796</v>
      </c>
      <c r="T326" s="325" t="n">
        <v>325733694</v>
      </c>
      <c r="U326" s="325" t="n">
        <v>434311592</v>
      </c>
      <c r="V326" s="325" t="n">
        <v>542889490</v>
      </c>
      <c r="W326" s="325" t="n">
        <v>651467388</v>
      </c>
      <c r="X326" s="325" t="n">
        <v>760045286</v>
      </c>
      <c r="Y326" s="325" t="n">
        <v>854316816</v>
      </c>
      <c r="Z326" s="325" t="n">
        <v>977201082</v>
      </c>
      <c r="AA326" s="325"/>
      <c r="AB326" s="325"/>
      <c r="AC326" s="325"/>
      <c r="AD326" s="325"/>
      <c r="AE326" s="325" t="n">
        <f aca="false">R326</f>
        <v>108577898</v>
      </c>
      <c r="AF326" s="325" t="n">
        <f aca="false">S326-R326</f>
        <v>108577898</v>
      </c>
      <c r="AG326" s="325" t="n">
        <f aca="false">T326-S326</f>
        <v>108577898</v>
      </c>
      <c r="AH326" s="325" t="n">
        <f aca="false">U326-T326</f>
        <v>108577898</v>
      </c>
      <c r="AI326" s="325" t="n">
        <f aca="false">V326-U326</f>
        <v>108577898</v>
      </c>
      <c r="AJ326" s="325" t="n">
        <f aca="false">W326-V326</f>
        <v>108577898</v>
      </c>
      <c r="AK326" s="325" t="n">
        <f aca="false">X326-W326</f>
        <v>108577898</v>
      </c>
      <c r="AL326" s="325" t="n">
        <f aca="false">Y326-X326</f>
        <v>94271530</v>
      </c>
      <c r="AM326" s="325" t="n">
        <f aca="false">Z326-Y326</f>
        <v>122884266</v>
      </c>
      <c r="AN326" s="325" t="s">
        <v>1679</v>
      </c>
      <c r="AO326" s="325" t="n">
        <f aca="false">AB326-AA326</f>
        <v>0</v>
      </c>
      <c r="AP326" s="325" t="n">
        <f aca="false">AC326-AB326</f>
        <v>0</v>
      </c>
      <c r="AR326" s="314" t="str">
        <f aca="false">IFERROR(VLOOKUP(M326,'PL_DEC.2026'!$D$11:$D$99,1,FALSE()),"(미존재)")</f>
        <v>감가상각비</v>
      </c>
    </row>
    <row r="327" customFormat="false" ht="16.5" hidden="false" customHeight="false" outlineLevel="0" collapsed="false">
      <c r="A327" s="317" t="s">
        <v>791</v>
      </c>
      <c r="B327" s="314" t="n">
        <v>68163301</v>
      </c>
      <c r="C327" s="314" t="s">
        <v>2105</v>
      </c>
      <c r="D327" s="314" t="s">
        <v>1879</v>
      </c>
      <c r="E327" s="314" t="s">
        <v>1924</v>
      </c>
      <c r="F327" s="314" t="s">
        <v>2029</v>
      </c>
      <c r="G327" s="314" t="s">
        <v>1926</v>
      </c>
      <c r="H327" s="314" t="s">
        <v>1495</v>
      </c>
      <c r="I327" s="314" t="s">
        <v>1941</v>
      </c>
      <c r="J327" s="314" t="s">
        <v>1458</v>
      </c>
      <c r="K327" s="314" t="s">
        <v>1942</v>
      </c>
      <c r="L327" s="324" t="s">
        <v>1929</v>
      </c>
      <c r="M327" s="324" t="s">
        <v>335</v>
      </c>
      <c r="N327" s="324" t="s">
        <v>1929</v>
      </c>
      <c r="O327" s="324" t="s">
        <v>335</v>
      </c>
      <c r="P327" s="324" t="s">
        <v>335</v>
      </c>
      <c r="Q327" s="325" t="n">
        <v>170869</v>
      </c>
      <c r="R327" s="325" t="n">
        <v>0</v>
      </c>
      <c r="S327" s="325" t="n">
        <v>0</v>
      </c>
      <c r="T327" s="325" t="n">
        <v>0</v>
      </c>
      <c r="U327" s="325" t="n">
        <v>0</v>
      </c>
      <c r="V327" s="325" t="n">
        <v>0</v>
      </c>
      <c r="W327" s="325" t="n">
        <v>0</v>
      </c>
      <c r="X327" s="325" t="n">
        <v>0</v>
      </c>
      <c r="Y327" s="325" t="n">
        <v>0</v>
      </c>
      <c r="Z327" s="325" t="n">
        <v>0</v>
      </c>
      <c r="AA327" s="325"/>
      <c r="AB327" s="325"/>
      <c r="AC327" s="325"/>
      <c r="AD327" s="325"/>
      <c r="AE327" s="325" t="n">
        <f aca="false">R327</f>
        <v>0</v>
      </c>
      <c r="AF327" s="325" t="n">
        <f aca="false">S327-R327</f>
        <v>0</v>
      </c>
      <c r="AG327" s="325" t="n">
        <f aca="false">T327-S327</f>
        <v>0</v>
      </c>
      <c r="AH327" s="325" t="n">
        <f aca="false">U327-T327</f>
        <v>0</v>
      </c>
      <c r="AI327" s="325" t="n">
        <f aca="false">V327-U327</f>
        <v>0</v>
      </c>
      <c r="AJ327" s="325" t="n">
        <f aca="false">W327-V327</f>
        <v>0</v>
      </c>
      <c r="AK327" s="325" t="n">
        <f aca="false">X327-W327</f>
        <v>0</v>
      </c>
      <c r="AL327" s="325" t="n">
        <f aca="false">Y327-X327</f>
        <v>0</v>
      </c>
      <c r="AM327" s="325" t="n">
        <f aca="false">Z327-Y327</f>
        <v>0</v>
      </c>
      <c r="AN327" s="325" t="s">
        <v>1679</v>
      </c>
      <c r="AO327" s="325" t="n">
        <f aca="false">AB327-AA327</f>
        <v>0</v>
      </c>
      <c r="AP327" s="325" t="n">
        <f aca="false">AC327-AB327</f>
        <v>0</v>
      </c>
      <c r="AR327" s="314" t="str">
        <f aca="false">IFERROR(VLOOKUP(M327,'PL_DEC.2026'!$D$11:$D$99,1,FALSE()),"(미존재)")</f>
        <v>소모품비</v>
      </c>
    </row>
    <row r="328" customFormat="false" ht="16.5" hidden="false" customHeight="false" outlineLevel="0" collapsed="false">
      <c r="A328" s="317" t="s">
        <v>791</v>
      </c>
      <c r="B328" s="314" t="n">
        <v>68212100</v>
      </c>
      <c r="C328" s="314" t="s">
        <v>2106</v>
      </c>
      <c r="D328" s="314" t="s">
        <v>1879</v>
      </c>
      <c r="E328" s="314" t="s">
        <v>1924</v>
      </c>
      <c r="F328" s="314" t="s">
        <v>1965</v>
      </c>
      <c r="G328" s="314" t="s">
        <v>1926</v>
      </c>
      <c r="H328" s="314" t="s">
        <v>1495</v>
      </c>
      <c r="I328" s="314" t="s">
        <v>1941</v>
      </c>
      <c r="J328" s="314" t="s">
        <v>1458</v>
      </c>
      <c r="K328" s="314" t="s">
        <v>1942</v>
      </c>
      <c r="L328" s="324" t="s">
        <v>1929</v>
      </c>
      <c r="M328" s="324" t="s">
        <v>346</v>
      </c>
      <c r="N328" s="324" t="s">
        <v>1929</v>
      </c>
      <c r="O328" s="324" t="s">
        <v>1966</v>
      </c>
      <c r="P328" s="324" t="s">
        <v>346</v>
      </c>
      <c r="Q328" s="325" t="n">
        <v>231061550</v>
      </c>
      <c r="R328" s="325" t="n">
        <v>21743390</v>
      </c>
      <c r="S328" s="325" t="n">
        <v>37930304</v>
      </c>
      <c r="T328" s="325" t="n">
        <v>76403505</v>
      </c>
      <c r="U328" s="325" t="n">
        <v>92556279</v>
      </c>
      <c r="V328" s="325" t="n">
        <v>108737324</v>
      </c>
      <c r="W328" s="325" t="n">
        <v>125949548</v>
      </c>
      <c r="X328" s="325" t="n">
        <v>142415789</v>
      </c>
      <c r="Y328" s="325" t="n">
        <v>158372736</v>
      </c>
      <c r="Z328" s="325" t="n">
        <v>175762055</v>
      </c>
      <c r="AA328" s="325"/>
      <c r="AB328" s="325"/>
      <c r="AC328" s="325"/>
      <c r="AD328" s="325"/>
      <c r="AE328" s="325" t="n">
        <f aca="false">R328</f>
        <v>21743390</v>
      </c>
      <c r="AF328" s="325" t="n">
        <f aca="false">S328-R328</f>
        <v>16186914</v>
      </c>
      <c r="AG328" s="325" t="n">
        <f aca="false">T328-S328</f>
        <v>38473201</v>
      </c>
      <c r="AH328" s="325" t="n">
        <f aca="false">U328-T328</f>
        <v>16152774</v>
      </c>
      <c r="AI328" s="325" t="n">
        <f aca="false">V328-U328</f>
        <v>16181045</v>
      </c>
      <c r="AJ328" s="325" t="n">
        <f aca="false">W328-V328</f>
        <v>17212224</v>
      </c>
      <c r="AK328" s="325" t="n">
        <f aca="false">X328-W328</f>
        <v>16466241</v>
      </c>
      <c r="AL328" s="325" t="n">
        <f aca="false">Y328-X328</f>
        <v>15956947</v>
      </c>
      <c r="AM328" s="325" t="n">
        <f aca="false">Z328-Y328</f>
        <v>17389319</v>
      </c>
      <c r="AN328" s="325" t="s">
        <v>1679</v>
      </c>
      <c r="AO328" s="325" t="n">
        <f aca="false">AB328-AA328</f>
        <v>0</v>
      </c>
      <c r="AP328" s="325" t="n">
        <f aca="false">AC328-AB328</f>
        <v>0</v>
      </c>
      <c r="AR328" s="314" t="str">
        <f aca="false">IFERROR(VLOOKUP(M328,'PL_DEC.2026'!$D$11:$D$99,1,FALSE()),"(미존재)")</f>
        <v>제세공과</v>
      </c>
    </row>
    <row r="329" customFormat="false" ht="16.5" hidden="false" customHeight="false" outlineLevel="0" collapsed="false">
      <c r="A329" s="317" t="s">
        <v>791</v>
      </c>
      <c r="B329" s="314" t="n">
        <v>68212500</v>
      </c>
      <c r="C329" s="314" t="s">
        <v>2107</v>
      </c>
      <c r="D329" s="314" t="s">
        <v>1879</v>
      </c>
      <c r="E329" s="314" t="s">
        <v>1924</v>
      </c>
      <c r="F329" s="314" t="s">
        <v>1965</v>
      </c>
      <c r="G329" s="314" t="s">
        <v>1926</v>
      </c>
      <c r="H329" s="314" t="s">
        <v>1495</v>
      </c>
      <c r="I329" s="314" t="s">
        <v>1941</v>
      </c>
      <c r="J329" s="314" t="s">
        <v>1458</v>
      </c>
      <c r="K329" s="314" t="s">
        <v>1942</v>
      </c>
      <c r="L329" s="324" t="s">
        <v>1929</v>
      </c>
      <c r="M329" s="324" t="s">
        <v>346</v>
      </c>
      <c r="N329" s="324" t="s">
        <v>1929</v>
      </c>
      <c r="O329" s="324" t="s">
        <v>1966</v>
      </c>
      <c r="P329" s="324" t="s">
        <v>346</v>
      </c>
      <c r="Q329" s="325" t="n">
        <v>743728051</v>
      </c>
      <c r="R329" s="325" t="n">
        <v>29842423</v>
      </c>
      <c r="S329" s="325" t="n">
        <v>48154354</v>
      </c>
      <c r="T329" s="325" t="n">
        <v>54936966</v>
      </c>
      <c r="U329" s="325" t="n">
        <v>61178983</v>
      </c>
      <c r="V329" s="325" t="n">
        <v>67961594</v>
      </c>
      <c r="W329" s="325" t="n">
        <v>74744206</v>
      </c>
      <c r="X329" s="325" t="n">
        <v>93997659</v>
      </c>
      <c r="Y329" s="325" t="n">
        <v>100780270</v>
      </c>
      <c r="Z329" s="325" t="n">
        <v>107562882</v>
      </c>
      <c r="AA329" s="325"/>
      <c r="AB329" s="325"/>
      <c r="AC329" s="325"/>
      <c r="AD329" s="325"/>
      <c r="AE329" s="325" t="n">
        <f aca="false">R329</f>
        <v>29842423</v>
      </c>
      <c r="AF329" s="325" t="n">
        <f aca="false">S329-R329</f>
        <v>18311931</v>
      </c>
      <c r="AG329" s="325" t="n">
        <f aca="false">T329-S329</f>
        <v>6782612</v>
      </c>
      <c r="AH329" s="325" t="n">
        <f aca="false">U329-T329</f>
        <v>6242017</v>
      </c>
      <c r="AI329" s="325" t="n">
        <f aca="false">V329-U329</f>
        <v>6782611</v>
      </c>
      <c r="AJ329" s="325" t="n">
        <f aca="false">W329-V329</f>
        <v>6782612</v>
      </c>
      <c r="AK329" s="325" t="n">
        <f aca="false">X329-W329</f>
        <v>19253453</v>
      </c>
      <c r="AL329" s="325" t="n">
        <f aca="false">Y329-X329</f>
        <v>6782611</v>
      </c>
      <c r="AM329" s="325" t="n">
        <f aca="false">Z329-Y329</f>
        <v>6782612</v>
      </c>
      <c r="AN329" s="325" t="s">
        <v>1679</v>
      </c>
      <c r="AO329" s="325" t="n">
        <f aca="false">AB329-AA329</f>
        <v>0</v>
      </c>
      <c r="AP329" s="325" t="n">
        <f aca="false">AC329-AB329</f>
        <v>0</v>
      </c>
      <c r="AR329" s="314" t="str">
        <f aca="false">IFERROR(VLOOKUP(M329,'PL_DEC.2026'!$D$11:$D$99,1,FALSE()),"(미존재)")</f>
        <v>제세공과</v>
      </c>
    </row>
    <row r="330" customFormat="false" ht="16.5" hidden="false" customHeight="false" outlineLevel="0" collapsed="false">
      <c r="A330" s="317" t="s">
        <v>791</v>
      </c>
      <c r="B330" s="314" t="n">
        <v>68224300</v>
      </c>
      <c r="C330" s="314" t="s">
        <v>2108</v>
      </c>
      <c r="D330" s="314" t="s">
        <v>1879</v>
      </c>
      <c r="E330" s="314" t="s">
        <v>1924</v>
      </c>
      <c r="F330" s="314" t="s">
        <v>1965</v>
      </c>
      <c r="G330" s="314" t="s">
        <v>1926</v>
      </c>
      <c r="H330" s="314" t="s">
        <v>1495</v>
      </c>
      <c r="I330" s="314" t="s">
        <v>1941</v>
      </c>
      <c r="J330" s="314" t="s">
        <v>1458</v>
      </c>
      <c r="K330" s="314" t="s">
        <v>1942</v>
      </c>
      <c r="L330" s="324" t="s">
        <v>1929</v>
      </c>
      <c r="M330" s="324" t="s">
        <v>344</v>
      </c>
      <c r="N330" s="324" t="s">
        <v>1929</v>
      </c>
      <c r="O330" s="324" t="s">
        <v>1966</v>
      </c>
      <c r="P330" s="324" t="s">
        <v>346</v>
      </c>
      <c r="Q330" s="325" t="n">
        <v>21010805</v>
      </c>
      <c r="R330" s="325" t="n">
        <v>0</v>
      </c>
      <c r="S330" s="325" t="n">
        <v>0</v>
      </c>
      <c r="T330" s="325" t="n">
        <v>400000</v>
      </c>
      <c r="U330" s="325" t="n">
        <v>400000</v>
      </c>
      <c r="V330" s="325" t="n">
        <v>6450000</v>
      </c>
      <c r="W330" s="325" t="n">
        <v>644000</v>
      </c>
      <c r="X330" s="325" t="n">
        <v>2094300</v>
      </c>
      <c r="Y330" s="325" t="n">
        <v>0</v>
      </c>
      <c r="Z330" s="325" t="n">
        <v>0</v>
      </c>
      <c r="AA330" s="325"/>
      <c r="AB330" s="325"/>
      <c r="AC330" s="325"/>
      <c r="AD330" s="325"/>
      <c r="AE330" s="325" t="n">
        <f aca="false">R330</f>
        <v>0</v>
      </c>
      <c r="AF330" s="325" t="n">
        <f aca="false">S330-R330</f>
        <v>0</v>
      </c>
      <c r="AG330" s="325" t="n">
        <f aca="false">T330-S330</f>
        <v>400000</v>
      </c>
      <c r="AH330" s="325" t="n">
        <f aca="false">U330-T330</f>
        <v>0</v>
      </c>
      <c r="AI330" s="325" t="n">
        <f aca="false">V330-U330</f>
        <v>6050000</v>
      </c>
      <c r="AJ330" s="325" t="n">
        <f aca="false">W330-V330</f>
        <v>-5806000</v>
      </c>
      <c r="AK330" s="325" t="n">
        <f aca="false">X330-W330</f>
        <v>1450300</v>
      </c>
      <c r="AL330" s="325" t="n">
        <f aca="false">Y330-X330</f>
        <v>-2094300</v>
      </c>
      <c r="AM330" s="325" t="n">
        <f aca="false">Z330-Y330</f>
        <v>0</v>
      </c>
      <c r="AN330" s="325" t="s">
        <v>1679</v>
      </c>
      <c r="AO330" s="325" t="n">
        <f aca="false">AB330-AA330</f>
        <v>0</v>
      </c>
      <c r="AP330" s="325" t="n">
        <f aca="false">AC330-AB330</f>
        <v>0</v>
      </c>
      <c r="AR330" s="314" t="str">
        <f aca="false">IFERROR(VLOOKUP(M330,'PL_DEC.2026'!$D$11:$D$99,1,FALSE()),"(미존재)")</f>
        <v>지급수수료</v>
      </c>
    </row>
    <row r="331" customFormat="false" ht="16.5" hidden="false" customHeight="false" outlineLevel="0" collapsed="false">
      <c r="A331" s="317" t="s">
        <v>791</v>
      </c>
      <c r="B331" s="314" t="n">
        <v>68225600</v>
      </c>
      <c r="C331" s="314" t="s">
        <v>2109</v>
      </c>
      <c r="D331" s="314" t="s">
        <v>1879</v>
      </c>
      <c r="E331" s="314" t="s">
        <v>1924</v>
      </c>
      <c r="F331" s="314" t="s">
        <v>2067</v>
      </c>
      <c r="G331" s="314" t="s">
        <v>1926</v>
      </c>
      <c r="H331" s="314" t="s">
        <v>1495</v>
      </c>
      <c r="I331" s="314" t="s">
        <v>1941</v>
      </c>
      <c r="J331" s="314" t="s">
        <v>1458</v>
      </c>
      <c r="K331" s="314" t="s">
        <v>1942</v>
      </c>
      <c r="L331" s="324" t="s">
        <v>1929</v>
      </c>
      <c r="M331" s="324" t="s">
        <v>344</v>
      </c>
      <c r="N331" s="324" t="s">
        <v>1929</v>
      </c>
      <c r="O331" s="324" t="s">
        <v>336</v>
      </c>
      <c r="P331" s="324" t="s">
        <v>336</v>
      </c>
      <c r="Q331" s="325" t="n">
        <v>293613717</v>
      </c>
      <c r="R331" s="325" t="n">
        <v>36674365</v>
      </c>
      <c r="S331" s="325" t="n">
        <v>49532356</v>
      </c>
      <c r="T331" s="325" t="n">
        <v>66312452</v>
      </c>
      <c r="U331" s="325" t="n">
        <v>82120810</v>
      </c>
      <c r="V331" s="325" t="n">
        <v>89555267</v>
      </c>
      <c r="W331" s="325" t="n">
        <v>112491103</v>
      </c>
      <c r="X331" s="325" t="n">
        <v>127998260</v>
      </c>
      <c r="Y331" s="325" t="n">
        <v>141194281</v>
      </c>
      <c r="Z331" s="325" t="n">
        <v>163477826</v>
      </c>
      <c r="AA331" s="325"/>
      <c r="AB331" s="325"/>
      <c r="AC331" s="325"/>
      <c r="AD331" s="325"/>
      <c r="AE331" s="325" t="n">
        <f aca="false">R331</f>
        <v>36674365</v>
      </c>
      <c r="AF331" s="325" t="n">
        <f aca="false">S331-R331</f>
        <v>12857991</v>
      </c>
      <c r="AG331" s="325" t="n">
        <f aca="false">T331-S331</f>
        <v>16780096</v>
      </c>
      <c r="AH331" s="325" t="n">
        <f aca="false">U331-T331</f>
        <v>15808358</v>
      </c>
      <c r="AI331" s="325" t="n">
        <f aca="false">V331-U331</f>
        <v>7434457</v>
      </c>
      <c r="AJ331" s="325" t="n">
        <f aca="false">W331-V331</f>
        <v>22935836</v>
      </c>
      <c r="AK331" s="325" t="n">
        <f aca="false">X331-W331</f>
        <v>15507157</v>
      </c>
      <c r="AL331" s="325" t="n">
        <f aca="false">Y331-X331</f>
        <v>13196021</v>
      </c>
      <c r="AM331" s="325" t="n">
        <f aca="false">Z331-Y331</f>
        <v>22283545</v>
      </c>
      <c r="AN331" s="325" t="s">
        <v>1679</v>
      </c>
      <c r="AO331" s="325" t="n">
        <f aca="false">AB331-AA331</f>
        <v>0</v>
      </c>
      <c r="AP331" s="325" t="n">
        <f aca="false">AC331-AB331</f>
        <v>0</v>
      </c>
      <c r="AR331" s="314" t="str">
        <f aca="false">IFERROR(VLOOKUP(M331,'PL_DEC.2026'!$D$11:$D$99,1,FALSE()),"(미존재)")</f>
        <v>지급수수료</v>
      </c>
    </row>
    <row r="332" customFormat="false" ht="16.5" hidden="false" customHeight="false" outlineLevel="0" collapsed="false">
      <c r="A332" s="317" t="s">
        <v>791</v>
      </c>
      <c r="B332" s="314" t="n">
        <v>68231100</v>
      </c>
      <c r="C332" s="314" t="s">
        <v>2110</v>
      </c>
      <c r="D332" s="314" t="s">
        <v>1879</v>
      </c>
      <c r="E332" s="314" t="s">
        <v>1959</v>
      </c>
      <c r="F332" s="314" t="s">
        <v>2005</v>
      </c>
      <c r="G332" s="314" t="s">
        <v>1882</v>
      </c>
      <c r="H332" s="314" t="s">
        <v>1495</v>
      </c>
      <c r="I332" s="314" t="s">
        <v>2009</v>
      </c>
      <c r="K332" s="314" t="s">
        <v>977</v>
      </c>
      <c r="L332" s="324" t="s">
        <v>1929</v>
      </c>
      <c r="M332" s="324" t="s">
        <v>315</v>
      </c>
      <c r="N332" s="324" t="s">
        <v>1961</v>
      </c>
      <c r="O332" s="324" t="s">
        <v>315</v>
      </c>
      <c r="P332" s="324" t="s">
        <v>315</v>
      </c>
      <c r="Q332" s="325" t="n">
        <v>41876887</v>
      </c>
      <c r="R332" s="325" t="n">
        <v>0</v>
      </c>
      <c r="S332" s="325" t="n">
        <v>247665</v>
      </c>
      <c r="T332" s="325" t="n">
        <v>591242</v>
      </c>
      <c r="U332" s="325" t="n">
        <v>3808782</v>
      </c>
      <c r="V332" s="325" t="n">
        <v>3916625</v>
      </c>
      <c r="W332" s="325" t="n">
        <v>4387511</v>
      </c>
      <c r="X332" s="325" t="n">
        <v>5059316</v>
      </c>
      <c r="Y332" s="325" t="n">
        <v>5200412</v>
      </c>
      <c r="Z332" s="325" t="n">
        <v>5349677</v>
      </c>
      <c r="AA332" s="325"/>
      <c r="AB332" s="325"/>
      <c r="AC332" s="325"/>
      <c r="AD332" s="325"/>
      <c r="AE332" s="325" t="n">
        <f aca="false">R332</f>
        <v>0</v>
      </c>
      <c r="AF332" s="325" t="n">
        <f aca="false">S332-R332</f>
        <v>247665</v>
      </c>
      <c r="AG332" s="325" t="n">
        <f aca="false">T332-S332</f>
        <v>343577</v>
      </c>
      <c r="AH332" s="325" t="n">
        <f aca="false">U332-T332</f>
        <v>3217540</v>
      </c>
      <c r="AI332" s="325" t="n">
        <f aca="false">V332-U332</f>
        <v>107843</v>
      </c>
      <c r="AJ332" s="325" t="n">
        <f aca="false">W332-V332</f>
        <v>470886</v>
      </c>
      <c r="AK332" s="325" t="n">
        <f aca="false">X332-W332</f>
        <v>671805</v>
      </c>
      <c r="AL332" s="325" t="n">
        <f aca="false">Y332-X332</f>
        <v>141096</v>
      </c>
      <c r="AM332" s="325" t="n">
        <f aca="false">Z332-Y332</f>
        <v>149265</v>
      </c>
      <c r="AN332" s="325" t="s">
        <v>1679</v>
      </c>
      <c r="AO332" s="325" t="n">
        <f aca="false">AB332-AA332</f>
        <v>0</v>
      </c>
      <c r="AP332" s="325" t="n">
        <f aca="false">AC332-AB332</f>
        <v>0</v>
      </c>
      <c r="AR332" s="314" t="str">
        <f aca="false">IFERROR(VLOOKUP(M332,'PL_DEC.2026'!$D$11:$D$99,1,FALSE()),"(미존재)")</f>
        <v>광고선전비</v>
      </c>
    </row>
    <row r="333" customFormat="false" ht="16.5" hidden="false" customHeight="false" outlineLevel="0" collapsed="false">
      <c r="A333" s="317" t="s">
        <v>791</v>
      </c>
      <c r="B333" s="314" t="n">
        <v>68231300</v>
      </c>
      <c r="C333" s="314" t="s">
        <v>2111</v>
      </c>
      <c r="D333" s="314" t="s">
        <v>1879</v>
      </c>
      <c r="E333" s="314" t="s">
        <v>1959</v>
      </c>
      <c r="F333" s="314" t="s">
        <v>2005</v>
      </c>
      <c r="G333" s="314" t="s">
        <v>1926</v>
      </c>
      <c r="H333" s="314" t="s">
        <v>1495</v>
      </c>
      <c r="I333" s="314" t="s">
        <v>2112</v>
      </c>
      <c r="K333" s="314" t="s">
        <v>2113</v>
      </c>
      <c r="L333" s="324" t="s">
        <v>1929</v>
      </c>
      <c r="M333" s="324" t="s">
        <v>315</v>
      </c>
      <c r="N333" s="324" t="s">
        <v>1961</v>
      </c>
      <c r="O333" s="324" t="s">
        <v>315</v>
      </c>
      <c r="P333" s="324" t="s">
        <v>315</v>
      </c>
      <c r="Q333" s="325" t="n">
        <v>256179360</v>
      </c>
      <c r="R333" s="325" t="n">
        <v>0</v>
      </c>
      <c r="S333" s="325" t="n">
        <v>0</v>
      </c>
      <c r="T333" s="325" t="n">
        <v>21348280</v>
      </c>
      <c r="U333" s="325" t="n">
        <v>21348280</v>
      </c>
      <c r="V333" s="325" t="n">
        <v>21348280</v>
      </c>
      <c r="W333" s="325" t="n">
        <v>21348280</v>
      </c>
      <c r="X333" s="325" t="n">
        <v>21348280</v>
      </c>
      <c r="Y333" s="325" t="n">
        <v>21348280</v>
      </c>
      <c r="Z333" s="325" t="n">
        <v>27017806</v>
      </c>
      <c r="AA333" s="325"/>
      <c r="AB333" s="325"/>
      <c r="AC333" s="325"/>
      <c r="AD333" s="325"/>
      <c r="AE333" s="325" t="n">
        <f aca="false">R333</f>
        <v>0</v>
      </c>
      <c r="AF333" s="325" t="n">
        <f aca="false">S333-R333</f>
        <v>0</v>
      </c>
      <c r="AG333" s="325" t="n">
        <f aca="false">T333-S333</f>
        <v>21348280</v>
      </c>
      <c r="AH333" s="325" t="n">
        <f aca="false">U333-T333</f>
        <v>0</v>
      </c>
      <c r="AI333" s="325" t="n">
        <f aca="false">V333-U333</f>
        <v>0</v>
      </c>
      <c r="AJ333" s="325" t="n">
        <f aca="false">W333-V333</f>
        <v>0</v>
      </c>
      <c r="AK333" s="325" t="n">
        <f aca="false">X333-W333</f>
        <v>0</v>
      </c>
      <c r="AL333" s="325" t="n">
        <f aca="false">Y333-X333</f>
        <v>0</v>
      </c>
      <c r="AM333" s="325" t="n">
        <f aca="false">Z333-Y333</f>
        <v>5669526</v>
      </c>
      <c r="AN333" s="325" t="s">
        <v>1679</v>
      </c>
      <c r="AO333" s="325" t="n">
        <f aca="false">AB333-AA333</f>
        <v>0</v>
      </c>
      <c r="AP333" s="325" t="n">
        <f aca="false">AC333-AB333</f>
        <v>0</v>
      </c>
      <c r="AR333" s="314" t="str">
        <f aca="false">IFERROR(VLOOKUP(M333,'PL_DEC.2026'!$D$11:$D$99,1,FALSE()),"(미존재)")</f>
        <v>광고선전비</v>
      </c>
    </row>
    <row r="334" customFormat="false" ht="16.5" hidden="false" customHeight="false" outlineLevel="0" collapsed="false">
      <c r="A334" s="317" t="s">
        <v>791</v>
      </c>
      <c r="B334" s="314" t="n">
        <v>68225200</v>
      </c>
      <c r="C334" s="314" t="s">
        <v>2114</v>
      </c>
      <c r="D334" s="314" t="s">
        <v>1879</v>
      </c>
      <c r="E334" s="314" t="s">
        <v>1924</v>
      </c>
      <c r="F334" s="314" t="s">
        <v>1970</v>
      </c>
      <c r="G334" s="314" t="s">
        <v>1926</v>
      </c>
      <c r="H334" s="314" t="s">
        <v>1495</v>
      </c>
      <c r="I334" s="314" t="s">
        <v>1941</v>
      </c>
      <c r="J334" s="314" t="s">
        <v>1458</v>
      </c>
      <c r="K334" s="314" t="s">
        <v>1942</v>
      </c>
      <c r="L334" s="324" t="s">
        <v>1929</v>
      </c>
      <c r="M334" s="324" t="s">
        <v>330</v>
      </c>
      <c r="N334" s="324" t="s">
        <v>1929</v>
      </c>
      <c r="O334" s="324" t="s">
        <v>330</v>
      </c>
      <c r="P334" s="324" t="s">
        <v>330</v>
      </c>
      <c r="Q334" s="325"/>
      <c r="R334" s="325"/>
      <c r="S334" s="325"/>
      <c r="T334" s="325"/>
      <c r="U334" s="325"/>
      <c r="V334" s="325"/>
      <c r="W334" s="325"/>
      <c r="X334" s="325"/>
      <c r="Y334" s="325" t="n">
        <v>60000000</v>
      </c>
      <c r="Z334" s="325" t="n">
        <v>60000000</v>
      </c>
      <c r="AA334" s="325"/>
      <c r="AB334" s="325"/>
      <c r="AC334" s="325"/>
      <c r="AD334" s="325"/>
      <c r="AE334" s="325" t="n">
        <f aca="false">R334</f>
        <v>0</v>
      </c>
      <c r="AF334" s="325" t="n">
        <f aca="false">S334-R334</f>
        <v>0</v>
      </c>
      <c r="AG334" s="325" t="n">
        <f aca="false">T334-S334</f>
        <v>0</v>
      </c>
      <c r="AH334" s="325" t="n">
        <f aca="false">U334-T334</f>
        <v>0</v>
      </c>
      <c r="AI334" s="325" t="n">
        <f aca="false">V334-U334</f>
        <v>0</v>
      </c>
      <c r="AJ334" s="325" t="n">
        <f aca="false">W334-V334</f>
        <v>0</v>
      </c>
      <c r="AK334" s="325" t="n">
        <f aca="false">X334-W334</f>
        <v>0</v>
      </c>
      <c r="AL334" s="325" t="n">
        <f aca="false">Y334-X334</f>
        <v>60000000</v>
      </c>
      <c r="AM334" s="325" t="n">
        <f aca="false">Z334-Y334</f>
        <v>0</v>
      </c>
      <c r="AN334" s="325"/>
      <c r="AO334" s="325"/>
      <c r="AP334" s="325"/>
      <c r="AR334" s="314" t="str">
        <f aca="false">IFERROR(VLOOKUP(M334,'PL_DEC.2026'!$D$11:$D$99,1,FALSE()),"(미존재)")</f>
        <v>복리후생비</v>
      </c>
    </row>
    <row r="335" customFormat="false" ht="16.5" hidden="false" customHeight="false" outlineLevel="0" collapsed="false">
      <c r="A335" s="317" t="s">
        <v>791</v>
      </c>
      <c r="B335" s="314" t="n">
        <v>68261700</v>
      </c>
      <c r="C335" s="314" t="s">
        <v>2115</v>
      </c>
      <c r="D335" s="314" t="s">
        <v>1879</v>
      </c>
      <c r="E335" s="314" t="s">
        <v>1924</v>
      </c>
      <c r="F335" s="314" t="s">
        <v>2116</v>
      </c>
      <c r="G335" s="314" t="s">
        <v>1926</v>
      </c>
      <c r="H335" s="314" t="s">
        <v>1495</v>
      </c>
      <c r="I335" s="314" t="s">
        <v>1941</v>
      </c>
      <c r="J335" s="314" t="s">
        <v>1458</v>
      </c>
      <c r="K335" s="314" t="s">
        <v>1942</v>
      </c>
      <c r="L335" s="324" t="s">
        <v>1929</v>
      </c>
      <c r="M335" s="324" t="s">
        <v>1152</v>
      </c>
      <c r="N335" s="324" t="s">
        <v>1929</v>
      </c>
      <c r="O335" s="324" t="s">
        <v>2117</v>
      </c>
      <c r="P335" s="324" t="s">
        <v>2117</v>
      </c>
      <c r="Q335" s="325" t="n">
        <v>-1</v>
      </c>
      <c r="R335" s="325" t="n">
        <v>0</v>
      </c>
      <c r="S335" s="325" t="n">
        <v>0</v>
      </c>
      <c r="T335" s="325" t="n">
        <v>0</v>
      </c>
      <c r="U335" s="325" t="n">
        <v>0</v>
      </c>
      <c r="V335" s="325" t="n">
        <v>0</v>
      </c>
      <c r="W335" s="325" t="n">
        <v>0</v>
      </c>
      <c r="X335" s="325" t="n">
        <v>0</v>
      </c>
      <c r="Y335" s="325" t="n">
        <v>0</v>
      </c>
      <c r="Z335" s="325" t="n">
        <v>0</v>
      </c>
      <c r="AA335" s="325"/>
      <c r="AB335" s="325"/>
      <c r="AC335" s="325"/>
      <c r="AD335" s="325"/>
      <c r="AE335" s="325" t="n">
        <f aca="false">R335</f>
        <v>0</v>
      </c>
      <c r="AF335" s="325" t="n">
        <f aca="false">S335-R335</f>
        <v>0</v>
      </c>
      <c r="AG335" s="325" t="n">
        <f aca="false">T335-S335</f>
        <v>0</v>
      </c>
      <c r="AH335" s="325" t="n">
        <f aca="false">U335-T335</f>
        <v>0</v>
      </c>
      <c r="AI335" s="325" t="n">
        <f aca="false">V335-U335</f>
        <v>0</v>
      </c>
      <c r="AJ335" s="325" t="n">
        <f aca="false">W335-V335</f>
        <v>0</v>
      </c>
      <c r="AK335" s="325" t="n">
        <f aca="false">X335-W335</f>
        <v>0</v>
      </c>
      <c r="AL335" s="325" t="n">
        <f aca="false">Y335-X335</f>
        <v>0</v>
      </c>
      <c r="AM335" s="325" t="n">
        <f aca="false">Z335-Y335</f>
        <v>0</v>
      </c>
      <c r="AN335" s="325" t="s">
        <v>1679</v>
      </c>
      <c r="AO335" s="325" t="n">
        <f aca="false">AB335-AA335</f>
        <v>0</v>
      </c>
      <c r="AP335" s="325" t="n">
        <f aca="false">AC335-AB335</f>
        <v>0</v>
      </c>
      <c r="AR335" s="314" t="str">
        <f aca="false">IFERROR(VLOOKUP(M335,'PL_DEC.2026'!$D$11:$D$99,1,FALSE()),"(미존재)")</f>
        <v>(미존재)</v>
      </c>
    </row>
    <row r="336" customFormat="false" ht="16.5" hidden="false" customHeight="false" outlineLevel="0" collapsed="false">
      <c r="A336" s="317" t="s">
        <v>791</v>
      </c>
      <c r="B336" s="314" t="n">
        <v>70020150</v>
      </c>
      <c r="C336" s="314" t="s">
        <v>2118</v>
      </c>
      <c r="D336" s="314" t="s">
        <v>1879</v>
      </c>
      <c r="E336" s="314" t="s">
        <v>1924</v>
      </c>
      <c r="F336" s="314" t="s">
        <v>2119</v>
      </c>
      <c r="G336" s="314" t="s">
        <v>1926</v>
      </c>
      <c r="H336" s="314" t="s">
        <v>1495</v>
      </c>
      <c r="I336" s="314" t="s">
        <v>2120</v>
      </c>
      <c r="K336" s="314" t="s">
        <v>2121</v>
      </c>
      <c r="L336" s="324" t="s">
        <v>1929</v>
      </c>
      <c r="M336" s="324" t="s">
        <v>374</v>
      </c>
      <c r="N336" s="324" t="s">
        <v>1929</v>
      </c>
      <c r="O336" s="324" t="s">
        <v>374</v>
      </c>
      <c r="P336" s="324" t="s">
        <v>374</v>
      </c>
      <c r="Q336" s="325" t="n">
        <v>61130717</v>
      </c>
      <c r="R336" s="325" t="n">
        <v>0</v>
      </c>
      <c r="S336" s="325" t="n">
        <v>0</v>
      </c>
      <c r="T336" s="325" t="n">
        <v>-4078775</v>
      </c>
      <c r="U336" s="325" t="n">
        <v>-4078775</v>
      </c>
      <c r="V336" s="325" t="n">
        <v>-4078775</v>
      </c>
      <c r="W336" s="325" t="n">
        <v>-4124609</v>
      </c>
      <c r="X336" s="325" t="n">
        <v>-4124609</v>
      </c>
      <c r="Y336" s="325" t="n">
        <v>-4124609</v>
      </c>
      <c r="Z336" s="325" t="n">
        <v>-4124609</v>
      </c>
      <c r="AA336" s="325"/>
      <c r="AB336" s="325"/>
      <c r="AC336" s="325"/>
      <c r="AD336" s="325"/>
      <c r="AE336" s="325" t="n">
        <f aca="false">R336</f>
        <v>0</v>
      </c>
      <c r="AF336" s="325" t="n">
        <f aca="false">S336-R336</f>
        <v>0</v>
      </c>
      <c r="AG336" s="325" t="n">
        <f aca="false">T336-S336</f>
        <v>-4078775</v>
      </c>
      <c r="AH336" s="325" t="n">
        <f aca="false">U336-T336</f>
        <v>0</v>
      </c>
      <c r="AI336" s="325" t="n">
        <f aca="false">V336-U336</f>
        <v>0</v>
      </c>
      <c r="AJ336" s="325" t="n">
        <f aca="false">W336-V336</f>
        <v>-45834</v>
      </c>
      <c r="AK336" s="325" t="n">
        <f aca="false">X336-W336</f>
        <v>0</v>
      </c>
      <c r="AL336" s="325" t="n">
        <f aca="false">Y336-X336</f>
        <v>0</v>
      </c>
      <c r="AM336" s="325" t="n">
        <f aca="false">Z336-Y336</f>
        <v>0</v>
      </c>
      <c r="AN336" s="325" t="s">
        <v>1679</v>
      </c>
      <c r="AO336" s="325" t="n">
        <f aca="false">AB336-AA336</f>
        <v>0</v>
      </c>
      <c r="AP336" s="325" t="n">
        <f aca="false">AC336-AB336</f>
        <v>0</v>
      </c>
      <c r="AR336" s="314" t="str">
        <f aca="false">IFERROR(VLOOKUP(M336,'PL_DEC.2026'!$D$11:$D$99,1,FALSE()),"(미존재)")</f>
        <v>대손상각비</v>
      </c>
    </row>
    <row r="337" customFormat="false" ht="16.5" hidden="false" customHeight="false" outlineLevel="0" collapsed="false">
      <c r="A337" s="317" t="s">
        <v>791</v>
      </c>
      <c r="B337" s="314" t="n">
        <v>70051000</v>
      </c>
      <c r="C337" s="314" t="s">
        <v>2122</v>
      </c>
      <c r="D337" s="314" t="s">
        <v>1879</v>
      </c>
      <c r="E337" s="314" t="s">
        <v>2079</v>
      </c>
      <c r="F337" s="314" t="s">
        <v>2080</v>
      </c>
      <c r="G337" s="314" t="s">
        <v>1926</v>
      </c>
      <c r="H337" s="314" t="s">
        <v>1495</v>
      </c>
      <c r="I337" s="314" t="s">
        <v>2123</v>
      </c>
      <c r="K337" s="314" t="s">
        <v>2124</v>
      </c>
      <c r="L337" s="324" t="s">
        <v>1929</v>
      </c>
      <c r="M337" s="324" t="s">
        <v>319</v>
      </c>
      <c r="N337" s="324" t="s">
        <v>1090</v>
      </c>
      <c r="O337" s="324" t="s">
        <v>1090</v>
      </c>
      <c r="P337" s="324" t="s">
        <v>419</v>
      </c>
      <c r="Q337" s="325" t="n">
        <v>16559672481</v>
      </c>
      <c r="R337" s="325" t="n">
        <v>0</v>
      </c>
      <c r="S337" s="325" t="n">
        <v>0</v>
      </c>
      <c r="T337" s="325" t="n">
        <v>-2281851872</v>
      </c>
      <c r="U337" s="325" t="n">
        <v>-1271870164</v>
      </c>
      <c r="V337" s="325" t="n">
        <v>-728412238</v>
      </c>
      <c r="W337" s="325" t="n">
        <v>-780912238</v>
      </c>
      <c r="X337" s="325" t="n">
        <v>-780912238</v>
      </c>
      <c r="Y337" s="325" t="n">
        <v>-780912238</v>
      </c>
      <c r="Z337" s="325" t="n">
        <v>-1371313926</v>
      </c>
      <c r="AA337" s="325"/>
      <c r="AB337" s="325"/>
      <c r="AC337" s="325"/>
      <c r="AD337" s="325"/>
      <c r="AE337" s="325" t="n">
        <f aca="false">R337</f>
        <v>0</v>
      </c>
      <c r="AF337" s="325" t="n">
        <f aca="false">S337-R337</f>
        <v>0</v>
      </c>
      <c r="AG337" s="325" t="n">
        <f aca="false">T337-S337</f>
        <v>-2281851872</v>
      </c>
      <c r="AH337" s="325" t="n">
        <f aca="false">U337-T337</f>
        <v>1009981708</v>
      </c>
      <c r="AI337" s="325" t="n">
        <f aca="false">V337-U337</f>
        <v>543457926</v>
      </c>
      <c r="AJ337" s="325" t="n">
        <f aca="false">W337-V337</f>
        <v>-52500000</v>
      </c>
      <c r="AK337" s="325" t="n">
        <f aca="false">X337-W337</f>
        <v>0</v>
      </c>
      <c r="AL337" s="325" t="n">
        <f aca="false">Y337-X337</f>
        <v>0</v>
      </c>
      <c r="AM337" s="325" t="n">
        <f aca="false">Z337-Y337</f>
        <v>-590401688</v>
      </c>
      <c r="AN337" s="325" t="s">
        <v>1679</v>
      </c>
      <c r="AO337" s="325" t="n">
        <f aca="false">AB337-AA337</f>
        <v>0</v>
      </c>
      <c r="AP337" s="325" t="n">
        <f aca="false">AC337-AB337</f>
        <v>0</v>
      </c>
      <c r="AR337" s="314" t="str">
        <f aca="false">IFERROR(VLOOKUP(M337,'PL_DEC.2026'!$D$11:$D$99,1,FALSE()),"(미존재)")</f>
        <v>급여</v>
      </c>
    </row>
    <row r="338" customFormat="false" ht="16.5" hidden="false" customHeight="false" outlineLevel="0" collapsed="false">
      <c r="A338" s="317" t="s">
        <v>791</v>
      </c>
      <c r="B338" s="314" t="n">
        <v>74100000</v>
      </c>
      <c r="C338" s="314" t="s">
        <v>2125</v>
      </c>
      <c r="D338" s="314" t="s">
        <v>1879</v>
      </c>
      <c r="E338" s="314" t="s">
        <v>1935</v>
      </c>
      <c r="F338" s="314" t="s">
        <v>2126</v>
      </c>
      <c r="G338" s="314" t="s">
        <v>1926</v>
      </c>
      <c r="H338" s="314" t="s">
        <v>1495</v>
      </c>
      <c r="I338" s="314" t="s">
        <v>2127</v>
      </c>
      <c r="K338" s="314" t="s">
        <v>2128</v>
      </c>
      <c r="L338" s="324" t="s">
        <v>870</v>
      </c>
      <c r="M338" s="324" t="s">
        <v>403</v>
      </c>
      <c r="N338" s="324" t="s">
        <v>870</v>
      </c>
      <c r="O338" s="324" t="s">
        <v>870</v>
      </c>
      <c r="P338" s="324" t="s">
        <v>383</v>
      </c>
      <c r="Q338" s="325" t="n">
        <v>-1553195901</v>
      </c>
      <c r="R338" s="325" t="n">
        <v>-33836</v>
      </c>
      <c r="S338" s="325" t="n">
        <v>-7041257</v>
      </c>
      <c r="T338" s="325" t="n">
        <v>-8916700</v>
      </c>
      <c r="U338" s="325" t="n">
        <v>-9475864</v>
      </c>
      <c r="V338" s="325" t="n">
        <v>-34441735</v>
      </c>
      <c r="W338" s="325" t="n">
        <v>-34441735</v>
      </c>
      <c r="X338" s="325" t="n">
        <v>-767210164</v>
      </c>
      <c r="Y338" s="325" t="n">
        <v>-772029730</v>
      </c>
      <c r="Z338" s="325" t="n">
        <v>-790809571</v>
      </c>
      <c r="AA338" s="325"/>
      <c r="AB338" s="325"/>
      <c r="AC338" s="325"/>
      <c r="AD338" s="325"/>
      <c r="AE338" s="325" t="n">
        <f aca="false">R338</f>
        <v>-33836</v>
      </c>
      <c r="AF338" s="325" t="n">
        <f aca="false">S338-R338</f>
        <v>-7007421</v>
      </c>
      <c r="AG338" s="325" t="n">
        <f aca="false">T338-S338</f>
        <v>-1875443</v>
      </c>
      <c r="AH338" s="325" t="n">
        <f aca="false">U338-T338</f>
        <v>-559164</v>
      </c>
      <c r="AI338" s="325" t="n">
        <f aca="false">V338-U338</f>
        <v>-24965871</v>
      </c>
      <c r="AJ338" s="325" t="n">
        <f aca="false">W338-V338</f>
        <v>0</v>
      </c>
      <c r="AK338" s="325" t="n">
        <f aca="false">X338-W338</f>
        <v>-732768429</v>
      </c>
      <c r="AL338" s="325" t="n">
        <f aca="false">Y338-X338</f>
        <v>-4819566</v>
      </c>
      <c r="AM338" s="325" t="n">
        <f aca="false">Z338-Y338</f>
        <v>-18779841</v>
      </c>
      <c r="AN338" s="325" t="s">
        <v>1679</v>
      </c>
      <c r="AO338" s="325" t="n">
        <f aca="false">AB338-AA338</f>
        <v>0</v>
      </c>
      <c r="AP338" s="325" t="n">
        <f aca="false">AC338-AB338</f>
        <v>0</v>
      </c>
      <c r="AR338" s="314" t="str">
        <f aca="false">IFERROR(VLOOKUP(M338,'PL_DEC.2026'!$D$11:$D$99,1,FALSE()),"(미존재)")</f>
        <v>외환차손</v>
      </c>
    </row>
    <row r="339" customFormat="false" ht="16.5" hidden="false" customHeight="false" outlineLevel="0" collapsed="false">
      <c r="A339" s="317" t="s">
        <v>791</v>
      </c>
      <c r="B339" s="314" t="n">
        <v>74110000</v>
      </c>
      <c r="C339" s="314" t="s">
        <v>2129</v>
      </c>
      <c r="D339" s="314" t="s">
        <v>1879</v>
      </c>
      <c r="E339" s="314" t="s">
        <v>2079</v>
      </c>
      <c r="F339" s="314" t="s">
        <v>2130</v>
      </c>
      <c r="G339" s="314" t="s">
        <v>1926</v>
      </c>
      <c r="H339" s="314" t="s">
        <v>1495</v>
      </c>
      <c r="I339" s="314" t="s">
        <v>2127</v>
      </c>
      <c r="K339" s="314" t="s">
        <v>2128</v>
      </c>
      <c r="L339" s="324" t="s">
        <v>2083</v>
      </c>
      <c r="M339" s="324" t="s">
        <v>403</v>
      </c>
      <c r="N339" s="324" t="s">
        <v>1090</v>
      </c>
      <c r="O339" s="324" t="s">
        <v>1090</v>
      </c>
      <c r="P339" s="324" t="s">
        <v>403</v>
      </c>
      <c r="Q339" s="325" t="n">
        <v>1586782452</v>
      </c>
      <c r="R339" s="325" t="n">
        <v>2722947</v>
      </c>
      <c r="S339" s="325" t="n">
        <v>9659289</v>
      </c>
      <c r="T339" s="325" t="n">
        <v>14657469</v>
      </c>
      <c r="U339" s="325" t="n">
        <v>19950773</v>
      </c>
      <c r="V339" s="325" t="n">
        <v>30639013</v>
      </c>
      <c r="W339" s="325" t="n">
        <v>31130230</v>
      </c>
      <c r="X339" s="325" t="n">
        <v>755466399</v>
      </c>
      <c r="Y339" s="325" t="n">
        <v>753374323</v>
      </c>
      <c r="Z339" s="325" t="n">
        <v>753374323</v>
      </c>
      <c r="AA339" s="325"/>
      <c r="AB339" s="325"/>
      <c r="AC339" s="325"/>
      <c r="AD339" s="325"/>
      <c r="AE339" s="325" t="n">
        <f aca="false">R339</f>
        <v>2722947</v>
      </c>
      <c r="AF339" s="325" t="n">
        <f aca="false">S339-R339</f>
        <v>6936342</v>
      </c>
      <c r="AG339" s="325" t="n">
        <f aca="false">T339-S339</f>
        <v>4998180</v>
      </c>
      <c r="AH339" s="325" t="n">
        <f aca="false">U339-T339</f>
        <v>5293304</v>
      </c>
      <c r="AI339" s="325" t="n">
        <f aca="false">V339-U339</f>
        <v>10688240</v>
      </c>
      <c r="AJ339" s="325" t="n">
        <f aca="false">W339-V339</f>
        <v>491217</v>
      </c>
      <c r="AK339" s="325" t="n">
        <f aca="false">X339-W339</f>
        <v>724336169</v>
      </c>
      <c r="AL339" s="325" t="n">
        <f aca="false">Y339-X339</f>
        <v>-2092076</v>
      </c>
      <c r="AM339" s="325" t="n">
        <f aca="false">Z339-Y339</f>
        <v>0</v>
      </c>
      <c r="AN339" s="325" t="s">
        <v>1679</v>
      </c>
      <c r="AO339" s="325" t="n">
        <f aca="false">AB339-AA339</f>
        <v>0</v>
      </c>
      <c r="AP339" s="325" t="n">
        <f aca="false">AC339-AB339</f>
        <v>0</v>
      </c>
      <c r="AR339" s="314" t="str">
        <f aca="false">IFERROR(VLOOKUP(M339,'PL_DEC.2026'!$D$11:$D$99,1,FALSE()),"(미존재)")</f>
        <v>외환차손</v>
      </c>
    </row>
    <row r="340" customFormat="false" ht="16.5" hidden="false" customHeight="false" outlineLevel="0" collapsed="false">
      <c r="A340" s="317" t="s">
        <v>791</v>
      </c>
      <c r="B340" s="314" t="n">
        <v>74115000</v>
      </c>
      <c r="C340" s="314" t="s">
        <v>2131</v>
      </c>
      <c r="D340" s="314" t="s">
        <v>1879</v>
      </c>
      <c r="E340" s="314" t="s">
        <v>1935</v>
      </c>
      <c r="F340" s="314" t="s">
        <v>2132</v>
      </c>
      <c r="G340" s="314" t="s">
        <v>1926</v>
      </c>
      <c r="H340" s="314" t="s">
        <v>1495</v>
      </c>
      <c r="I340" s="314" t="s">
        <v>2133</v>
      </c>
      <c r="K340" s="314" t="s">
        <v>2134</v>
      </c>
      <c r="L340" s="324" t="s">
        <v>870</v>
      </c>
      <c r="M340" s="324" t="s">
        <v>384</v>
      </c>
      <c r="N340" s="324" t="s">
        <v>870</v>
      </c>
      <c r="O340" s="324" t="s">
        <v>870</v>
      </c>
      <c r="P340" s="324" t="s">
        <v>384</v>
      </c>
      <c r="Q340" s="325" t="n">
        <v>-857198</v>
      </c>
      <c r="R340" s="325" t="n">
        <v>-2502310</v>
      </c>
      <c r="S340" s="325" t="n">
        <v>-2722481</v>
      </c>
      <c r="T340" s="325" t="n">
        <v>857194</v>
      </c>
      <c r="U340" s="325" t="n">
        <v>-5765640</v>
      </c>
      <c r="V340" s="325" t="n">
        <v>857194</v>
      </c>
      <c r="W340" s="325" t="n">
        <v>857197</v>
      </c>
      <c r="X340" s="325" t="n">
        <v>-227846415</v>
      </c>
      <c r="Y340" s="325" t="n">
        <v>-128725766</v>
      </c>
      <c r="Z340" s="325" t="n">
        <v>-123101784</v>
      </c>
      <c r="AA340" s="325"/>
      <c r="AB340" s="325"/>
      <c r="AC340" s="325"/>
      <c r="AD340" s="325"/>
      <c r="AE340" s="325" t="n">
        <f aca="false">R340</f>
        <v>-2502310</v>
      </c>
      <c r="AF340" s="325" t="n">
        <f aca="false">S340-R340</f>
        <v>-220171</v>
      </c>
      <c r="AG340" s="325" t="n">
        <f aca="false">T340-S340</f>
        <v>3579675</v>
      </c>
      <c r="AH340" s="325" t="n">
        <f aca="false">U340-T340</f>
        <v>-6622834</v>
      </c>
      <c r="AI340" s="325" t="n">
        <f aca="false">V340-U340</f>
        <v>6622834</v>
      </c>
      <c r="AJ340" s="325" t="n">
        <f aca="false">W340-V340</f>
        <v>3</v>
      </c>
      <c r="AK340" s="325" t="n">
        <f aca="false">X340-W340</f>
        <v>-228703612</v>
      </c>
      <c r="AL340" s="325" t="n">
        <f aca="false">Y340-X340</f>
        <v>99120649</v>
      </c>
      <c r="AM340" s="325" t="n">
        <f aca="false">Z340-Y340</f>
        <v>5623982</v>
      </c>
      <c r="AN340" s="325" t="s">
        <v>1679</v>
      </c>
      <c r="AO340" s="325" t="n">
        <f aca="false">AB340-AA340</f>
        <v>0</v>
      </c>
      <c r="AP340" s="325" t="n">
        <f aca="false">AC340-AB340</f>
        <v>0</v>
      </c>
      <c r="AR340" s="314" t="str">
        <f aca="false">IFERROR(VLOOKUP(M340,'PL_DEC.2026'!$D$11:$D$99,1,FALSE()),"(미존재)")</f>
        <v>외화환산이익</v>
      </c>
    </row>
    <row r="341" customFormat="false" ht="16.5" hidden="false" customHeight="false" outlineLevel="0" collapsed="false">
      <c r="A341" s="317" t="s">
        <v>791</v>
      </c>
      <c r="B341" s="314" t="n">
        <v>74120000</v>
      </c>
      <c r="C341" s="314" t="s">
        <v>2135</v>
      </c>
      <c r="D341" s="314" t="s">
        <v>1879</v>
      </c>
      <c r="E341" s="314" t="s">
        <v>2079</v>
      </c>
      <c r="F341" s="314" t="s">
        <v>2136</v>
      </c>
      <c r="G341" s="314" t="s">
        <v>1926</v>
      </c>
      <c r="H341" s="314" t="s">
        <v>1495</v>
      </c>
      <c r="I341" s="314" t="s">
        <v>2133</v>
      </c>
      <c r="K341" s="314" t="s">
        <v>2134</v>
      </c>
      <c r="L341" s="324" t="s">
        <v>2083</v>
      </c>
      <c r="M341" s="324" t="s">
        <v>384</v>
      </c>
      <c r="N341" s="324" t="s">
        <v>1090</v>
      </c>
      <c r="O341" s="324" t="s">
        <v>1090</v>
      </c>
      <c r="P341" s="324" t="s">
        <v>405</v>
      </c>
      <c r="Q341" s="325" t="n">
        <v>-23624342</v>
      </c>
      <c r="R341" s="325" t="n">
        <v>-330323</v>
      </c>
      <c r="S341" s="325" t="n">
        <v>-642069</v>
      </c>
      <c r="T341" s="325" t="n">
        <v>5631142</v>
      </c>
      <c r="U341" s="325" t="n">
        <v>613615</v>
      </c>
      <c r="V341" s="325" t="n">
        <v>79797104</v>
      </c>
      <c r="W341" s="325" t="n">
        <v>-681596</v>
      </c>
      <c r="X341" s="325" t="n">
        <v>-681596</v>
      </c>
      <c r="Y341" s="325" t="n">
        <v>-681596</v>
      </c>
      <c r="Z341" s="325" t="n">
        <v>-679352</v>
      </c>
      <c r="AA341" s="325"/>
      <c r="AB341" s="325"/>
      <c r="AC341" s="325"/>
      <c r="AD341" s="325"/>
      <c r="AE341" s="325" t="n">
        <f aca="false">R341</f>
        <v>-330323</v>
      </c>
      <c r="AF341" s="325" t="n">
        <f aca="false">S341-R341</f>
        <v>-311746</v>
      </c>
      <c r="AG341" s="325" t="n">
        <f aca="false">T341-S341</f>
        <v>6273211</v>
      </c>
      <c r="AH341" s="325" t="n">
        <f aca="false">U341-T341</f>
        <v>-5017527</v>
      </c>
      <c r="AI341" s="325" t="n">
        <f aca="false">V341-U341</f>
        <v>79183489</v>
      </c>
      <c r="AJ341" s="325" t="n">
        <f aca="false">W341-V341</f>
        <v>-80478700</v>
      </c>
      <c r="AK341" s="325" t="n">
        <f aca="false">X341-W341</f>
        <v>0</v>
      </c>
      <c r="AL341" s="325" t="n">
        <f aca="false">Y341-X341</f>
        <v>0</v>
      </c>
      <c r="AM341" s="325" t="n">
        <f aca="false">Z341-Y341</f>
        <v>2244</v>
      </c>
      <c r="AN341" s="325" t="s">
        <v>1679</v>
      </c>
      <c r="AO341" s="325" t="n">
        <f aca="false">AB341-AA341</f>
        <v>0</v>
      </c>
      <c r="AP341" s="325" t="n">
        <f aca="false">AC341-AB341</f>
        <v>0</v>
      </c>
      <c r="AR341" s="314" t="str">
        <f aca="false">IFERROR(VLOOKUP(M341,'PL_DEC.2026'!$D$11:$D$99,1,FALSE()),"(미존재)")</f>
        <v>외화환산이익</v>
      </c>
    </row>
    <row r="342" customFormat="false" ht="16.5" hidden="false" customHeight="false" outlineLevel="0" collapsed="false">
      <c r="A342" s="317" t="s">
        <v>791</v>
      </c>
      <c r="B342" s="314" t="n">
        <v>74200001</v>
      </c>
      <c r="C342" s="314" t="s">
        <v>2137</v>
      </c>
      <c r="D342" s="314" t="s">
        <v>1879</v>
      </c>
      <c r="E342" s="314" t="s">
        <v>1935</v>
      </c>
      <c r="F342" s="314" t="s">
        <v>1936</v>
      </c>
      <c r="G342" s="314" t="s">
        <v>1926</v>
      </c>
      <c r="H342" s="314" t="s">
        <v>1495</v>
      </c>
      <c r="I342" s="314" t="s">
        <v>1941</v>
      </c>
      <c r="J342" s="314" t="s">
        <v>1458</v>
      </c>
      <c r="K342" s="314" t="s">
        <v>1942</v>
      </c>
      <c r="L342" s="324" t="s">
        <v>870</v>
      </c>
      <c r="M342" s="324" t="s">
        <v>393</v>
      </c>
      <c r="N342" s="324" t="s">
        <v>870</v>
      </c>
      <c r="O342" s="324" t="s">
        <v>870</v>
      </c>
      <c r="P342" s="324" t="s">
        <v>393</v>
      </c>
      <c r="Q342" s="325" t="n">
        <v>-24103072</v>
      </c>
      <c r="R342" s="325" t="n">
        <v>-599</v>
      </c>
      <c r="S342" s="325" t="n">
        <v>-11215189</v>
      </c>
      <c r="T342" s="325" t="n">
        <v>-11215189</v>
      </c>
      <c r="U342" s="325" t="n">
        <v>-12102189</v>
      </c>
      <c r="V342" s="325" t="n">
        <v>-12322619</v>
      </c>
      <c r="W342" s="325" t="n">
        <v>-12322622</v>
      </c>
      <c r="X342" s="325" t="n">
        <v>-26428304</v>
      </c>
      <c r="Y342" s="325" t="n">
        <v>-26447153</v>
      </c>
      <c r="Z342" s="325" t="n">
        <v>-26447153</v>
      </c>
      <c r="AA342" s="325"/>
      <c r="AB342" s="325"/>
      <c r="AC342" s="325"/>
      <c r="AD342" s="325"/>
      <c r="AE342" s="325" t="n">
        <f aca="false">R342</f>
        <v>-599</v>
      </c>
      <c r="AF342" s="325" t="n">
        <f aca="false">S342-R342</f>
        <v>-11214590</v>
      </c>
      <c r="AG342" s="325" t="n">
        <f aca="false">T342-S342</f>
        <v>0</v>
      </c>
      <c r="AH342" s="325" t="n">
        <f aca="false">U342-T342</f>
        <v>-887000</v>
      </c>
      <c r="AI342" s="325" t="n">
        <f aca="false">V342-U342</f>
        <v>-220430</v>
      </c>
      <c r="AJ342" s="325" t="n">
        <f aca="false">W342-V342</f>
        <v>-3</v>
      </c>
      <c r="AK342" s="325" t="n">
        <f aca="false">X342-W342</f>
        <v>-14105682</v>
      </c>
      <c r="AL342" s="325" t="n">
        <f aca="false">Y342-X342</f>
        <v>-18849</v>
      </c>
      <c r="AM342" s="325" t="n">
        <f aca="false">Z342-Y342</f>
        <v>0</v>
      </c>
      <c r="AN342" s="325" t="s">
        <v>1679</v>
      </c>
      <c r="AO342" s="325" t="n">
        <f aca="false">AB342-AA342</f>
        <v>0</v>
      </c>
      <c r="AP342" s="325" t="n">
        <f aca="false">AC342-AB342</f>
        <v>0</v>
      </c>
      <c r="AR342" s="314" t="str">
        <f aca="false">IFERROR(VLOOKUP(M342,'PL_DEC.2026'!$D$11:$D$99,1,FALSE()),"(미존재)")</f>
        <v>잡이익</v>
      </c>
    </row>
    <row r="343" customFormat="false" ht="16.5" hidden="false" customHeight="false" outlineLevel="0" collapsed="false">
      <c r="A343" s="317" t="s">
        <v>791</v>
      </c>
      <c r="B343" s="314" t="n">
        <v>74250001</v>
      </c>
      <c r="C343" s="314" t="s">
        <v>2138</v>
      </c>
      <c r="D343" s="314" t="s">
        <v>1879</v>
      </c>
      <c r="E343" s="314" t="s">
        <v>1935</v>
      </c>
      <c r="F343" s="314" t="s">
        <v>1936</v>
      </c>
      <c r="G343" s="314" t="s">
        <v>1926</v>
      </c>
      <c r="H343" s="314" t="s">
        <v>1495</v>
      </c>
      <c r="I343" s="314" t="s">
        <v>2139</v>
      </c>
      <c r="K343" s="314" t="s">
        <v>2140</v>
      </c>
      <c r="L343" s="324" t="s">
        <v>870</v>
      </c>
      <c r="M343" s="324" t="s">
        <v>393</v>
      </c>
      <c r="N343" s="324" t="s">
        <v>870</v>
      </c>
      <c r="O343" s="324" t="s">
        <v>870</v>
      </c>
      <c r="P343" s="324" t="s">
        <v>393</v>
      </c>
      <c r="Q343" s="325" t="n">
        <v>-21567260515</v>
      </c>
      <c r="R343" s="325" t="n">
        <v>0</v>
      </c>
      <c r="S343" s="325" t="n">
        <v>-2256858116</v>
      </c>
      <c r="T343" s="325" t="n">
        <v>-5987213749</v>
      </c>
      <c r="U343" s="325" t="n">
        <v>-5987213749</v>
      </c>
      <c r="V343" s="325" t="n">
        <v>-5987213749</v>
      </c>
      <c r="W343" s="325" t="n">
        <v>-11592769320</v>
      </c>
      <c r="X343" s="325" t="n">
        <v>-11592769320</v>
      </c>
      <c r="Y343" s="325" t="n">
        <v>-11592769320</v>
      </c>
      <c r="Z343" s="325" t="n">
        <v>-23051800562</v>
      </c>
      <c r="AA343" s="325"/>
      <c r="AB343" s="325"/>
      <c r="AC343" s="325"/>
      <c r="AD343" s="325"/>
      <c r="AE343" s="325" t="n">
        <f aca="false">R343</f>
        <v>0</v>
      </c>
      <c r="AF343" s="325" t="n">
        <f aca="false">S343-R343</f>
        <v>-2256858116</v>
      </c>
      <c r="AG343" s="325" t="n">
        <f aca="false">T343-S343</f>
        <v>-3730355633</v>
      </c>
      <c r="AH343" s="325" t="n">
        <f aca="false">U343-T343</f>
        <v>0</v>
      </c>
      <c r="AI343" s="325" t="n">
        <f aca="false">V343-U343</f>
        <v>0</v>
      </c>
      <c r="AJ343" s="325" t="n">
        <f aca="false">W343-V343</f>
        <v>-5605555571</v>
      </c>
      <c r="AK343" s="325" t="n">
        <f aca="false">X343-W343</f>
        <v>0</v>
      </c>
      <c r="AL343" s="325" t="n">
        <f aca="false">Y343-X343</f>
        <v>0</v>
      </c>
      <c r="AM343" s="325" t="n">
        <f aca="false">Z343-Y343</f>
        <v>-11459031242</v>
      </c>
      <c r="AN343" s="325" t="s">
        <v>1679</v>
      </c>
      <c r="AO343" s="325" t="n">
        <f aca="false">AB343-AA343</f>
        <v>0</v>
      </c>
      <c r="AP343" s="325" t="n">
        <f aca="false">AC343-AB343</f>
        <v>0</v>
      </c>
      <c r="AQ343" s="314" t="s">
        <v>2141</v>
      </c>
      <c r="AR343" s="314" t="str">
        <f aca="false">IFERROR(VLOOKUP(M343,'PL_DEC.2026'!$D$11:$D$99,1,FALSE()),"(미존재)")</f>
        <v>잡이익</v>
      </c>
    </row>
    <row r="344" customFormat="false" ht="16.5" hidden="false" customHeight="false" outlineLevel="0" collapsed="false">
      <c r="A344" s="317" t="s">
        <v>791</v>
      </c>
      <c r="B344" s="314" t="n">
        <v>74259900</v>
      </c>
      <c r="C344" s="314" t="s">
        <v>2142</v>
      </c>
      <c r="D344" s="314" t="s">
        <v>1879</v>
      </c>
      <c r="E344" s="314" t="s">
        <v>1935</v>
      </c>
      <c r="F344" s="314" t="s">
        <v>1936</v>
      </c>
      <c r="G344" s="314" t="s">
        <v>1635</v>
      </c>
      <c r="H344" s="314" t="s">
        <v>1495</v>
      </c>
      <c r="I344" s="314" t="s">
        <v>2143</v>
      </c>
      <c r="K344" s="314" t="s">
        <v>1635</v>
      </c>
      <c r="L344" s="324" t="s">
        <v>870</v>
      </c>
      <c r="M344" s="324" t="s">
        <v>393</v>
      </c>
      <c r="N344" s="324" t="s">
        <v>870</v>
      </c>
      <c r="O344" s="324" t="s">
        <v>870</v>
      </c>
      <c r="P344" s="324" t="s">
        <v>393</v>
      </c>
      <c r="Q344" s="325" t="n">
        <v>-8894303668</v>
      </c>
      <c r="R344" s="325" t="n">
        <v>0</v>
      </c>
      <c r="S344" s="325" t="n">
        <v>0</v>
      </c>
      <c r="T344" s="325" t="n">
        <v>0</v>
      </c>
      <c r="U344" s="325" t="n">
        <v>-599155</v>
      </c>
      <c r="V344" s="325" t="n">
        <v>-599155</v>
      </c>
      <c r="W344" s="325" t="n">
        <v>-599155</v>
      </c>
      <c r="X344" s="325" t="n">
        <v>-1087765</v>
      </c>
      <c r="Y344" s="325" t="n">
        <v>-1087765</v>
      </c>
      <c r="Z344" s="325" t="n">
        <v>-1087765</v>
      </c>
      <c r="AA344" s="325"/>
      <c r="AB344" s="325"/>
      <c r="AC344" s="325"/>
      <c r="AD344" s="325"/>
      <c r="AE344" s="325" t="n">
        <f aca="false">R344</f>
        <v>0</v>
      </c>
      <c r="AF344" s="325" t="n">
        <f aca="false">S344-R344</f>
        <v>0</v>
      </c>
      <c r="AG344" s="325" t="n">
        <f aca="false">T344-S344</f>
        <v>0</v>
      </c>
      <c r="AH344" s="325" t="n">
        <f aca="false">U344-T344</f>
        <v>-599155</v>
      </c>
      <c r="AI344" s="325" t="n">
        <f aca="false">V344-U344</f>
        <v>0</v>
      </c>
      <c r="AJ344" s="325" t="n">
        <f aca="false">W344-V344</f>
        <v>0</v>
      </c>
      <c r="AK344" s="325" t="n">
        <f aca="false">X344-W344</f>
        <v>-488610</v>
      </c>
      <c r="AL344" s="325" t="n">
        <f aca="false">Y344-X344</f>
        <v>0</v>
      </c>
      <c r="AM344" s="325" t="n">
        <f aca="false">Z344-Y344</f>
        <v>0</v>
      </c>
      <c r="AN344" s="325" t="s">
        <v>1679</v>
      </c>
      <c r="AO344" s="325" t="n">
        <f aca="false">AB344-AA344</f>
        <v>0</v>
      </c>
      <c r="AP344" s="325" t="n">
        <f aca="false">AC344-AB344</f>
        <v>0</v>
      </c>
      <c r="AR344" s="314" t="str">
        <f aca="false">IFERROR(VLOOKUP(M344,'PL_DEC.2026'!$D$11:$D$99,1,FALSE()),"(미존재)")</f>
        <v>잡이익</v>
      </c>
    </row>
    <row r="345" customFormat="false" ht="16.5" hidden="false" customHeight="false" outlineLevel="0" collapsed="false">
      <c r="A345" s="317" t="s">
        <v>791</v>
      </c>
      <c r="B345" s="314" t="n">
        <v>74260000</v>
      </c>
      <c r="C345" s="314" t="s">
        <v>2144</v>
      </c>
      <c r="D345" s="314" t="s">
        <v>1879</v>
      </c>
      <c r="E345" s="314" t="s">
        <v>2079</v>
      </c>
      <c r="F345" s="314" t="s">
        <v>2080</v>
      </c>
      <c r="G345" s="314" t="s">
        <v>1926</v>
      </c>
      <c r="H345" s="314" t="s">
        <v>1495</v>
      </c>
      <c r="I345" s="314" t="s">
        <v>1941</v>
      </c>
      <c r="J345" s="314" t="s">
        <v>1458</v>
      </c>
      <c r="K345" s="314" t="s">
        <v>1942</v>
      </c>
      <c r="L345" s="324" t="s">
        <v>2083</v>
      </c>
      <c r="M345" s="324" t="s">
        <v>419</v>
      </c>
      <c r="N345" s="324" t="s">
        <v>1090</v>
      </c>
      <c r="O345" s="324" t="s">
        <v>1090</v>
      </c>
      <c r="P345" s="324" t="s">
        <v>419</v>
      </c>
      <c r="Q345" s="325" t="n">
        <v>11910</v>
      </c>
      <c r="R345" s="325" t="n">
        <v>12490</v>
      </c>
      <c r="S345" s="325" t="n">
        <v>12490</v>
      </c>
      <c r="T345" s="325" t="n">
        <v>12494</v>
      </c>
      <c r="U345" s="325" t="n">
        <v>12503</v>
      </c>
      <c r="V345" s="325" t="n">
        <v>12503</v>
      </c>
      <c r="W345" s="325" t="n">
        <v>29908</v>
      </c>
      <c r="X345" s="325" t="n">
        <v>29908</v>
      </c>
      <c r="Y345" s="325" t="n">
        <v>30208</v>
      </c>
      <c r="Z345" s="325" t="n">
        <v>30208</v>
      </c>
      <c r="AA345" s="325"/>
      <c r="AB345" s="325"/>
      <c r="AC345" s="325"/>
      <c r="AD345" s="325"/>
      <c r="AE345" s="325" t="n">
        <f aca="false">R345</f>
        <v>12490</v>
      </c>
      <c r="AF345" s="325" t="n">
        <f aca="false">S345-R345</f>
        <v>0</v>
      </c>
      <c r="AG345" s="325" t="n">
        <f aca="false">T345-S345</f>
        <v>4</v>
      </c>
      <c r="AH345" s="325" t="n">
        <f aca="false">U345-T345</f>
        <v>9</v>
      </c>
      <c r="AI345" s="325" t="n">
        <f aca="false">V345-U345</f>
        <v>0</v>
      </c>
      <c r="AJ345" s="325" t="n">
        <f aca="false">W345-V345</f>
        <v>17405</v>
      </c>
      <c r="AK345" s="325" t="n">
        <f aca="false">X345-W345</f>
        <v>0</v>
      </c>
      <c r="AL345" s="325" t="n">
        <f aca="false">Y345-X345</f>
        <v>300</v>
      </c>
      <c r="AM345" s="325" t="n">
        <f aca="false">Z345-Y345</f>
        <v>0</v>
      </c>
      <c r="AN345" s="325" t="s">
        <v>1679</v>
      </c>
      <c r="AO345" s="325" t="n">
        <f aca="false">AB345-AA345</f>
        <v>0</v>
      </c>
      <c r="AP345" s="325" t="n">
        <f aca="false">AC345-AB345</f>
        <v>0</v>
      </c>
      <c r="AR345" s="314" t="str">
        <f aca="false">IFERROR(VLOOKUP(M345,'PL_DEC.2026'!$D$11:$D$99,1,FALSE()),"(미존재)")</f>
        <v>잡손실</v>
      </c>
    </row>
    <row r="346" customFormat="false" ht="16.5" hidden="false" customHeight="false" outlineLevel="0" collapsed="false">
      <c r="A346" s="317" t="s">
        <v>791</v>
      </c>
      <c r="B346" s="314" t="n">
        <v>74260010</v>
      </c>
      <c r="C346" s="314" t="s">
        <v>2145</v>
      </c>
      <c r="D346" s="314" t="s">
        <v>1879</v>
      </c>
      <c r="E346" s="314" t="s">
        <v>1924</v>
      </c>
      <c r="F346" s="314" t="s">
        <v>1925</v>
      </c>
      <c r="G346" s="314" t="s">
        <v>1945</v>
      </c>
      <c r="H346" s="314" t="s">
        <v>1495</v>
      </c>
      <c r="I346" s="314" t="s">
        <v>1941</v>
      </c>
      <c r="J346" s="314" t="s">
        <v>1458</v>
      </c>
      <c r="K346" s="314" t="s">
        <v>1942</v>
      </c>
      <c r="L346" s="324" t="s">
        <v>1929</v>
      </c>
      <c r="M346" s="324" t="s">
        <v>344</v>
      </c>
      <c r="N346" s="324" t="s">
        <v>1929</v>
      </c>
      <c r="O346" s="324" t="s">
        <v>344</v>
      </c>
      <c r="P346" s="324" t="s">
        <v>344</v>
      </c>
      <c r="Q346" s="325" t="n">
        <v>692328511</v>
      </c>
      <c r="R346" s="325" t="n">
        <v>259839534</v>
      </c>
      <c r="S346" s="325" t="n">
        <v>279486421</v>
      </c>
      <c r="T346" s="325" t="n">
        <v>336388070</v>
      </c>
      <c r="U346" s="325" t="n">
        <v>461394943</v>
      </c>
      <c r="V346" s="325" t="n">
        <v>505957372</v>
      </c>
      <c r="W346" s="325" t="n">
        <v>781555637</v>
      </c>
      <c r="X346" s="325" t="n">
        <v>842414208</v>
      </c>
      <c r="Y346" s="325" t="n">
        <v>895547486</v>
      </c>
      <c r="Z346" s="325" t="n">
        <v>992515326</v>
      </c>
      <c r="AA346" s="325"/>
      <c r="AB346" s="325"/>
      <c r="AC346" s="325"/>
      <c r="AD346" s="325"/>
      <c r="AE346" s="325" t="n">
        <f aca="false">R346</f>
        <v>259839534</v>
      </c>
      <c r="AF346" s="325" t="n">
        <f aca="false">S346-R346</f>
        <v>19646887</v>
      </c>
      <c r="AG346" s="325" t="n">
        <f aca="false">T346-S346</f>
        <v>56901649</v>
      </c>
      <c r="AH346" s="325" t="n">
        <f aca="false">U346-T346</f>
        <v>125006873</v>
      </c>
      <c r="AI346" s="325" t="n">
        <f aca="false">V346-U346</f>
        <v>44562429</v>
      </c>
      <c r="AJ346" s="325" t="n">
        <f aca="false">W346-V346</f>
        <v>275598265</v>
      </c>
      <c r="AK346" s="325" t="n">
        <f aca="false">X346-W346</f>
        <v>60858571</v>
      </c>
      <c r="AL346" s="325" t="n">
        <f aca="false">Y346-X346</f>
        <v>53133278</v>
      </c>
      <c r="AM346" s="325" t="n">
        <f aca="false">Z346-Y346</f>
        <v>96967840</v>
      </c>
      <c r="AN346" s="325" t="s">
        <v>1679</v>
      </c>
      <c r="AO346" s="325" t="n">
        <f aca="false">AB346-AA346</f>
        <v>0</v>
      </c>
      <c r="AP346" s="325" t="n">
        <f aca="false">AC346-AB346</f>
        <v>0</v>
      </c>
      <c r="AR346" s="314" t="str">
        <f aca="false">IFERROR(VLOOKUP(M346,'PL_DEC.2026'!$D$11:$D$99,1,FALSE()),"(미존재)")</f>
        <v>지급수수료</v>
      </c>
    </row>
    <row r="347" customFormat="false" ht="16.5" hidden="false" customHeight="false" outlineLevel="0" collapsed="false">
      <c r="A347" s="317" t="s">
        <v>791</v>
      </c>
      <c r="B347" s="314" t="n">
        <v>74260023</v>
      </c>
      <c r="C347" s="314" t="s">
        <v>2146</v>
      </c>
      <c r="D347" s="314" t="s">
        <v>1879</v>
      </c>
      <c r="E347" s="314" t="s">
        <v>2079</v>
      </c>
      <c r="F347" s="314" t="s">
        <v>2080</v>
      </c>
      <c r="G347" s="314" t="s">
        <v>1926</v>
      </c>
      <c r="H347" s="314" t="s">
        <v>1495</v>
      </c>
      <c r="I347" s="314" t="s">
        <v>2147</v>
      </c>
      <c r="K347" s="314" t="s">
        <v>2148</v>
      </c>
      <c r="L347" s="324" t="s">
        <v>2083</v>
      </c>
      <c r="M347" s="324" t="s">
        <v>419</v>
      </c>
      <c r="N347" s="324" t="s">
        <v>1090</v>
      </c>
      <c r="O347" s="324" t="s">
        <v>1090</v>
      </c>
      <c r="P347" s="324" t="s">
        <v>419</v>
      </c>
      <c r="Q347" s="325" t="n">
        <v>0</v>
      </c>
      <c r="R347" s="325" t="n">
        <v>0</v>
      </c>
      <c r="S347" s="325" t="n">
        <v>0</v>
      </c>
      <c r="T347" s="325" t="n">
        <v>0</v>
      </c>
      <c r="U347" s="325" t="n">
        <v>0</v>
      </c>
      <c r="V347" s="325" t="n">
        <v>0</v>
      </c>
      <c r="W347" s="325" t="n">
        <v>0</v>
      </c>
      <c r="X347" s="325" t="n">
        <v>0</v>
      </c>
      <c r="Y347" s="325" t="n">
        <v>0</v>
      </c>
      <c r="Z347" s="325" t="n">
        <v>0</v>
      </c>
      <c r="AA347" s="325"/>
      <c r="AB347" s="325"/>
      <c r="AC347" s="325"/>
      <c r="AD347" s="325"/>
      <c r="AE347" s="325" t="n">
        <f aca="false">R347</f>
        <v>0</v>
      </c>
      <c r="AF347" s="325" t="n">
        <f aca="false">S347-R347</f>
        <v>0</v>
      </c>
      <c r="AG347" s="325" t="n">
        <f aca="false">T347-S347</f>
        <v>0</v>
      </c>
      <c r="AH347" s="325" t="n">
        <f aca="false">U347-T347</f>
        <v>0</v>
      </c>
      <c r="AI347" s="325" t="n">
        <f aca="false">V347-U347</f>
        <v>0</v>
      </c>
      <c r="AJ347" s="325" t="n">
        <f aca="false">W347-V347</f>
        <v>0</v>
      </c>
      <c r="AK347" s="325" t="n">
        <f aca="false">X347-W347</f>
        <v>0</v>
      </c>
      <c r="AL347" s="325" t="n">
        <f aca="false">Y347-X347</f>
        <v>0</v>
      </c>
      <c r="AM347" s="325" t="n">
        <f aca="false">Z347-Y347</f>
        <v>0</v>
      </c>
      <c r="AN347" s="325" t="s">
        <v>1679</v>
      </c>
      <c r="AO347" s="325" t="n">
        <f aca="false">AB347-AA347</f>
        <v>0</v>
      </c>
      <c r="AP347" s="325" t="n">
        <f aca="false">AC347-AB347</f>
        <v>0</v>
      </c>
      <c r="AR347" s="314" t="str">
        <f aca="false">IFERROR(VLOOKUP(M347,'PL_DEC.2026'!$D$11:$D$99,1,FALSE()),"(미존재)")</f>
        <v>잡손실</v>
      </c>
    </row>
    <row r="348" customFormat="false" ht="16.5" hidden="false" customHeight="false" outlineLevel="0" collapsed="false">
      <c r="A348" s="317" t="s">
        <v>791</v>
      </c>
      <c r="B348" s="314" t="n">
        <v>74260024</v>
      </c>
      <c r="C348" s="314" t="s">
        <v>2149</v>
      </c>
      <c r="D348" s="314" t="s">
        <v>1879</v>
      </c>
      <c r="E348" s="314" t="s">
        <v>2079</v>
      </c>
      <c r="F348" s="314" t="s">
        <v>2080</v>
      </c>
      <c r="G348" s="314" t="s">
        <v>1926</v>
      </c>
      <c r="H348" s="314" t="s">
        <v>1495</v>
      </c>
      <c r="I348" s="314" t="s">
        <v>2150</v>
      </c>
      <c r="K348" s="314" t="s">
        <v>2151</v>
      </c>
      <c r="L348" s="324" t="s">
        <v>2083</v>
      </c>
      <c r="M348" s="324" t="s">
        <v>419</v>
      </c>
      <c r="N348" s="324" t="s">
        <v>1090</v>
      </c>
      <c r="O348" s="324" t="s">
        <v>1090</v>
      </c>
      <c r="P348" s="324" t="s">
        <v>419</v>
      </c>
      <c r="Q348" s="325" t="n">
        <v>0</v>
      </c>
      <c r="R348" s="325" t="n">
        <v>0</v>
      </c>
      <c r="S348" s="325" t="n">
        <v>-2615663000</v>
      </c>
      <c r="T348" s="325" t="n">
        <v>-2615663000</v>
      </c>
      <c r="U348" s="325" t="n">
        <v>-2615663000</v>
      </c>
      <c r="V348" s="325" t="n">
        <v>-2615663000</v>
      </c>
      <c r="W348" s="325" t="n">
        <v>-2615663000</v>
      </c>
      <c r="X348" s="325" t="n">
        <v>-2615663000</v>
      </c>
      <c r="Y348" s="325" t="n">
        <v>-2615663000</v>
      </c>
      <c r="Z348" s="325" t="n">
        <v>-2615663000</v>
      </c>
      <c r="AA348" s="325"/>
      <c r="AB348" s="325"/>
      <c r="AC348" s="325"/>
      <c r="AD348" s="325"/>
      <c r="AE348" s="325" t="n">
        <f aca="false">R348</f>
        <v>0</v>
      </c>
      <c r="AF348" s="325" t="n">
        <f aca="false">S348-R348</f>
        <v>-2615663000</v>
      </c>
      <c r="AG348" s="325" t="n">
        <f aca="false">T348-S348</f>
        <v>0</v>
      </c>
      <c r="AH348" s="325" t="n">
        <f aca="false">U348-T348</f>
        <v>0</v>
      </c>
      <c r="AI348" s="325" t="n">
        <f aca="false">V348-U348</f>
        <v>0</v>
      </c>
      <c r="AJ348" s="325" t="n">
        <f aca="false">W348-V348</f>
        <v>0</v>
      </c>
      <c r="AK348" s="325" t="n">
        <f aca="false">X348-W348</f>
        <v>0</v>
      </c>
      <c r="AL348" s="325" t="n">
        <f aca="false">Y348-X348</f>
        <v>0</v>
      </c>
      <c r="AM348" s="325" t="n">
        <f aca="false">Z348-Y348</f>
        <v>0</v>
      </c>
      <c r="AN348" s="325" t="s">
        <v>1679</v>
      </c>
      <c r="AO348" s="325" t="n">
        <f aca="false">AB348-AA348</f>
        <v>0</v>
      </c>
      <c r="AP348" s="325" t="n">
        <f aca="false">AC348-AB348</f>
        <v>0</v>
      </c>
      <c r="AQ348" s="314" t="s">
        <v>2152</v>
      </c>
      <c r="AR348" s="314" t="str">
        <f aca="false">IFERROR(VLOOKUP(M348,'PL_DEC.2026'!$D$11:$D$99,1,FALSE()),"(미존재)")</f>
        <v>잡손실</v>
      </c>
    </row>
    <row r="349" customFormat="false" ht="16.5" hidden="false" customHeight="false" outlineLevel="0" collapsed="false">
      <c r="A349" s="317" t="s">
        <v>791</v>
      </c>
      <c r="B349" s="314" t="n">
        <v>74260026</v>
      </c>
      <c r="C349" s="314" t="s">
        <v>2153</v>
      </c>
      <c r="D349" s="314" t="s">
        <v>1879</v>
      </c>
      <c r="E349" s="314" t="s">
        <v>2079</v>
      </c>
      <c r="F349" s="314" t="s">
        <v>2080</v>
      </c>
      <c r="G349" s="314" t="s">
        <v>1882</v>
      </c>
      <c r="H349" s="314" t="s">
        <v>1495</v>
      </c>
      <c r="I349" s="314" t="s">
        <v>2154</v>
      </c>
      <c r="K349" s="314" t="s">
        <v>2155</v>
      </c>
      <c r="L349" s="324" t="s">
        <v>2083</v>
      </c>
      <c r="M349" s="324" t="s">
        <v>419</v>
      </c>
      <c r="N349" s="324" t="s">
        <v>1090</v>
      </c>
      <c r="O349" s="324" t="s">
        <v>1090</v>
      </c>
      <c r="P349" s="324" t="s">
        <v>419</v>
      </c>
      <c r="Q349" s="325" t="n">
        <v>-2207843000</v>
      </c>
      <c r="R349" s="325" t="n">
        <v>0</v>
      </c>
      <c r="S349" s="325" t="n">
        <v>3023706000</v>
      </c>
      <c r="T349" s="325" t="n">
        <v>3023706000</v>
      </c>
      <c r="U349" s="325" t="n">
        <v>3023706000</v>
      </c>
      <c r="V349" s="325" t="n">
        <v>3023706000</v>
      </c>
      <c r="W349" s="325" t="n">
        <v>3023706000</v>
      </c>
      <c r="X349" s="325" t="n">
        <v>3023706000</v>
      </c>
      <c r="Y349" s="325" t="n">
        <v>3023706000</v>
      </c>
      <c r="Z349" s="325" t="n">
        <v>3023706000</v>
      </c>
      <c r="AA349" s="325"/>
      <c r="AB349" s="325"/>
      <c r="AC349" s="325"/>
      <c r="AD349" s="325"/>
      <c r="AE349" s="325" t="n">
        <f aca="false">R349</f>
        <v>0</v>
      </c>
      <c r="AF349" s="325" t="n">
        <f aca="false">S349-R349</f>
        <v>3023706000</v>
      </c>
      <c r="AG349" s="325" t="n">
        <f aca="false">T349-S349</f>
        <v>0</v>
      </c>
      <c r="AH349" s="325" t="n">
        <f aca="false">U349-T349</f>
        <v>0</v>
      </c>
      <c r="AI349" s="325" t="n">
        <f aca="false">V349-U349</f>
        <v>0</v>
      </c>
      <c r="AJ349" s="325" t="n">
        <f aca="false">W349-V349</f>
        <v>0</v>
      </c>
      <c r="AK349" s="325" t="n">
        <f aca="false">X349-W349</f>
        <v>0</v>
      </c>
      <c r="AL349" s="325" t="n">
        <f aca="false">Y349-X349</f>
        <v>0</v>
      </c>
      <c r="AM349" s="325" t="n">
        <f aca="false">Z349-Y349</f>
        <v>0</v>
      </c>
      <c r="AN349" s="325" t="s">
        <v>1679</v>
      </c>
      <c r="AO349" s="325" t="n">
        <f aca="false">AB349-AA349</f>
        <v>0</v>
      </c>
      <c r="AP349" s="325" t="n">
        <f aca="false">AC349-AB349</f>
        <v>0</v>
      </c>
      <c r="AR349" s="314" t="str">
        <f aca="false">IFERROR(VLOOKUP(M349,'PL_DEC.2026'!$D$11:$D$99,1,FALSE()),"(미존재)")</f>
        <v>잡손실</v>
      </c>
    </row>
    <row r="350" customFormat="false" ht="16.5" hidden="false" customHeight="false" outlineLevel="0" collapsed="false">
      <c r="A350" s="317" t="s">
        <v>791</v>
      </c>
      <c r="B350" s="314" t="n">
        <v>74260030</v>
      </c>
      <c r="C350" s="314" t="s">
        <v>2156</v>
      </c>
      <c r="D350" s="314" t="s">
        <v>1879</v>
      </c>
      <c r="E350" s="314" t="s">
        <v>2079</v>
      </c>
      <c r="F350" s="314" t="s">
        <v>2080</v>
      </c>
      <c r="G350" s="314" t="s">
        <v>1882</v>
      </c>
      <c r="H350" s="314" t="s">
        <v>1495</v>
      </c>
      <c r="I350" s="314" t="s">
        <v>2157</v>
      </c>
      <c r="K350" s="314" t="s">
        <v>1183</v>
      </c>
      <c r="L350" s="324" t="s">
        <v>1929</v>
      </c>
      <c r="M350" s="324" t="s">
        <v>344</v>
      </c>
      <c r="N350" s="324" t="s">
        <v>1090</v>
      </c>
      <c r="O350" s="324" t="s">
        <v>1090</v>
      </c>
      <c r="P350" s="324" t="s">
        <v>419</v>
      </c>
      <c r="Q350" s="325" t="n">
        <v>2686373320</v>
      </c>
      <c r="R350" s="325" t="n">
        <v>95986737</v>
      </c>
      <c r="S350" s="325" t="n">
        <v>222478591</v>
      </c>
      <c r="T350" s="325" t="n">
        <v>473814498</v>
      </c>
      <c r="U350" s="325" t="n">
        <v>965258263</v>
      </c>
      <c r="V350" s="325" t="n">
        <v>1036474253</v>
      </c>
      <c r="W350" s="325" t="n">
        <v>1093804553</v>
      </c>
      <c r="X350" s="325" t="n">
        <v>1452532749</v>
      </c>
      <c r="Y350" s="325" t="n">
        <v>1452532749</v>
      </c>
      <c r="Z350" s="325" t="n">
        <v>1443862856</v>
      </c>
      <c r="AA350" s="325"/>
      <c r="AB350" s="325"/>
      <c r="AC350" s="325"/>
      <c r="AD350" s="325"/>
      <c r="AE350" s="325" t="n">
        <f aca="false">R350</f>
        <v>95986737</v>
      </c>
      <c r="AF350" s="325" t="n">
        <f aca="false">S350-R350</f>
        <v>126491854</v>
      </c>
      <c r="AG350" s="325" t="n">
        <f aca="false">T350-S350</f>
        <v>251335907</v>
      </c>
      <c r="AH350" s="325" t="n">
        <f aca="false">U350-T350</f>
        <v>491443765</v>
      </c>
      <c r="AI350" s="325" t="n">
        <f aca="false">V350-U350</f>
        <v>71215990</v>
      </c>
      <c r="AJ350" s="325" t="n">
        <f aca="false">W350-V350</f>
        <v>57330300</v>
      </c>
      <c r="AK350" s="325" t="n">
        <f aca="false">X350-W350</f>
        <v>358728196</v>
      </c>
      <c r="AL350" s="325" t="n">
        <f aca="false">Y350-X350</f>
        <v>0</v>
      </c>
      <c r="AM350" s="325" t="n">
        <f aca="false">Z350-Y350</f>
        <v>-8669893</v>
      </c>
      <c r="AN350" s="325" t="s">
        <v>1679</v>
      </c>
      <c r="AO350" s="325" t="n">
        <f aca="false">AB350-AA350</f>
        <v>0</v>
      </c>
      <c r="AP350" s="325" t="n">
        <f aca="false">AC350-AB350</f>
        <v>0</v>
      </c>
      <c r="AR350" s="314" t="str">
        <f aca="false">IFERROR(VLOOKUP(M350,'PL_DEC.2026'!$D$11:$D$99,1,FALSE()),"(미존재)")</f>
        <v>지급수수료</v>
      </c>
    </row>
    <row r="351" customFormat="false" ht="16.5" hidden="false" customHeight="false" outlineLevel="0" collapsed="false">
      <c r="A351" s="317" t="s">
        <v>791</v>
      </c>
      <c r="B351" s="314" t="n">
        <v>75000850</v>
      </c>
      <c r="C351" s="314" t="s">
        <v>2158</v>
      </c>
      <c r="D351" s="314" t="s">
        <v>1879</v>
      </c>
      <c r="E351" s="314" t="s">
        <v>2079</v>
      </c>
      <c r="F351" s="314" t="s">
        <v>2159</v>
      </c>
      <c r="G351" s="314" t="s">
        <v>1945</v>
      </c>
      <c r="H351" s="314" t="s">
        <v>1495</v>
      </c>
      <c r="I351" s="314" t="s">
        <v>2160</v>
      </c>
      <c r="K351" s="314" t="s">
        <v>2161</v>
      </c>
      <c r="L351" s="324" t="s">
        <v>2083</v>
      </c>
      <c r="M351" s="324" t="s">
        <v>400</v>
      </c>
      <c r="N351" s="324" t="s">
        <v>1090</v>
      </c>
      <c r="O351" s="324" t="s">
        <v>1090</v>
      </c>
      <c r="P351" s="324" t="s">
        <v>400</v>
      </c>
      <c r="Q351" s="325" t="n">
        <v>78151752</v>
      </c>
      <c r="R351" s="325" t="n">
        <v>8802516</v>
      </c>
      <c r="S351" s="325" t="n">
        <v>10037067</v>
      </c>
      <c r="T351" s="325" t="n">
        <v>10037067</v>
      </c>
      <c r="U351" s="325" t="n">
        <v>32738444</v>
      </c>
      <c r="V351" s="325" t="n">
        <v>53631830</v>
      </c>
      <c r="W351" s="325" t="n">
        <v>64601814</v>
      </c>
      <c r="X351" s="325" t="n">
        <v>102140899</v>
      </c>
      <c r="Y351" s="325" t="n">
        <v>128398861</v>
      </c>
      <c r="Z351" s="325" t="n">
        <v>143028569</v>
      </c>
      <c r="AA351" s="325"/>
      <c r="AB351" s="325"/>
      <c r="AC351" s="325"/>
      <c r="AD351" s="325"/>
      <c r="AE351" s="325" t="n">
        <f aca="false">R351</f>
        <v>8802516</v>
      </c>
      <c r="AF351" s="325" t="n">
        <f aca="false">S351-R351</f>
        <v>1234551</v>
      </c>
      <c r="AG351" s="325" t="n">
        <f aca="false">T351-S351</f>
        <v>0</v>
      </c>
      <c r="AH351" s="325" t="n">
        <f aca="false">U351-T351</f>
        <v>22701377</v>
      </c>
      <c r="AI351" s="325" t="n">
        <f aca="false">V351-U351</f>
        <v>20893386</v>
      </c>
      <c r="AJ351" s="325" t="n">
        <f aca="false">W351-V351</f>
        <v>10969984</v>
      </c>
      <c r="AK351" s="325" t="n">
        <f aca="false">X351-W351</f>
        <v>37539085</v>
      </c>
      <c r="AL351" s="325" t="n">
        <f aca="false">Y351-X351</f>
        <v>26257962</v>
      </c>
      <c r="AM351" s="325" t="n">
        <f aca="false">Z351-Y351</f>
        <v>14629708</v>
      </c>
      <c r="AN351" s="325" t="s">
        <v>1679</v>
      </c>
      <c r="AO351" s="325" t="n">
        <f aca="false">AB351-AA351</f>
        <v>0</v>
      </c>
      <c r="AP351" s="325" t="n">
        <f aca="false">AC351-AB351</f>
        <v>0</v>
      </c>
      <c r="AR351" s="314" t="str">
        <f aca="false">IFERROR(VLOOKUP(M351,'PL_DEC.2026'!$D$11:$D$99,1,FALSE()),"(미존재)")</f>
        <v>이자비용</v>
      </c>
    </row>
    <row r="352" customFormat="false" ht="16.5" hidden="false" customHeight="false" outlineLevel="0" collapsed="false">
      <c r="A352" s="317" t="s">
        <v>791</v>
      </c>
      <c r="B352" s="314" t="n">
        <v>75001500</v>
      </c>
      <c r="C352" s="314" t="s">
        <v>2162</v>
      </c>
      <c r="D352" s="314" t="s">
        <v>1879</v>
      </c>
      <c r="E352" s="314" t="s">
        <v>1935</v>
      </c>
      <c r="F352" s="314" t="s">
        <v>1936</v>
      </c>
      <c r="G352" s="314" t="s">
        <v>1945</v>
      </c>
      <c r="H352" s="314" t="s">
        <v>1495</v>
      </c>
      <c r="I352" s="314" t="s">
        <v>2163</v>
      </c>
      <c r="K352" s="314" t="s">
        <v>2164</v>
      </c>
      <c r="L352" s="324" t="s">
        <v>2083</v>
      </c>
      <c r="M352" s="324" t="s">
        <v>400</v>
      </c>
      <c r="N352" s="324" t="s">
        <v>870</v>
      </c>
      <c r="O352" s="324" t="s">
        <v>870</v>
      </c>
      <c r="P352" s="324" t="s">
        <v>393</v>
      </c>
      <c r="Q352" s="325" t="n">
        <v>14650247</v>
      </c>
      <c r="R352" s="325" t="n">
        <v>1231726</v>
      </c>
      <c r="S352" s="325" t="n">
        <v>2465136</v>
      </c>
      <c r="T352" s="325" t="n">
        <v>3700231</v>
      </c>
      <c r="U352" s="325" t="n">
        <v>4937014</v>
      </c>
      <c r="V352" s="325" t="n">
        <v>6175488</v>
      </c>
      <c r="W352" s="325" t="n">
        <v>7415654</v>
      </c>
      <c r="X352" s="325" t="n">
        <v>8657515</v>
      </c>
      <c r="Y352" s="325" t="n">
        <v>8657515</v>
      </c>
      <c r="Z352" s="325" t="n">
        <v>11146331</v>
      </c>
      <c r="AA352" s="325"/>
      <c r="AB352" s="325"/>
      <c r="AC352" s="325"/>
      <c r="AD352" s="325"/>
      <c r="AE352" s="325" t="n">
        <f aca="false">R352</f>
        <v>1231726</v>
      </c>
      <c r="AF352" s="325" t="n">
        <f aca="false">S352-R352</f>
        <v>1233410</v>
      </c>
      <c r="AG352" s="325" t="n">
        <f aca="false">T352-S352</f>
        <v>1235095</v>
      </c>
      <c r="AH352" s="325" t="n">
        <f aca="false">U352-T352</f>
        <v>1236783</v>
      </c>
      <c r="AI352" s="325" t="n">
        <f aca="false">V352-U352</f>
        <v>1238474</v>
      </c>
      <c r="AJ352" s="325" t="n">
        <f aca="false">W352-V352</f>
        <v>1240166</v>
      </c>
      <c r="AK352" s="325" t="n">
        <f aca="false">X352-W352</f>
        <v>1241861</v>
      </c>
      <c r="AL352" s="325" t="n">
        <f aca="false">Y352-X352</f>
        <v>0</v>
      </c>
      <c r="AM352" s="325" t="n">
        <f aca="false">Z352-Y352</f>
        <v>2488816</v>
      </c>
      <c r="AN352" s="325" t="s">
        <v>1679</v>
      </c>
      <c r="AO352" s="325" t="n">
        <f aca="false">AB352-AA352</f>
        <v>0</v>
      </c>
      <c r="AP352" s="325" t="n">
        <f aca="false">AC352-AB352</f>
        <v>0</v>
      </c>
      <c r="AR352" s="314" t="str">
        <f aca="false">IFERROR(VLOOKUP(M352,'PL_DEC.2026'!$D$11:$D$99,1,FALSE()),"(미존재)")</f>
        <v>이자비용</v>
      </c>
    </row>
    <row r="353" customFormat="false" ht="16.5" hidden="false" customHeight="false" outlineLevel="0" collapsed="false">
      <c r="A353" s="317" t="s">
        <v>791</v>
      </c>
      <c r="B353" s="314" t="n">
        <v>75250110</v>
      </c>
      <c r="C353" s="314" t="s">
        <v>2165</v>
      </c>
      <c r="D353" s="314" t="s">
        <v>1879</v>
      </c>
      <c r="E353" s="314" t="s">
        <v>1935</v>
      </c>
      <c r="F353" s="314" t="s">
        <v>1936</v>
      </c>
      <c r="G353" s="314" t="s">
        <v>1945</v>
      </c>
      <c r="H353" s="314" t="s">
        <v>1495</v>
      </c>
      <c r="I353" s="314" t="s">
        <v>2166</v>
      </c>
      <c r="K353" s="314" t="s">
        <v>1349</v>
      </c>
      <c r="L353" s="324" t="s">
        <v>2083</v>
      </c>
      <c r="M353" s="324" t="s">
        <v>400</v>
      </c>
      <c r="N353" s="324" t="s">
        <v>870</v>
      </c>
      <c r="O353" s="324" t="s">
        <v>870</v>
      </c>
      <c r="P353" s="324" t="s">
        <v>393</v>
      </c>
      <c r="Q353" s="325" t="n">
        <v>27709972</v>
      </c>
      <c r="R353" s="325" t="n">
        <v>1315952</v>
      </c>
      <c r="S353" s="325" t="n">
        <v>2633787</v>
      </c>
      <c r="T353" s="325" t="n">
        <v>3953507</v>
      </c>
      <c r="U353" s="325" t="n">
        <v>5109086</v>
      </c>
      <c r="V353" s="325" t="n">
        <v>6100289</v>
      </c>
      <c r="W353" s="325" t="n">
        <v>6926881</v>
      </c>
      <c r="X353" s="325" t="n">
        <v>7588627</v>
      </c>
      <c r="Y353" s="325" t="n">
        <v>8085291</v>
      </c>
      <c r="Z353" s="325" t="n">
        <v>8416637</v>
      </c>
      <c r="AA353" s="325"/>
      <c r="AB353" s="325"/>
      <c r="AC353" s="325"/>
      <c r="AD353" s="325"/>
      <c r="AE353" s="325" t="n">
        <f aca="false">R353</f>
        <v>1315952</v>
      </c>
      <c r="AF353" s="325" t="n">
        <f aca="false">S353-R353</f>
        <v>1317835</v>
      </c>
      <c r="AG353" s="325" t="n">
        <f aca="false">T353-S353</f>
        <v>1319720</v>
      </c>
      <c r="AH353" s="325" t="n">
        <f aca="false">U353-T353</f>
        <v>1155579</v>
      </c>
      <c r="AI353" s="325" t="n">
        <f aca="false">V353-U353</f>
        <v>991203</v>
      </c>
      <c r="AJ353" s="325" t="n">
        <f aca="false">W353-V353</f>
        <v>826592</v>
      </c>
      <c r="AK353" s="325" t="n">
        <f aca="false">X353-W353</f>
        <v>661746</v>
      </c>
      <c r="AL353" s="325" t="n">
        <f aca="false">Y353-X353</f>
        <v>496664</v>
      </c>
      <c r="AM353" s="325" t="n">
        <f aca="false">Z353-Y353</f>
        <v>331346</v>
      </c>
      <c r="AN353" s="325" t="s">
        <v>1679</v>
      </c>
      <c r="AO353" s="325" t="n">
        <f aca="false">AB353-AA353</f>
        <v>0</v>
      </c>
      <c r="AP353" s="325" t="n">
        <f aca="false">AC353-AB353</f>
        <v>0</v>
      </c>
      <c r="AR353" s="314" t="str">
        <f aca="false">IFERROR(VLOOKUP(M353,'PL_DEC.2026'!$D$11:$D$99,1,FALSE()),"(미존재)")</f>
        <v>이자비용</v>
      </c>
    </row>
    <row r="354" customFormat="false" ht="16.5" hidden="false" customHeight="false" outlineLevel="0" collapsed="false">
      <c r="A354" s="317" t="s">
        <v>791</v>
      </c>
      <c r="B354" s="314" t="n">
        <v>75300850</v>
      </c>
      <c r="C354" s="314" t="s">
        <v>2167</v>
      </c>
      <c r="D354" s="314" t="s">
        <v>1879</v>
      </c>
      <c r="E354" s="314" t="s">
        <v>1935</v>
      </c>
      <c r="F354" s="314" t="s">
        <v>2168</v>
      </c>
      <c r="G354" s="314" t="s">
        <v>1945</v>
      </c>
      <c r="H354" s="314" t="s">
        <v>1495</v>
      </c>
      <c r="I354" s="314" t="s">
        <v>2169</v>
      </c>
      <c r="K354" s="314" t="s">
        <v>2170</v>
      </c>
      <c r="L354" s="324" t="s">
        <v>870</v>
      </c>
      <c r="M354" s="324" t="s">
        <v>382</v>
      </c>
      <c r="N354" s="324" t="s">
        <v>870</v>
      </c>
      <c r="O354" s="324" t="s">
        <v>870</v>
      </c>
      <c r="P354" s="324" t="s">
        <v>382</v>
      </c>
      <c r="Q354" s="325" t="n">
        <v>-219671928</v>
      </c>
      <c r="R354" s="325" t="n">
        <v>-8222744</v>
      </c>
      <c r="S354" s="325" t="n">
        <v>-52264094</v>
      </c>
      <c r="T354" s="325" t="n">
        <v>-109549194</v>
      </c>
      <c r="U354" s="325" t="n">
        <v>-142577964</v>
      </c>
      <c r="V354" s="325" t="n">
        <v>-149295165</v>
      </c>
      <c r="W354" s="325" t="n">
        <v>-173343911</v>
      </c>
      <c r="X354" s="325" t="n">
        <v>-176772027</v>
      </c>
      <c r="Y354" s="325" t="n">
        <v>-184325281</v>
      </c>
      <c r="Z354" s="325" t="n">
        <v>-191454870</v>
      </c>
      <c r="AA354" s="325"/>
      <c r="AB354" s="325"/>
      <c r="AC354" s="325"/>
      <c r="AD354" s="325"/>
      <c r="AE354" s="325" t="n">
        <f aca="false">R354</f>
        <v>-8222744</v>
      </c>
      <c r="AF354" s="325" t="n">
        <f aca="false">S354-R354</f>
        <v>-44041350</v>
      </c>
      <c r="AG354" s="325" t="n">
        <f aca="false">T354-S354</f>
        <v>-57285100</v>
      </c>
      <c r="AH354" s="325" t="n">
        <f aca="false">U354-T354</f>
        <v>-33028770</v>
      </c>
      <c r="AI354" s="325" t="n">
        <f aca="false">V354-U354</f>
        <v>-6717201</v>
      </c>
      <c r="AJ354" s="325" t="n">
        <f aca="false">W354-V354</f>
        <v>-24048746</v>
      </c>
      <c r="AK354" s="325" t="n">
        <f aca="false">X354-W354</f>
        <v>-3428116</v>
      </c>
      <c r="AL354" s="325" t="n">
        <f aca="false">Y354-X354</f>
        <v>-7553254</v>
      </c>
      <c r="AM354" s="325" t="n">
        <f aca="false">Z354-Y354</f>
        <v>-7129589</v>
      </c>
      <c r="AN354" s="325" t="s">
        <v>1679</v>
      </c>
      <c r="AO354" s="325" t="n">
        <f aca="false">AB354-AA354</f>
        <v>0</v>
      </c>
      <c r="AP354" s="325" t="n">
        <f aca="false">AC354-AB354</f>
        <v>0</v>
      </c>
      <c r="AR354" s="314" t="str">
        <f aca="false">IFERROR(VLOOKUP(M354,'PL_DEC.2026'!$D$11:$D$99,1,FALSE()),"(미존재)")</f>
        <v>이자수익</v>
      </c>
    </row>
    <row r="355" customFormat="false" ht="16.5" hidden="false" customHeight="false" outlineLevel="0" collapsed="false">
      <c r="A355" s="317" t="s">
        <v>791</v>
      </c>
      <c r="B355" s="314" t="n">
        <v>75500000</v>
      </c>
      <c r="C355" s="314" t="s">
        <v>2171</v>
      </c>
      <c r="D355" s="314" t="s">
        <v>1879</v>
      </c>
      <c r="E355" s="314" t="s">
        <v>1935</v>
      </c>
      <c r="F355" s="314" t="s">
        <v>2168</v>
      </c>
      <c r="G355" s="314" t="s">
        <v>1945</v>
      </c>
      <c r="H355" s="314" t="s">
        <v>1495</v>
      </c>
      <c r="I355" s="314" t="s">
        <v>2169</v>
      </c>
      <c r="K355" s="314" t="s">
        <v>2170</v>
      </c>
      <c r="L355" s="324" t="s">
        <v>870</v>
      </c>
      <c r="M355" s="324" t="s">
        <v>382</v>
      </c>
      <c r="N355" s="324" t="s">
        <v>870</v>
      </c>
      <c r="O355" s="324" t="s">
        <v>870</v>
      </c>
      <c r="P355" s="324" t="s">
        <v>382</v>
      </c>
      <c r="Q355" s="325" t="n">
        <v>-18769094</v>
      </c>
      <c r="R355" s="325" t="n">
        <v>0</v>
      </c>
      <c r="S355" s="325" t="n">
        <v>0</v>
      </c>
      <c r="T355" s="325" t="n">
        <v>-3239144</v>
      </c>
      <c r="U355" s="325" t="n">
        <v>-3239144</v>
      </c>
      <c r="V355" s="325" t="n">
        <v>-3239144</v>
      </c>
      <c r="W355" s="325" t="n">
        <v>-6477998</v>
      </c>
      <c r="X355" s="325" t="n">
        <v>-6477998</v>
      </c>
      <c r="Y355" s="325" t="n">
        <v>-6477998</v>
      </c>
      <c r="Z355" s="325" t="n">
        <v>-9771588</v>
      </c>
      <c r="AA355" s="325"/>
      <c r="AB355" s="325"/>
      <c r="AC355" s="325"/>
      <c r="AD355" s="325"/>
      <c r="AE355" s="325" t="n">
        <f aca="false">R355</f>
        <v>0</v>
      </c>
      <c r="AF355" s="325" t="n">
        <f aca="false">S355-R355</f>
        <v>0</v>
      </c>
      <c r="AG355" s="325" t="n">
        <f aca="false">T355-S355</f>
        <v>-3239144</v>
      </c>
      <c r="AH355" s="325" t="n">
        <f aca="false">U355-T355</f>
        <v>0</v>
      </c>
      <c r="AI355" s="325" t="n">
        <f aca="false">V355-U355</f>
        <v>0</v>
      </c>
      <c r="AJ355" s="325" t="n">
        <f aca="false">W355-V355</f>
        <v>-3238854</v>
      </c>
      <c r="AK355" s="325" t="n">
        <f aca="false">X355-W355</f>
        <v>0</v>
      </c>
      <c r="AL355" s="325" t="n">
        <f aca="false">Y355-X355</f>
        <v>0</v>
      </c>
      <c r="AM355" s="325" t="n">
        <f aca="false">Z355-Y355</f>
        <v>-3293590</v>
      </c>
      <c r="AN355" s="325" t="s">
        <v>1679</v>
      </c>
      <c r="AO355" s="325" t="n">
        <f aca="false">AB355-AA355</f>
        <v>0</v>
      </c>
      <c r="AP355" s="325" t="n">
        <f aca="false">AC355-AB355</f>
        <v>0</v>
      </c>
      <c r="AR355" s="314" t="str">
        <f aca="false">IFERROR(VLOOKUP(M355,'PL_DEC.2026'!$D$11:$D$99,1,FALSE()),"(미존재)")</f>
        <v>이자수익</v>
      </c>
    </row>
    <row r="356" customFormat="false" ht="16.5" hidden="false" customHeight="false" outlineLevel="0" collapsed="false">
      <c r="A356" s="317" t="s">
        <v>791</v>
      </c>
      <c r="B356" s="314" t="n">
        <v>77000851</v>
      </c>
      <c r="C356" s="314" t="s">
        <v>2172</v>
      </c>
      <c r="D356" s="314" t="s">
        <v>1879</v>
      </c>
      <c r="E356" s="314" t="s">
        <v>1935</v>
      </c>
      <c r="F356" s="314" t="s">
        <v>2173</v>
      </c>
      <c r="G356" s="314" t="s">
        <v>1746</v>
      </c>
      <c r="H356" s="314" t="s">
        <v>1495</v>
      </c>
      <c r="I356" s="314" t="s">
        <v>2174</v>
      </c>
      <c r="K356" s="314" t="s">
        <v>1635</v>
      </c>
      <c r="L356" s="324" t="s">
        <v>2083</v>
      </c>
      <c r="M356" s="324" t="s">
        <v>386</v>
      </c>
      <c r="N356" s="324" t="s">
        <v>870</v>
      </c>
      <c r="O356" s="324" t="s">
        <v>870</v>
      </c>
      <c r="P356" s="324" t="s">
        <v>2175</v>
      </c>
      <c r="Q356" s="325" t="n">
        <v>-7432120758</v>
      </c>
      <c r="R356" s="325" t="n">
        <v>0</v>
      </c>
      <c r="S356" s="325" t="n">
        <v>0</v>
      </c>
      <c r="T356" s="325" t="n">
        <v>0</v>
      </c>
      <c r="U356" s="325" t="n">
        <v>0</v>
      </c>
      <c r="V356" s="325" t="n">
        <v>0</v>
      </c>
      <c r="W356" s="325" t="n">
        <v>0</v>
      </c>
      <c r="X356" s="325" t="n">
        <v>0</v>
      </c>
      <c r="Y356" s="325" t="n">
        <v>0</v>
      </c>
      <c r="Z356" s="325" t="n">
        <v>0</v>
      </c>
      <c r="AA356" s="325"/>
      <c r="AB356" s="325"/>
      <c r="AC356" s="325"/>
      <c r="AD356" s="325"/>
      <c r="AE356" s="325" t="n">
        <f aca="false">R356</f>
        <v>0</v>
      </c>
      <c r="AF356" s="325" t="n">
        <f aca="false">S356-R356</f>
        <v>0</v>
      </c>
      <c r="AG356" s="325" t="n">
        <f aca="false">T356-S356</f>
        <v>0</v>
      </c>
      <c r="AH356" s="325" t="n">
        <f aca="false">U356-T356</f>
        <v>0</v>
      </c>
      <c r="AI356" s="325" t="n">
        <f aca="false">V356-U356</f>
        <v>0</v>
      </c>
      <c r="AJ356" s="325" t="n">
        <f aca="false">W356-V356</f>
        <v>0</v>
      </c>
      <c r="AK356" s="325" t="n">
        <f aca="false">X356-W356</f>
        <v>0</v>
      </c>
      <c r="AL356" s="325" t="n">
        <f aca="false">Y356-X356</f>
        <v>0</v>
      </c>
      <c r="AM356" s="325" t="n">
        <f aca="false">Z356-Y356</f>
        <v>0</v>
      </c>
      <c r="AN356" s="325" t="s">
        <v>1679</v>
      </c>
      <c r="AO356" s="325" t="n">
        <f aca="false">AB356-AA356</f>
        <v>0</v>
      </c>
      <c r="AP356" s="325" t="n">
        <f aca="false">AC356-AB356</f>
        <v>0</v>
      </c>
      <c r="AR356" s="314" t="str">
        <f aca="false">IFERROR(VLOOKUP(M356,'PL_DEC.2026'!$D$11:$D$99,1,FALSE()),"(미존재)")</f>
        <v>투자자산처분이익</v>
      </c>
    </row>
    <row r="357" customFormat="false" ht="16.5" hidden="false" customHeight="false" outlineLevel="0" collapsed="false">
      <c r="A357" s="317" t="s">
        <v>791</v>
      </c>
      <c r="B357" s="314" t="n">
        <v>77900001</v>
      </c>
      <c r="C357" s="314" t="s">
        <v>2176</v>
      </c>
      <c r="D357" s="314" t="s">
        <v>1879</v>
      </c>
      <c r="E357" s="314" t="s">
        <v>2177</v>
      </c>
      <c r="F357" s="314" t="s">
        <v>2176</v>
      </c>
      <c r="G357" s="314" t="s">
        <v>1882</v>
      </c>
      <c r="H357" s="314" t="s">
        <v>1495</v>
      </c>
      <c r="I357" s="314" t="s">
        <v>1904</v>
      </c>
      <c r="K357" s="314" t="s">
        <v>1905</v>
      </c>
      <c r="L357" s="324" t="s">
        <v>1929</v>
      </c>
      <c r="M357" s="324" t="s">
        <v>346</v>
      </c>
      <c r="N357" s="324" t="s">
        <v>1929</v>
      </c>
      <c r="O357" s="324" t="s">
        <v>1966</v>
      </c>
      <c r="P357" s="324" t="s">
        <v>346</v>
      </c>
      <c r="Q357" s="325" t="n">
        <v>0</v>
      </c>
      <c r="R357" s="325" t="n">
        <v>0</v>
      </c>
      <c r="S357" s="325" t="n">
        <v>-24598660</v>
      </c>
      <c r="T357" s="325" t="n">
        <v>-24598660</v>
      </c>
      <c r="U357" s="325" t="n">
        <v>131374060</v>
      </c>
      <c r="V357" s="325" t="n">
        <v>131374060</v>
      </c>
      <c r="W357" s="325" t="n">
        <v>131374060</v>
      </c>
      <c r="X357" s="325" t="n">
        <v>131374060</v>
      </c>
      <c r="Y357" s="325" t="n">
        <v>131374060</v>
      </c>
      <c r="Z357" s="325" t="n">
        <v>131374060</v>
      </c>
      <c r="AA357" s="325"/>
      <c r="AB357" s="325"/>
      <c r="AC357" s="325"/>
      <c r="AD357" s="325"/>
      <c r="AE357" s="325" t="n">
        <f aca="false">R357</f>
        <v>0</v>
      </c>
      <c r="AF357" s="325" t="n">
        <f aca="false">S357-R357</f>
        <v>-24598660</v>
      </c>
      <c r="AG357" s="325" t="n">
        <f aca="false">T357-S357</f>
        <v>0</v>
      </c>
      <c r="AH357" s="325" t="n">
        <f aca="false">U357-T357</f>
        <v>155972720</v>
      </c>
      <c r="AI357" s="325" t="n">
        <f aca="false">V357-U357</f>
        <v>0</v>
      </c>
      <c r="AJ357" s="325" t="n">
        <f aca="false">W357-V357</f>
        <v>0</v>
      </c>
      <c r="AK357" s="325" t="n">
        <f aca="false">X357-W357</f>
        <v>0</v>
      </c>
      <c r="AL357" s="325" t="n">
        <f aca="false">Y357-X357</f>
        <v>0</v>
      </c>
      <c r="AM357" s="325" t="n">
        <f aca="false">Z357-Y357</f>
        <v>0</v>
      </c>
      <c r="AN357" s="325" t="s">
        <v>1679</v>
      </c>
      <c r="AO357" s="325" t="n">
        <f aca="false">AB357-AA357</f>
        <v>0</v>
      </c>
      <c r="AP357" s="325" t="n">
        <f aca="false">AC357-AB357</f>
        <v>0</v>
      </c>
      <c r="AR357" s="314" t="str">
        <f aca="false">IFERROR(VLOOKUP(M357,'PL_DEC.2026'!$D$11:$D$99,1,FALSE()),"(미존재)")</f>
        <v>제세공과</v>
      </c>
    </row>
    <row r="358" customFormat="false" ht="16.5" hidden="false" customHeight="false" outlineLevel="0" collapsed="false">
      <c r="A358" s="317" t="s">
        <v>791</v>
      </c>
      <c r="B358" s="314" t="n">
        <v>78000000</v>
      </c>
      <c r="C358" s="314" t="s">
        <v>2178</v>
      </c>
      <c r="D358" s="314" t="s">
        <v>1879</v>
      </c>
      <c r="E358" s="314" t="s">
        <v>2177</v>
      </c>
      <c r="F358" s="314" t="s">
        <v>2178</v>
      </c>
      <c r="G358" s="314" t="s">
        <v>1926</v>
      </c>
      <c r="H358" s="314" t="s">
        <v>1495</v>
      </c>
      <c r="I358" s="314" t="s">
        <v>2179</v>
      </c>
      <c r="K358" s="314" t="s">
        <v>2180</v>
      </c>
      <c r="L358" s="324" t="s">
        <v>2181</v>
      </c>
      <c r="M358" s="324" t="s">
        <v>428</v>
      </c>
      <c r="N358" s="324" t="s">
        <v>2181</v>
      </c>
      <c r="O358" s="324" t="s">
        <v>428</v>
      </c>
      <c r="P358" s="324" t="s">
        <v>428</v>
      </c>
      <c r="Q358" s="325" t="n">
        <v>11006749505</v>
      </c>
      <c r="R358" s="325" t="n">
        <v>0</v>
      </c>
      <c r="S358" s="325" t="n">
        <v>0</v>
      </c>
      <c r="T358" s="325" t="n">
        <v>1495993489</v>
      </c>
      <c r="U358" s="325" t="n">
        <v>1495993489</v>
      </c>
      <c r="V358" s="325" t="n">
        <v>1495993489</v>
      </c>
      <c r="W358" s="325" t="n">
        <v>1495993489</v>
      </c>
      <c r="X358" s="325" t="n">
        <v>2918765154</v>
      </c>
      <c r="Y358" s="325" t="n">
        <v>2918765154</v>
      </c>
      <c r="Z358" s="325" t="n">
        <v>8845776907</v>
      </c>
      <c r="AA358" s="325"/>
      <c r="AB358" s="325"/>
      <c r="AC358" s="325"/>
      <c r="AD358" s="325"/>
      <c r="AE358" s="325" t="n">
        <f aca="false">R358</f>
        <v>0</v>
      </c>
      <c r="AF358" s="325" t="n">
        <f aca="false">S358-R358</f>
        <v>0</v>
      </c>
      <c r="AG358" s="325" t="n">
        <f aca="false">T358-S358</f>
        <v>1495993489</v>
      </c>
      <c r="AH358" s="325" t="n">
        <f aca="false">U358-T358</f>
        <v>0</v>
      </c>
      <c r="AI358" s="325" t="n">
        <f aca="false">V358-U358</f>
        <v>0</v>
      </c>
      <c r="AJ358" s="325" t="n">
        <f aca="false">W358-V358</f>
        <v>0</v>
      </c>
      <c r="AK358" s="325" t="n">
        <f aca="false">X358-W358</f>
        <v>1422771665</v>
      </c>
      <c r="AL358" s="325" t="n">
        <f aca="false">Y358-X358</f>
        <v>0</v>
      </c>
      <c r="AM358" s="325" t="n">
        <f aca="false">Z358-Y358</f>
        <v>5927011753</v>
      </c>
      <c r="AN358" s="325" t="s">
        <v>1679</v>
      </c>
      <c r="AO358" s="325" t="n">
        <f aca="false">AB358-AA358</f>
        <v>0</v>
      </c>
      <c r="AP358" s="325" t="n">
        <f aca="false">AC358-AB358</f>
        <v>0</v>
      </c>
      <c r="AR358" s="314" t="str">
        <f aca="false">IFERROR(VLOOKUP(M358,'PL_DEC.2026'!$D$11:$D$99,1,FALSE()),"(미존재)")</f>
        <v>(미존재)</v>
      </c>
    </row>
    <row r="359" customFormat="false" ht="16.5" hidden="false" customHeight="false" outlineLevel="0" collapsed="false">
      <c r="A359" s="317" t="s">
        <v>791</v>
      </c>
      <c r="B359" s="314" t="n">
        <v>78000103</v>
      </c>
      <c r="C359" s="314" t="s">
        <v>2182</v>
      </c>
      <c r="D359" s="314" t="s">
        <v>1879</v>
      </c>
      <c r="E359" s="314" t="s">
        <v>2177</v>
      </c>
      <c r="F359" s="314" t="s">
        <v>2182</v>
      </c>
      <c r="G359" s="314" t="s">
        <v>1926</v>
      </c>
      <c r="H359" s="314" t="s">
        <v>1495</v>
      </c>
      <c r="I359" s="314" t="s">
        <v>2183</v>
      </c>
      <c r="K359" s="314" t="s">
        <v>2184</v>
      </c>
      <c r="L359" s="324" t="s">
        <v>2181</v>
      </c>
      <c r="M359" s="324" t="s">
        <v>428</v>
      </c>
      <c r="N359" s="324" t="s">
        <v>2181</v>
      </c>
      <c r="O359" s="324" t="s">
        <v>428</v>
      </c>
      <c r="P359" s="324" t="s">
        <v>428</v>
      </c>
      <c r="Q359" s="325" t="n">
        <v>0</v>
      </c>
      <c r="R359" s="325" t="n">
        <v>0</v>
      </c>
      <c r="S359" s="325" t="n">
        <v>0</v>
      </c>
      <c r="T359" s="325" t="n">
        <v>0</v>
      </c>
      <c r="U359" s="325" t="n">
        <v>0</v>
      </c>
      <c r="V359" s="325" t="n">
        <v>0</v>
      </c>
      <c r="W359" s="325" t="n">
        <v>-485636067</v>
      </c>
      <c r="X359" s="325" t="n">
        <v>-485636067</v>
      </c>
      <c r="Y359" s="325" t="n">
        <v>-332114429</v>
      </c>
      <c r="Z359" s="325" t="n">
        <v>-332114429</v>
      </c>
      <c r="AA359" s="325"/>
      <c r="AB359" s="325"/>
      <c r="AC359" s="325"/>
      <c r="AD359" s="325"/>
      <c r="AE359" s="325" t="n">
        <f aca="false">R359</f>
        <v>0</v>
      </c>
      <c r="AF359" s="325" t="n">
        <f aca="false">S359-R359</f>
        <v>0</v>
      </c>
      <c r="AG359" s="325" t="n">
        <f aca="false">T359-S359</f>
        <v>0</v>
      </c>
      <c r="AH359" s="325" t="n">
        <f aca="false">U359-T359</f>
        <v>0</v>
      </c>
      <c r="AI359" s="325" t="n">
        <f aca="false">V359-U359</f>
        <v>0</v>
      </c>
      <c r="AJ359" s="325" t="n">
        <f aca="false">W359-V359</f>
        <v>-485636067</v>
      </c>
      <c r="AK359" s="325" t="n">
        <f aca="false">X359-W359</f>
        <v>0</v>
      </c>
      <c r="AL359" s="325" t="n">
        <f aca="false">Y359-X359</f>
        <v>153521638</v>
      </c>
      <c r="AM359" s="325" t="n">
        <f aca="false">Z359-Y359</f>
        <v>0</v>
      </c>
      <c r="AN359" s="325" t="s">
        <v>1679</v>
      </c>
      <c r="AO359" s="325" t="n">
        <f aca="false">AB359-AA359</f>
        <v>0</v>
      </c>
      <c r="AP359" s="325" t="n">
        <f aca="false">AC359-AB359</f>
        <v>0</v>
      </c>
      <c r="AR359" s="314" t="str">
        <f aca="false">IFERROR(VLOOKUP(M359,'PL_DEC.2026'!$D$11:$D$99,1,FALSE()),"(미존재)")</f>
        <v>(미존재)</v>
      </c>
    </row>
    <row r="360" customFormat="false" ht="16.5" hidden="false" customHeight="false" outlineLevel="0" collapsed="false">
      <c r="A360" s="317" t="s">
        <v>791</v>
      </c>
      <c r="B360" s="314" t="n">
        <v>78000600</v>
      </c>
      <c r="C360" s="314" t="s">
        <v>2185</v>
      </c>
      <c r="D360" s="314" t="s">
        <v>1879</v>
      </c>
      <c r="E360" s="314" t="s">
        <v>2177</v>
      </c>
      <c r="F360" s="314" t="s">
        <v>2185</v>
      </c>
      <c r="G360" s="314" t="s">
        <v>1926</v>
      </c>
      <c r="H360" s="314" t="s">
        <v>1495</v>
      </c>
      <c r="I360" s="314" t="s">
        <v>2179</v>
      </c>
      <c r="K360" s="314" t="s">
        <v>2180</v>
      </c>
      <c r="L360" s="324" t="s">
        <v>1929</v>
      </c>
      <c r="M360" s="324" t="s">
        <v>428</v>
      </c>
      <c r="N360" s="324" t="s">
        <v>2181</v>
      </c>
      <c r="O360" s="324" t="s">
        <v>428</v>
      </c>
      <c r="P360" s="324" t="s">
        <v>428</v>
      </c>
      <c r="Q360" s="325" t="n">
        <v>-31</v>
      </c>
      <c r="R360" s="325" t="n">
        <v>0</v>
      </c>
      <c r="S360" s="325" t="n">
        <v>0</v>
      </c>
      <c r="T360" s="325" t="n">
        <v>0</v>
      </c>
      <c r="U360" s="325" t="n">
        <v>0</v>
      </c>
      <c r="V360" s="325" t="n">
        <v>0</v>
      </c>
      <c r="W360" s="325" t="n">
        <v>-172173700</v>
      </c>
      <c r="X360" s="325" t="n">
        <v>0</v>
      </c>
      <c r="Y360" s="325" t="n">
        <v>0</v>
      </c>
      <c r="Z360" s="325" t="n">
        <v>0</v>
      </c>
      <c r="AA360" s="325"/>
      <c r="AB360" s="325"/>
      <c r="AC360" s="325"/>
      <c r="AD360" s="325"/>
      <c r="AE360" s="325" t="n">
        <f aca="false">R360</f>
        <v>0</v>
      </c>
      <c r="AF360" s="325" t="n">
        <f aca="false">S360-R360</f>
        <v>0</v>
      </c>
      <c r="AG360" s="325" t="n">
        <f aca="false">T360-S360</f>
        <v>0</v>
      </c>
      <c r="AH360" s="325" t="n">
        <f aca="false">U360-T360</f>
        <v>0</v>
      </c>
      <c r="AI360" s="325" t="n">
        <f aca="false">V360-U360</f>
        <v>0</v>
      </c>
      <c r="AJ360" s="325" t="n">
        <f aca="false">W360-V360</f>
        <v>-172173700</v>
      </c>
      <c r="AK360" s="325" t="n">
        <f aca="false">X360-W360</f>
        <v>172173700</v>
      </c>
      <c r="AL360" s="325" t="n">
        <f aca="false">Y360-X360</f>
        <v>0</v>
      </c>
      <c r="AM360" s="325" t="n">
        <f aca="false">Z360-Y360</f>
        <v>0</v>
      </c>
      <c r="AN360" s="325" t="s">
        <v>1679</v>
      </c>
      <c r="AO360" s="325" t="n">
        <f aca="false">AB360-AA360</f>
        <v>0</v>
      </c>
      <c r="AP360" s="325" t="n">
        <f aca="false">AC360-AB360</f>
        <v>0</v>
      </c>
      <c r="AR360" s="314" t="str">
        <f aca="false">IFERROR(VLOOKUP(M360,'PL_DEC.2026'!$D$11:$D$99,1,FALSE()),"(미존재)")</f>
        <v>(미존재)</v>
      </c>
    </row>
    <row r="361" customFormat="false" ht="16.5" hidden="false" customHeight="false" outlineLevel="0" collapsed="false">
      <c r="A361" s="317" t="s">
        <v>791</v>
      </c>
      <c r="B361" s="314" t="n">
        <v>78200000</v>
      </c>
      <c r="C361" s="314" t="s">
        <v>2186</v>
      </c>
      <c r="D361" s="314" t="s">
        <v>1879</v>
      </c>
      <c r="E361" s="314" t="s">
        <v>2177</v>
      </c>
      <c r="F361" s="314" t="s">
        <v>2186</v>
      </c>
      <c r="G361" s="314" t="s">
        <v>1926</v>
      </c>
      <c r="H361" s="314" t="s">
        <v>1495</v>
      </c>
      <c r="I361" s="314" t="s">
        <v>2187</v>
      </c>
      <c r="K361" s="314" t="s">
        <v>2188</v>
      </c>
      <c r="L361" s="324" t="s">
        <v>2181</v>
      </c>
      <c r="M361" s="324" t="s">
        <v>428</v>
      </c>
      <c r="N361" s="324" t="s">
        <v>2181</v>
      </c>
      <c r="O361" s="324" t="s">
        <v>428</v>
      </c>
      <c r="P361" s="324" t="s">
        <v>428</v>
      </c>
      <c r="Q361" s="325" t="n">
        <v>-2709185174</v>
      </c>
      <c r="R361" s="325" t="n">
        <v>0</v>
      </c>
      <c r="S361" s="325" t="n">
        <v>0</v>
      </c>
      <c r="T361" s="325" t="n">
        <v>3893808898</v>
      </c>
      <c r="U361" s="325" t="n">
        <v>3893808898</v>
      </c>
      <c r="V361" s="325" t="n">
        <v>3893808898</v>
      </c>
      <c r="W361" s="325" t="n">
        <v>3893808898</v>
      </c>
      <c r="X361" s="325" t="n">
        <v>4928179679</v>
      </c>
      <c r="Y361" s="325" t="n">
        <v>4928179679</v>
      </c>
      <c r="Z361" s="325" t="n">
        <v>4628694078</v>
      </c>
      <c r="AA361" s="325"/>
      <c r="AB361" s="325"/>
      <c r="AC361" s="325"/>
      <c r="AD361" s="325"/>
      <c r="AE361" s="325" t="n">
        <f aca="false">R361</f>
        <v>0</v>
      </c>
      <c r="AF361" s="325" t="n">
        <f aca="false">S361-R361</f>
        <v>0</v>
      </c>
      <c r="AG361" s="325" t="n">
        <f aca="false">T361-S361</f>
        <v>3893808898</v>
      </c>
      <c r="AH361" s="325" t="n">
        <f aca="false">U361-T361</f>
        <v>0</v>
      </c>
      <c r="AI361" s="325" t="n">
        <f aca="false">V361-U361</f>
        <v>0</v>
      </c>
      <c r="AJ361" s="325" t="n">
        <f aca="false">W361-V361</f>
        <v>0</v>
      </c>
      <c r="AK361" s="325" t="n">
        <f aca="false">X361-W361</f>
        <v>1034370781</v>
      </c>
      <c r="AL361" s="325" t="n">
        <f aca="false">Y361-X361</f>
        <v>0</v>
      </c>
      <c r="AM361" s="325" t="n">
        <f aca="false">Z361-Y361</f>
        <v>-299485601</v>
      </c>
      <c r="AN361" s="325" t="s">
        <v>1679</v>
      </c>
      <c r="AO361" s="325" t="n">
        <f aca="false">AB361-AA361</f>
        <v>0</v>
      </c>
      <c r="AP361" s="325" t="n">
        <f aca="false">AC361-AB361</f>
        <v>0</v>
      </c>
      <c r="AR361" s="314" t="str">
        <f aca="false">IFERROR(VLOOKUP(M361,'PL_DEC.2026'!$D$11:$D$99,1,FALSE()),"(미존재)")</f>
        <v>(미존재)</v>
      </c>
    </row>
    <row r="362" customFormat="false" ht="16.5" hidden="false" customHeight="false" outlineLevel="0" collapsed="false">
      <c r="A362" s="317" t="s">
        <v>791</v>
      </c>
      <c r="B362" s="314" t="n">
        <v>78250000</v>
      </c>
      <c r="C362" s="314" t="s">
        <v>2189</v>
      </c>
      <c r="D362" s="314" t="s">
        <v>1879</v>
      </c>
      <c r="E362" s="314" t="s">
        <v>2079</v>
      </c>
      <c r="F362" s="314" t="s">
        <v>2190</v>
      </c>
      <c r="G362" s="314" t="s">
        <v>1926</v>
      </c>
      <c r="H362" s="314" t="s">
        <v>1495</v>
      </c>
      <c r="I362" s="314" t="s">
        <v>1941</v>
      </c>
      <c r="J362" s="314" t="s">
        <v>1458</v>
      </c>
      <c r="K362" s="314" t="s">
        <v>1942</v>
      </c>
      <c r="L362" s="324" t="s">
        <v>2083</v>
      </c>
      <c r="M362" s="324" t="s">
        <v>428</v>
      </c>
      <c r="N362" s="324" t="s">
        <v>1090</v>
      </c>
      <c r="O362" s="324" t="s">
        <v>1090</v>
      </c>
      <c r="P362" s="324" t="s">
        <v>414</v>
      </c>
      <c r="Q362" s="325" t="n">
        <v>451069375</v>
      </c>
      <c r="R362" s="325" t="n">
        <v>0</v>
      </c>
      <c r="S362" s="325" t="n">
        <v>0</v>
      </c>
      <c r="T362" s="325" t="n">
        <v>-103890666</v>
      </c>
      <c r="U362" s="325" t="n">
        <v>163609486</v>
      </c>
      <c r="V362" s="325" t="n">
        <v>163886636</v>
      </c>
      <c r="W362" s="325" t="n">
        <v>163886636</v>
      </c>
      <c r="X362" s="325" t="n">
        <v>-39507675</v>
      </c>
      <c r="Y362" s="325" t="n">
        <v>-39664165</v>
      </c>
      <c r="Z362" s="325" t="n">
        <v>-39664165</v>
      </c>
      <c r="AA362" s="325"/>
      <c r="AB362" s="325"/>
      <c r="AC362" s="325"/>
      <c r="AD362" s="325"/>
      <c r="AE362" s="325" t="n">
        <f aca="false">R362</f>
        <v>0</v>
      </c>
      <c r="AF362" s="325" t="n">
        <f aca="false">S362-R362</f>
        <v>0</v>
      </c>
      <c r="AG362" s="325" t="n">
        <f aca="false">T362-S362</f>
        <v>-103890666</v>
      </c>
      <c r="AH362" s="325" t="n">
        <f aca="false">U362-T362</f>
        <v>267500152</v>
      </c>
      <c r="AI362" s="325" t="n">
        <f aca="false">V362-U362</f>
        <v>277150</v>
      </c>
      <c r="AJ362" s="325" t="n">
        <f aca="false">W362-V362</f>
        <v>0</v>
      </c>
      <c r="AK362" s="325" t="n">
        <f aca="false">X362-W362</f>
        <v>-203394311</v>
      </c>
      <c r="AL362" s="325" t="n">
        <f aca="false">Y362-X362</f>
        <v>-156490</v>
      </c>
      <c r="AM362" s="325" t="n">
        <f aca="false">Z362-Y362</f>
        <v>0</v>
      </c>
      <c r="AN362" s="325" t="s">
        <v>1679</v>
      </c>
      <c r="AO362" s="325" t="n">
        <f aca="false">AB362-AA362</f>
        <v>0</v>
      </c>
      <c r="AP362" s="325" t="n">
        <f aca="false">AC362-AB362</f>
        <v>0</v>
      </c>
      <c r="AR362" s="314" t="str">
        <f aca="false">IFERROR(VLOOKUP(M362,'PL_DEC.2026'!$D$11:$D$99,1,FALSE()),"(미존재)")</f>
        <v>(미존재)</v>
      </c>
    </row>
    <row r="363" customFormat="false" ht="16.5" hidden="false" customHeight="false" outlineLevel="0" collapsed="false">
      <c r="A363" s="317" t="s">
        <v>791</v>
      </c>
      <c r="B363" s="314" t="n">
        <v>79000100</v>
      </c>
      <c r="C363" s="314" t="s">
        <v>2191</v>
      </c>
      <c r="D363" s="314" t="s">
        <v>1879</v>
      </c>
      <c r="E363" s="314" t="s">
        <v>2079</v>
      </c>
      <c r="F363" s="314" t="s">
        <v>2080</v>
      </c>
      <c r="G363" s="314" t="s">
        <v>1945</v>
      </c>
      <c r="H363" s="314" t="s">
        <v>1495</v>
      </c>
      <c r="I363" s="314" t="s">
        <v>2192</v>
      </c>
      <c r="K363" s="314" t="s">
        <v>2193</v>
      </c>
      <c r="L363" s="324" t="s">
        <v>1929</v>
      </c>
      <c r="M363" s="324" t="s">
        <v>344</v>
      </c>
      <c r="N363" s="324" t="s">
        <v>1090</v>
      </c>
      <c r="O363" s="324" t="s">
        <v>1090</v>
      </c>
      <c r="P363" s="324" t="s">
        <v>419</v>
      </c>
      <c r="Q363" s="325" t="n">
        <v>603131607</v>
      </c>
      <c r="R363" s="325" t="n">
        <v>430800</v>
      </c>
      <c r="S363" s="325" t="n">
        <v>913296</v>
      </c>
      <c r="T363" s="325" t="n">
        <v>1430256</v>
      </c>
      <c r="U363" s="325" t="n">
        <v>1998912</v>
      </c>
      <c r="V363" s="325" t="n">
        <v>2498640</v>
      </c>
      <c r="W363" s="325" t="n">
        <v>2998368</v>
      </c>
      <c r="X363" s="325" t="n">
        <v>3567024</v>
      </c>
      <c r="Y363" s="325" t="n">
        <v>4066752</v>
      </c>
      <c r="Z363" s="325" t="n">
        <v>4549248</v>
      </c>
      <c r="AA363" s="325"/>
      <c r="AB363" s="325"/>
      <c r="AC363" s="325"/>
      <c r="AD363" s="325"/>
      <c r="AE363" s="325" t="n">
        <f aca="false">R363</f>
        <v>430800</v>
      </c>
      <c r="AF363" s="325" t="n">
        <f aca="false">S363-R363</f>
        <v>482496</v>
      </c>
      <c r="AG363" s="325" t="n">
        <f aca="false">T363-S363</f>
        <v>516960</v>
      </c>
      <c r="AH363" s="325" t="n">
        <f aca="false">U363-T363</f>
        <v>568656</v>
      </c>
      <c r="AI363" s="325" t="n">
        <f aca="false">V363-U363</f>
        <v>499728</v>
      </c>
      <c r="AJ363" s="325" t="n">
        <f aca="false">W363-V363</f>
        <v>499728</v>
      </c>
      <c r="AK363" s="325" t="n">
        <f aca="false">X363-W363</f>
        <v>568656</v>
      </c>
      <c r="AL363" s="325" t="n">
        <f aca="false">Y363-X363</f>
        <v>499728</v>
      </c>
      <c r="AM363" s="325" t="n">
        <f aca="false">Z363-Y363</f>
        <v>482496</v>
      </c>
      <c r="AN363" s="325" t="s">
        <v>1679</v>
      </c>
      <c r="AO363" s="325" t="n">
        <f aca="false">AB363-AA363</f>
        <v>0</v>
      </c>
      <c r="AP363" s="325" t="n">
        <f aca="false">AC363-AB363</f>
        <v>0</v>
      </c>
      <c r="AR363" s="314" t="str">
        <f aca="false">IFERROR(VLOOKUP(M363,'PL_DEC.2026'!$D$11:$D$99,1,FALSE()),"(미존재)")</f>
        <v>지급수수료</v>
      </c>
    </row>
    <row r="364" customFormat="false" ht="16.5" hidden="false" customHeight="false" outlineLevel="0" collapsed="false">
      <c r="A364" s="317" t="s">
        <v>791</v>
      </c>
      <c r="B364" s="314" t="n">
        <v>77030700</v>
      </c>
      <c r="C364" s="314" t="s">
        <v>1213</v>
      </c>
      <c r="D364" s="314" t="s">
        <v>1879</v>
      </c>
      <c r="E364" s="314" t="s">
        <v>1882</v>
      </c>
      <c r="G364" s="314" t="s">
        <v>1746</v>
      </c>
      <c r="H364" s="314" t="s">
        <v>1495</v>
      </c>
      <c r="I364" s="314" t="s">
        <v>2194</v>
      </c>
      <c r="L364" s="324" t="s">
        <v>2083</v>
      </c>
      <c r="M364" s="324" t="s">
        <v>409</v>
      </c>
      <c r="N364" s="324" t="s">
        <v>870</v>
      </c>
      <c r="O364" s="324" t="s">
        <v>870</v>
      </c>
      <c r="P364" s="324" t="s">
        <v>2195</v>
      </c>
      <c r="Q364" s="325"/>
      <c r="R364" s="325" t="n">
        <v>0</v>
      </c>
      <c r="S364" s="325"/>
      <c r="T364" s="325"/>
      <c r="U364" s="325"/>
      <c r="V364" s="325" t="n">
        <v>-2762883260</v>
      </c>
      <c r="W364" s="325" t="n">
        <v>-2763057305</v>
      </c>
      <c r="X364" s="325" t="n">
        <v>-1874481188</v>
      </c>
      <c r="Y364" s="325" t="n">
        <v>-1874481188</v>
      </c>
      <c r="Z364" s="325" t="n">
        <v>-1874497219</v>
      </c>
      <c r="AA364" s="325"/>
      <c r="AB364" s="325"/>
      <c r="AC364" s="325"/>
      <c r="AD364" s="325"/>
      <c r="AE364" s="325" t="n">
        <f aca="false">R364</f>
        <v>0</v>
      </c>
      <c r="AF364" s="325" t="n">
        <f aca="false">S364-R364</f>
        <v>0</v>
      </c>
      <c r="AG364" s="325" t="n">
        <f aca="false">T364-S364</f>
        <v>0</v>
      </c>
      <c r="AH364" s="325" t="n">
        <f aca="false">U364-T364</f>
        <v>0</v>
      </c>
      <c r="AI364" s="325" t="n">
        <f aca="false">V364-U364</f>
        <v>-2762883260</v>
      </c>
      <c r="AJ364" s="325" t="n">
        <f aca="false">W364-V364</f>
        <v>-174045</v>
      </c>
      <c r="AK364" s="325" t="n">
        <f aca="false">X364-W364</f>
        <v>888576117</v>
      </c>
      <c r="AL364" s="325" t="n">
        <f aca="false">Y364-X364</f>
        <v>0</v>
      </c>
      <c r="AM364" s="325" t="n">
        <f aca="false">Z364-Y364</f>
        <v>-16031</v>
      </c>
      <c r="AN364" s="325" t="s">
        <v>1679</v>
      </c>
      <c r="AO364" s="325" t="n">
        <f aca="false">AB364-AA364</f>
        <v>0</v>
      </c>
      <c r="AP364" s="325" t="n">
        <f aca="false">AC364-AB364</f>
        <v>0</v>
      </c>
      <c r="AR364" s="314" t="str">
        <f aca="false">IFERROR(VLOOKUP(M364,'PL_DEC.2026'!$D$11:$D$99,1,FALSE()),"(미존재)")</f>
        <v>투자자산처분손실</v>
      </c>
    </row>
    <row r="365" customFormat="false" ht="16.5" hidden="false" customHeight="false" outlineLevel="0" collapsed="false">
      <c r="A365" s="317" t="s">
        <v>791</v>
      </c>
      <c r="B365" s="314" t="n">
        <v>75520700</v>
      </c>
      <c r="C365" s="314" t="s">
        <v>2196</v>
      </c>
      <c r="D365" s="314" t="s">
        <v>1879</v>
      </c>
      <c r="E365" s="314" t="s">
        <v>1882</v>
      </c>
      <c r="G365" s="314" t="s">
        <v>1746</v>
      </c>
      <c r="H365" s="314" t="s">
        <v>1495</v>
      </c>
      <c r="I365" s="314" t="s">
        <v>2197</v>
      </c>
      <c r="L365" s="324" t="s">
        <v>2083</v>
      </c>
      <c r="M365" s="324" t="s">
        <v>409</v>
      </c>
      <c r="N365" s="324" t="s">
        <v>870</v>
      </c>
      <c r="O365" s="324" t="s">
        <v>870</v>
      </c>
      <c r="P365" s="324" t="s">
        <v>2195</v>
      </c>
      <c r="Q365" s="325"/>
      <c r="R365" s="325" t="n">
        <v>0</v>
      </c>
      <c r="S365" s="325"/>
      <c r="T365" s="325"/>
      <c r="U365" s="325"/>
      <c r="V365" s="325" t="n">
        <v>4769643867</v>
      </c>
      <c r="W365" s="325" t="n">
        <v>4769643867</v>
      </c>
      <c r="X365" s="325" t="n">
        <v>3246854862</v>
      </c>
      <c r="Y365" s="325" t="n">
        <v>3246854862</v>
      </c>
      <c r="Z365" s="325" t="n">
        <v>3246854862</v>
      </c>
      <c r="AA365" s="325"/>
      <c r="AB365" s="325"/>
      <c r="AC365" s="325"/>
      <c r="AD365" s="325"/>
      <c r="AE365" s="325" t="n">
        <f aca="false">R365</f>
        <v>0</v>
      </c>
      <c r="AF365" s="325" t="n">
        <f aca="false">S365-R365</f>
        <v>0</v>
      </c>
      <c r="AG365" s="325" t="n">
        <f aca="false">T365-S365</f>
        <v>0</v>
      </c>
      <c r="AH365" s="325" t="n">
        <f aca="false">U365-T365</f>
        <v>0</v>
      </c>
      <c r="AI365" s="325" t="n">
        <f aca="false">V365-U365</f>
        <v>4769643867</v>
      </c>
      <c r="AJ365" s="325" t="n">
        <f aca="false">W365-V365</f>
        <v>0</v>
      </c>
      <c r="AK365" s="325" t="n">
        <f aca="false">X365-W365</f>
        <v>-1522789005</v>
      </c>
      <c r="AL365" s="325" t="n">
        <f aca="false">Y365-X365</f>
        <v>0</v>
      </c>
      <c r="AM365" s="325" t="n">
        <f aca="false">Z365-Y365</f>
        <v>0</v>
      </c>
      <c r="AN365" s="325" t="s">
        <v>1679</v>
      </c>
      <c r="AO365" s="325" t="n">
        <f aca="false">AB365-AA365</f>
        <v>0</v>
      </c>
      <c r="AP365" s="325" t="n">
        <f aca="false">AC365-AB365</f>
        <v>0</v>
      </c>
      <c r="AR365" s="314" t="str">
        <f aca="false">IFERROR(VLOOKUP(M365,'PL_DEC.2026'!$D$11:$D$99,1,FALSE()),"(미존재)")</f>
        <v>투자자산처분손실</v>
      </c>
    </row>
    <row r="366" customFormat="false" ht="16.5" hidden="false" customHeight="false" outlineLevel="0" collapsed="false">
      <c r="C366" s="331" t="s">
        <v>446</v>
      </c>
      <c r="Q366" s="332" t="n">
        <f aca="false">SUM(Q4:Q157)</f>
        <v>40760401894</v>
      </c>
      <c r="R366" s="332" t="n">
        <f aca="false">SUM(R4:R160)</f>
        <v>8501275174</v>
      </c>
      <c r="S366" s="332" t="n">
        <f aca="false">SUM(S4:S160)</f>
        <v>13936983171</v>
      </c>
      <c r="T366" s="332" t="n">
        <f aca="false">SUM(T4:T160)</f>
        <v>18373447342</v>
      </c>
      <c r="U366" s="332" t="n">
        <f aca="false">SUM(U4:U160)</f>
        <v>19249804865</v>
      </c>
      <c r="V366" s="332" t="n">
        <f aca="false">SUM(V4:V160)</f>
        <v>24507830324</v>
      </c>
      <c r="W366" s="332" t="n">
        <f aca="false">SUM(W4:W160)</f>
        <v>40357008016</v>
      </c>
      <c r="X366" s="332" t="n">
        <f aca="false">SUM(X4:X160)</f>
        <v>37222362359</v>
      </c>
      <c r="Y366" s="332" t="n">
        <f aca="false">SUM(Y4:Y160)</f>
        <v>34446358293</v>
      </c>
      <c r="Z366" s="332" t="n">
        <f aca="false">SUM(Z4:Z160)</f>
        <v>49477398953</v>
      </c>
      <c r="AA366" s="332"/>
      <c r="AB366" s="332"/>
      <c r="AC366" s="332"/>
      <c r="AD366" s="332"/>
      <c r="AE366" s="332" t="n">
        <f aca="false">SUM(AE4:AE157)</f>
        <v>9403577314</v>
      </c>
      <c r="AF366" s="332" t="n">
        <f aca="false">SUM(AF4:AF157)</f>
        <v>5436982207</v>
      </c>
      <c r="AG366" s="332" t="n">
        <f aca="false">SUM(AG4:AG157)</f>
        <v>9257623366</v>
      </c>
      <c r="AH366" s="332" t="n">
        <f aca="false">SUM(AH4:AH157)</f>
        <v>877519906</v>
      </c>
      <c r="AI366" s="332" t="n">
        <f aca="false">SUM(AI4:AI157)</f>
        <v>439656633</v>
      </c>
      <c r="AJ366" s="325" t="n">
        <f aca="false">W366-V366</f>
        <v>15849177692</v>
      </c>
      <c r="AK366" s="332" t="n">
        <f aca="false">SUM(AK4:AK157)</f>
        <v>-3075546446</v>
      </c>
      <c r="AL366" s="325" t="n">
        <f aca="false">Y366-X366</f>
        <v>-2776004066</v>
      </c>
      <c r="AM366" s="325" t="n">
        <f aca="false">Z366-Y366</f>
        <v>15031040660</v>
      </c>
      <c r="AN366" s="325" t="s">
        <v>1679</v>
      </c>
      <c r="AO366" s="325" t="n">
        <f aca="false">AB366-AA366</f>
        <v>0</v>
      </c>
      <c r="AP366" s="325" t="n">
        <f aca="false">AC366-AB366</f>
        <v>0</v>
      </c>
      <c r="AQ366" s="332"/>
    </row>
    <row r="367" customFormat="false" ht="16.5" hidden="false" customHeight="false" outlineLevel="0" collapsed="false">
      <c r="C367" s="331" t="s">
        <v>791</v>
      </c>
      <c r="Q367" s="332" t="n">
        <f aca="false">SUM(Q158:Q365)</f>
        <v>-40760401892</v>
      </c>
      <c r="R367" s="332" t="n">
        <f aca="false">SUM(R161:R365)</f>
        <v>-8501275172</v>
      </c>
      <c r="S367" s="332" t="n">
        <f aca="false">SUM(S161:S365)</f>
        <v>-13936983169</v>
      </c>
      <c r="T367" s="332" t="n">
        <f aca="false">SUM(T161:T365)</f>
        <v>-18373447341</v>
      </c>
      <c r="U367" s="332" t="n">
        <f aca="false">SUM(U161:U365)</f>
        <v>-19249804864</v>
      </c>
      <c r="V367" s="332" t="n">
        <f aca="false">SUM(V161:V365)</f>
        <v>-24507830323</v>
      </c>
      <c r="W367" s="332" t="n">
        <f aca="false">SUM(W161:W365)</f>
        <v>-40357008015</v>
      </c>
      <c r="X367" s="332" t="n">
        <f aca="false">SUM(X161:X365)</f>
        <v>-37222362357</v>
      </c>
      <c r="Y367" s="332" t="n">
        <f aca="false">SUM(Y161:Y365)</f>
        <v>-34446358291</v>
      </c>
      <c r="Z367" s="332" t="n">
        <f aca="false">SUM(Z161:Z365)</f>
        <v>-49477398951</v>
      </c>
      <c r="AA367" s="332"/>
      <c r="AB367" s="332"/>
      <c r="AC367" s="332"/>
      <c r="AD367" s="332"/>
      <c r="AE367" s="332" t="n">
        <f aca="false">SUM(AE158:AE365)</f>
        <v>-9403577312</v>
      </c>
      <c r="AF367" s="332" t="n">
        <f aca="false">SUM(AF158:AF365)</f>
        <v>-5436982207</v>
      </c>
      <c r="AG367" s="332" t="n">
        <f aca="false">SUM(AG158:AG365)</f>
        <v>-9257623367</v>
      </c>
      <c r="AH367" s="332" t="n">
        <f aca="false">SUM(AH158:AH365)</f>
        <v>-877519906</v>
      </c>
      <c r="AI367" s="332" t="n">
        <f aca="false">SUM(AI158:AI365)</f>
        <v>-439656633</v>
      </c>
      <c r="AJ367" s="325" t="n">
        <f aca="false">W367-V367</f>
        <v>-15849177692</v>
      </c>
      <c r="AK367" s="332" t="n">
        <f aca="false">SUM(AK158:AK365)</f>
        <v>3075546447</v>
      </c>
      <c r="AL367" s="325" t="n">
        <f aca="false">Y367-X367</f>
        <v>2776004066</v>
      </c>
      <c r="AM367" s="325" t="n">
        <f aca="false">Z367-Y367</f>
        <v>-15031040660</v>
      </c>
      <c r="AN367" s="325" t="s">
        <v>1679</v>
      </c>
      <c r="AO367" s="325" t="n">
        <f aca="false">AB367-AA367</f>
        <v>0</v>
      </c>
      <c r="AP367" s="325" t="n">
        <f aca="false">AC367-AB367</f>
        <v>0</v>
      </c>
      <c r="AQ367" s="332"/>
    </row>
    <row r="368" customFormat="false" ht="16.5" hidden="false" customHeight="false" outlineLevel="0" collapsed="false">
      <c r="C368" s="331"/>
      <c r="Q368" s="332" t="n">
        <f aca="false">++Q366+Q367</f>
        <v>2</v>
      </c>
      <c r="R368" s="332" t="n">
        <f aca="false">++R366+R367</f>
        <v>2</v>
      </c>
      <c r="S368" s="332" t="n">
        <f aca="false">++S366+S367</f>
        <v>2</v>
      </c>
      <c r="T368" s="332" t="n">
        <f aca="false">++T366+T367</f>
        <v>1</v>
      </c>
      <c r="U368" s="332" t="n">
        <f aca="false">++U366+U367</f>
        <v>1</v>
      </c>
      <c r="V368" s="332" t="n">
        <f aca="false">++V366+V367</f>
        <v>1</v>
      </c>
      <c r="W368" s="332" t="n">
        <v>1</v>
      </c>
      <c r="X368" s="332" t="n">
        <f aca="false">++X366+X367</f>
        <v>2</v>
      </c>
      <c r="Y368" s="332" t="n">
        <v>2</v>
      </c>
      <c r="Z368" s="332" t="n">
        <v>2</v>
      </c>
      <c r="AA368" s="332"/>
      <c r="AB368" s="332"/>
      <c r="AC368" s="332"/>
      <c r="AD368" s="332"/>
      <c r="AE368" s="332" t="n">
        <f aca="false">AE366+AE367</f>
        <v>2</v>
      </c>
      <c r="AF368" s="332" t="n">
        <f aca="false">AF366+AF367</f>
        <v>0</v>
      </c>
      <c r="AG368" s="332" t="n">
        <f aca="false">AG366+AG367</f>
        <v>-1</v>
      </c>
      <c r="AH368" s="332" t="n">
        <f aca="false">AH366+AH367</f>
        <v>0</v>
      </c>
      <c r="AI368" s="332" t="n">
        <f aca="false">AI366+AI367</f>
        <v>0</v>
      </c>
      <c r="AJ368" s="325" t="n">
        <f aca="false">W368-V368</f>
        <v>0</v>
      </c>
      <c r="AK368" s="332" t="n">
        <f aca="false">AK366+AK367</f>
        <v>1</v>
      </c>
      <c r="AL368" s="325" t="n">
        <f aca="false">Y368-X368</f>
        <v>0</v>
      </c>
      <c r="AM368" s="325" t="n">
        <f aca="false">Z368-Y368</f>
        <v>0</v>
      </c>
      <c r="AN368" s="325" t="s">
        <v>1679</v>
      </c>
      <c r="AO368" s="325" t="n">
        <f aca="false">AB368-AA368</f>
        <v>0</v>
      </c>
      <c r="AP368" s="325" t="n">
        <f aca="false">AC368-AB368</f>
        <v>0</v>
      </c>
      <c r="AQ368" s="332"/>
    </row>
    <row r="369" customFormat="false" ht="16.5" hidden="false" customHeight="false" outlineLevel="0" collapsed="false">
      <c r="C369" s="331"/>
      <c r="Q369" s="332"/>
      <c r="R369" s="332"/>
      <c r="S369" s="332"/>
      <c r="T369" s="332"/>
      <c r="U369" s="332"/>
      <c r="V369" s="332"/>
      <c r="W369" s="332"/>
      <c r="X369" s="332"/>
      <c r="Y369" s="332"/>
      <c r="Z369" s="325"/>
      <c r="AA369" s="332"/>
      <c r="AB369" s="332"/>
      <c r="AC369" s="332"/>
      <c r="AD369" s="332"/>
      <c r="AE369" s="332"/>
      <c r="AF369" s="332"/>
      <c r="AG369" s="332"/>
      <c r="AH369" s="332"/>
      <c r="AI369" s="332"/>
      <c r="AJ369" s="332"/>
      <c r="AK369" s="332"/>
      <c r="AL369" s="332"/>
      <c r="AM369" s="332"/>
      <c r="AN369" s="332"/>
      <c r="AO369" s="332"/>
      <c r="AP369" s="332"/>
      <c r="AQ369" s="332"/>
    </row>
    <row r="370" customFormat="false" ht="16.5" hidden="false" customHeight="false" outlineLevel="0" collapsed="false">
      <c r="C370" s="331"/>
      <c r="Q370" s="332"/>
      <c r="R370" s="332"/>
      <c r="S370" s="332"/>
      <c r="T370" s="332"/>
      <c r="U370" s="332"/>
      <c r="V370" s="332"/>
      <c r="W370" s="332"/>
      <c r="X370" s="332" t="s">
        <v>2198</v>
      </c>
      <c r="Y370" s="332"/>
      <c r="Z370" s="325" t="n">
        <v>-951</v>
      </c>
      <c r="AA370" s="332"/>
      <c r="AB370" s="332"/>
      <c r="AC370" s="332"/>
      <c r="AD370" s="332"/>
      <c r="AE370" s="332"/>
      <c r="AF370" s="332"/>
      <c r="AG370" s="332"/>
      <c r="AH370" s="332"/>
      <c r="AI370" s="332"/>
      <c r="AJ370" s="332"/>
      <c r="AK370" s="332"/>
      <c r="AL370" s="332"/>
      <c r="AM370" s="332"/>
      <c r="AN370" s="332"/>
      <c r="AO370" s="332"/>
      <c r="AP370" s="332"/>
      <c r="AQ370" s="332"/>
    </row>
    <row r="371" customFormat="false" ht="16.5" hidden="false" customHeight="false" outlineLevel="0" collapsed="false">
      <c r="C371" s="331"/>
      <c r="Q371" s="332"/>
      <c r="R371" s="332"/>
      <c r="S371" s="332"/>
      <c r="T371" s="332"/>
      <c r="U371" s="332"/>
      <c r="V371" s="332"/>
      <c r="W371" s="332"/>
      <c r="X371" s="332"/>
      <c r="Y371" s="332"/>
      <c r="Z371" s="332"/>
      <c r="AA371" s="332"/>
      <c r="AB371" s="332"/>
      <c r="AC371" s="332"/>
      <c r="AD371" s="332"/>
      <c r="AE371" s="332"/>
      <c r="AF371" s="332"/>
      <c r="AG371" s="332"/>
      <c r="AH371" s="332"/>
      <c r="AI371" s="332"/>
      <c r="AJ371" s="332"/>
      <c r="AK371" s="332"/>
      <c r="AL371" s="332"/>
      <c r="AM371" s="332"/>
      <c r="AN371" s="332"/>
      <c r="AO371" s="332"/>
      <c r="AP371" s="332"/>
      <c r="AQ371" s="332"/>
    </row>
    <row r="372" customFormat="false" ht="16.5" hidden="false" customHeight="false" outlineLevel="0" collapsed="false">
      <c r="C372" s="331"/>
      <c r="Q372" s="332"/>
      <c r="R372" s="332"/>
      <c r="S372" s="332"/>
      <c r="T372" s="332"/>
      <c r="U372" s="332"/>
      <c r="V372" s="332"/>
      <c r="W372" s="332"/>
      <c r="X372" s="332"/>
      <c r="Y372" s="332"/>
      <c r="Z372" s="332"/>
      <c r="AA372" s="332"/>
      <c r="AB372" s="332"/>
      <c r="AC372" s="332"/>
      <c r="AD372" s="332"/>
      <c r="AE372" s="332"/>
      <c r="AF372" s="332"/>
      <c r="AG372" s="332"/>
      <c r="AH372" s="332"/>
      <c r="AI372" s="332"/>
      <c r="AJ372" s="332"/>
      <c r="AK372" s="332"/>
      <c r="AL372" s="332"/>
      <c r="AM372" s="332"/>
      <c r="AN372" s="332"/>
      <c r="AO372" s="332"/>
      <c r="AP372" s="332"/>
      <c r="AQ372" s="332"/>
    </row>
    <row r="373" customFormat="false" ht="16.5" hidden="false" customHeight="false" outlineLevel="0" collapsed="false">
      <c r="C373" s="331"/>
      <c r="Q373" s="332"/>
      <c r="R373" s="332"/>
      <c r="S373" s="332"/>
      <c r="T373" s="332"/>
      <c r="U373" s="332"/>
      <c r="V373" s="332"/>
      <c r="W373" s="332"/>
      <c r="X373" s="332"/>
      <c r="Y373" s="332"/>
      <c r="Z373" s="332"/>
      <c r="AA373" s="332"/>
      <c r="AB373" s="332"/>
      <c r="AC373" s="332"/>
      <c r="AD373" s="332"/>
      <c r="AE373" s="332"/>
      <c r="AF373" s="332"/>
      <c r="AG373" s="332"/>
      <c r="AH373" s="332"/>
      <c r="AI373" s="332"/>
      <c r="AJ373" s="332"/>
      <c r="AK373" s="332"/>
      <c r="AL373" s="332"/>
      <c r="AM373" s="332"/>
      <c r="AN373" s="332"/>
      <c r="AO373" s="332"/>
      <c r="AP373" s="332"/>
      <c r="AQ373" s="332"/>
    </row>
    <row r="374" customFormat="false" ht="16.5" hidden="false" customHeight="false" outlineLevel="0" collapsed="false">
      <c r="C374" s="333" t="s">
        <v>2199</v>
      </c>
      <c r="Q374" s="332" t="s">
        <v>2200</v>
      </c>
      <c r="R374" s="332" t="s">
        <v>2201</v>
      </c>
      <c r="S374" s="332" t="s">
        <v>2202</v>
      </c>
      <c r="T374" s="332" t="s">
        <v>2203</v>
      </c>
      <c r="U374" s="332" t="s">
        <v>2204</v>
      </c>
      <c r="V374" s="332" t="s">
        <v>2205</v>
      </c>
      <c r="W374" s="332" t="s">
        <v>2206</v>
      </c>
      <c r="X374" s="332" t="s">
        <v>2207</v>
      </c>
      <c r="Y374" s="332" t="s">
        <v>2208</v>
      </c>
      <c r="Z374" s="332" t="s">
        <v>2209</v>
      </c>
      <c r="AA374" s="332"/>
      <c r="AB374" s="332"/>
      <c r="AC374" s="332"/>
      <c r="AD374" s="332"/>
      <c r="AE374" s="332"/>
      <c r="AF374" s="332"/>
      <c r="AG374" s="332"/>
      <c r="AH374" s="332"/>
      <c r="AI374" s="332"/>
      <c r="AJ374" s="332"/>
      <c r="AK374" s="332"/>
      <c r="AL374" s="332"/>
      <c r="AM374" s="332"/>
      <c r="AN374" s="332"/>
      <c r="AO374" s="332"/>
      <c r="AP374" s="332"/>
      <c r="AQ374" s="332"/>
    </row>
    <row r="375" customFormat="false" ht="16.5" hidden="false" customHeight="false" outlineLevel="0" collapsed="false">
      <c r="B375" s="314" t="n">
        <v>26000850</v>
      </c>
      <c r="C375" s="314" t="s">
        <v>2210</v>
      </c>
      <c r="Q375" s="325" t="n">
        <v>-127257000000</v>
      </c>
      <c r="R375" s="325"/>
      <c r="S375" s="325"/>
      <c r="T375" s="325"/>
      <c r="U375" s="325"/>
      <c r="V375" s="325"/>
      <c r="W375" s="325"/>
      <c r="X375" s="325"/>
      <c r="Z375" s="325" t="n">
        <v>-130267000000</v>
      </c>
    </row>
    <row r="376" customFormat="false" ht="16.5" hidden="false" customHeight="false" outlineLevel="0" collapsed="false">
      <c r="B376" s="314" t="n">
        <v>26000851</v>
      </c>
      <c r="C376" s="314" t="s">
        <v>2211</v>
      </c>
      <c r="Q376" s="325" t="n">
        <v>127257000000</v>
      </c>
      <c r="R376" s="325"/>
      <c r="S376" s="325"/>
      <c r="T376" s="325"/>
      <c r="U376" s="325"/>
      <c r="V376" s="325"/>
      <c r="W376" s="325"/>
      <c r="X376" s="325"/>
      <c r="Z376" s="325" t="n">
        <v>130267000000</v>
      </c>
    </row>
    <row r="377" customFormat="false" ht="16.5" hidden="false" customHeight="false" outlineLevel="0" collapsed="false">
      <c r="B377" s="314" t="n">
        <v>40200850</v>
      </c>
      <c r="C377" s="314" t="s">
        <v>2212</v>
      </c>
      <c r="Q377" s="325" t="n">
        <v>-42280945742</v>
      </c>
      <c r="R377" s="325"/>
      <c r="S377" s="325"/>
      <c r="T377" s="325"/>
      <c r="U377" s="325"/>
      <c r="V377" s="325"/>
      <c r="W377" s="325"/>
      <c r="X377" s="325"/>
      <c r="Y377" s="332"/>
      <c r="Z377" s="325" t="n">
        <v>-80422214058</v>
      </c>
      <c r="AA377" s="332"/>
      <c r="AB377" s="332"/>
      <c r="AC377" s="332"/>
      <c r="AD377" s="332"/>
    </row>
    <row r="378" customFormat="false" ht="16.5" hidden="false" customHeight="false" outlineLevel="0" collapsed="false">
      <c r="B378" s="314" t="n">
        <v>40200851</v>
      </c>
      <c r="C378" s="314" t="s">
        <v>2213</v>
      </c>
      <c r="Q378" s="325" t="n">
        <v>42280945742</v>
      </c>
      <c r="R378" s="325"/>
      <c r="S378" s="325"/>
      <c r="T378" s="325"/>
      <c r="U378" s="325"/>
      <c r="V378" s="325"/>
      <c r="W378" s="325"/>
      <c r="X378" s="325"/>
      <c r="Z378" s="325" t="n">
        <v>80422214058</v>
      </c>
    </row>
    <row r="379" customFormat="false" ht="16.5" hidden="false" customHeight="false" outlineLevel="0" collapsed="false">
      <c r="A379" s="317" t="s">
        <v>2214</v>
      </c>
      <c r="B379" s="314" t="n">
        <v>83142000</v>
      </c>
      <c r="C379" s="314" t="s">
        <v>2215</v>
      </c>
      <c r="Q379" s="325"/>
      <c r="R379" s="325"/>
      <c r="S379" s="325"/>
      <c r="T379" s="325"/>
      <c r="U379" s="325"/>
      <c r="V379" s="325"/>
      <c r="W379" s="325"/>
      <c r="X379" s="325"/>
      <c r="Z379" s="325" t="n">
        <v>0</v>
      </c>
      <c r="AR379" s="314" t="str">
        <f aca="false">IFERROR(VLOOKUP(M379,'PL_DEC.2026'!$D$11:$D$99,1,FALSE()),"(미존재)")</f>
        <v>(미존재)</v>
      </c>
    </row>
    <row r="380" customFormat="false" ht="16.5" hidden="false" customHeight="false" outlineLevel="0" collapsed="false">
      <c r="A380" s="317" t="s">
        <v>2214</v>
      </c>
      <c r="B380" s="314" t="n">
        <v>83201000</v>
      </c>
      <c r="C380" s="314" t="s">
        <v>2216</v>
      </c>
      <c r="G380" s="314" t="s">
        <v>2217</v>
      </c>
      <c r="L380" s="324" t="s">
        <v>447</v>
      </c>
      <c r="M380" s="324" t="s">
        <v>78</v>
      </c>
      <c r="N380" s="324" t="s">
        <v>447</v>
      </c>
      <c r="O380" s="314" t="s">
        <v>2218</v>
      </c>
      <c r="P380" s="314" t="s">
        <v>2218</v>
      </c>
      <c r="Q380" s="326" t="n">
        <v>-53280567</v>
      </c>
      <c r="R380" s="325"/>
      <c r="S380" s="325"/>
      <c r="T380" s="325"/>
      <c r="U380" s="325"/>
      <c r="V380" s="325"/>
      <c r="W380" s="325"/>
      <c r="X380" s="325"/>
      <c r="Z380" s="325" t="n">
        <v>-49640922</v>
      </c>
      <c r="AR380" s="314" t="str">
        <f aca="false">IFERROR(VLOOKUP(M380,'PL_DEC.2026'!$D$11:$D$99,1,FALSE()),"(미존재)")</f>
        <v>(미존재)</v>
      </c>
    </row>
    <row r="381" customFormat="false" ht="16.5" hidden="false" customHeight="false" outlineLevel="0" collapsed="false">
      <c r="A381" s="317" t="s">
        <v>2214</v>
      </c>
      <c r="B381" s="314" t="n">
        <v>83260000</v>
      </c>
      <c r="C381" s="314" t="s">
        <v>2219</v>
      </c>
      <c r="Q381" s="325"/>
      <c r="R381" s="325"/>
      <c r="S381" s="325"/>
      <c r="T381" s="325"/>
      <c r="U381" s="325"/>
      <c r="V381" s="325"/>
      <c r="W381" s="325"/>
      <c r="X381" s="325"/>
      <c r="Z381" s="325" t="n">
        <v>0</v>
      </c>
      <c r="AR381" s="314" t="str">
        <f aca="false">IFERROR(VLOOKUP(M381,'PL_DEC.2026'!$D$11:$D$99,1,FALSE()),"(미존재)")</f>
        <v>(미존재)</v>
      </c>
    </row>
    <row r="382" customFormat="false" ht="16.5" hidden="false" customHeight="false" outlineLevel="0" collapsed="false">
      <c r="A382" s="317" t="s">
        <v>2214</v>
      </c>
      <c r="B382" s="314" t="n">
        <v>84429100</v>
      </c>
      <c r="C382" s="314" t="s">
        <v>2220</v>
      </c>
      <c r="Q382" s="325"/>
      <c r="R382" s="325"/>
      <c r="S382" s="325"/>
      <c r="T382" s="325"/>
      <c r="U382" s="325"/>
      <c r="V382" s="325"/>
      <c r="W382" s="325"/>
      <c r="X382" s="325"/>
      <c r="Z382" s="325" t="n">
        <v>0</v>
      </c>
      <c r="AR382" s="314" t="str">
        <f aca="false">IFERROR(VLOOKUP(M382,'PL_DEC.2026'!$D$11:$D$99,1,FALSE()),"(미존재)")</f>
        <v>(미존재)</v>
      </c>
    </row>
    <row r="383" customFormat="false" ht="16.5" hidden="false" customHeight="false" outlineLevel="0" collapsed="false">
      <c r="A383" s="317" t="s">
        <v>2214</v>
      </c>
      <c r="B383" s="314" t="n">
        <v>84429300</v>
      </c>
      <c r="C383" s="314" t="s">
        <v>2221</v>
      </c>
      <c r="G383" s="314" t="s">
        <v>2222</v>
      </c>
      <c r="L383" s="324" t="s">
        <v>173</v>
      </c>
      <c r="M383" s="324" t="s">
        <v>197</v>
      </c>
      <c r="N383" s="324" t="s">
        <v>173</v>
      </c>
      <c r="O383" s="314" t="s">
        <v>2223</v>
      </c>
      <c r="P383" s="314" t="s">
        <v>2223</v>
      </c>
      <c r="Q383" s="325" t="n">
        <v>784609459</v>
      </c>
      <c r="R383" s="325"/>
      <c r="S383" s="325"/>
      <c r="T383" s="325"/>
      <c r="U383" s="325"/>
      <c r="V383" s="325"/>
      <c r="W383" s="325"/>
      <c r="X383" s="325"/>
      <c r="Z383" s="325" t="n">
        <v>784609459</v>
      </c>
    </row>
    <row r="384" customFormat="false" ht="16.5" hidden="false" customHeight="false" outlineLevel="0" collapsed="false">
      <c r="A384" s="317" t="s">
        <v>2214</v>
      </c>
      <c r="B384" s="314" t="n">
        <v>86100082</v>
      </c>
      <c r="C384" s="314" t="s">
        <v>2224</v>
      </c>
      <c r="G384" s="314" t="s">
        <v>2225</v>
      </c>
      <c r="L384" s="324" t="s">
        <v>447</v>
      </c>
      <c r="M384" s="324" t="s">
        <v>116</v>
      </c>
      <c r="N384" s="324" t="s">
        <v>447</v>
      </c>
      <c r="O384" s="314" t="s">
        <v>2226</v>
      </c>
      <c r="P384" s="314" t="s">
        <v>2226</v>
      </c>
      <c r="Q384" s="325" t="n">
        <v>-11215999121</v>
      </c>
      <c r="R384" s="325"/>
      <c r="S384" s="325"/>
      <c r="T384" s="325"/>
      <c r="U384" s="325"/>
      <c r="V384" s="325"/>
      <c r="W384" s="325"/>
      <c r="X384" s="325"/>
      <c r="Z384" s="325" t="n">
        <v>-11215999121</v>
      </c>
    </row>
    <row r="385" customFormat="false" ht="16.5" hidden="false" customHeight="false" outlineLevel="0" collapsed="false">
      <c r="A385" s="317" t="s">
        <v>2214</v>
      </c>
      <c r="B385" s="314" t="n">
        <v>86100083</v>
      </c>
      <c r="C385" s="314" t="s">
        <v>2227</v>
      </c>
      <c r="G385" s="314" t="s">
        <v>2228</v>
      </c>
      <c r="L385" s="324" t="s">
        <v>447</v>
      </c>
      <c r="M385" s="324" t="s">
        <v>118</v>
      </c>
      <c r="N385" s="324" t="s">
        <v>447</v>
      </c>
      <c r="O385" s="314" t="s">
        <v>2229</v>
      </c>
      <c r="P385" s="314" t="s">
        <v>2229</v>
      </c>
      <c r="Q385" s="325" t="n">
        <v>10179012274</v>
      </c>
      <c r="R385" s="325"/>
      <c r="S385" s="325"/>
      <c r="T385" s="325"/>
      <c r="U385" s="325"/>
      <c r="V385" s="325"/>
      <c r="W385" s="325"/>
      <c r="X385" s="325"/>
      <c r="Z385" s="325" t="n">
        <v>11310270634</v>
      </c>
    </row>
    <row r="386" customFormat="false" ht="16.5" hidden="false" customHeight="false" outlineLevel="0" collapsed="false">
      <c r="A386" s="317" t="s">
        <v>2214</v>
      </c>
      <c r="B386" s="314" t="n">
        <v>86101000</v>
      </c>
      <c r="C386" s="314" t="s">
        <v>2230</v>
      </c>
      <c r="Q386" s="325"/>
      <c r="R386" s="325"/>
      <c r="S386" s="325"/>
      <c r="T386" s="325"/>
      <c r="U386" s="325"/>
      <c r="V386" s="325"/>
      <c r="W386" s="325"/>
      <c r="X386" s="325"/>
      <c r="Z386" s="325" t="n">
        <v>0</v>
      </c>
      <c r="AR386" s="314" t="str">
        <f aca="false">IFERROR(VLOOKUP(M386,'PL_DEC.2026'!$D$11:$D$99,1,FALSE()),"(미존재)")</f>
        <v>(미존재)</v>
      </c>
    </row>
    <row r="387" customFormat="false" ht="16.5" hidden="false" customHeight="false" outlineLevel="0" collapsed="false">
      <c r="A387" s="317" t="s">
        <v>2214</v>
      </c>
      <c r="B387" s="314" t="n">
        <v>86101010</v>
      </c>
      <c r="C387" s="314" t="s">
        <v>2231</v>
      </c>
      <c r="Q387" s="325"/>
      <c r="R387" s="325"/>
      <c r="S387" s="325"/>
      <c r="T387" s="325"/>
      <c r="U387" s="325"/>
      <c r="V387" s="325"/>
      <c r="W387" s="325"/>
      <c r="X387" s="325"/>
      <c r="Z387" s="325" t="n">
        <v>0</v>
      </c>
      <c r="AR387" s="314" t="str">
        <f aca="false">IFERROR(VLOOKUP(M387,'PL_DEC.2026'!$D$11:$D$99,1,FALSE()),"(미존재)")</f>
        <v>(미존재)</v>
      </c>
    </row>
    <row r="388" customFormat="false" ht="16.5" hidden="false" customHeight="false" outlineLevel="0" collapsed="false">
      <c r="A388" s="317" t="s">
        <v>2214</v>
      </c>
      <c r="B388" s="314" t="n">
        <v>86102007</v>
      </c>
      <c r="C388" s="314" t="s">
        <v>2232</v>
      </c>
      <c r="Q388" s="325"/>
      <c r="R388" s="325"/>
      <c r="S388" s="325"/>
      <c r="T388" s="325"/>
      <c r="U388" s="325"/>
      <c r="V388" s="325"/>
      <c r="W388" s="325"/>
      <c r="X388" s="325"/>
      <c r="Z388" s="325" t="n">
        <v>0</v>
      </c>
      <c r="AR388" s="314" t="str">
        <f aca="false">IFERROR(VLOOKUP(M388,'PL_DEC.2026'!$D$11:$D$99,1,FALSE()),"(미존재)")</f>
        <v>(미존재)</v>
      </c>
    </row>
    <row r="389" customFormat="false" ht="16.5" hidden="false" customHeight="false" outlineLevel="0" collapsed="false">
      <c r="A389" s="317" t="s">
        <v>2214</v>
      </c>
      <c r="B389" s="314" t="n">
        <v>86104100</v>
      </c>
      <c r="C389" s="314" t="s">
        <v>2233</v>
      </c>
      <c r="Q389" s="325"/>
      <c r="R389" s="325"/>
      <c r="S389" s="325"/>
      <c r="T389" s="325"/>
      <c r="U389" s="325"/>
      <c r="V389" s="325"/>
      <c r="W389" s="325"/>
      <c r="X389" s="325"/>
      <c r="Z389" s="325" t="n">
        <v>0</v>
      </c>
      <c r="AR389" s="314" t="str">
        <f aca="false">IFERROR(VLOOKUP(M389,'PL_DEC.2026'!$D$11:$D$99,1,FALSE()),"(미존재)")</f>
        <v>(미존재)</v>
      </c>
    </row>
    <row r="390" customFormat="false" ht="16.5" hidden="false" customHeight="false" outlineLevel="0" collapsed="false">
      <c r="A390" s="317" t="s">
        <v>2214</v>
      </c>
      <c r="B390" s="314" t="n">
        <v>86111000</v>
      </c>
      <c r="C390" s="314" t="s">
        <v>2234</v>
      </c>
      <c r="Q390" s="325"/>
      <c r="R390" s="325"/>
      <c r="S390" s="325"/>
      <c r="T390" s="325"/>
      <c r="U390" s="325"/>
      <c r="V390" s="325"/>
      <c r="W390" s="325"/>
      <c r="X390" s="325"/>
      <c r="Z390" s="325" t="n">
        <v>0</v>
      </c>
      <c r="AR390" s="314" t="str">
        <f aca="false">IFERROR(VLOOKUP(M390,'PL_DEC.2026'!$D$11:$D$99,1,FALSE()),"(미존재)")</f>
        <v>(미존재)</v>
      </c>
    </row>
    <row r="391" customFormat="false" ht="16.5" hidden="false" customHeight="false" outlineLevel="0" collapsed="false">
      <c r="A391" s="317" t="s">
        <v>2214</v>
      </c>
      <c r="B391" s="314" t="n">
        <v>86111010</v>
      </c>
      <c r="C391" s="314" t="s">
        <v>2235</v>
      </c>
      <c r="Q391" s="325"/>
      <c r="R391" s="325"/>
      <c r="S391" s="325"/>
      <c r="T391" s="325"/>
      <c r="U391" s="325"/>
      <c r="V391" s="325"/>
      <c r="W391" s="325"/>
      <c r="X391" s="325"/>
      <c r="Z391" s="325" t="n">
        <v>0</v>
      </c>
      <c r="AR391" s="314" t="str">
        <f aca="false">IFERROR(VLOOKUP(M391,'PL_DEC.2026'!$D$11:$D$99,1,FALSE()),"(미존재)")</f>
        <v>(미존재)</v>
      </c>
    </row>
    <row r="392" customFormat="false" ht="16.5" hidden="false" customHeight="false" outlineLevel="0" collapsed="false">
      <c r="A392" s="317" t="s">
        <v>2214</v>
      </c>
      <c r="B392" s="314" t="n">
        <v>86111500</v>
      </c>
      <c r="C392" s="314" t="s">
        <v>2236</v>
      </c>
      <c r="Q392" s="325"/>
      <c r="R392" s="325"/>
      <c r="S392" s="325"/>
      <c r="T392" s="325"/>
      <c r="U392" s="325"/>
      <c r="V392" s="325"/>
      <c r="W392" s="325"/>
      <c r="X392" s="325"/>
      <c r="Z392" s="325" t="n">
        <v>0</v>
      </c>
      <c r="AR392" s="314" t="str">
        <f aca="false">IFERROR(VLOOKUP(M392,'PL_DEC.2026'!$D$11:$D$99,1,FALSE()),"(미존재)")</f>
        <v>(미존재)</v>
      </c>
    </row>
    <row r="393" customFormat="false" ht="16.5" hidden="false" customHeight="false" outlineLevel="0" collapsed="false">
      <c r="A393" s="317" t="s">
        <v>2214</v>
      </c>
      <c r="B393" s="314" t="n">
        <v>86112007</v>
      </c>
      <c r="C393" s="314" t="s">
        <v>2237</v>
      </c>
      <c r="Q393" s="325"/>
      <c r="R393" s="325"/>
      <c r="S393" s="325"/>
      <c r="T393" s="325"/>
      <c r="U393" s="325"/>
      <c r="V393" s="325"/>
      <c r="W393" s="325"/>
      <c r="X393" s="325"/>
      <c r="Z393" s="325" t="n">
        <v>0</v>
      </c>
      <c r="AR393" s="314" t="str">
        <f aca="false">IFERROR(VLOOKUP(M393,'PL_DEC.2026'!$D$11:$D$99,1,FALSE()),"(미존재)")</f>
        <v>(미존재)</v>
      </c>
    </row>
    <row r="394" customFormat="false" ht="16.5" hidden="false" customHeight="false" outlineLevel="0" collapsed="false">
      <c r="A394" s="317" t="s">
        <v>2214</v>
      </c>
      <c r="B394" s="314" t="n">
        <v>86150001</v>
      </c>
      <c r="C394" s="314" t="s">
        <v>2238</v>
      </c>
      <c r="G394" s="314" t="n">
        <v>0</v>
      </c>
      <c r="L394" s="324" t="s">
        <v>447</v>
      </c>
      <c r="M394" s="324" t="s">
        <v>102</v>
      </c>
      <c r="N394" s="324" t="s">
        <v>447</v>
      </c>
      <c r="O394" s="314" t="s">
        <v>2239</v>
      </c>
      <c r="P394" s="314" t="s">
        <v>2239</v>
      </c>
      <c r="Q394" s="325"/>
      <c r="R394" s="325"/>
      <c r="S394" s="325"/>
      <c r="T394" s="325"/>
      <c r="U394" s="325"/>
      <c r="V394" s="325"/>
      <c r="W394" s="325"/>
      <c r="X394" s="325"/>
      <c r="Z394" s="325" t="n">
        <v>0</v>
      </c>
      <c r="AR394" s="314" t="str">
        <f aca="false">IFERROR(VLOOKUP(M394,'PL_DEC.2026'!$D$11:$D$99,1,FALSE()),"(미존재)")</f>
        <v>(미존재)</v>
      </c>
    </row>
    <row r="395" customFormat="false" ht="16.5" hidden="false" customHeight="false" outlineLevel="0" collapsed="false">
      <c r="A395" s="317" t="s">
        <v>2214</v>
      </c>
      <c r="B395" s="314" t="n">
        <v>86158008</v>
      </c>
      <c r="C395" s="314" t="s">
        <v>2240</v>
      </c>
      <c r="Q395" s="325"/>
      <c r="R395" s="325"/>
      <c r="S395" s="325"/>
      <c r="T395" s="325"/>
      <c r="U395" s="325"/>
      <c r="V395" s="325"/>
      <c r="W395" s="325"/>
      <c r="X395" s="325"/>
      <c r="Z395" s="325" t="n">
        <v>0</v>
      </c>
      <c r="AR395" s="314" t="str">
        <f aca="false">IFERROR(VLOOKUP(M395,'PL_DEC.2026'!$D$11:$D$99,1,FALSE()),"(미존재)")</f>
        <v>(미존재)</v>
      </c>
    </row>
    <row r="396" customFormat="false" ht="16.5" hidden="false" customHeight="false" outlineLevel="0" collapsed="false">
      <c r="A396" s="317" t="s">
        <v>2214</v>
      </c>
      <c r="B396" s="314" t="n">
        <v>86159000</v>
      </c>
      <c r="C396" s="314" t="s">
        <v>2241</v>
      </c>
      <c r="Q396" s="325"/>
      <c r="R396" s="325"/>
      <c r="S396" s="325"/>
      <c r="T396" s="325"/>
      <c r="U396" s="325"/>
      <c r="V396" s="325"/>
      <c r="W396" s="325"/>
      <c r="X396" s="325"/>
      <c r="Z396" s="325" t="n">
        <v>0</v>
      </c>
      <c r="AR396" s="314" t="str">
        <f aca="false">IFERROR(VLOOKUP(M396,'PL_DEC.2026'!$D$11:$D$99,1,FALSE()),"(미존재)")</f>
        <v>(미존재)</v>
      </c>
    </row>
    <row r="397" customFormat="false" ht="16.5" hidden="false" customHeight="false" outlineLevel="0" collapsed="false">
      <c r="A397" s="317" t="s">
        <v>2214</v>
      </c>
      <c r="B397" s="314" t="n">
        <v>86200800</v>
      </c>
      <c r="C397" s="314" t="s">
        <v>2242</v>
      </c>
      <c r="G397" s="314" t="s">
        <v>2228</v>
      </c>
      <c r="L397" s="324" t="s">
        <v>173</v>
      </c>
      <c r="M397" s="324" t="s">
        <v>191</v>
      </c>
      <c r="N397" s="324" t="s">
        <v>173</v>
      </c>
      <c r="O397" s="324" t="s">
        <v>1642</v>
      </c>
      <c r="P397" s="324" t="s">
        <v>191</v>
      </c>
      <c r="Q397" s="325"/>
      <c r="R397" s="325"/>
      <c r="S397" s="325"/>
      <c r="T397" s="325"/>
      <c r="U397" s="325"/>
      <c r="V397" s="325"/>
      <c r="W397" s="325"/>
      <c r="X397" s="325"/>
      <c r="Z397" s="325" t="n">
        <v>-231643035</v>
      </c>
    </row>
    <row r="398" customFormat="false" ht="16.5" hidden="false" customHeight="false" outlineLevel="0" collapsed="false">
      <c r="A398" s="317" t="s">
        <v>2214</v>
      </c>
      <c r="B398" s="314" t="n">
        <v>86240007</v>
      </c>
      <c r="C398" s="314" t="s">
        <v>2243</v>
      </c>
      <c r="G398" s="314" t="n">
        <v>0</v>
      </c>
      <c r="L398" s="324" t="s">
        <v>447</v>
      </c>
      <c r="M398" s="324" t="s">
        <v>31</v>
      </c>
      <c r="N398" s="324" t="s">
        <v>447</v>
      </c>
      <c r="O398" s="314" t="s">
        <v>2244</v>
      </c>
      <c r="P398" s="314" t="s">
        <v>2244</v>
      </c>
      <c r="Q398" s="325"/>
      <c r="R398" s="325"/>
      <c r="S398" s="325"/>
      <c r="T398" s="325"/>
      <c r="U398" s="325"/>
      <c r="V398" s="325"/>
      <c r="W398" s="325"/>
      <c r="X398" s="325"/>
      <c r="Z398" s="325" t="n">
        <v>0</v>
      </c>
      <c r="AR398" s="314" t="str">
        <f aca="false">IFERROR(VLOOKUP(M398,'PL_DEC.2026'!$D$11:$D$99,1,FALSE()),"(미존재)")</f>
        <v>(미존재)</v>
      </c>
    </row>
    <row r="399" customFormat="false" ht="16.5" hidden="false" customHeight="false" outlineLevel="0" collapsed="false">
      <c r="A399" s="317" t="s">
        <v>2214</v>
      </c>
      <c r="B399" s="314" t="n">
        <v>86260000</v>
      </c>
      <c r="C399" s="314" t="s">
        <v>2245</v>
      </c>
      <c r="Q399" s="325"/>
      <c r="R399" s="325"/>
      <c r="S399" s="325"/>
      <c r="T399" s="325"/>
      <c r="U399" s="325"/>
      <c r="V399" s="325"/>
      <c r="W399" s="325"/>
      <c r="X399" s="325"/>
      <c r="Z399" s="325" t="n">
        <v>0</v>
      </c>
      <c r="AR399" s="314" t="str">
        <f aca="false">IFERROR(VLOOKUP(M399,'PL_DEC.2026'!$D$11:$D$99,1,FALSE()),"(미존재)")</f>
        <v>(미존재)</v>
      </c>
    </row>
    <row r="400" customFormat="false" ht="16.5" hidden="false" customHeight="false" outlineLevel="0" collapsed="false">
      <c r="A400" s="317" t="s">
        <v>2214</v>
      </c>
      <c r="B400" s="314" t="n">
        <v>86260008</v>
      </c>
      <c r="C400" s="314" t="s">
        <v>2246</v>
      </c>
      <c r="G400" s="314" t="n">
        <v>0</v>
      </c>
      <c r="L400" s="324" t="s">
        <v>447</v>
      </c>
      <c r="M400" s="324" t="s">
        <v>50</v>
      </c>
      <c r="N400" s="324" t="s">
        <v>447</v>
      </c>
      <c r="O400" s="314" t="s">
        <v>2247</v>
      </c>
      <c r="P400" s="314" t="s">
        <v>2247</v>
      </c>
      <c r="Q400" s="325"/>
      <c r="R400" s="325"/>
      <c r="S400" s="325"/>
      <c r="T400" s="325"/>
      <c r="U400" s="325"/>
      <c r="V400" s="325"/>
      <c r="W400" s="325"/>
      <c r="X400" s="325"/>
      <c r="Z400" s="325" t="n">
        <v>0</v>
      </c>
      <c r="AR400" s="314" t="str">
        <f aca="false">IFERROR(VLOOKUP(M400,'PL_DEC.2026'!$D$11:$D$99,1,FALSE()),"(미존재)")</f>
        <v>(미존재)</v>
      </c>
    </row>
    <row r="401" customFormat="false" ht="16.5" hidden="false" customHeight="false" outlineLevel="0" collapsed="false">
      <c r="A401" s="317" t="s">
        <v>2214</v>
      </c>
      <c r="B401" s="314" t="n">
        <v>86260033</v>
      </c>
      <c r="C401" s="314" t="s">
        <v>2248</v>
      </c>
      <c r="G401" s="314" t="n">
        <v>0</v>
      </c>
      <c r="L401" s="324" t="s">
        <v>447</v>
      </c>
      <c r="M401" s="324" t="s">
        <v>39</v>
      </c>
      <c r="N401" s="324" t="s">
        <v>447</v>
      </c>
      <c r="O401" s="314" t="s">
        <v>2249</v>
      </c>
      <c r="P401" s="314" t="s">
        <v>2249</v>
      </c>
      <c r="Q401" s="325" t="n">
        <v>2256858116</v>
      </c>
      <c r="R401" s="325"/>
      <c r="S401" s="325"/>
      <c r="T401" s="325"/>
      <c r="U401" s="325"/>
      <c r="V401" s="325"/>
      <c r="W401" s="325"/>
      <c r="X401" s="325"/>
      <c r="Z401" s="325" t="n">
        <v>0</v>
      </c>
      <c r="AR401" s="314" t="str">
        <f aca="false">IFERROR(VLOOKUP(M401,'PL_DEC.2026'!$D$11:$D$99,1,FALSE()),"(미존재)")</f>
        <v>(미존재)</v>
      </c>
    </row>
    <row r="402" customFormat="false" ht="16.5" hidden="false" customHeight="false" outlineLevel="0" collapsed="false">
      <c r="A402" s="317" t="s">
        <v>2214</v>
      </c>
      <c r="B402" s="314" t="n">
        <v>86265300</v>
      </c>
      <c r="C402" s="314" t="s">
        <v>2250</v>
      </c>
      <c r="Q402" s="325"/>
      <c r="R402" s="325"/>
      <c r="S402" s="325"/>
      <c r="T402" s="325"/>
      <c r="U402" s="325"/>
      <c r="V402" s="325"/>
      <c r="W402" s="325"/>
      <c r="X402" s="325"/>
      <c r="Z402" s="325" t="n">
        <v>0</v>
      </c>
      <c r="AR402" s="314" t="str">
        <f aca="false">IFERROR(VLOOKUP(M402,'PL_DEC.2026'!$D$11:$D$99,1,FALSE()),"(미존재)")</f>
        <v>(미존재)</v>
      </c>
    </row>
    <row r="403" customFormat="false" ht="16.5" hidden="false" customHeight="false" outlineLevel="0" collapsed="false">
      <c r="A403" s="317" t="s">
        <v>2214</v>
      </c>
      <c r="B403" s="314" t="n">
        <v>86266003</v>
      </c>
      <c r="C403" s="314" t="s">
        <v>2251</v>
      </c>
      <c r="G403" s="314" t="n">
        <v>0</v>
      </c>
      <c r="L403" s="324" t="s">
        <v>447</v>
      </c>
      <c r="M403" s="324" t="s">
        <v>162</v>
      </c>
      <c r="N403" s="324" t="s">
        <v>447</v>
      </c>
      <c r="O403" s="314" t="s">
        <v>2252</v>
      </c>
      <c r="P403" s="314" t="s">
        <v>2252</v>
      </c>
      <c r="Q403" s="325" t="n">
        <v>-4470720940</v>
      </c>
      <c r="R403" s="325"/>
      <c r="S403" s="325"/>
      <c r="T403" s="325"/>
      <c r="U403" s="325"/>
      <c r="V403" s="325"/>
      <c r="W403" s="325"/>
      <c r="X403" s="325"/>
      <c r="Z403" s="325" t="n">
        <v>0</v>
      </c>
      <c r="AR403" s="314" t="str">
        <f aca="false">IFERROR(VLOOKUP(M403,'PL_DEC.2026'!$D$11:$D$99,1,FALSE()),"(미존재)")</f>
        <v>(미존재)</v>
      </c>
    </row>
    <row r="404" customFormat="false" ht="16.5" hidden="false" customHeight="false" outlineLevel="0" collapsed="false">
      <c r="A404" s="317" t="s">
        <v>2214</v>
      </c>
      <c r="B404" s="314" t="n">
        <v>86266554</v>
      </c>
      <c r="C404" s="314" t="s">
        <v>2253</v>
      </c>
      <c r="Q404" s="325"/>
      <c r="R404" s="325"/>
      <c r="S404" s="325"/>
      <c r="T404" s="325"/>
      <c r="U404" s="325"/>
      <c r="V404" s="325"/>
      <c r="W404" s="325"/>
      <c r="X404" s="325"/>
      <c r="Z404" s="325" t="n">
        <v>0</v>
      </c>
      <c r="AR404" s="314" t="str">
        <f aca="false">IFERROR(VLOOKUP(M404,'PL_DEC.2026'!$D$11:$D$99,1,FALSE()),"(미존재)")</f>
        <v>(미존재)</v>
      </c>
    </row>
    <row r="405" customFormat="false" ht="16.5" hidden="false" customHeight="false" outlineLevel="0" collapsed="false">
      <c r="A405" s="317" t="s">
        <v>2214</v>
      </c>
      <c r="B405" s="314" t="n">
        <v>86291000</v>
      </c>
      <c r="C405" s="314" t="s">
        <v>2254</v>
      </c>
      <c r="G405" s="314" t="s">
        <v>2228</v>
      </c>
      <c r="L405" s="324" t="s">
        <v>447</v>
      </c>
      <c r="M405" s="324" t="s">
        <v>64</v>
      </c>
      <c r="N405" s="324" t="s">
        <v>447</v>
      </c>
      <c r="O405" s="314" t="s">
        <v>2255</v>
      </c>
      <c r="P405" s="314" t="s">
        <v>2255</v>
      </c>
      <c r="Q405" s="325" t="n">
        <v>-218849080</v>
      </c>
      <c r="R405" s="325"/>
      <c r="S405" s="325"/>
      <c r="T405" s="325"/>
      <c r="U405" s="325"/>
      <c r="V405" s="325"/>
      <c r="W405" s="325"/>
      <c r="X405" s="325"/>
      <c r="Z405" s="325" t="n">
        <v>-317032050</v>
      </c>
    </row>
    <row r="406" customFormat="false" ht="16.5" hidden="false" customHeight="false" outlineLevel="0" collapsed="false">
      <c r="A406" s="317" t="s">
        <v>2214</v>
      </c>
      <c r="B406" s="314" t="n">
        <v>86291502</v>
      </c>
      <c r="C406" s="314" t="s">
        <v>2256</v>
      </c>
      <c r="G406" s="314" t="n">
        <v>0</v>
      </c>
      <c r="L406" s="324" t="s">
        <v>447</v>
      </c>
      <c r="M406" s="324" t="s">
        <v>160</v>
      </c>
      <c r="N406" s="324" t="s">
        <v>447</v>
      </c>
      <c r="O406" s="314" t="s">
        <v>2257</v>
      </c>
      <c r="P406" s="314" t="s">
        <v>2257</v>
      </c>
      <c r="Q406" s="325" t="n">
        <v>422237592</v>
      </c>
      <c r="R406" s="325"/>
      <c r="S406" s="325"/>
      <c r="T406" s="325"/>
      <c r="U406" s="325"/>
      <c r="V406" s="325"/>
      <c r="W406" s="325"/>
      <c r="X406" s="325"/>
      <c r="Z406" s="325" t="n">
        <v>422237592</v>
      </c>
    </row>
    <row r="407" customFormat="false" ht="16.5" hidden="false" customHeight="false" outlineLevel="0" collapsed="false">
      <c r="A407" s="317" t="s">
        <v>2214</v>
      </c>
      <c r="B407" s="314" t="n">
        <v>86300001</v>
      </c>
      <c r="C407" s="314" t="s">
        <v>2258</v>
      </c>
      <c r="G407" s="324" t="s">
        <v>2259</v>
      </c>
      <c r="L407" s="324" t="s">
        <v>227</v>
      </c>
      <c r="M407" s="324" t="s">
        <v>235</v>
      </c>
      <c r="N407" s="324" t="s">
        <v>227</v>
      </c>
      <c r="O407" s="314" t="s">
        <v>2260</v>
      </c>
      <c r="P407" s="314" t="s">
        <v>2260</v>
      </c>
      <c r="Q407" s="325" t="n">
        <v>-30019790582</v>
      </c>
      <c r="R407" s="325"/>
      <c r="S407" s="325"/>
      <c r="T407" s="325"/>
      <c r="U407" s="325"/>
      <c r="V407" s="325"/>
      <c r="W407" s="325"/>
      <c r="X407" s="325"/>
      <c r="Z407" s="325" t="n">
        <v>-30019790582</v>
      </c>
    </row>
    <row r="408" customFormat="false" ht="16.5" hidden="false" customHeight="false" outlineLevel="0" collapsed="false">
      <c r="A408" s="317" t="s">
        <v>2214</v>
      </c>
      <c r="B408" s="314" t="n">
        <v>86310000</v>
      </c>
      <c r="C408" s="314" t="s">
        <v>2261</v>
      </c>
      <c r="G408" s="324" t="s">
        <v>2262</v>
      </c>
      <c r="L408" s="324" t="s">
        <v>227</v>
      </c>
      <c r="M408" s="324" t="s">
        <v>237</v>
      </c>
      <c r="N408" s="324" t="s">
        <v>227</v>
      </c>
      <c r="O408" s="314" t="s">
        <v>2263</v>
      </c>
      <c r="P408" s="314" t="s">
        <v>2263</v>
      </c>
      <c r="Q408" s="325" t="n">
        <v>-3154816366</v>
      </c>
      <c r="R408" s="325"/>
      <c r="S408" s="325"/>
      <c r="T408" s="325"/>
      <c r="U408" s="325"/>
      <c r="V408" s="325"/>
      <c r="W408" s="325"/>
      <c r="X408" s="325"/>
      <c r="Z408" s="325" t="n">
        <v>-3154816366</v>
      </c>
    </row>
    <row r="409" customFormat="false" ht="16.5" hidden="false" customHeight="false" outlineLevel="0" collapsed="false">
      <c r="A409" s="317" t="s">
        <v>2214</v>
      </c>
      <c r="B409" s="314" t="n">
        <v>86322000</v>
      </c>
      <c r="C409" s="314" t="s">
        <v>2264</v>
      </c>
      <c r="G409" s="314" t="n">
        <v>0</v>
      </c>
      <c r="L409" s="324" t="s">
        <v>227</v>
      </c>
      <c r="M409" s="324" t="s">
        <v>248</v>
      </c>
      <c r="N409" s="324" t="s">
        <v>227</v>
      </c>
      <c r="O409" s="314" t="s">
        <v>2265</v>
      </c>
      <c r="P409" s="314" t="s">
        <v>2265</v>
      </c>
      <c r="Q409" s="325" t="n">
        <v>51148825200</v>
      </c>
      <c r="R409" s="325"/>
      <c r="S409" s="325"/>
      <c r="T409" s="325"/>
      <c r="U409" s="325"/>
      <c r="V409" s="325"/>
      <c r="W409" s="325"/>
      <c r="X409" s="325"/>
      <c r="Z409" s="325" t="n">
        <v>52281765109</v>
      </c>
    </row>
    <row r="410" customFormat="false" ht="16.5" hidden="false" customHeight="false" outlineLevel="0" collapsed="false">
      <c r="A410" s="317" t="s">
        <v>2214</v>
      </c>
      <c r="B410" s="314" t="n">
        <v>86322007</v>
      </c>
      <c r="C410" s="314" t="s">
        <v>2266</v>
      </c>
      <c r="G410" s="324" t="s">
        <v>2259</v>
      </c>
      <c r="L410" s="324" t="s">
        <v>227</v>
      </c>
      <c r="M410" s="324" t="s">
        <v>243</v>
      </c>
      <c r="N410" s="324" t="s">
        <v>227</v>
      </c>
      <c r="O410" s="314" t="s">
        <v>2267</v>
      </c>
      <c r="P410" s="314" t="s">
        <v>2267</v>
      </c>
      <c r="Q410" s="325" t="n">
        <v>25000000</v>
      </c>
      <c r="R410" s="325"/>
      <c r="S410" s="325"/>
      <c r="T410" s="325"/>
      <c r="U410" s="325"/>
      <c r="V410" s="325"/>
      <c r="W410" s="325"/>
      <c r="X410" s="325"/>
      <c r="Z410" s="325" t="n">
        <v>25000000</v>
      </c>
    </row>
    <row r="411" customFormat="false" ht="16.5" hidden="false" customHeight="false" outlineLevel="0" collapsed="false">
      <c r="A411" s="317" t="s">
        <v>2214</v>
      </c>
      <c r="B411" s="314" t="n">
        <v>86322100</v>
      </c>
      <c r="C411" s="314" t="s">
        <v>2268</v>
      </c>
      <c r="G411" s="314" t="n">
        <v>0</v>
      </c>
      <c r="L411" s="324" t="s">
        <v>227</v>
      </c>
      <c r="M411" s="324" t="s">
        <v>248</v>
      </c>
      <c r="N411" s="324" t="s">
        <v>227</v>
      </c>
      <c r="O411" s="314" t="s">
        <v>2265</v>
      </c>
      <c r="P411" s="314" t="s">
        <v>2265</v>
      </c>
      <c r="Q411" s="325"/>
      <c r="R411" s="325"/>
      <c r="S411" s="325"/>
      <c r="T411" s="325"/>
      <c r="U411" s="325"/>
      <c r="V411" s="325"/>
      <c r="W411" s="325"/>
      <c r="X411" s="325"/>
      <c r="Z411" s="325" t="n">
        <v>0</v>
      </c>
      <c r="AR411" s="314" t="str">
        <f aca="false">IFERROR(VLOOKUP(M411,'PL_DEC.2026'!$D$11:$D$99,1,FALSE()),"(미존재)")</f>
        <v>(미존재)</v>
      </c>
    </row>
    <row r="412" customFormat="false" ht="16.5" hidden="false" customHeight="false" outlineLevel="0" collapsed="false">
      <c r="A412" s="317" t="s">
        <v>2214</v>
      </c>
      <c r="B412" s="314" t="n">
        <v>86329000</v>
      </c>
      <c r="C412" s="314" t="s">
        <v>2269</v>
      </c>
      <c r="G412" s="314" t="n">
        <v>0</v>
      </c>
      <c r="L412" s="324" t="s">
        <v>227</v>
      </c>
      <c r="M412" s="324" t="s">
        <v>248</v>
      </c>
      <c r="N412" s="324" t="s">
        <v>227</v>
      </c>
      <c r="O412" s="314" t="s">
        <v>2265</v>
      </c>
      <c r="P412" s="314" t="s">
        <v>2265</v>
      </c>
      <c r="Q412" s="325"/>
      <c r="R412" s="325"/>
      <c r="S412" s="325"/>
      <c r="T412" s="325"/>
      <c r="U412" s="325"/>
      <c r="V412" s="325"/>
      <c r="W412" s="325"/>
      <c r="X412" s="325"/>
      <c r="Z412" s="325" t="n">
        <v>0</v>
      </c>
      <c r="AR412" s="314" t="str">
        <f aca="false">IFERROR(VLOOKUP(M412,'PL_DEC.2026'!$D$11:$D$99,1,FALSE()),"(미존재)")</f>
        <v>(미존재)</v>
      </c>
    </row>
    <row r="413" customFormat="false" ht="16.5" hidden="false" customHeight="false" outlineLevel="0" collapsed="false">
      <c r="A413" s="317" t="s">
        <v>2214</v>
      </c>
      <c r="B413" s="314" t="n">
        <v>86424000</v>
      </c>
      <c r="C413" s="314" t="s">
        <v>2270</v>
      </c>
      <c r="Q413" s="325"/>
      <c r="R413" s="325"/>
      <c r="S413" s="325"/>
      <c r="T413" s="325"/>
      <c r="U413" s="325"/>
      <c r="V413" s="325"/>
      <c r="W413" s="325"/>
      <c r="X413" s="325"/>
      <c r="Z413" s="325" t="n">
        <v>0</v>
      </c>
      <c r="AR413" s="314" t="str">
        <f aca="false">IFERROR(VLOOKUP(M413,'PL_DEC.2026'!$D$11:$D$99,1,FALSE()),"(미존재)")</f>
        <v>(미존재)</v>
      </c>
    </row>
    <row r="414" customFormat="false" ht="16.5" hidden="false" customHeight="false" outlineLevel="0" collapsed="false">
      <c r="A414" s="317" t="s">
        <v>2214</v>
      </c>
      <c r="B414" s="314" t="n">
        <v>86424001</v>
      </c>
      <c r="C414" s="314" t="s">
        <v>2271</v>
      </c>
      <c r="Q414" s="325"/>
      <c r="R414" s="325"/>
      <c r="S414" s="325"/>
      <c r="T414" s="325"/>
      <c r="U414" s="325"/>
      <c r="V414" s="325"/>
      <c r="W414" s="325"/>
      <c r="X414" s="325"/>
      <c r="Z414" s="325" t="n">
        <v>0</v>
      </c>
      <c r="AR414" s="314" t="str">
        <f aca="false">IFERROR(VLOOKUP(M414,'PL_DEC.2026'!$D$11:$D$99,1,FALSE()),"(미존재)")</f>
        <v>(미존재)</v>
      </c>
    </row>
    <row r="415" customFormat="false" ht="16.5" hidden="false" customHeight="false" outlineLevel="0" collapsed="false">
      <c r="A415" s="317" t="s">
        <v>2214</v>
      </c>
      <c r="B415" s="314" t="n">
        <v>86429100</v>
      </c>
      <c r="C415" s="314" t="s">
        <v>2272</v>
      </c>
      <c r="G415" s="314" t="n">
        <v>0</v>
      </c>
      <c r="L415" s="324" t="s">
        <v>173</v>
      </c>
      <c r="M415" s="324" t="s">
        <v>178</v>
      </c>
      <c r="N415" s="324" t="s">
        <v>173</v>
      </c>
      <c r="O415" s="314" t="s">
        <v>2273</v>
      </c>
      <c r="P415" s="314" t="s">
        <v>2273</v>
      </c>
      <c r="Q415" s="325" t="n">
        <v>-154705481</v>
      </c>
      <c r="R415" s="325"/>
      <c r="S415" s="325"/>
      <c r="T415" s="325"/>
      <c r="U415" s="325"/>
      <c r="V415" s="325"/>
      <c r="W415" s="325"/>
      <c r="X415" s="325"/>
      <c r="Z415" s="325" t="n">
        <v>0</v>
      </c>
      <c r="AR415" s="314" t="str">
        <f aca="false">IFERROR(VLOOKUP(M415,'PL_DEC.2026'!$D$11:$D$99,1,FALSE()),"(미존재)")</f>
        <v>(미존재)</v>
      </c>
    </row>
    <row r="416" customFormat="false" ht="16.5" hidden="false" customHeight="false" outlineLevel="0" collapsed="false">
      <c r="A416" s="317" t="s">
        <v>2214</v>
      </c>
      <c r="B416" s="314" t="n">
        <v>86429108</v>
      </c>
      <c r="C416" s="314" t="s">
        <v>2274</v>
      </c>
      <c r="Q416" s="325"/>
      <c r="R416" s="325"/>
      <c r="S416" s="325"/>
      <c r="T416" s="325"/>
      <c r="U416" s="325"/>
      <c r="V416" s="325"/>
      <c r="W416" s="325"/>
      <c r="X416" s="325"/>
      <c r="Z416" s="325" t="n">
        <v>0</v>
      </c>
      <c r="AR416" s="314" t="str">
        <f aca="false">IFERROR(VLOOKUP(M416,'PL_DEC.2026'!$D$11:$D$99,1,FALSE()),"(미존재)")</f>
        <v>(미존재)</v>
      </c>
    </row>
    <row r="417" customFormat="false" ht="16.5" hidden="false" customHeight="false" outlineLevel="0" collapsed="false">
      <c r="A417" s="317" t="s">
        <v>2214</v>
      </c>
      <c r="B417" s="314" t="n">
        <v>86429208</v>
      </c>
      <c r="C417" s="314" t="s">
        <v>2275</v>
      </c>
      <c r="Q417" s="325"/>
      <c r="R417" s="325"/>
      <c r="S417" s="325"/>
      <c r="T417" s="325"/>
      <c r="U417" s="325"/>
      <c r="V417" s="325"/>
      <c r="W417" s="325"/>
      <c r="X417" s="325"/>
      <c r="Z417" s="325" t="n">
        <v>0</v>
      </c>
      <c r="AR417" s="314" t="str">
        <f aca="false">IFERROR(VLOOKUP(M417,'PL_DEC.2026'!$D$11:$D$99,1,FALSE()),"(미존재)")</f>
        <v>(미존재)</v>
      </c>
    </row>
    <row r="418" customFormat="false" ht="16.5" hidden="false" customHeight="false" outlineLevel="0" collapsed="false">
      <c r="A418" s="317" t="s">
        <v>2214</v>
      </c>
      <c r="B418" s="314" t="n">
        <v>86429307</v>
      </c>
      <c r="C418" s="314" t="s">
        <v>2276</v>
      </c>
      <c r="G418" s="314" t="n">
        <v>0</v>
      </c>
      <c r="L418" s="324" t="s">
        <v>173</v>
      </c>
      <c r="M418" s="324" t="s">
        <v>197</v>
      </c>
      <c r="N418" s="324" t="s">
        <v>173</v>
      </c>
      <c r="O418" s="314" t="s">
        <v>2223</v>
      </c>
      <c r="P418" s="314" t="s">
        <v>2223</v>
      </c>
      <c r="Q418" s="325" t="n">
        <v>3589508933</v>
      </c>
      <c r="R418" s="325"/>
      <c r="S418" s="325"/>
      <c r="T418" s="325"/>
      <c r="U418" s="325"/>
      <c r="V418" s="325"/>
      <c r="W418" s="325"/>
      <c r="X418" s="325"/>
      <c r="Z418" s="325" t="n">
        <v>0</v>
      </c>
      <c r="AR418" s="314" t="str">
        <f aca="false">IFERROR(VLOOKUP(M418,'PL_DEC.2026'!$D$11:$D$99,1,FALSE()),"(미존재)")</f>
        <v>(미존재)</v>
      </c>
    </row>
    <row r="419" customFormat="false" ht="16.5" hidden="false" customHeight="false" outlineLevel="0" collapsed="false">
      <c r="A419" s="317" t="s">
        <v>2214</v>
      </c>
      <c r="B419" s="314" t="n">
        <v>86429700</v>
      </c>
      <c r="C419" s="314" t="s">
        <v>2277</v>
      </c>
      <c r="Q419" s="325"/>
      <c r="R419" s="325"/>
      <c r="S419" s="325"/>
      <c r="T419" s="325"/>
      <c r="U419" s="325"/>
      <c r="V419" s="325"/>
      <c r="W419" s="325"/>
      <c r="X419" s="325"/>
      <c r="Z419" s="325" t="n">
        <v>0</v>
      </c>
      <c r="AR419" s="314" t="str">
        <f aca="false">IFERROR(VLOOKUP(M419,'PL_DEC.2026'!$D$11:$D$99,1,FALSE()),"(미존재)")</f>
        <v>(미존재)</v>
      </c>
    </row>
    <row r="420" customFormat="false" ht="16.5" hidden="false" customHeight="false" outlineLevel="0" collapsed="false">
      <c r="A420" s="317" t="s">
        <v>2214</v>
      </c>
      <c r="B420" s="314" t="n">
        <v>86429901</v>
      </c>
      <c r="C420" s="314" t="s">
        <v>2278</v>
      </c>
      <c r="Q420" s="325"/>
      <c r="R420" s="325"/>
      <c r="S420" s="325"/>
      <c r="T420" s="325"/>
      <c r="U420" s="325"/>
      <c r="V420" s="325"/>
      <c r="W420" s="325"/>
      <c r="X420" s="325"/>
      <c r="Z420" s="325" t="n">
        <v>0</v>
      </c>
      <c r="AR420" s="314" t="str">
        <f aca="false">IFERROR(VLOOKUP(M420,'PL_DEC.2026'!$D$11:$D$99,1,FALSE()),"(미존재)")</f>
        <v>(미존재)</v>
      </c>
    </row>
    <row r="421" customFormat="false" ht="16.5" hidden="false" customHeight="false" outlineLevel="0" collapsed="false">
      <c r="A421" s="317" t="s">
        <v>2214</v>
      </c>
      <c r="B421" s="314" t="n">
        <v>86911100</v>
      </c>
      <c r="C421" s="314" t="s">
        <v>2279</v>
      </c>
      <c r="G421" s="314" t="s">
        <v>2228</v>
      </c>
      <c r="L421" s="324" t="s">
        <v>173</v>
      </c>
      <c r="M421" s="324" t="s">
        <v>191</v>
      </c>
      <c r="N421" s="324" t="s">
        <v>173</v>
      </c>
      <c r="O421" s="314" t="s">
        <v>2280</v>
      </c>
      <c r="P421" s="314" t="s">
        <v>2280</v>
      </c>
      <c r="Q421" s="325" t="n">
        <v>1034568702</v>
      </c>
      <c r="R421" s="325"/>
      <c r="S421" s="325"/>
      <c r="T421" s="325"/>
      <c r="U421" s="325"/>
      <c r="V421" s="325"/>
      <c r="W421" s="325"/>
      <c r="X421" s="325"/>
      <c r="Z421" s="325" t="n">
        <v>130609871</v>
      </c>
    </row>
    <row r="422" customFormat="false" ht="16.5" hidden="false" customHeight="false" outlineLevel="0" collapsed="false">
      <c r="A422" s="317" t="s">
        <v>2214</v>
      </c>
      <c r="B422" s="314" t="n">
        <v>86911101</v>
      </c>
      <c r="C422" s="314" t="s">
        <v>2281</v>
      </c>
      <c r="G422" s="314" t="s">
        <v>2228</v>
      </c>
      <c r="L422" s="324" t="s">
        <v>173</v>
      </c>
      <c r="M422" s="324" t="s">
        <v>191</v>
      </c>
      <c r="N422" s="324" t="s">
        <v>173</v>
      </c>
      <c r="O422" s="314" t="s">
        <v>2280</v>
      </c>
      <c r="P422" s="314" t="s">
        <v>2280</v>
      </c>
      <c r="Q422" s="325" t="n">
        <v>1479860</v>
      </c>
      <c r="R422" s="325"/>
      <c r="S422" s="325"/>
      <c r="T422" s="325"/>
      <c r="U422" s="325"/>
      <c r="V422" s="325"/>
      <c r="W422" s="325"/>
      <c r="X422" s="325"/>
      <c r="Z422" s="325" t="n">
        <v>-144523</v>
      </c>
    </row>
    <row r="423" customFormat="false" ht="16.5" hidden="false" customHeight="false" outlineLevel="0" collapsed="false">
      <c r="A423" s="317" t="s">
        <v>2214</v>
      </c>
      <c r="B423" s="314" t="n">
        <v>95532200</v>
      </c>
      <c r="C423" s="314" t="s">
        <v>2282</v>
      </c>
      <c r="G423" s="314" t="n">
        <v>0</v>
      </c>
      <c r="L423" s="324" t="s">
        <v>227</v>
      </c>
      <c r="M423" s="324" t="s">
        <v>248</v>
      </c>
      <c r="N423" s="324" t="s">
        <v>227</v>
      </c>
      <c r="O423" s="314" t="s">
        <v>2265</v>
      </c>
      <c r="P423" s="314" t="s">
        <v>2265</v>
      </c>
      <c r="Q423" s="325" t="n">
        <v>-22053341135</v>
      </c>
      <c r="R423" s="325"/>
      <c r="S423" s="325"/>
      <c r="T423" s="325"/>
      <c r="U423" s="325"/>
      <c r="V423" s="325"/>
      <c r="W423" s="325"/>
      <c r="X423" s="325"/>
      <c r="Z423" s="325" t="n">
        <v>-20153937997</v>
      </c>
    </row>
    <row r="424" customFormat="false" ht="16.5" hidden="false" customHeight="false" outlineLevel="0" collapsed="false">
      <c r="A424" s="317" t="s">
        <v>2283</v>
      </c>
      <c r="B424" s="314" t="n">
        <v>86000000</v>
      </c>
      <c r="C424" s="314" t="s">
        <v>2284</v>
      </c>
      <c r="G424" s="314" t="n">
        <v>0</v>
      </c>
      <c r="L424" s="324" t="s">
        <v>428</v>
      </c>
      <c r="M424" s="324" t="s">
        <v>428</v>
      </c>
      <c r="N424" s="324" t="s">
        <v>428</v>
      </c>
      <c r="O424" s="314" t="s">
        <v>2285</v>
      </c>
      <c r="P424" s="314" t="s">
        <v>2285</v>
      </c>
      <c r="Q424" s="325" t="n">
        <v>-824172698</v>
      </c>
      <c r="R424" s="325"/>
      <c r="S424" s="325"/>
      <c r="T424" s="325"/>
      <c r="U424" s="325"/>
      <c r="V424" s="325"/>
      <c r="W424" s="325"/>
      <c r="X424" s="325"/>
      <c r="Z424" s="325" t="n">
        <v>-2014151916</v>
      </c>
      <c r="AR424" s="314" t="str">
        <f aca="false">IFERROR(VLOOKUP(M424,'PL_DEC.2026'!$D$11:$D$99,1,FALSE()),"(미존재)")</f>
        <v>(미존재)</v>
      </c>
    </row>
    <row r="425" customFormat="false" ht="16.5" hidden="false" customHeight="false" outlineLevel="0" collapsed="false">
      <c r="A425" s="317" t="s">
        <v>2283</v>
      </c>
      <c r="B425" s="314" t="n">
        <v>86000001</v>
      </c>
      <c r="C425" s="314" t="s">
        <v>2286</v>
      </c>
      <c r="Q425" s="325"/>
      <c r="R425" s="325"/>
      <c r="S425" s="325"/>
      <c r="T425" s="325"/>
      <c r="U425" s="325"/>
      <c r="V425" s="325"/>
      <c r="W425" s="325"/>
      <c r="X425" s="325"/>
      <c r="Z425" s="325" t="n">
        <v>0</v>
      </c>
      <c r="AR425" s="314" t="str">
        <f aca="false">IFERROR(VLOOKUP(M425,'PL_DEC.2026'!$D$11:$D$99,1,FALSE()),"(미존재)")</f>
        <v>(미존재)</v>
      </c>
    </row>
    <row r="426" customFormat="false" ht="16.5" hidden="false" customHeight="false" outlineLevel="0" collapsed="false">
      <c r="A426" s="317" t="s">
        <v>2283</v>
      </c>
      <c r="B426" s="314" t="n">
        <v>86000004</v>
      </c>
      <c r="C426" s="314" t="s">
        <v>2287</v>
      </c>
      <c r="Q426" s="325"/>
      <c r="R426" s="325"/>
      <c r="S426" s="325"/>
      <c r="T426" s="325"/>
      <c r="U426" s="325"/>
      <c r="V426" s="325"/>
      <c r="W426" s="325"/>
      <c r="X426" s="325"/>
      <c r="Z426" s="325" t="n">
        <v>0</v>
      </c>
      <c r="AR426" s="314" t="str">
        <f aca="false">IFERROR(VLOOKUP(M426,'PL_DEC.2026'!$D$11:$D$99,1,FALSE()),"(미존재)")</f>
        <v>(미존재)</v>
      </c>
    </row>
    <row r="427" customFormat="false" ht="16.5" hidden="false" customHeight="false" outlineLevel="0" collapsed="false">
      <c r="A427" s="317" t="s">
        <v>2283</v>
      </c>
      <c r="B427" s="314" t="n">
        <v>86000006</v>
      </c>
      <c r="C427" s="314" t="s">
        <v>2288</v>
      </c>
      <c r="Q427" s="325"/>
      <c r="R427" s="325"/>
      <c r="S427" s="325"/>
      <c r="T427" s="325"/>
      <c r="U427" s="325"/>
      <c r="V427" s="325"/>
      <c r="W427" s="325"/>
      <c r="X427" s="325"/>
      <c r="Z427" s="325" t="n">
        <v>0</v>
      </c>
      <c r="AR427" s="314" t="str">
        <f aca="false">IFERROR(VLOOKUP(M427,'PL_DEC.2026'!$D$11:$D$99,1,FALSE()),"(미존재)")</f>
        <v>(미존재)</v>
      </c>
    </row>
    <row r="428" customFormat="false" ht="16.5" hidden="false" customHeight="false" outlineLevel="0" collapsed="false">
      <c r="A428" s="317" t="s">
        <v>2283</v>
      </c>
      <c r="B428" s="314" t="n">
        <v>86000300</v>
      </c>
      <c r="C428" s="314" t="s">
        <v>2289</v>
      </c>
      <c r="G428" s="314" t="n">
        <v>0</v>
      </c>
      <c r="L428" s="324" t="s">
        <v>862</v>
      </c>
      <c r="M428" s="324" t="s">
        <v>319</v>
      </c>
      <c r="N428" s="324" t="s">
        <v>862</v>
      </c>
      <c r="O428" s="314" t="s">
        <v>2290</v>
      </c>
      <c r="P428" s="314" t="s">
        <v>2290</v>
      </c>
      <c r="Q428" s="325" t="n">
        <v>433482852</v>
      </c>
      <c r="R428" s="325"/>
      <c r="S428" s="325"/>
      <c r="T428" s="325"/>
      <c r="U428" s="325"/>
      <c r="V428" s="325"/>
      <c r="W428" s="325"/>
      <c r="X428" s="325"/>
      <c r="Z428" s="325" t="n">
        <v>0</v>
      </c>
      <c r="AR428" s="314" t="str">
        <f aca="false">IFERROR(VLOOKUP(M428,'PL_DEC.2026'!$D$11:$D$99,1,FALSE()),"(미존재)")</f>
        <v>급여</v>
      </c>
    </row>
    <row r="429" customFormat="false" ht="16.5" hidden="false" customHeight="false" outlineLevel="0" collapsed="false">
      <c r="A429" s="317" t="s">
        <v>2283</v>
      </c>
      <c r="B429" s="314" t="n">
        <v>86000400</v>
      </c>
      <c r="C429" s="314" t="s">
        <v>2291</v>
      </c>
      <c r="Q429" s="325"/>
      <c r="R429" s="325"/>
      <c r="S429" s="325"/>
      <c r="T429" s="325"/>
      <c r="U429" s="325"/>
      <c r="V429" s="325"/>
      <c r="W429" s="325"/>
      <c r="X429" s="325"/>
      <c r="Z429" s="325" t="n">
        <v>0</v>
      </c>
      <c r="AR429" s="314" t="str">
        <f aca="false">IFERROR(VLOOKUP(M429,'PL_DEC.2026'!$D$11:$D$99,1,FALSE()),"(미존재)")</f>
        <v>(미존재)</v>
      </c>
    </row>
    <row r="430" customFormat="false" ht="16.5" hidden="false" customHeight="false" outlineLevel="0" collapsed="false">
      <c r="A430" s="317" t="s">
        <v>2283</v>
      </c>
      <c r="B430" s="314" t="n">
        <v>86000800</v>
      </c>
      <c r="C430" s="314" t="s">
        <v>2292</v>
      </c>
      <c r="G430" s="314" t="n">
        <v>0</v>
      </c>
      <c r="L430" s="324" t="s">
        <v>824</v>
      </c>
      <c r="M430" s="324" t="s">
        <v>269</v>
      </c>
      <c r="N430" s="324" t="s">
        <v>824</v>
      </c>
      <c r="O430" s="314" t="s">
        <v>2293</v>
      </c>
      <c r="P430" s="314" t="s">
        <v>2293</v>
      </c>
      <c r="Q430" s="325" t="n">
        <v>408043000</v>
      </c>
      <c r="R430" s="325"/>
      <c r="S430" s="325"/>
      <c r="T430" s="325"/>
      <c r="U430" s="325"/>
      <c r="V430" s="325"/>
      <c r="W430" s="325"/>
      <c r="X430" s="325"/>
      <c r="Z430" s="325" t="n">
        <v>-408043000</v>
      </c>
      <c r="AR430" s="314" t="str">
        <f aca="false">IFERROR(VLOOKUP(M430,'PL_DEC.2026'!$D$11:$D$99,1,FALSE()),"(미존재)")</f>
        <v>상품매출원가</v>
      </c>
    </row>
    <row r="431" customFormat="false" ht="16.5" hidden="false" customHeight="false" outlineLevel="0" collapsed="false">
      <c r="A431" s="317" t="s">
        <v>2283</v>
      </c>
      <c r="B431" s="314" t="n">
        <v>86030002</v>
      </c>
      <c r="C431" s="314" t="s">
        <v>2294</v>
      </c>
      <c r="G431" s="314" t="n">
        <v>0</v>
      </c>
      <c r="L431" s="324" t="s">
        <v>1090</v>
      </c>
      <c r="M431" s="324" t="s">
        <v>428</v>
      </c>
      <c r="N431" s="324" t="s">
        <v>1090</v>
      </c>
      <c r="O431" s="314" t="s">
        <v>2295</v>
      </c>
      <c r="P431" s="314" t="s">
        <v>2295</v>
      </c>
      <c r="Q431" s="325" t="n">
        <v>2165556320</v>
      </c>
      <c r="R431" s="325"/>
      <c r="S431" s="325"/>
      <c r="T431" s="325"/>
      <c r="U431" s="325"/>
      <c r="V431" s="325"/>
      <c r="W431" s="325"/>
      <c r="X431" s="325"/>
      <c r="Z431" s="325" t="n">
        <v>0</v>
      </c>
      <c r="AR431" s="314" t="str">
        <f aca="false">IFERROR(VLOOKUP(M431,'PL_DEC.2026'!$D$11:$D$99,1,FALSE()),"(미존재)")</f>
        <v>(미존재)</v>
      </c>
    </row>
    <row r="432" customFormat="false" ht="16.5" hidden="false" customHeight="false" outlineLevel="0" collapsed="false">
      <c r="A432" s="317" t="s">
        <v>2283</v>
      </c>
      <c r="B432" s="314" t="n">
        <v>86073501</v>
      </c>
      <c r="C432" s="314" t="s">
        <v>2296</v>
      </c>
      <c r="Q432" s="325"/>
      <c r="R432" s="325"/>
      <c r="S432" s="325"/>
      <c r="T432" s="325"/>
      <c r="U432" s="325"/>
      <c r="V432" s="325"/>
      <c r="W432" s="325"/>
      <c r="X432" s="325"/>
      <c r="Z432" s="325" t="n">
        <v>0</v>
      </c>
      <c r="AR432" s="314" t="str">
        <f aca="false">IFERROR(VLOOKUP(M432,'PL_DEC.2026'!$D$11:$D$99,1,FALSE()),"(미존재)")</f>
        <v>(미존재)</v>
      </c>
    </row>
    <row r="433" customFormat="false" ht="16.5" hidden="false" customHeight="false" outlineLevel="0" collapsed="false">
      <c r="A433" s="317" t="s">
        <v>2283</v>
      </c>
      <c r="B433" s="314" t="n">
        <v>86100747</v>
      </c>
      <c r="C433" s="314" t="s">
        <v>2297</v>
      </c>
      <c r="Q433" s="325"/>
      <c r="R433" s="325"/>
      <c r="S433" s="325"/>
      <c r="T433" s="325"/>
      <c r="U433" s="325"/>
      <c r="V433" s="325"/>
      <c r="W433" s="325"/>
      <c r="X433" s="325"/>
      <c r="Z433" s="325" t="n">
        <v>0</v>
      </c>
      <c r="AR433" s="314" t="str">
        <f aca="false">IFERROR(VLOOKUP(M433,'PL_DEC.2026'!$D$11:$D$99,1,FALSE()),"(미존재)")</f>
        <v>(미존재)</v>
      </c>
    </row>
    <row r="434" customFormat="false" ht="16.5" hidden="false" customHeight="false" outlineLevel="0" collapsed="false">
      <c r="A434" s="317" t="s">
        <v>2283</v>
      </c>
      <c r="B434" s="314" t="n">
        <v>86100925</v>
      </c>
      <c r="C434" s="314" t="s">
        <v>2298</v>
      </c>
      <c r="Q434" s="325"/>
      <c r="R434" s="325"/>
      <c r="S434" s="325"/>
      <c r="T434" s="325"/>
      <c r="U434" s="325"/>
      <c r="V434" s="325"/>
      <c r="W434" s="325"/>
      <c r="X434" s="325"/>
      <c r="Z434" s="325" t="n">
        <v>0</v>
      </c>
      <c r="AR434" s="314" t="str">
        <f aca="false">IFERROR(VLOOKUP(M434,'PL_DEC.2026'!$D$11:$D$99,1,FALSE()),"(미존재)")</f>
        <v>(미존재)</v>
      </c>
    </row>
    <row r="435" customFormat="false" ht="16.5" hidden="false" customHeight="false" outlineLevel="0" collapsed="false">
      <c r="A435" s="317" t="s">
        <v>2283</v>
      </c>
      <c r="B435" s="314" t="n">
        <v>86132000</v>
      </c>
      <c r="C435" s="314" t="s">
        <v>2299</v>
      </c>
      <c r="G435" s="314" t="s">
        <v>2228</v>
      </c>
      <c r="L435" s="324" t="s">
        <v>862</v>
      </c>
      <c r="M435" s="324" t="s">
        <v>338</v>
      </c>
      <c r="N435" s="324" t="s">
        <v>862</v>
      </c>
      <c r="O435" s="314" t="s">
        <v>2300</v>
      </c>
      <c r="P435" s="314" t="s">
        <v>2300</v>
      </c>
      <c r="Q435" s="325" t="n">
        <v>1126894020</v>
      </c>
      <c r="R435" s="325"/>
      <c r="S435" s="325"/>
      <c r="T435" s="325"/>
      <c r="U435" s="325"/>
      <c r="V435" s="325"/>
      <c r="W435" s="325"/>
      <c r="X435" s="325"/>
      <c r="Z435" s="325" t="n">
        <v>1150558794</v>
      </c>
      <c r="AR435" s="314" t="str">
        <f aca="false">IFERROR(VLOOKUP(M435,'PL_DEC.2026'!$D$11:$D$99,1,FALSE()),"(미존재)")</f>
        <v>임차료</v>
      </c>
    </row>
    <row r="436" customFormat="false" ht="16.5" hidden="false" customHeight="false" outlineLevel="0" collapsed="false">
      <c r="A436" s="317" t="s">
        <v>2283</v>
      </c>
      <c r="B436" s="314" t="n">
        <v>86144000</v>
      </c>
      <c r="C436" s="314" t="s">
        <v>2301</v>
      </c>
      <c r="G436" s="314" t="s">
        <v>2228</v>
      </c>
      <c r="L436" s="324" t="s">
        <v>862</v>
      </c>
      <c r="M436" s="324" t="s">
        <v>358</v>
      </c>
      <c r="N436" s="324" t="s">
        <v>862</v>
      </c>
      <c r="O436" s="314" t="s">
        <v>2302</v>
      </c>
      <c r="P436" s="314" t="s">
        <v>2302</v>
      </c>
      <c r="Q436" s="325" t="n">
        <v>-1131258360</v>
      </c>
      <c r="R436" s="325"/>
      <c r="S436" s="325"/>
      <c r="T436" s="325"/>
      <c r="U436" s="325"/>
      <c r="V436" s="325"/>
      <c r="W436" s="325"/>
      <c r="X436" s="325"/>
      <c r="Z436" s="325" t="n">
        <v>-1131258360</v>
      </c>
      <c r="AR436" s="314" t="str">
        <f aca="false">IFERROR(VLOOKUP(M436,'PL_DEC.2026'!$D$11:$D$99,1,FALSE()),"(미존재)")</f>
        <v>감가상각비</v>
      </c>
    </row>
    <row r="437" customFormat="false" ht="16.5" hidden="false" customHeight="false" outlineLevel="0" collapsed="false">
      <c r="A437" s="317" t="s">
        <v>2283</v>
      </c>
      <c r="B437" s="314" t="n">
        <v>86150000</v>
      </c>
      <c r="C437" s="314" t="s">
        <v>2303</v>
      </c>
      <c r="Q437" s="325"/>
      <c r="R437" s="325"/>
      <c r="S437" s="325"/>
      <c r="T437" s="325"/>
      <c r="U437" s="325"/>
      <c r="V437" s="325"/>
      <c r="W437" s="325"/>
      <c r="X437" s="325"/>
      <c r="Z437" s="325" t="n">
        <v>0</v>
      </c>
      <c r="AR437" s="314" t="str">
        <f aca="false">IFERROR(VLOOKUP(M437,'PL_DEC.2026'!$D$11:$D$99,1,FALSE()),"(미존재)")</f>
        <v>(미존재)</v>
      </c>
    </row>
    <row r="438" customFormat="false" ht="16.5" hidden="false" customHeight="false" outlineLevel="0" collapsed="false">
      <c r="A438" s="317" t="s">
        <v>2283</v>
      </c>
      <c r="B438" s="314" t="n">
        <v>86200001</v>
      </c>
      <c r="C438" s="314" t="s">
        <v>2304</v>
      </c>
      <c r="Q438" s="325"/>
      <c r="R438" s="325"/>
      <c r="S438" s="325"/>
      <c r="T438" s="325"/>
      <c r="U438" s="325"/>
      <c r="V438" s="325"/>
      <c r="W438" s="325"/>
      <c r="X438" s="325"/>
      <c r="Z438" s="325" t="n">
        <v>0</v>
      </c>
      <c r="AR438" s="314" t="str">
        <f aca="false">IFERROR(VLOOKUP(M438,'PL_DEC.2026'!$D$11:$D$99,1,FALSE()),"(미존재)")</f>
        <v>(미존재)</v>
      </c>
    </row>
    <row r="439" customFormat="false" ht="16.5" hidden="false" customHeight="false" outlineLevel="0" collapsed="false">
      <c r="A439" s="317" t="s">
        <v>2283</v>
      </c>
      <c r="B439" s="314" t="n">
        <v>86200400</v>
      </c>
      <c r="C439" s="314" t="s">
        <v>2305</v>
      </c>
      <c r="G439" s="314" t="s">
        <v>2306</v>
      </c>
      <c r="L439" s="324" t="s">
        <v>870</v>
      </c>
      <c r="M439" s="324" t="s">
        <v>393</v>
      </c>
      <c r="N439" s="324" t="s">
        <v>870</v>
      </c>
      <c r="O439" s="314" t="s">
        <v>2307</v>
      </c>
      <c r="P439" s="314" t="s">
        <v>2307</v>
      </c>
      <c r="Q439" s="325" t="n">
        <v>-2278070394</v>
      </c>
      <c r="R439" s="325"/>
      <c r="S439" s="325"/>
      <c r="T439" s="325"/>
      <c r="U439" s="325"/>
      <c r="V439" s="325"/>
      <c r="W439" s="325"/>
      <c r="X439" s="325"/>
      <c r="Z439" s="325" t="n">
        <v>2510195635</v>
      </c>
      <c r="AR439" s="314" t="str">
        <f aca="false">IFERROR(VLOOKUP(M439,'PL_DEC.2026'!$D$11:$D$99,1,FALSE()),"(미존재)")</f>
        <v>잡이익</v>
      </c>
    </row>
    <row r="440" customFormat="false" ht="16.5" hidden="false" customHeight="false" outlineLevel="0" collapsed="false">
      <c r="A440" s="317" t="s">
        <v>2283</v>
      </c>
      <c r="B440" s="314" t="n">
        <v>86200702</v>
      </c>
      <c r="C440" s="314" t="s">
        <v>2308</v>
      </c>
      <c r="Q440" s="325"/>
      <c r="R440" s="325"/>
      <c r="S440" s="325"/>
      <c r="T440" s="325"/>
      <c r="U440" s="325"/>
      <c r="V440" s="325"/>
      <c r="W440" s="325"/>
      <c r="X440" s="325"/>
      <c r="Z440" s="325" t="n">
        <v>0</v>
      </c>
      <c r="AR440" s="314" t="str">
        <f aca="false">IFERROR(VLOOKUP(M440,'PL_DEC.2026'!$D$11:$D$99,1,FALSE()),"(미존재)")</f>
        <v>(미존재)</v>
      </c>
    </row>
    <row r="441" customFormat="false" ht="16.5" hidden="false" customHeight="false" outlineLevel="0" collapsed="false">
      <c r="A441" s="317" t="s">
        <v>2283</v>
      </c>
      <c r="B441" s="314" t="n">
        <v>86250030</v>
      </c>
      <c r="C441" s="314" t="s">
        <v>2309</v>
      </c>
      <c r="Q441" s="325"/>
      <c r="R441" s="325"/>
      <c r="S441" s="325"/>
      <c r="T441" s="325"/>
      <c r="U441" s="325"/>
      <c r="V441" s="325"/>
      <c r="W441" s="325"/>
      <c r="X441" s="325"/>
      <c r="Z441" s="325" t="n">
        <v>0</v>
      </c>
      <c r="AR441" s="314" t="str">
        <f aca="false">IFERROR(VLOOKUP(M441,'PL_DEC.2026'!$D$11:$D$99,1,FALSE()),"(미존재)")</f>
        <v>(미존재)</v>
      </c>
    </row>
    <row r="442" customFormat="false" ht="16.5" hidden="false" customHeight="false" outlineLevel="0" collapsed="false">
      <c r="A442" s="317" t="s">
        <v>2283</v>
      </c>
      <c r="B442" s="314" t="n">
        <v>86250110</v>
      </c>
      <c r="C442" s="314" t="s">
        <v>2310</v>
      </c>
      <c r="G442" s="314" t="s">
        <v>2228</v>
      </c>
      <c r="L442" s="324" t="s">
        <v>1090</v>
      </c>
      <c r="M442" s="324" t="s">
        <v>400</v>
      </c>
      <c r="N442" s="324" t="s">
        <v>1090</v>
      </c>
      <c r="O442" s="314" t="s">
        <v>2311</v>
      </c>
      <c r="P442" s="314" t="s">
        <v>2311</v>
      </c>
      <c r="Q442" s="325" t="n">
        <v>-27709972</v>
      </c>
      <c r="R442" s="325"/>
      <c r="S442" s="325"/>
      <c r="T442" s="325"/>
      <c r="U442" s="325"/>
      <c r="V442" s="325"/>
      <c r="W442" s="325"/>
      <c r="X442" s="325"/>
      <c r="Z442" s="325" t="n">
        <v>-13332549</v>
      </c>
      <c r="AR442" s="314" t="str">
        <f aca="false">IFERROR(VLOOKUP(M442,'PL_DEC.2026'!$D$11:$D$99,1,FALSE()),"(미존재)")</f>
        <v>이자비용</v>
      </c>
    </row>
    <row r="443" customFormat="false" ht="16.5" hidden="false" customHeight="false" outlineLevel="0" collapsed="false">
      <c r="A443" s="317" t="s">
        <v>2283</v>
      </c>
      <c r="B443" s="314" t="n">
        <v>86260023</v>
      </c>
      <c r="C443" s="314" t="s">
        <v>2312</v>
      </c>
      <c r="Q443" s="325"/>
      <c r="R443" s="325"/>
      <c r="S443" s="325"/>
      <c r="T443" s="325"/>
      <c r="U443" s="325"/>
      <c r="V443" s="325"/>
      <c r="W443" s="325"/>
      <c r="X443" s="325"/>
      <c r="Z443" s="325" t="n">
        <v>0</v>
      </c>
      <c r="AR443" s="314" t="str">
        <f aca="false">IFERROR(VLOOKUP(M443,'PL_DEC.2026'!$D$11:$D$99,1,FALSE()),"(미존재)")</f>
        <v>(미존재)</v>
      </c>
    </row>
    <row r="444" customFormat="false" ht="16.5" hidden="false" customHeight="false" outlineLevel="0" collapsed="false">
      <c r="A444" s="317" t="s">
        <v>2283</v>
      </c>
      <c r="B444" s="314" t="n">
        <v>86260025</v>
      </c>
      <c r="C444" s="314" t="s">
        <v>2313</v>
      </c>
      <c r="G444" s="314" t="n">
        <v>0</v>
      </c>
      <c r="L444" s="324" t="s">
        <v>1090</v>
      </c>
      <c r="M444" s="324" t="s">
        <v>419</v>
      </c>
      <c r="N444" s="324" t="s">
        <v>1090</v>
      </c>
      <c r="O444" s="314" t="s">
        <v>2314</v>
      </c>
      <c r="P444" s="314" t="s">
        <v>2314</v>
      </c>
      <c r="Q444" s="325" t="n">
        <v>2207843185</v>
      </c>
      <c r="R444" s="325"/>
      <c r="S444" s="325"/>
      <c r="T444" s="325"/>
      <c r="U444" s="325"/>
      <c r="V444" s="325"/>
      <c r="W444" s="325"/>
      <c r="X444" s="325"/>
      <c r="Z444" s="325" t="n">
        <v>0</v>
      </c>
      <c r="AR444" s="314" t="str">
        <f aca="false">IFERROR(VLOOKUP(M444,'PL_DEC.2026'!$D$11:$D$99,1,FALSE()),"(미존재)")</f>
        <v>잡손실</v>
      </c>
    </row>
    <row r="445" customFormat="false" ht="16.5" hidden="false" customHeight="false" outlineLevel="0" collapsed="false">
      <c r="A445" s="317" t="s">
        <v>2283</v>
      </c>
      <c r="B445" s="314" t="n">
        <v>86290000</v>
      </c>
      <c r="C445" s="314" t="s">
        <v>2315</v>
      </c>
      <c r="G445" s="314" t="n">
        <v>0</v>
      </c>
      <c r="L445" s="324" t="s">
        <v>862</v>
      </c>
      <c r="M445" s="324" t="s">
        <v>312</v>
      </c>
      <c r="N445" s="324" t="s">
        <v>862</v>
      </c>
      <c r="O445" s="314" t="s">
        <v>2316</v>
      </c>
      <c r="P445" s="314" t="s">
        <v>2316</v>
      </c>
      <c r="Q445" s="325" t="n">
        <v>-348460250</v>
      </c>
      <c r="R445" s="325"/>
      <c r="S445" s="325"/>
      <c r="T445" s="325"/>
      <c r="U445" s="325"/>
      <c r="V445" s="325"/>
      <c r="W445" s="325"/>
      <c r="X445" s="325"/>
      <c r="Z445" s="325" t="n">
        <v>0</v>
      </c>
      <c r="AR445" s="314" t="str">
        <f aca="false">IFERROR(VLOOKUP(M445,'PL_DEC.2026'!$D$11:$D$99,1,FALSE()),"(미존재)")</f>
        <v>하조및운임</v>
      </c>
    </row>
    <row r="446" customFormat="false" ht="16.5" hidden="false" customHeight="false" outlineLevel="0" collapsed="false">
      <c r="A446" s="317" t="s">
        <v>2283</v>
      </c>
      <c r="B446" s="314" t="n">
        <v>86290150</v>
      </c>
      <c r="C446" s="314" t="s">
        <v>2317</v>
      </c>
      <c r="Q446" s="325"/>
      <c r="R446" s="325"/>
      <c r="S446" s="325"/>
      <c r="T446" s="325"/>
      <c r="U446" s="325"/>
      <c r="V446" s="325"/>
      <c r="W446" s="325"/>
      <c r="X446" s="325"/>
      <c r="Z446" s="325" t="n">
        <v>0</v>
      </c>
      <c r="AR446" s="314" t="str">
        <f aca="false">IFERROR(VLOOKUP(M446,'PL_DEC.2026'!$D$11:$D$99,1,FALSE()),"(미존재)")</f>
        <v>(미존재)</v>
      </c>
    </row>
    <row r="447" customFormat="false" ht="16.5" hidden="false" customHeight="false" outlineLevel="0" collapsed="false">
      <c r="A447" s="317" t="s">
        <v>2283</v>
      </c>
      <c r="B447" s="314" t="n">
        <v>86300510</v>
      </c>
      <c r="C447" s="314" t="s">
        <v>2318</v>
      </c>
      <c r="Q447" s="325"/>
      <c r="R447" s="325"/>
      <c r="S447" s="325"/>
      <c r="T447" s="325"/>
      <c r="U447" s="325"/>
      <c r="V447" s="325"/>
      <c r="W447" s="325"/>
      <c r="X447" s="325"/>
      <c r="Z447" s="325" t="n">
        <v>0</v>
      </c>
      <c r="AR447" s="314" t="str">
        <f aca="false">IFERROR(VLOOKUP(M447,'PL_DEC.2026'!$D$11:$D$99,1,FALSE()),"(미존재)")</f>
        <v>(미존재)</v>
      </c>
    </row>
    <row r="448" customFormat="false" ht="16.5" hidden="false" customHeight="false" outlineLevel="0" collapsed="false">
      <c r="A448" s="317" t="s">
        <v>2283</v>
      </c>
      <c r="B448" s="314" t="n">
        <v>86300850</v>
      </c>
      <c r="C448" s="314" t="s">
        <v>2319</v>
      </c>
      <c r="Q448" s="325"/>
      <c r="R448" s="325"/>
      <c r="S448" s="325"/>
      <c r="T448" s="325"/>
      <c r="U448" s="325"/>
      <c r="V448" s="325"/>
      <c r="W448" s="325"/>
      <c r="X448" s="325"/>
      <c r="Z448" s="325" t="n">
        <v>0</v>
      </c>
      <c r="AR448" s="314" t="str">
        <f aca="false">IFERROR(VLOOKUP(M448,'PL_DEC.2026'!$D$11:$D$99,1,FALSE()),"(미존재)")</f>
        <v>(미존재)</v>
      </c>
    </row>
    <row r="449" customFormat="false" ht="16.5" hidden="false" customHeight="false" outlineLevel="0" collapsed="false">
      <c r="A449" s="317" t="s">
        <v>2283</v>
      </c>
      <c r="B449" s="314" t="n">
        <v>86400910</v>
      </c>
      <c r="C449" s="314" t="s">
        <v>2320</v>
      </c>
      <c r="Q449" s="325"/>
      <c r="R449" s="325"/>
      <c r="S449" s="325"/>
      <c r="T449" s="325"/>
      <c r="U449" s="325"/>
      <c r="V449" s="325"/>
      <c r="W449" s="325"/>
      <c r="X449" s="325"/>
      <c r="Z449" s="325" t="n">
        <v>0</v>
      </c>
      <c r="AR449" s="314" t="str">
        <f aca="false">IFERROR(VLOOKUP(M449,'PL_DEC.2026'!$D$11:$D$99,1,FALSE()),"(미존재)")</f>
        <v>(미존재)</v>
      </c>
    </row>
    <row r="450" customFormat="false" ht="16.5" hidden="false" customHeight="false" outlineLevel="0" collapsed="false">
      <c r="A450" s="317" t="s">
        <v>2283</v>
      </c>
      <c r="B450" s="314" t="n">
        <v>86514001</v>
      </c>
      <c r="C450" s="314" t="s">
        <v>2321</v>
      </c>
      <c r="Q450" s="325"/>
      <c r="R450" s="325"/>
      <c r="S450" s="325"/>
      <c r="T450" s="325"/>
      <c r="U450" s="325"/>
      <c r="V450" s="325"/>
      <c r="W450" s="325"/>
      <c r="X450" s="325"/>
      <c r="Z450" s="325" t="n">
        <v>0</v>
      </c>
      <c r="AR450" s="314" t="str">
        <f aca="false">IFERROR(VLOOKUP(M450,'PL_DEC.2026'!$D$11:$D$99,1,FALSE()),"(미존재)")</f>
        <v>(미존재)</v>
      </c>
    </row>
    <row r="451" customFormat="false" ht="16.5" hidden="false" customHeight="false" outlineLevel="0" collapsed="false">
      <c r="A451" s="317" t="s">
        <v>2283</v>
      </c>
      <c r="B451" s="314" t="n">
        <v>86590050</v>
      </c>
      <c r="C451" s="314" t="s">
        <v>2322</v>
      </c>
      <c r="Q451" s="325"/>
      <c r="R451" s="325"/>
      <c r="S451" s="325"/>
      <c r="T451" s="325"/>
      <c r="U451" s="325"/>
      <c r="V451" s="325"/>
      <c r="W451" s="325"/>
      <c r="X451" s="325"/>
      <c r="Z451" s="325" t="n">
        <v>0</v>
      </c>
      <c r="AR451" s="314" t="str">
        <f aca="false">IFERROR(VLOOKUP(M451,'PL_DEC.2026'!$D$11:$D$99,1,FALSE()),"(미존재)")</f>
        <v>(미존재)</v>
      </c>
    </row>
    <row r="452" customFormat="false" ht="16.5" hidden="false" customHeight="false" outlineLevel="0" collapsed="false">
      <c r="A452" s="317" t="s">
        <v>2283</v>
      </c>
      <c r="B452" s="314" t="n">
        <v>86591013</v>
      </c>
      <c r="C452" s="314" t="s">
        <v>2323</v>
      </c>
      <c r="Q452" s="325"/>
      <c r="R452" s="325"/>
      <c r="S452" s="325"/>
      <c r="T452" s="325"/>
      <c r="U452" s="325"/>
      <c r="V452" s="325"/>
      <c r="W452" s="325"/>
      <c r="X452" s="325"/>
      <c r="Z452" s="325" t="n">
        <v>0</v>
      </c>
      <c r="AR452" s="314" t="str">
        <f aca="false">IFERROR(VLOOKUP(M452,'PL_DEC.2026'!$D$11:$D$99,1,FALSE()),"(미존재)")</f>
        <v>(미존재)</v>
      </c>
    </row>
    <row r="453" customFormat="false" ht="16.5" hidden="false" customHeight="false" outlineLevel="0" collapsed="false">
      <c r="A453" s="317" t="s">
        <v>2283</v>
      </c>
      <c r="B453" s="314" t="n">
        <v>86600000</v>
      </c>
      <c r="C453" s="314" t="s">
        <v>2324</v>
      </c>
      <c r="Q453" s="325"/>
      <c r="R453" s="325"/>
      <c r="S453" s="325"/>
      <c r="T453" s="325"/>
      <c r="U453" s="325"/>
      <c r="V453" s="325"/>
      <c r="W453" s="325"/>
      <c r="X453" s="325"/>
      <c r="Z453" s="325" t="n">
        <v>0</v>
      </c>
      <c r="AR453" s="314" t="str">
        <f aca="false">IFERROR(VLOOKUP(M453,'PL_DEC.2026'!$D$11:$D$99,1,FALSE()),"(미존재)")</f>
        <v>(미존재)</v>
      </c>
    </row>
    <row r="454" customFormat="false" ht="16.5" hidden="false" customHeight="false" outlineLevel="0" collapsed="false">
      <c r="A454" s="317" t="s">
        <v>2283</v>
      </c>
      <c r="B454" s="314" t="n">
        <v>86900000</v>
      </c>
      <c r="C454" s="314" t="s">
        <v>2325</v>
      </c>
      <c r="Q454" s="325"/>
      <c r="R454" s="325"/>
      <c r="S454" s="325"/>
      <c r="T454" s="325"/>
      <c r="U454" s="325"/>
      <c r="V454" s="325"/>
      <c r="W454" s="325"/>
      <c r="X454" s="325"/>
      <c r="Z454" s="325" t="n">
        <v>0</v>
      </c>
      <c r="AR454" s="314" t="str">
        <f aca="false">IFERROR(VLOOKUP(M454,'PL_DEC.2026'!$D$11:$D$99,1,FALSE()),"(미존재)")</f>
        <v>(미존재)</v>
      </c>
    </row>
    <row r="455" customFormat="false" ht="16.5" hidden="false" customHeight="false" outlineLevel="0" collapsed="false">
      <c r="A455" s="317" t="s">
        <v>2283</v>
      </c>
      <c r="B455" s="314" t="n">
        <v>87530008</v>
      </c>
      <c r="C455" s="314" t="s">
        <v>2326</v>
      </c>
      <c r="G455" s="314" t="s">
        <v>2327</v>
      </c>
      <c r="L455" s="324" t="s">
        <v>824</v>
      </c>
      <c r="M455" s="324" t="s">
        <v>269</v>
      </c>
      <c r="N455" s="324" t="s">
        <v>824</v>
      </c>
      <c r="O455" s="314" t="s">
        <v>2328</v>
      </c>
      <c r="P455" s="314" t="s">
        <v>2328</v>
      </c>
      <c r="Q455" s="325" t="n">
        <v>8817720</v>
      </c>
      <c r="R455" s="325"/>
      <c r="S455" s="325"/>
      <c r="T455" s="325"/>
      <c r="U455" s="325"/>
      <c r="V455" s="325"/>
      <c r="W455" s="325"/>
      <c r="X455" s="325"/>
      <c r="Z455" s="325" t="n">
        <v>-3639645</v>
      </c>
      <c r="AR455" s="314" t="str">
        <f aca="false">IFERROR(VLOOKUP(M455,'PL_DEC.2026'!$D$11:$D$99,1,FALSE()),"(미존재)")</f>
        <v>상품매출원가</v>
      </c>
    </row>
    <row r="456" customFormat="false" ht="16.5" hidden="false" customHeight="false" outlineLevel="0" collapsed="false">
      <c r="A456" s="317" t="s">
        <v>2283</v>
      </c>
      <c r="B456" s="314" t="n">
        <v>89710500</v>
      </c>
      <c r="C456" s="314" t="s">
        <v>2329</v>
      </c>
      <c r="Q456" s="325"/>
      <c r="R456" s="325"/>
      <c r="S456" s="325"/>
      <c r="T456" s="325"/>
      <c r="U456" s="325"/>
      <c r="V456" s="325"/>
      <c r="W456" s="325"/>
      <c r="X456" s="325"/>
      <c r="Z456" s="325" t="n">
        <v>0</v>
      </c>
      <c r="AR456" s="314" t="str">
        <f aca="false">IFERROR(VLOOKUP(M456,'PL_DEC.2026'!$D$11:$D$99,1,FALSE()),"(미존재)")</f>
        <v>(미존재)</v>
      </c>
    </row>
    <row r="457" customFormat="false" ht="16.5" hidden="false" customHeight="false" outlineLevel="0" collapsed="false">
      <c r="A457" s="317" t="s">
        <v>2283</v>
      </c>
      <c r="B457" s="314" t="n">
        <v>89782000</v>
      </c>
      <c r="C457" s="314" t="s">
        <v>2330</v>
      </c>
      <c r="G457" s="314" t="s">
        <v>2331</v>
      </c>
      <c r="L457" s="324" t="s">
        <v>428</v>
      </c>
      <c r="M457" s="324" t="s">
        <v>428</v>
      </c>
      <c r="N457" s="324" t="s">
        <v>428</v>
      </c>
      <c r="O457" s="314" t="s">
        <v>2285</v>
      </c>
      <c r="P457" s="314" t="s">
        <v>2285</v>
      </c>
      <c r="Q457" s="325" t="n">
        <v>158437715</v>
      </c>
      <c r="R457" s="325"/>
      <c r="S457" s="325"/>
      <c r="T457" s="325"/>
      <c r="U457" s="325"/>
      <c r="V457" s="325"/>
      <c r="W457" s="325"/>
      <c r="X457" s="325"/>
      <c r="Z457" s="325" t="n">
        <v>98182970</v>
      </c>
      <c r="AR457" s="314" t="str">
        <f aca="false">IFERROR(VLOOKUP(M457,'PL_DEC.2026'!$D$11:$D$99,1,FALSE()),"(미존재)")</f>
        <v>(미존재)</v>
      </c>
    </row>
    <row r="458" customFormat="false" ht="16.5" hidden="false" customHeight="false" outlineLevel="0" collapsed="false">
      <c r="C458" s="331" t="s">
        <v>446</v>
      </c>
      <c r="Q458" s="325" t="n">
        <f aca="false">SUM(Q375:Q423)</f>
        <v>-1899403136</v>
      </c>
      <c r="R458" s="325" t="n">
        <f aca="false">SUM(R375:R423)</f>
        <v>0</v>
      </c>
      <c r="S458" s="325" t="n">
        <f aca="false">SUM(S375:S423)</f>
        <v>0</v>
      </c>
      <c r="T458" s="325" t="n">
        <f aca="false">SUM(T375:T423)</f>
        <v>0</v>
      </c>
      <c r="U458" s="325" t="n">
        <f aca="false">SUM(U375:U423)</f>
        <v>0</v>
      </c>
      <c r="V458" s="325" t="n">
        <f aca="false">SUM(V375:V423)</f>
        <v>0</v>
      </c>
      <c r="W458" s="325" t="n">
        <f aca="false">SUM(W375:W423)</f>
        <v>0</v>
      </c>
      <c r="X458" s="325" t="n">
        <f aca="false">SUM(X375:X423)</f>
        <v>0</v>
      </c>
      <c r="Y458" s="325" t="n">
        <f aca="false">SUM(Y375:Y423)</f>
        <v>0</v>
      </c>
      <c r="Z458" s="325" t="n">
        <f aca="false">SUM(Z375:Z423)</f>
        <v>-188511931</v>
      </c>
      <c r="AR458" s="314" t="str">
        <f aca="false">IFERROR(VLOOKUP(M458,'PL_DEC.2026'!$D$11:$D$99,1,FALSE()),"(미존재)")</f>
        <v>(미존재)</v>
      </c>
    </row>
    <row r="459" customFormat="false" ht="16.5" hidden="false" customHeight="false" outlineLevel="0" collapsed="false">
      <c r="C459" s="331" t="s">
        <v>791</v>
      </c>
      <c r="Q459" s="325" t="n">
        <f aca="false">SUM(Q424:Q457)</f>
        <v>1899403138</v>
      </c>
      <c r="R459" s="325" t="n">
        <f aca="false">SUM(R424:R457)</f>
        <v>0</v>
      </c>
      <c r="S459" s="325" t="n">
        <f aca="false">SUM(S424:S457)</f>
        <v>0</v>
      </c>
      <c r="T459" s="325" t="n">
        <f aca="false">SUM(T424:T457)</f>
        <v>0</v>
      </c>
      <c r="U459" s="325" t="n">
        <f aca="false">SUM(U424:U457)</f>
        <v>0</v>
      </c>
      <c r="V459" s="325" t="n">
        <f aca="false">SUM(V424:V457)</f>
        <v>0</v>
      </c>
      <c r="W459" s="325" t="n">
        <f aca="false">SUM(W424:W457)</f>
        <v>0</v>
      </c>
      <c r="X459" s="325" t="n">
        <f aca="false">SUM(X424:X457)</f>
        <v>0</v>
      </c>
      <c r="Y459" s="325" t="n">
        <f aca="false">SUM(Y424:Y457)</f>
        <v>0</v>
      </c>
      <c r="Z459" s="325" t="n">
        <f aca="false">SUM(Z424:Z457)</f>
        <v>188511929</v>
      </c>
      <c r="AR459" s="314" t="str">
        <f aca="false">IFERROR(VLOOKUP(M459,'PL_DEC.2026'!$D$11:$D$99,1,FALSE()),"(미존재)")</f>
        <v>(미존재)</v>
      </c>
    </row>
    <row r="460" customFormat="false" ht="16.5" hidden="false" customHeight="false" outlineLevel="0" collapsed="false">
      <c r="Q460" s="325" t="n">
        <f aca="false">++Q458+Q459</f>
        <v>2</v>
      </c>
      <c r="R460" s="325" t="n">
        <f aca="false">++R458+R459</f>
        <v>0</v>
      </c>
      <c r="S460" s="325" t="n">
        <f aca="false">++S458+S459</f>
        <v>0</v>
      </c>
      <c r="T460" s="325" t="n">
        <f aca="false">++T458+T459</f>
        <v>0</v>
      </c>
      <c r="U460" s="325" t="n">
        <f aca="false">++U458+U459</f>
        <v>0</v>
      </c>
      <c r="V460" s="325" t="n">
        <f aca="false">++V458+V459</f>
        <v>0</v>
      </c>
      <c r="W460" s="325" t="n">
        <f aca="false">++W458+W459</f>
        <v>0</v>
      </c>
      <c r="X460" s="325" t="n">
        <f aca="false">++X458+X459</f>
        <v>0</v>
      </c>
      <c r="Y460" s="325" t="n">
        <f aca="false">++Y458+Y459</f>
        <v>0</v>
      </c>
      <c r="Z460" s="325" t="n">
        <f aca="false">++Z458+Z459</f>
        <v>-2</v>
      </c>
      <c r="AR460" s="314" t="str">
        <f aca="false">IFERROR(VLOOKUP(M460,'PL_DEC.2026'!$D$11:$D$99,1,FALSE()),"(미존재)")</f>
        <v>(미존재)</v>
      </c>
    </row>
    <row r="461" customFormat="false" ht="16.5" hidden="false" customHeight="false" outlineLevel="0" collapsed="false">
      <c r="AR461" s="314" t="str">
        <f aca="false">IFERROR(VLOOKUP(M461,'PL_DEC.2026'!$D$11:$D$99,1,FALSE()),"(미존재)")</f>
        <v>(미존재)</v>
      </c>
    </row>
    <row r="464" customFormat="false" ht="16.5" hidden="false" customHeight="false" outlineLevel="0" collapsed="false">
      <c r="P464" s="314" t="s">
        <v>2332</v>
      </c>
      <c r="Z464" s="325" t="n">
        <f aca="false">++-(Z367+Z459)</f>
        <v>49288887022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R16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F14" activeCellId="0" sqref="F14"/>
    </sheetView>
  </sheetViews>
  <sheetFormatPr defaultColWidth="8.5" defaultRowHeight="16.5" zeroHeight="false" outlineLevelRow="0" outlineLevelCol="0"/>
  <cols>
    <col collapsed="false" customWidth="true" hidden="false" outlineLevel="0" max="1" min="1" style="172" width="7.5"/>
    <col collapsed="false" customWidth="true" hidden="false" outlineLevel="0" max="2" min="2" style="172" width="4.37"/>
    <col collapsed="false" customWidth="true" hidden="false" outlineLevel="0" max="3" min="3" style="172" width="18.75"/>
    <col collapsed="false" customWidth="true" hidden="false" outlineLevel="0" max="4" min="4" style="172" width="26.25"/>
    <col collapsed="false" customWidth="true" hidden="false" outlineLevel="0" max="5" min="5" style="334" width="16"/>
    <col collapsed="false" customWidth="true" hidden="false" outlineLevel="0" max="6" min="6" style="334" width="25.25"/>
    <col collapsed="false" customWidth="true" hidden="false" outlineLevel="0" max="7" min="7" style="334" width="29.63"/>
    <col collapsed="false" customWidth="true" hidden="false" outlineLevel="0" max="8" min="8" style="334" width="14"/>
    <col collapsed="false" customWidth="true" hidden="false" outlineLevel="0" max="9" min="9" style="334" width="32.75"/>
    <col collapsed="false" customWidth="true" hidden="false" outlineLevel="0" max="10" min="10" style="334" width="15.5"/>
    <col collapsed="false" customWidth="true" hidden="false" outlineLevel="0" max="11" min="11" style="334" width="15.87"/>
    <col collapsed="false" customWidth="true" hidden="false" outlineLevel="0" max="12" min="12" style="334" width="22.25"/>
    <col collapsed="false" customWidth="true" hidden="false" outlineLevel="0" max="13" min="13" style="334" width="16"/>
    <col collapsed="false" customWidth="true" hidden="false" outlineLevel="0" max="14" min="14" style="334" width="54.37"/>
    <col collapsed="false" customWidth="true" hidden="false" outlineLevel="0" max="15" min="15" style="334" width="14.37"/>
  </cols>
  <sheetData>
    <row r="1" customFormat="false" ht="22.5" hidden="false" customHeight="true" outlineLevel="0" collapsed="false">
      <c r="E1" s="335"/>
      <c r="F1" s="335"/>
      <c r="G1" s="335"/>
      <c r="H1" s="335"/>
      <c r="I1" s="335"/>
      <c r="J1" s="335"/>
      <c r="K1" s="335"/>
      <c r="L1" s="335"/>
      <c r="M1" s="335"/>
      <c r="N1" s="335"/>
    </row>
    <row r="2" customFormat="false" ht="22.5" hidden="false" customHeight="true" outlineLevel="0" collapsed="false">
      <c r="E2" s="335"/>
      <c r="F2" s="335"/>
      <c r="G2" s="335"/>
      <c r="H2" s="335"/>
      <c r="I2" s="325"/>
      <c r="J2" s="335"/>
      <c r="K2" s="335"/>
      <c r="L2" s="335"/>
      <c r="M2" s="335"/>
      <c r="N2" s="335"/>
    </row>
    <row r="3" customFormat="false" ht="22.5" hidden="false" customHeight="true" outlineLevel="0" collapsed="false">
      <c r="B3" s="336" t="s">
        <v>2333</v>
      </c>
      <c r="C3" s="336"/>
      <c r="D3" s="336"/>
      <c r="E3" s="336"/>
      <c r="F3" s="336"/>
      <c r="G3" s="336"/>
      <c r="H3" s="336"/>
      <c r="I3" s="336"/>
      <c r="J3" s="336"/>
      <c r="K3" s="337"/>
      <c r="L3" s="337"/>
      <c r="M3" s="337"/>
      <c r="N3" s="337"/>
    </row>
    <row r="4" customFormat="false" ht="15" hidden="false" customHeight="true" outlineLevel="0" collapsed="false">
      <c r="E4" s="338"/>
      <c r="F4" s="338"/>
      <c r="G4" s="338"/>
      <c r="H4" s="338"/>
      <c r="I4" s="338"/>
      <c r="J4" s="338"/>
      <c r="K4" s="338"/>
      <c r="L4" s="338"/>
      <c r="M4" s="338"/>
      <c r="N4" s="338"/>
    </row>
    <row r="5" customFormat="false" ht="16.5" hidden="false" customHeight="true" outlineLevel="0" collapsed="false">
      <c r="B5" s="339" t="s">
        <v>2334</v>
      </c>
      <c r="C5" s="339"/>
      <c r="D5" s="339"/>
      <c r="E5" s="339"/>
      <c r="F5" s="339"/>
      <c r="G5" s="339"/>
      <c r="H5" s="339"/>
      <c r="I5" s="339"/>
      <c r="J5" s="339"/>
      <c r="K5" s="340"/>
      <c r="L5" s="340"/>
      <c r="M5" s="340"/>
      <c r="N5" s="340"/>
    </row>
    <row r="6" customFormat="false" ht="16.5" hidden="false" customHeight="true" outlineLevel="0" collapsed="false">
      <c r="B6" s="339" t="s">
        <v>2335</v>
      </c>
      <c r="C6" s="339"/>
      <c r="D6" s="339"/>
      <c r="E6" s="339"/>
      <c r="F6" s="339"/>
      <c r="G6" s="339"/>
      <c r="H6" s="339"/>
      <c r="I6" s="339"/>
      <c r="J6" s="339"/>
      <c r="K6" s="340"/>
      <c r="L6" s="340"/>
      <c r="M6" s="340"/>
      <c r="N6" s="340"/>
    </row>
    <row r="7" customFormat="false" ht="18" hidden="false" customHeight="true" outlineLevel="0" collapsed="false">
      <c r="E7" s="341" t="s">
        <v>2336</v>
      </c>
      <c r="G7" s="340" t="s">
        <v>1437</v>
      </c>
      <c r="H7" s="340"/>
      <c r="I7" s="342" t="s">
        <v>2337</v>
      </c>
      <c r="J7" s="342"/>
      <c r="K7" s="338"/>
      <c r="L7" s="338"/>
      <c r="M7" s="338"/>
      <c r="N7" s="338"/>
    </row>
    <row r="8" customFormat="false" ht="16.5" hidden="false" customHeight="true" outlineLevel="0" collapsed="false">
      <c r="B8" s="343" t="s">
        <v>2338</v>
      </c>
      <c r="C8" s="343"/>
      <c r="D8" s="343"/>
      <c r="E8" s="344" t="str">
        <f aca="false">++'PL_DEC.2026'!E8</f>
        <v>제     37 (당)    기
Dec 2026</v>
      </c>
      <c r="F8" s="344"/>
      <c r="G8" s="345" t="s">
        <v>2339</v>
      </c>
      <c r="H8" s="346" t="s">
        <v>2340</v>
      </c>
      <c r="I8" s="347" t="s">
        <v>2341</v>
      </c>
      <c r="J8" s="347"/>
      <c r="K8" s="344" t="str">
        <f aca="false">++'PL_DEC.2026'!L8</f>
        <v>제     37 (당)    기
Dec 2026</v>
      </c>
      <c r="L8" s="344"/>
      <c r="M8" s="344" t="str">
        <f aca="false">++'PL_DEC.2026'!N8</f>
        <v>제    36  (전)    기
Dec 2025</v>
      </c>
      <c r="N8" s="344"/>
    </row>
    <row r="9" customFormat="false" ht="16.5" hidden="false" customHeight="true" outlineLevel="0" collapsed="false">
      <c r="B9" s="343"/>
      <c r="C9" s="343"/>
      <c r="D9" s="343"/>
      <c r="E9" s="344"/>
      <c r="F9" s="344"/>
      <c r="G9" s="348" t="s">
        <v>2208</v>
      </c>
      <c r="H9" s="349" t="s">
        <v>2342</v>
      </c>
      <c r="I9" s="350" t="s">
        <v>2343</v>
      </c>
      <c r="J9" s="350"/>
      <c r="K9" s="344"/>
      <c r="L9" s="344"/>
      <c r="M9" s="344"/>
      <c r="N9" s="344"/>
    </row>
    <row r="10" customFormat="false" ht="21" hidden="false" customHeight="true" outlineLevel="0" collapsed="false">
      <c r="B10" s="351"/>
      <c r="C10" s="352" t="s">
        <v>2344</v>
      </c>
      <c r="D10" s="353"/>
      <c r="E10" s="354"/>
      <c r="F10" s="355"/>
      <c r="G10" s="356"/>
      <c r="H10" s="357"/>
      <c r="I10" s="356"/>
      <c r="J10" s="355"/>
      <c r="K10" s="354"/>
      <c r="L10" s="355"/>
      <c r="M10" s="354"/>
      <c r="N10" s="355"/>
      <c r="O10" s="340"/>
      <c r="P10" s="340"/>
      <c r="Q10" s="340"/>
      <c r="R10" s="340"/>
    </row>
    <row r="11" customFormat="false" ht="21" hidden="false" customHeight="true" outlineLevel="0" collapsed="false">
      <c r="B11" s="351" t="s">
        <v>2345</v>
      </c>
      <c r="C11" s="352" t="s">
        <v>2346</v>
      </c>
      <c r="D11" s="353"/>
      <c r="E11" s="354"/>
      <c r="F11" s="355" t="n">
        <f aca="false">+F12+F26</f>
        <v>465905895178</v>
      </c>
      <c r="G11" s="356"/>
      <c r="H11" s="357"/>
      <c r="I11" s="356"/>
      <c r="J11" s="355"/>
      <c r="K11" s="354"/>
      <c r="L11" s="355" t="n">
        <f aca="false">+L12+L26</f>
        <v>453490085054</v>
      </c>
      <c r="M11" s="354"/>
      <c r="N11" s="355" t="n">
        <v>399003823525</v>
      </c>
      <c r="O11" s="358" t="n">
        <f aca="false">++L11-N11</f>
        <v>54486261529</v>
      </c>
      <c r="P11" s="340"/>
      <c r="Q11" s="340"/>
      <c r="R11" s="340"/>
    </row>
    <row r="12" customFormat="false" ht="21" hidden="false" customHeight="true" outlineLevel="0" collapsed="false">
      <c r="B12" s="359"/>
      <c r="C12" s="360" t="n">
        <v>-1</v>
      </c>
      <c r="D12" s="361" t="s">
        <v>2347</v>
      </c>
      <c r="E12" s="362"/>
      <c r="F12" s="363" t="n">
        <f aca="false">+E13+F15+E16+E17+E19+E20+E22+E23+E24+E18+E21</f>
        <v>270465932072</v>
      </c>
      <c r="G12" s="364"/>
      <c r="H12" s="365"/>
      <c r="I12" s="356"/>
      <c r="J12" s="355"/>
      <c r="K12" s="362"/>
      <c r="L12" s="363" t="n">
        <f aca="false">+K13+L15+K16+K17+K19+K20+K22+K23+K24+K18+K21</f>
        <v>258050121948</v>
      </c>
      <c r="M12" s="362"/>
      <c r="N12" s="363" t="n">
        <v>222568030855</v>
      </c>
      <c r="O12" s="358" t="n">
        <f aca="false">++L12-N12</f>
        <v>35482091093</v>
      </c>
      <c r="P12" s="340"/>
      <c r="Q12" s="340"/>
      <c r="R12" s="340"/>
    </row>
    <row r="13" customFormat="false" ht="21" hidden="false" customHeight="true" outlineLevel="0" collapsed="false">
      <c r="B13" s="359"/>
      <c r="C13" s="366" t="n">
        <v>1</v>
      </c>
      <c r="D13" s="367" t="s">
        <v>27</v>
      </c>
      <c r="E13" s="362" t="n">
        <f aca="false">SUMIF(BSPL2026!M:M,'BS_DEC 2026'!D13,BSPL2026!Z:Z)</f>
        <v>8328079411</v>
      </c>
      <c r="F13" s="363" t="s">
        <v>2348</v>
      </c>
      <c r="G13" s="364"/>
      <c r="H13" s="365"/>
      <c r="I13" s="356"/>
      <c r="J13" s="355"/>
      <c r="K13" s="362" t="n">
        <f aca="false">E13+I13-J13</f>
        <v>8328079411</v>
      </c>
      <c r="L13" s="363" t="s">
        <v>2348</v>
      </c>
      <c r="M13" s="362" t="n">
        <v>11105202344</v>
      </c>
      <c r="N13" s="363" t="s">
        <v>2348</v>
      </c>
      <c r="O13" s="358" t="n">
        <f aca="false">++K13-M13</f>
        <v>-2777122933</v>
      </c>
      <c r="P13" s="358"/>
      <c r="Q13" s="358"/>
      <c r="R13" s="358"/>
    </row>
    <row r="14" customFormat="false" ht="21" hidden="false" customHeight="true" outlineLevel="0" collapsed="false">
      <c r="B14" s="359"/>
      <c r="C14" s="366" t="n">
        <v>2</v>
      </c>
      <c r="D14" s="367" t="s">
        <v>31</v>
      </c>
      <c r="E14" s="362" t="n">
        <f aca="false">SUMIF(BSPL2026!M:M,'BS_DEC 2026'!D14,BSPL2026!Z:Z)</f>
        <v>227594760909</v>
      </c>
      <c r="F14" s="363"/>
      <c r="G14" s="364"/>
      <c r="H14" s="368"/>
      <c r="I14" s="356"/>
      <c r="J14" s="355" t="n">
        <f aca="false">++'statutory adj_2026 조정분개'!M34</f>
        <v>-12415810124</v>
      </c>
      <c r="K14" s="362" t="n">
        <f aca="false">E14+I14+J14+H14</f>
        <v>215178950785</v>
      </c>
      <c r="L14" s="363"/>
      <c r="M14" s="362" t="n">
        <v>166754777499</v>
      </c>
      <c r="N14" s="363"/>
      <c r="O14" s="358" t="n">
        <f aca="false">++K14-M14</f>
        <v>48424173286</v>
      </c>
      <c r="P14" s="358"/>
      <c r="Q14" s="358"/>
      <c r="R14" s="358"/>
    </row>
    <row r="15" customFormat="false" ht="21" hidden="false" customHeight="true" outlineLevel="0" collapsed="false">
      <c r="B15" s="359"/>
      <c r="C15" s="366" t="n">
        <v>3</v>
      </c>
      <c r="D15" s="367" t="s">
        <v>35</v>
      </c>
      <c r="E15" s="362" t="n">
        <f aca="false">SUMIF(BSPL2026!M:M,'BS_DEC 2026'!D15,BSPL2026!Z:Z)</f>
        <v>-118149382</v>
      </c>
      <c r="F15" s="363" t="n">
        <f aca="false">+E14+E15</f>
        <v>227476611527</v>
      </c>
      <c r="G15" s="364"/>
      <c r="H15" s="365"/>
      <c r="I15" s="356"/>
      <c r="J15" s="355"/>
      <c r="K15" s="362" t="n">
        <f aca="false">E15+I15-J15</f>
        <v>-118149382</v>
      </c>
      <c r="L15" s="363" t="n">
        <f aca="false">+K14+K15</f>
        <v>215060801403</v>
      </c>
      <c r="M15" s="362" t="n">
        <v>-122273991</v>
      </c>
      <c r="N15" s="363" t="n">
        <v>166632503508</v>
      </c>
      <c r="O15" s="358" t="n">
        <f aca="false">++K15-M15</f>
        <v>4124609</v>
      </c>
      <c r="P15" s="358"/>
      <c r="Q15" s="358"/>
      <c r="R15" s="358"/>
    </row>
    <row r="16" customFormat="false" ht="21" hidden="false" customHeight="true" outlineLevel="0" collapsed="false">
      <c r="B16" s="359"/>
      <c r="C16" s="366" t="n">
        <v>4</v>
      </c>
      <c r="D16" s="367" t="s">
        <v>39</v>
      </c>
      <c r="E16" s="362" t="n">
        <f aca="false">SUMIF(BSPL2026!M:M,'BS_DEC 2026'!D16,BSPL2026!Z:Z)</f>
        <v>12002662102</v>
      </c>
      <c r="F16" s="363" t="s">
        <v>2348</v>
      </c>
      <c r="G16" s="362"/>
      <c r="H16" s="365"/>
      <c r="I16" s="356"/>
      <c r="J16" s="355"/>
      <c r="K16" s="362" t="n">
        <f aca="false">E16+I16-J16-G16</f>
        <v>12002662102</v>
      </c>
      <c r="L16" s="363" t="s">
        <v>2348</v>
      </c>
      <c r="M16" s="362" t="n">
        <v>19254727447</v>
      </c>
      <c r="N16" s="363" t="s">
        <v>2348</v>
      </c>
      <c r="O16" s="358" t="n">
        <f aca="false">++K16-M16</f>
        <v>-7252065345</v>
      </c>
      <c r="P16" s="358"/>
      <c r="Q16" s="358"/>
      <c r="R16" s="358"/>
    </row>
    <row r="17" customFormat="false" ht="21" hidden="false" customHeight="true" outlineLevel="0" collapsed="false">
      <c r="B17" s="359"/>
      <c r="C17" s="366" t="n">
        <v>5</v>
      </c>
      <c r="D17" s="367" t="s">
        <v>43</v>
      </c>
      <c r="E17" s="362" t="n">
        <f aca="false">SUMIF(BSPL2026!M:M,'BS_DEC 2026'!D17,BSPL2026!Z:Z)</f>
        <v>0</v>
      </c>
      <c r="F17" s="363"/>
      <c r="G17" s="364"/>
      <c r="H17" s="365"/>
      <c r="I17" s="356"/>
      <c r="J17" s="355"/>
      <c r="K17" s="362" t="n">
        <f aca="false">E17+I17+J17</f>
        <v>0</v>
      </c>
      <c r="L17" s="363"/>
      <c r="M17" s="362" t="n">
        <v>0</v>
      </c>
      <c r="N17" s="363"/>
      <c r="O17" s="358" t="n">
        <f aca="false">++K17-M17</f>
        <v>0</v>
      </c>
      <c r="P17" s="358"/>
      <c r="Q17" s="358"/>
      <c r="R17" s="358"/>
    </row>
    <row r="18" customFormat="false" ht="21" hidden="false" customHeight="true" outlineLevel="0" collapsed="false">
      <c r="B18" s="359"/>
      <c r="C18" s="366" t="n">
        <v>6</v>
      </c>
      <c r="D18" s="367" t="s">
        <v>46</v>
      </c>
      <c r="E18" s="362" t="n">
        <f aca="false">SUMIF(BSPL2026!M:M,'BS_DEC 2026'!D18,BSPL2026!Z:Z)</f>
        <v>981690770</v>
      </c>
      <c r="F18" s="363"/>
      <c r="G18" s="364"/>
      <c r="H18" s="365"/>
      <c r="I18" s="356"/>
      <c r="J18" s="355"/>
      <c r="K18" s="362" t="n">
        <f aca="false">E18+I18-J18</f>
        <v>981690770</v>
      </c>
      <c r="L18" s="363"/>
      <c r="M18" s="362" t="n">
        <v>979522461</v>
      </c>
      <c r="N18" s="363"/>
      <c r="O18" s="358" t="n">
        <f aca="false">++K18-M18</f>
        <v>2168309</v>
      </c>
      <c r="R18" s="358"/>
    </row>
    <row r="19" customFormat="false" ht="21" hidden="false" customHeight="true" outlineLevel="0" collapsed="false">
      <c r="B19" s="359"/>
      <c r="C19" s="366" t="n">
        <v>7</v>
      </c>
      <c r="D19" s="367" t="s">
        <v>50</v>
      </c>
      <c r="E19" s="362" t="n">
        <f aca="false">SUMIF(BSPL2026!M:M,'BS_DEC 2026'!D19,BSPL2026!Z:Z)</f>
        <v>1159433436</v>
      </c>
      <c r="F19" s="363"/>
      <c r="G19" s="364"/>
      <c r="H19" s="365"/>
      <c r="I19" s="356"/>
      <c r="J19" s="355"/>
      <c r="K19" s="362" t="n">
        <f aca="false">E19+I19-J19</f>
        <v>1159433436</v>
      </c>
      <c r="L19" s="363"/>
      <c r="M19" s="362" t="n">
        <v>93970356</v>
      </c>
      <c r="N19" s="363"/>
      <c r="O19" s="358" t="n">
        <f aca="false">++K19-M19</f>
        <v>1065463080</v>
      </c>
      <c r="R19" s="358"/>
    </row>
    <row r="20" customFormat="false" ht="21" hidden="false" customHeight="true" outlineLevel="0" collapsed="false">
      <c r="B20" s="359"/>
      <c r="C20" s="366" t="n">
        <v>8</v>
      </c>
      <c r="D20" s="367" t="s">
        <v>54</v>
      </c>
      <c r="E20" s="362" t="n">
        <f aca="false">SUMIF(BSPL2026!M:M,'BS_DEC 2026'!D20,BSPL2026!Z:Z)</f>
        <v>0</v>
      </c>
      <c r="F20" s="363"/>
      <c r="G20" s="364"/>
      <c r="H20" s="365"/>
      <c r="I20" s="356"/>
      <c r="J20" s="355"/>
      <c r="K20" s="362" t="n">
        <f aca="false">E20+I20-J20</f>
        <v>0</v>
      </c>
      <c r="L20" s="363"/>
      <c r="M20" s="362" t="n">
        <v>0</v>
      </c>
      <c r="N20" s="363"/>
      <c r="O20" s="358" t="n">
        <f aca="false">++K20-M20</f>
        <v>0</v>
      </c>
      <c r="R20" s="358"/>
    </row>
    <row r="21" customFormat="false" ht="21" hidden="false" customHeight="true" outlineLevel="0" collapsed="false">
      <c r="B21" s="359"/>
      <c r="C21" s="366" t="n">
        <v>9</v>
      </c>
      <c r="D21" s="367" t="s">
        <v>57</v>
      </c>
      <c r="E21" s="362" t="n">
        <f aca="false">SUMIF(BSPL2026!M:M,'BS_DEC 2026'!D21,BSPL2026!Z:Z)</f>
        <v>0</v>
      </c>
      <c r="F21" s="363"/>
      <c r="G21" s="364"/>
      <c r="H21" s="365"/>
      <c r="I21" s="356"/>
      <c r="J21" s="355"/>
      <c r="K21" s="362" t="n">
        <f aca="false">E21+I21-J21</f>
        <v>0</v>
      </c>
      <c r="L21" s="363"/>
      <c r="M21" s="362" t="n">
        <v>0</v>
      </c>
      <c r="N21" s="363"/>
      <c r="O21" s="358" t="n">
        <f aca="false">++K21-M21</f>
        <v>0</v>
      </c>
      <c r="R21" s="358"/>
    </row>
    <row r="22" customFormat="false" ht="21" hidden="false" customHeight="true" outlineLevel="0" collapsed="false">
      <c r="B22" s="359"/>
      <c r="C22" s="366" t="n">
        <v>10</v>
      </c>
      <c r="D22" s="367" t="s">
        <v>60</v>
      </c>
      <c r="E22" s="362" t="n">
        <f aca="false">SUMIF(BSPL2026!M:M,'BS_DEC 2026'!D22,BSPL2026!Z:Z)</f>
        <v>1049728634</v>
      </c>
      <c r="F22" s="363"/>
      <c r="G22" s="364"/>
      <c r="H22" s="365"/>
      <c r="I22" s="356"/>
      <c r="J22" s="355"/>
      <c r="K22" s="362" t="n">
        <f aca="false">E22+I22-J22</f>
        <v>1049728634</v>
      </c>
      <c r="L22" s="363"/>
      <c r="M22" s="362" t="n">
        <v>307501499</v>
      </c>
      <c r="N22" s="363"/>
      <c r="O22" s="358" t="n">
        <f aca="false">++K22-M22</f>
        <v>742227135</v>
      </c>
      <c r="R22" s="358"/>
    </row>
    <row r="23" customFormat="false" ht="21" hidden="false" customHeight="true" outlineLevel="0" collapsed="false">
      <c r="B23" s="359"/>
      <c r="C23" s="366" t="n">
        <v>11</v>
      </c>
      <c r="D23" s="367" t="s">
        <v>64</v>
      </c>
      <c r="E23" s="362" t="n">
        <f aca="false">SUMIF(BSPL2026!M:M,'BS_DEC 2026'!D23,BSPL2026!Z:Z)</f>
        <v>19467726192</v>
      </c>
      <c r="F23" s="363"/>
      <c r="G23" s="364"/>
      <c r="H23" s="368"/>
      <c r="I23" s="356"/>
      <c r="J23" s="355"/>
      <c r="K23" s="362" t="n">
        <f aca="false">E23+G23-J23+H23+I23</f>
        <v>19467726192</v>
      </c>
      <c r="L23" s="363"/>
      <c r="M23" s="362" t="n">
        <v>24194603240</v>
      </c>
      <c r="N23" s="363"/>
      <c r="O23" s="358" t="n">
        <f aca="false">++K23-M23</f>
        <v>-4726877048</v>
      </c>
      <c r="R23" s="358"/>
    </row>
    <row r="24" customFormat="false" ht="21" hidden="false" customHeight="true" outlineLevel="0" collapsed="false">
      <c r="B24" s="359"/>
      <c r="C24" s="366" t="n">
        <v>12</v>
      </c>
      <c r="D24" s="367" t="s">
        <v>68</v>
      </c>
      <c r="E24" s="362" t="n">
        <f aca="false">SUMIF(BSPL2026!M:M,'BS_DEC 2026'!D24,BSPL2026!Z:Z)</f>
        <v>0</v>
      </c>
      <c r="F24" s="363"/>
      <c r="G24" s="364"/>
      <c r="H24" s="365"/>
      <c r="I24" s="356"/>
      <c r="J24" s="355"/>
      <c r="K24" s="362" t="n">
        <f aca="false">E24+I24-J24</f>
        <v>0</v>
      </c>
      <c r="L24" s="363"/>
      <c r="M24" s="362" t="n">
        <v>0</v>
      </c>
      <c r="N24" s="363"/>
      <c r="O24" s="358" t="n">
        <f aca="false">++K24-M24</f>
        <v>0</v>
      </c>
      <c r="P24" s="369"/>
      <c r="R24" s="358"/>
    </row>
    <row r="25" customFormat="false" ht="21" hidden="false" customHeight="true" outlineLevel="0" collapsed="false">
      <c r="B25" s="359"/>
      <c r="C25" s="366" t="n">
        <v>13</v>
      </c>
      <c r="D25" s="367" t="s">
        <v>70</v>
      </c>
      <c r="E25" s="362"/>
      <c r="F25" s="363"/>
      <c r="G25" s="364"/>
      <c r="H25" s="365"/>
      <c r="I25" s="356"/>
      <c r="J25" s="355"/>
      <c r="K25" s="362"/>
      <c r="L25" s="363"/>
      <c r="M25" s="362"/>
      <c r="N25" s="363"/>
      <c r="O25" s="358" t="n">
        <f aca="false">++K25-M25</f>
        <v>0</v>
      </c>
      <c r="P25" s="369"/>
      <c r="R25" s="358"/>
    </row>
    <row r="26" customFormat="false" ht="21" hidden="false" customHeight="true" outlineLevel="0" collapsed="false">
      <c r="B26" s="359"/>
      <c r="C26" s="360" t="n">
        <v>-2</v>
      </c>
      <c r="D26" s="361" t="s">
        <v>2349</v>
      </c>
      <c r="E26" s="362"/>
      <c r="F26" s="363" t="n">
        <f aca="false">+F28+E29+E30+E31+E32+E33+E34+E35+E36</f>
        <v>195439963106</v>
      </c>
      <c r="G26" s="364"/>
      <c r="H26" s="365"/>
      <c r="I26" s="356"/>
      <c r="J26" s="355"/>
      <c r="K26" s="362"/>
      <c r="L26" s="363" t="n">
        <f aca="false">+L28+K29+K30+K31+K32+K33+K34+K35+K36</f>
        <v>195439963106</v>
      </c>
      <c r="M26" s="362"/>
      <c r="N26" s="363" t="n">
        <v>176435792670</v>
      </c>
      <c r="O26" s="358" t="n">
        <f aca="false">++L26-N26</f>
        <v>19004170436</v>
      </c>
      <c r="R26" s="358"/>
    </row>
    <row r="27" customFormat="false" ht="21" hidden="false" customHeight="true" outlineLevel="0" collapsed="false">
      <c r="B27" s="359"/>
      <c r="C27" s="366" t="n">
        <v>1</v>
      </c>
      <c r="D27" s="367" t="s">
        <v>75</v>
      </c>
      <c r="E27" s="362" t="n">
        <f aca="false">SUMIF(BSPL2026!M:M,'BS_DEC 2026'!D27,BSPL2026!Z:Z)</f>
        <v>180063595464</v>
      </c>
      <c r="F27" s="363"/>
      <c r="G27" s="364"/>
      <c r="H27" s="365"/>
      <c r="I27" s="356"/>
      <c r="J27" s="355"/>
      <c r="K27" s="362" t="n">
        <f aca="false">E27+I27-J27</f>
        <v>180063595464</v>
      </c>
      <c r="L27" s="363"/>
      <c r="M27" s="362" t="n">
        <v>160568039290</v>
      </c>
      <c r="N27" s="363"/>
      <c r="O27" s="358" t="n">
        <f aca="false">++K27-M27</f>
        <v>19495556174</v>
      </c>
      <c r="R27" s="358"/>
    </row>
    <row r="28" customFormat="false" ht="21" hidden="false" customHeight="true" outlineLevel="0" collapsed="false">
      <c r="B28" s="359"/>
      <c r="C28" s="366"/>
      <c r="D28" s="367" t="s">
        <v>78</v>
      </c>
      <c r="E28" s="362" t="n">
        <f aca="false">SUMIF(BSPL2026!M:M,'BS_DEC 2026'!D28,BSPL2026!Z:Z)</f>
        <v>-2420155943</v>
      </c>
      <c r="F28" s="363" t="n">
        <f aca="false">+E27+E28</f>
        <v>177643439521</v>
      </c>
      <c r="G28" s="364"/>
      <c r="H28" s="365"/>
      <c r="I28" s="356"/>
      <c r="J28" s="355"/>
      <c r="K28" s="362" t="n">
        <f aca="false">E28+G28-J28</f>
        <v>-2420155943</v>
      </c>
      <c r="L28" s="363" t="n">
        <f aca="false">+K27+K28</f>
        <v>177643439521</v>
      </c>
      <c r="M28" s="362" t="n">
        <v>-4823897784</v>
      </c>
      <c r="N28" s="363" t="n">
        <v>155744141506</v>
      </c>
      <c r="O28" s="358" t="n">
        <f aca="false">++K28-M28</f>
        <v>2403741841</v>
      </c>
      <c r="R28" s="358"/>
    </row>
    <row r="29" customFormat="false" ht="21" hidden="false" customHeight="true" outlineLevel="0" collapsed="false">
      <c r="B29" s="359"/>
      <c r="C29" s="366" t="n">
        <v>2</v>
      </c>
      <c r="D29" s="367" t="s">
        <v>81</v>
      </c>
      <c r="E29" s="362" t="n">
        <f aca="false">SUMIF(BSPL2026!M:M,'BS_DEC 2026'!D29,BSPL2026!Z:Z)</f>
        <v>0</v>
      </c>
      <c r="F29" s="363"/>
      <c r="G29" s="364"/>
      <c r="H29" s="365"/>
      <c r="I29" s="356"/>
      <c r="J29" s="355"/>
      <c r="K29" s="362" t="n">
        <f aca="false">E29+I29-J29</f>
        <v>0</v>
      </c>
      <c r="L29" s="363"/>
      <c r="M29" s="362" t="n">
        <v>0</v>
      </c>
      <c r="N29" s="363"/>
      <c r="O29" s="358" t="n">
        <f aca="false">++K29-M29</f>
        <v>0</v>
      </c>
      <c r="R29" s="358"/>
    </row>
    <row r="30" customFormat="false" ht="21" hidden="false" customHeight="true" outlineLevel="0" collapsed="false">
      <c r="B30" s="359"/>
      <c r="C30" s="366" t="n">
        <v>3</v>
      </c>
      <c r="D30" s="367" t="s">
        <v>82</v>
      </c>
      <c r="E30" s="362" t="n">
        <f aca="false">SUMIF(BSPL2026!M:M,'BS_DEC 2026'!D30,BSPL2026!Z:Z)</f>
        <v>0</v>
      </c>
      <c r="F30" s="363"/>
      <c r="G30" s="364"/>
      <c r="H30" s="365"/>
      <c r="I30" s="356"/>
      <c r="J30" s="355"/>
      <c r="K30" s="362" t="n">
        <f aca="false">E30+I30-J30</f>
        <v>0</v>
      </c>
      <c r="L30" s="363"/>
      <c r="M30" s="362" t="n">
        <v>0</v>
      </c>
      <c r="N30" s="363"/>
      <c r="O30" s="358" t="n">
        <f aca="false">++K30-M30</f>
        <v>0</v>
      </c>
      <c r="R30" s="358"/>
    </row>
    <row r="31" customFormat="false" ht="21" hidden="false" customHeight="true" outlineLevel="0" collapsed="false">
      <c r="B31" s="359"/>
      <c r="C31" s="366" t="n">
        <v>4</v>
      </c>
      <c r="D31" s="370" t="s">
        <v>84</v>
      </c>
      <c r="E31" s="362" t="n">
        <f aca="false">SUMIF(BSPL2026!M:M,'BS_DEC 2026'!D31,BSPL2026!Z:Z)</f>
        <v>0</v>
      </c>
      <c r="F31" s="363"/>
      <c r="G31" s="364"/>
      <c r="H31" s="365"/>
      <c r="I31" s="356"/>
      <c r="J31" s="355"/>
      <c r="K31" s="362" t="n">
        <f aca="false">E31+I31-J31</f>
        <v>0</v>
      </c>
      <c r="L31" s="363"/>
      <c r="M31" s="362" t="n">
        <v>0</v>
      </c>
      <c r="N31" s="363"/>
      <c r="O31" s="358" t="n">
        <f aca="false">++K31-M31</f>
        <v>0</v>
      </c>
      <c r="R31" s="358"/>
    </row>
    <row r="32" customFormat="false" ht="21" hidden="false" customHeight="true" outlineLevel="0" collapsed="false">
      <c r="B32" s="359"/>
      <c r="C32" s="366" t="n">
        <v>5</v>
      </c>
      <c r="D32" s="370" t="s">
        <v>86</v>
      </c>
      <c r="E32" s="362" t="n">
        <f aca="false">SUMIF(BSPL2026!M:M,'BS_DEC 2026'!D32,BSPL2026!Z:Z)</f>
        <v>0</v>
      </c>
      <c r="F32" s="363"/>
      <c r="G32" s="364"/>
      <c r="H32" s="365"/>
      <c r="I32" s="356"/>
      <c r="J32" s="355"/>
      <c r="K32" s="362" t="n">
        <f aca="false">E32+I32-J32</f>
        <v>0</v>
      </c>
      <c r="L32" s="363"/>
      <c r="M32" s="362" t="n">
        <v>0</v>
      </c>
      <c r="N32" s="363"/>
      <c r="O32" s="358" t="n">
        <f aca="false">++K32-M32</f>
        <v>0</v>
      </c>
      <c r="R32" s="358"/>
    </row>
    <row r="33" customFormat="false" ht="21" hidden="false" customHeight="true" outlineLevel="0" collapsed="false">
      <c r="B33" s="359"/>
      <c r="C33" s="366" t="n">
        <v>6</v>
      </c>
      <c r="D33" s="370" t="s">
        <v>88</v>
      </c>
      <c r="E33" s="362" t="n">
        <f aca="false">SUMIF(BSPL2026!M:M,'BS_DEC 2026'!D33,BSPL2026!Z:Z)</f>
        <v>0</v>
      </c>
      <c r="F33" s="363"/>
      <c r="G33" s="364"/>
      <c r="H33" s="365"/>
      <c r="I33" s="356"/>
      <c r="J33" s="355"/>
      <c r="K33" s="362" t="n">
        <f aca="false">E33+I33-J33</f>
        <v>0</v>
      </c>
      <c r="L33" s="363"/>
      <c r="M33" s="362" t="n">
        <v>0</v>
      </c>
      <c r="N33" s="363"/>
      <c r="O33" s="358" t="n">
        <f aca="false">++K33-M33</f>
        <v>0</v>
      </c>
      <c r="R33" s="358"/>
    </row>
    <row r="34" customFormat="false" ht="21" hidden="false" customHeight="true" outlineLevel="0" collapsed="false">
      <c r="B34" s="359"/>
      <c r="C34" s="366" t="n">
        <v>7</v>
      </c>
      <c r="D34" s="370" t="s">
        <v>90</v>
      </c>
      <c r="E34" s="362" t="n">
        <f aca="false">SUMIF(BSPL2026!M:M,'BS_DEC 2026'!D34,BSPL2026!Z:Z)</f>
        <v>0</v>
      </c>
      <c r="F34" s="363"/>
      <c r="G34" s="364"/>
      <c r="H34" s="365"/>
      <c r="I34" s="356"/>
      <c r="J34" s="355"/>
      <c r="K34" s="362" t="n">
        <f aca="false">E34+I34-J34</f>
        <v>0</v>
      </c>
      <c r="L34" s="363"/>
      <c r="M34" s="362" t="n">
        <v>0</v>
      </c>
      <c r="N34" s="363"/>
      <c r="O34" s="358" t="n">
        <f aca="false">++K34-M34</f>
        <v>0</v>
      </c>
      <c r="R34" s="358"/>
    </row>
    <row r="35" customFormat="false" ht="21" hidden="false" customHeight="true" outlineLevel="0" collapsed="false">
      <c r="B35" s="359"/>
      <c r="C35" s="366" t="n">
        <v>8</v>
      </c>
      <c r="D35" s="370" t="s">
        <v>92</v>
      </c>
      <c r="E35" s="362" t="n">
        <f aca="false">SUMIF(BSPL2026!M:M,'BS_DEC 2026'!D35,BSPL2026!Z:Z)</f>
        <v>0</v>
      </c>
      <c r="F35" s="363"/>
      <c r="G35" s="364"/>
      <c r="H35" s="365"/>
      <c r="I35" s="356"/>
      <c r="J35" s="355"/>
      <c r="K35" s="362" t="n">
        <f aca="false">E35+I35-J35</f>
        <v>0</v>
      </c>
      <c r="L35" s="363"/>
      <c r="M35" s="362" t="n">
        <v>0</v>
      </c>
      <c r="N35" s="363"/>
      <c r="O35" s="358" t="n">
        <f aca="false">++K35-M35</f>
        <v>0</v>
      </c>
      <c r="R35" s="358"/>
    </row>
    <row r="36" customFormat="false" ht="21" hidden="false" customHeight="true" outlineLevel="0" collapsed="false">
      <c r="B36" s="359"/>
      <c r="C36" s="366" t="n">
        <v>9</v>
      </c>
      <c r="D36" s="370" t="s">
        <v>94</v>
      </c>
      <c r="E36" s="362" t="n">
        <f aca="false">SUMIF(BSPL2026!M:M,'BS_DEC 2026'!D36,BSPL2026!Z:Z)</f>
        <v>17796523585</v>
      </c>
      <c r="F36" s="363"/>
      <c r="G36" s="364"/>
      <c r="H36" s="365"/>
      <c r="I36" s="356"/>
      <c r="J36" s="355"/>
      <c r="K36" s="362" t="n">
        <f aca="false">E36+I36-J36</f>
        <v>17796523585</v>
      </c>
      <c r="L36" s="363"/>
      <c r="M36" s="362" t="n">
        <v>20691651164</v>
      </c>
      <c r="N36" s="363"/>
      <c r="O36" s="358" t="n">
        <f aca="false">++K36-M36</f>
        <v>-2895127579</v>
      </c>
      <c r="R36" s="358"/>
    </row>
    <row r="37" customFormat="false" ht="21" hidden="false" customHeight="true" outlineLevel="0" collapsed="false">
      <c r="B37" s="351" t="s">
        <v>2350</v>
      </c>
      <c r="C37" s="352" t="s">
        <v>2351</v>
      </c>
      <c r="D37" s="353"/>
      <c r="E37" s="362"/>
      <c r="F37" s="355" t="n">
        <f aca="false">+F38+F42+F64+F56+F71</f>
        <v>3546064105</v>
      </c>
      <c r="G37" s="356"/>
      <c r="H37" s="357"/>
      <c r="I37" s="356"/>
      <c r="J37" s="355"/>
      <c r="K37" s="362" t="n">
        <f aca="false">E37+I37-J37</f>
        <v>0</v>
      </c>
      <c r="L37" s="355" t="n">
        <f aca="false">+L38+L42+L64+L56+L71</f>
        <v>3546064105</v>
      </c>
      <c r="M37" s="362" t="n">
        <v>0</v>
      </c>
      <c r="N37" s="355" t="n">
        <v>3167547191</v>
      </c>
      <c r="O37" s="358" t="n">
        <f aca="false">++L37-N37</f>
        <v>378516914</v>
      </c>
      <c r="P37" s="370"/>
      <c r="R37" s="358"/>
    </row>
    <row r="38" customFormat="false" ht="21" hidden="false" customHeight="true" outlineLevel="0" collapsed="false">
      <c r="B38" s="359"/>
      <c r="C38" s="360" t="n">
        <v>-1</v>
      </c>
      <c r="D38" s="361" t="s">
        <v>2352</v>
      </c>
      <c r="E38" s="362"/>
      <c r="F38" s="371" t="n">
        <f aca="false">SUM(E39:E41)</f>
        <v>0</v>
      </c>
      <c r="G38" s="364"/>
      <c r="H38" s="365"/>
      <c r="I38" s="356"/>
      <c r="J38" s="355"/>
      <c r="K38" s="362"/>
      <c r="L38" s="363" t="n">
        <f aca="false">+K39+K40+K41</f>
        <v>30000000</v>
      </c>
      <c r="M38" s="362"/>
      <c r="N38" s="363" t="n">
        <v>30000000</v>
      </c>
      <c r="O38" s="358" t="n">
        <f aca="false">++L38-N38</f>
        <v>0</v>
      </c>
      <c r="R38" s="358"/>
    </row>
    <row r="39" customFormat="false" ht="21" hidden="false" customHeight="true" outlineLevel="0" collapsed="false">
      <c r="B39" s="359"/>
      <c r="C39" s="366" t="s">
        <v>26</v>
      </c>
      <c r="D39" s="367" t="s">
        <v>101</v>
      </c>
      <c r="E39" s="362" t="n">
        <f aca="false">SUMIF(BSPL2026!M:M,'BS_DEC 2026'!D39,BSPL2026!Z:Z)</f>
        <v>0</v>
      </c>
      <c r="F39" s="363"/>
      <c r="G39" s="364"/>
      <c r="H39" s="365"/>
      <c r="I39" s="356"/>
      <c r="J39" s="355"/>
      <c r="K39" s="362" t="n">
        <f aca="false">E39+I39-J39</f>
        <v>0</v>
      </c>
      <c r="L39" s="363"/>
      <c r="M39" s="362" t="n">
        <v>0</v>
      </c>
      <c r="N39" s="363"/>
      <c r="O39" s="358" t="n">
        <f aca="false">++L39-N39</f>
        <v>0</v>
      </c>
      <c r="R39" s="358"/>
    </row>
    <row r="40" customFormat="false" ht="21" hidden="false" customHeight="true" outlineLevel="0" collapsed="false">
      <c r="B40" s="359"/>
      <c r="C40" s="366" t="s">
        <v>30</v>
      </c>
      <c r="D40" s="367" t="s">
        <v>102</v>
      </c>
      <c r="E40" s="362" t="n">
        <f aca="false">SUMIF(BSPL2026!M:M,'BS_DEC 2026'!D40,BSPL2026!Z:Z)</f>
        <v>0</v>
      </c>
      <c r="F40" s="363"/>
      <c r="G40" s="364"/>
      <c r="H40" s="365"/>
      <c r="I40" s="356"/>
      <c r="J40" s="355"/>
      <c r="K40" s="362" t="n">
        <f aca="false">E40+I40-J40</f>
        <v>0</v>
      </c>
      <c r="L40" s="363"/>
      <c r="M40" s="362" t="n">
        <v>0</v>
      </c>
      <c r="N40" s="363"/>
      <c r="O40" s="358" t="n">
        <f aca="false">++L40-N40</f>
        <v>0</v>
      </c>
      <c r="R40" s="358"/>
    </row>
    <row r="41" customFormat="false" ht="21" hidden="false" customHeight="true" outlineLevel="0" collapsed="false">
      <c r="B41" s="359"/>
      <c r="C41" s="366" t="s">
        <v>34</v>
      </c>
      <c r="D41" s="367" t="s">
        <v>104</v>
      </c>
      <c r="E41" s="362" t="n">
        <f aca="false">SUMIF(BSPL2026!M:M,'BS_DEC 2026'!D41,BSPL2026!Z:Z)</f>
        <v>0</v>
      </c>
      <c r="F41" s="363"/>
      <c r="G41" s="364"/>
      <c r="H41" s="365"/>
      <c r="I41" s="355" t="n">
        <f aca="false">++'statutory adj_2026 조정분개'!K7</f>
        <v>30000000</v>
      </c>
      <c r="J41" s="355"/>
      <c r="K41" s="362" t="n">
        <f aca="false">E41+I41-J41</f>
        <v>30000000</v>
      </c>
      <c r="L41" s="363"/>
      <c r="M41" s="362" t="n">
        <v>30000000</v>
      </c>
      <c r="N41" s="363"/>
      <c r="O41" s="358" t="n">
        <f aca="false">++K41-M41</f>
        <v>0</v>
      </c>
      <c r="R41" s="358"/>
    </row>
    <row r="42" customFormat="false" ht="21" hidden="false" customHeight="true" outlineLevel="0" collapsed="false">
      <c r="B42" s="359"/>
      <c r="C42" s="360" t="n">
        <v>-2</v>
      </c>
      <c r="D42" s="361" t="s">
        <v>2353</v>
      </c>
      <c r="E42" s="362"/>
      <c r="F42" s="371" t="n">
        <f aca="false">+F44+F46+F48+F50+F52+F54</f>
        <v>1118160218</v>
      </c>
      <c r="G42" s="364"/>
      <c r="H42" s="365"/>
      <c r="I42" s="356"/>
      <c r="J42" s="355"/>
      <c r="K42" s="362" t="n">
        <f aca="false">E42+I42-J42</f>
        <v>0</v>
      </c>
      <c r="L42" s="371" t="n">
        <f aca="false">+L44+L46+L48+L50+L52+L54</f>
        <v>1118160218</v>
      </c>
      <c r="M42" s="362" t="n">
        <v>0</v>
      </c>
      <c r="N42" s="371" t="n">
        <v>1525937673</v>
      </c>
      <c r="O42" s="358" t="n">
        <f aca="false">++K42-M42</f>
        <v>0</v>
      </c>
      <c r="R42" s="358"/>
    </row>
    <row r="43" customFormat="false" ht="21" hidden="false" customHeight="true" outlineLevel="0" collapsed="false">
      <c r="B43" s="359"/>
      <c r="C43" s="366" t="s">
        <v>26</v>
      </c>
      <c r="D43" s="367" t="s">
        <v>110</v>
      </c>
      <c r="E43" s="362" t="n">
        <f aca="false">SUMIF(BSPL2026!M:M,'BS_DEC 2026'!D43,BSPL2026!Z:Z)</f>
        <v>0</v>
      </c>
      <c r="F43" s="363"/>
      <c r="G43" s="364"/>
      <c r="H43" s="365"/>
      <c r="I43" s="356"/>
      <c r="J43" s="355"/>
      <c r="K43" s="362" t="n">
        <f aca="false">E43+I43-J43</f>
        <v>0</v>
      </c>
      <c r="L43" s="363"/>
      <c r="M43" s="362" t="n">
        <v>0</v>
      </c>
      <c r="N43" s="363"/>
      <c r="O43" s="358" t="n">
        <f aca="false">++K43-M43</f>
        <v>0</v>
      </c>
      <c r="R43" s="358"/>
    </row>
    <row r="44" customFormat="false" ht="21" hidden="false" customHeight="true" outlineLevel="0" collapsed="false">
      <c r="B44" s="359"/>
      <c r="C44" s="366" t="s">
        <v>30</v>
      </c>
      <c r="D44" s="367" t="s">
        <v>112</v>
      </c>
      <c r="E44" s="362" t="n">
        <f aca="false">SUMIF(BSPL2026!M:M,'BS_DEC 2026'!D44,BSPL2026!Z:Z)</f>
        <v>0</v>
      </c>
      <c r="F44" s="363"/>
      <c r="G44" s="364"/>
      <c r="H44" s="365"/>
      <c r="I44" s="356"/>
      <c r="J44" s="355"/>
      <c r="K44" s="362" t="n">
        <f aca="false">E44+I44-J44</f>
        <v>0</v>
      </c>
      <c r="L44" s="363"/>
      <c r="M44" s="362" t="n">
        <v>0</v>
      </c>
      <c r="N44" s="363"/>
      <c r="O44" s="358" t="n">
        <f aca="false">++K44-M44</f>
        <v>0</v>
      </c>
      <c r="R44" s="358"/>
    </row>
    <row r="45" customFormat="false" ht="21" hidden="false" customHeight="true" outlineLevel="0" collapsed="false">
      <c r="B45" s="359"/>
      <c r="C45" s="366"/>
      <c r="D45" s="367" t="s">
        <v>114</v>
      </c>
      <c r="E45" s="362" t="n">
        <f aca="false">SUMIF(BSPL2026!M:M,'BS_DEC 2026'!D45,BSPL2026!Z:Z)</f>
        <v>0</v>
      </c>
      <c r="F45" s="363"/>
      <c r="G45" s="364"/>
      <c r="H45" s="365"/>
      <c r="I45" s="356"/>
      <c r="J45" s="355"/>
      <c r="K45" s="362" t="n">
        <f aca="false">E45+I45-J45</f>
        <v>0</v>
      </c>
      <c r="L45" s="363"/>
      <c r="M45" s="362" t="n">
        <v>0</v>
      </c>
      <c r="N45" s="363"/>
      <c r="O45" s="358" t="n">
        <f aca="false">++K45-M45</f>
        <v>0</v>
      </c>
      <c r="R45" s="358"/>
    </row>
    <row r="46" customFormat="false" ht="21" hidden="false" customHeight="true" outlineLevel="0" collapsed="false">
      <c r="B46" s="359"/>
      <c r="C46" s="366" t="s">
        <v>34</v>
      </c>
      <c r="D46" s="367" t="s">
        <v>116</v>
      </c>
      <c r="E46" s="362" t="n">
        <f aca="false">SUMIF(BSPL2026!M:M,'BS_DEC 2026'!D46,BSPL2026!Z:Z)</f>
        <v>2388145890</v>
      </c>
      <c r="F46" s="363" t="n">
        <f aca="false">+E46+E47</f>
        <v>400068790</v>
      </c>
      <c r="G46" s="364"/>
      <c r="H46" s="365"/>
      <c r="I46" s="356"/>
      <c r="J46" s="355"/>
      <c r="K46" s="362" t="n">
        <f aca="false">E46+G46-J46</f>
        <v>2388145890</v>
      </c>
      <c r="L46" s="363" t="n">
        <f aca="false">+K46+K47</f>
        <v>400068790</v>
      </c>
      <c r="M46" s="362" t="n">
        <v>2388145890</v>
      </c>
      <c r="N46" s="363" t="n">
        <v>644898211</v>
      </c>
      <c r="O46" s="358" t="n">
        <f aca="false">++K46-M46</f>
        <v>0</v>
      </c>
      <c r="R46" s="358"/>
    </row>
    <row r="47" customFormat="false" ht="21" hidden="false" customHeight="true" outlineLevel="0" collapsed="false">
      <c r="B47" s="359"/>
      <c r="C47" s="366"/>
      <c r="D47" s="367" t="s">
        <v>118</v>
      </c>
      <c r="E47" s="362" t="n">
        <f aca="false">SUMIF(BSPL2026!M:M,'BS_DEC 2026'!D47,BSPL2026!Z:Z)</f>
        <v>-1988077100</v>
      </c>
      <c r="F47" s="363"/>
      <c r="G47" s="364"/>
      <c r="H47" s="365"/>
      <c r="I47" s="356"/>
      <c r="J47" s="355"/>
      <c r="K47" s="362" t="n">
        <f aca="false">E47+G47-J47</f>
        <v>-1988077100</v>
      </c>
      <c r="L47" s="363"/>
      <c r="M47" s="362" t="n">
        <v>-1743247679</v>
      </c>
      <c r="N47" s="363"/>
      <c r="O47" s="358" t="n">
        <f aca="false">++K47-M47</f>
        <v>-244829421</v>
      </c>
      <c r="R47" s="358"/>
    </row>
    <row r="48" customFormat="false" ht="21" hidden="false" customHeight="true" outlineLevel="0" collapsed="false">
      <c r="B48" s="359"/>
      <c r="C48" s="366" t="s">
        <v>38</v>
      </c>
      <c r="D48" s="367" t="s">
        <v>120</v>
      </c>
      <c r="E48" s="362" t="n">
        <f aca="false">SUMIF(BSPL2026!M:M,'BS_DEC 2026'!D48,BSPL2026!Z:Z)</f>
        <v>1434004742</v>
      </c>
      <c r="F48" s="363" t="n">
        <f aca="false">+E48+E49</f>
        <v>412406050</v>
      </c>
      <c r="G48" s="364"/>
      <c r="H48" s="365"/>
      <c r="I48" s="356"/>
      <c r="J48" s="355" t="n">
        <f aca="false">++'statutory adj_2026 조정분개'!M40</f>
        <v>-485029742</v>
      </c>
      <c r="K48" s="362" t="n">
        <f aca="false">E48+I48+J48</f>
        <v>948975000</v>
      </c>
      <c r="L48" s="363" t="n">
        <f aca="false">+K48+K49</f>
        <v>349906050</v>
      </c>
      <c r="M48" s="362" t="n">
        <v>948975000</v>
      </c>
      <c r="N48" s="363" t="n">
        <v>454953824</v>
      </c>
      <c r="O48" s="358" t="n">
        <f aca="false">++K48-M48</f>
        <v>0</v>
      </c>
      <c r="R48" s="358"/>
    </row>
    <row r="49" customFormat="false" ht="21" hidden="false" customHeight="true" outlineLevel="0" collapsed="false">
      <c r="B49" s="359"/>
      <c r="C49" s="366"/>
      <c r="D49" s="370" t="s">
        <v>122</v>
      </c>
      <c r="E49" s="362" t="n">
        <f aca="false">SUMIF(BSPL2026!M:M,'BS_DEC 2026'!D49,BSPL2026!Z:Z)</f>
        <v>-1021598692</v>
      </c>
      <c r="F49" s="363"/>
      <c r="G49" s="364"/>
      <c r="H49" s="365"/>
      <c r="I49" s="356" t="n">
        <f aca="false">++'statutory adj_2026 조정분개'!M41</f>
        <v>422529742</v>
      </c>
      <c r="J49" s="355"/>
      <c r="K49" s="362" t="n">
        <f aca="false">E49+I49-J49</f>
        <v>-599068950</v>
      </c>
      <c r="L49" s="363"/>
      <c r="M49" s="362" t="n">
        <v>-494021176</v>
      </c>
      <c r="N49" s="363"/>
      <c r="O49" s="358" t="n">
        <f aca="false">++K49-M49</f>
        <v>-105047774</v>
      </c>
      <c r="R49" s="358"/>
    </row>
    <row r="50" customFormat="false" ht="21" hidden="false" customHeight="true" outlineLevel="0" collapsed="false">
      <c r="B50" s="359"/>
      <c r="C50" s="366" t="s">
        <v>42</v>
      </c>
      <c r="D50" s="370" t="s">
        <v>124</v>
      </c>
      <c r="E50" s="362"/>
      <c r="F50" s="363" t="n">
        <f aca="false">+E50+E51</f>
        <v>0</v>
      </c>
      <c r="G50" s="364"/>
      <c r="H50" s="365"/>
      <c r="I50" s="356"/>
      <c r="J50" s="355"/>
      <c r="K50" s="362" t="n">
        <f aca="false">E50+I50-J50</f>
        <v>0</v>
      </c>
      <c r="L50" s="363" t="n">
        <f aca="false">+K50+K51</f>
        <v>0</v>
      </c>
      <c r="M50" s="362" t="n">
        <v>0</v>
      </c>
      <c r="N50" s="363" t="n">
        <v>0</v>
      </c>
      <c r="O50" s="358" t="n">
        <f aca="false">++K50-M50</f>
        <v>0</v>
      </c>
      <c r="R50" s="358"/>
    </row>
    <row r="51" customFormat="false" ht="21" hidden="false" customHeight="true" outlineLevel="0" collapsed="false">
      <c r="B51" s="359"/>
      <c r="C51" s="366"/>
      <c r="D51" s="370" t="s">
        <v>126</v>
      </c>
      <c r="E51" s="362" t="n">
        <f aca="false">SUMIF(BSPL2026!M:M,'BS_DEC 2026'!D51,BSPL2026!Z:Z)</f>
        <v>0</v>
      </c>
      <c r="F51" s="363"/>
      <c r="G51" s="364"/>
      <c r="H51" s="365"/>
      <c r="I51" s="356"/>
      <c r="J51" s="355"/>
      <c r="K51" s="362" t="n">
        <f aca="false">E51+I51-J51</f>
        <v>0</v>
      </c>
      <c r="L51" s="363"/>
      <c r="M51" s="362" t="n">
        <v>0</v>
      </c>
      <c r="N51" s="363"/>
      <c r="O51" s="358" t="n">
        <f aca="false">++K51-M51</f>
        <v>0</v>
      </c>
      <c r="R51" s="358"/>
    </row>
    <row r="52" customFormat="false" ht="21" hidden="false" customHeight="true" outlineLevel="0" collapsed="false">
      <c r="B52" s="359"/>
      <c r="C52" s="366" t="s">
        <v>45</v>
      </c>
      <c r="D52" s="370" t="s">
        <v>128</v>
      </c>
      <c r="E52" s="362" t="n">
        <f aca="false">SUMIF(BSPL2026!M:M,'BS_DEC 2026'!D52,BSPL2026!Z:Z)</f>
        <v>76984016</v>
      </c>
      <c r="F52" s="363" t="n">
        <f aca="false">+E52+E53</f>
        <v>1733333</v>
      </c>
      <c r="G52" s="364"/>
      <c r="H52" s="365"/>
      <c r="I52" s="356" t="n">
        <f aca="false">++'statutory adj_2026 조정분개'!M42</f>
        <v>485029742</v>
      </c>
      <c r="J52" s="355"/>
      <c r="K52" s="362" t="n">
        <f aca="false">E52+I52-J52</f>
        <v>562013758</v>
      </c>
      <c r="L52" s="363" t="n">
        <f aca="false">+K52+K53</f>
        <v>64233333</v>
      </c>
      <c r="M52" s="362" t="n">
        <v>562013758</v>
      </c>
      <c r="N52" s="363" t="n">
        <v>82195833</v>
      </c>
      <c r="O52" s="358" t="n">
        <f aca="false">++K52-M52</f>
        <v>0</v>
      </c>
      <c r="R52" s="358"/>
    </row>
    <row r="53" customFormat="false" ht="21" hidden="false" customHeight="true" outlineLevel="0" collapsed="false">
      <c r="B53" s="359"/>
      <c r="C53" s="366"/>
      <c r="D53" s="370" t="s">
        <v>130</v>
      </c>
      <c r="E53" s="362" t="n">
        <f aca="false">SUMIF(BSPL2026!M:M,'BS_DEC 2026'!D53,BSPL2026!Z:Z)</f>
        <v>-75250683</v>
      </c>
      <c r="F53" s="363"/>
      <c r="G53" s="364"/>
      <c r="H53" s="365"/>
      <c r="I53" s="356"/>
      <c r="J53" s="355" t="n">
        <f aca="false">++'statutory adj_2026 조정분개'!M43</f>
        <v>-422529742</v>
      </c>
      <c r="K53" s="362" t="n">
        <f aca="false">E53+I53+J53</f>
        <v>-497780425</v>
      </c>
      <c r="L53" s="363"/>
      <c r="M53" s="362" t="n">
        <v>-479817925</v>
      </c>
      <c r="N53" s="363"/>
      <c r="O53" s="358" t="n">
        <f aca="false">++K53-M53</f>
        <v>-17962500</v>
      </c>
      <c r="R53" s="358"/>
    </row>
    <row r="54" customFormat="false" ht="21" hidden="false" customHeight="true" outlineLevel="0" collapsed="false">
      <c r="B54" s="359"/>
      <c r="C54" s="366" t="s">
        <v>49</v>
      </c>
      <c r="D54" s="370" t="s">
        <v>132</v>
      </c>
      <c r="E54" s="362" t="n">
        <f aca="false">SUMIF(BSPL2026!M:M,'BS_DEC 2026'!D54,BSPL2026!Z:Z)</f>
        <v>1719424779</v>
      </c>
      <c r="F54" s="363" t="n">
        <f aca="false">+E54+E55</f>
        <v>303952045</v>
      </c>
      <c r="G54" s="364"/>
      <c r="H54" s="365"/>
      <c r="I54" s="356"/>
      <c r="J54" s="355"/>
      <c r="K54" s="362" t="n">
        <f aca="false">E54+I54-J54</f>
        <v>1719424779</v>
      </c>
      <c r="L54" s="363" t="n">
        <f aca="false">+K54+K55</f>
        <v>303952045</v>
      </c>
      <c r="M54" s="362" t="n">
        <v>1632938339</v>
      </c>
      <c r="N54" s="363" t="n">
        <v>343889805</v>
      </c>
      <c r="O54" s="358" t="n">
        <f aca="false">++K54-M54</f>
        <v>86486440</v>
      </c>
      <c r="R54" s="358"/>
    </row>
    <row r="55" customFormat="false" ht="21" hidden="false" customHeight="true" outlineLevel="0" collapsed="false">
      <c r="B55" s="359"/>
      <c r="C55" s="366"/>
      <c r="D55" s="370" t="s">
        <v>134</v>
      </c>
      <c r="E55" s="362" t="n">
        <f aca="false">SUMIF(BSPL2026!M:M,'BS_DEC 2026'!D55,BSPL2026!Z:Z)</f>
        <v>-1415472734</v>
      </c>
      <c r="F55" s="363"/>
      <c r="G55" s="364"/>
      <c r="H55" s="365"/>
      <c r="I55" s="356"/>
      <c r="J55" s="355"/>
      <c r="K55" s="362" t="n">
        <f aca="false">E55+I55-J55</f>
        <v>-1415472734</v>
      </c>
      <c r="L55" s="363"/>
      <c r="M55" s="362" t="n">
        <v>-1289048534</v>
      </c>
      <c r="N55" s="363"/>
      <c r="O55" s="358" t="n">
        <f aca="false">++K55-M55</f>
        <v>-126424200</v>
      </c>
      <c r="R55" s="358"/>
    </row>
    <row r="56" customFormat="false" ht="21" hidden="false" customHeight="true" outlineLevel="0" collapsed="false">
      <c r="B56" s="359"/>
      <c r="C56" s="341" t="s">
        <v>2354</v>
      </c>
      <c r="D56" s="353"/>
      <c r="E56" s="362"/>
      <c r="F56" s="363" t="n">
        <f aca="false">++F57+F59</f>
        <v>22468609</v>
      </c>
      <c r="G56" s="364"/>
      <c r="H56" s="365"/>
      <c r="I56" s="356"/>
      <c r="J56" s="355"/>
      <c r="K56" s="362" t="n">
        <f aca="false">E56+I56-J56</f>
        <v>0</v>
      </c>
      <c r="L56" s="363" t="n">
        <f aca="false">++L57+L59</f>
        <v>22468609</v>
      </c>
      <c r="M56" s="362" t="n">
        <v>0</v>
      </c>
      <c r="N56" s="363" t="n">
        <v>0</v>
      </c>
      <c r="O56" s="358" t="n">
        <f aca="false">++K56-M56</f>
        <v>0</v>
      </c>
      <c r="R56" s="358"/>
    </row>
    <row r="57" customFormat="false" ht="21" hidden="false" customHeight="true" outlineLevel="0" collapsed="false">
      <c r="B57" s="359"/>
      <c r="C57" s="366" t="s">
        <v>26</v>
      </c>
      <c r="D57" s="367" t="s">
        <v>139</v>
      </c>
      <c r="E57" s="362" t="n">
        <f aca="false">SUMIF(BSPL2026!M:M,'BS_DEC 2026'!D57,BSPL2026!Z:Z)</f>
        <v>378228066</v>
      </c>
      <c r="F57" s="363" t="n">
        <f aca="false">+E57+E58</f>
        <v>22468609</v>
      </c>
      <c r="G57" s="364"/>
      <c r="H57" s="365"/>
      <c r="I57" s="356"/>
      <c r="J57" s="355"/>
      <c r="K57" s="362" t="n">
        <f aca="false">E57+I57-J57</f>
        <v>378228066</v>
      </c>
      <c r="L57" s="363" t="n">
        <f aca="false">+K57+K58</f>
        <v>22468609</v>
      </c>
      <c r="M57" s="362" t="n">
        <v>355759457</v>
      </c>
      <c r="N57" s="363" t="n">
        <v>0</v>
      </c>
      <c r="O57" s="358" t="n">
        <f aca="false">++K57-M57</f>
        <v>22468609</v>
      </c>
      <c r="R57" s="358"/>
    </row>
    <row r="58" customFormat="false" ht="21" hidden="false" customHeight="true" outlineLevel="0" collapsed="false">
      <c r="B58" s="359"/>
      <c r="C58" s="366"/>
      <c r="D58" s="370" t="s">
        <v>141</v>
      </c>
      <c r="E58" s="362" t="n">
        <f aca="false">SUMIF(BSPL2026!M:M,'BS_DEC 2026'!D58,BSPL2026!Z:Z)</f>
        <v>-355759457</v>
      </c>
      <c r="F58" s="364"/>
      <c r="G58" s="364"/>
      <c r="H58" s="365"/>
      <c r="I58" s="356"/>
      <c r="J58" s="355"/>
      <c r="K58" s="362" t="n">
        <f aca="false">E58+I58-J58</f>
        <v>-355759457</v>
      </c>
      <c r="L58" s="364"/>
      <c r="M58" s="362" t="n">
        <v>-355759457</v>
      </c>
      <c r="N58" s="364"/>
      <c r="O58" s="358" t="n">
        <f aca="false">++K58-M58</f>
        <v>0</v>
      </c>
      <c r="R58" s="358"/>
    </row>
    <row r="59" customFormat="false" ht="21" hidden="false" customHeight="true" outlineLevel="0" collapsed="false">
      <c r="B59" s="359"/>
      <c r="C59" s="366" t="s">
        <v>30</v>
      </c>
      <c r="D59" s="370" t="s">
        <v>143</v>
      </c>
      <c r="E59" s="362" t="n">
        <f aca="false">SUMIF(BSPL2026!M:M,'BS_DEC 2026'!D59,BSPL2026!Z:Z)</f>
        <v>2706860500</v>
      </c>
      <c r="F59" s="363" t="n">
        <f aca="false">+E59+E60+E61</f>
        <v>0</v>
      </c>
      <c r="G59" s="364"/>
      <c r="H59" s="365"/>
      <c r="I59" s="356"/>
      <c r="J59" s="355"/>
      <c r="K59" s="362" t="n">
        <f aca="false">E59+I59-J59</f>
        <v>2706860500</v>
      </c>
      <c r="L59" s="363" t="n">
        <f aca="false">+K59+K60+K61</f>
        <v>0</v>
      </c>
      <c r="M59" s="362" t="n">
        <v>3706860500</v>
      </c>
      <c r="N59" s="363" t="n">
        <v>0</v>
      </c>
      <c r="O59" s="358" t="n">
        <f aca="false">++K59-M59</f>
        <v>-1000000000</v>
      </c>
      <c r="R59" s="358"/>
    </row>
    <row r="60" customFormat="false" ht="21" hidden="false" customHeight="true" outlineLevel="0" collapsed="false">
      <c r="B60" s="359"/>
      <c r="C60" s="366"/>
      <c r="D60" s="370" t="s">
        <v>145</v>
      </c>
      <c r="E60" s="362" t="n">
        <f aca="false">SUMIF(BSPL2026!M:M,'BS_DEC 2026'!D60,BSPL2026!Z:Z)</f>
        <v>-2706860500</v>
      </c>
      <c r="F60" s="364"/>
      <c r="G60" s="364"/>
      <c r="H60" s="365"/>
      <c r="I60" s="356"/>
      <c r="J60" s="355"/>
      <c r="K60" s="362" t="n">
        <f aca="false">E60+I60-J60</f>
        <v>-2706860500</v>
      </c>
      <c r="L60" s="364"/>
      <c r="M60" s="362" t="n">
        <v>-3111195178</v>
      </c>
      <c r="N60" s="364"/>
      <c r="O60" s="358" t="n">
        <f aca="false">++K60-M60</f>
        <v>404334678</v>
      </c>
      <c r="R60" s="358"/>
    </row>
    <row r="61" customFormat="false" ht="21" hidden="false" customHeight="true" outlineLevel="0" collapsed="false">
      <c r="B61" s="359"/>
      <c r="C61" s="366"/>
      <c r="D61" s="370" t="s">
        <v>147</v>
      </c>
      <c r="E61" s="362" t="n">
        <f aca="false">SUMIF(BSPL2026!M:M,'BS_DEC 2026'!D61,BSPL2026!Z:Z)</f>
        <v>0</v>
      </c>
      <c r="F61" s="364"/>
      <c r="G61" s="364"/>
      <c r="H61" s="365"/>
      <c r="I61" s="356"/>
      <c r="J61" s="355"/>
      <c r="K61" s="362" t="n">
        <f aca="false">E61+I61-J61</f>
        <v>0</v>
      </c>
      <c r="L61" s="363"/>
      <c r="M61" s="362" t="n">
        <v>-595665322</v>
      </c>
      <c r="N61" s="363"/>
      <c r="O61" s="358" t="n">
        <f aca="false">++K61-M61</f>
        <v>595665322</v>
      </c>
      <c r="R61" s="358"/>
    </row>
    <row r="62" customFormat="false" ht="21" hidden="false" customHeight="true" outlineLevel="0" collapsed="false">
      <c r="B62" s="359"/>
      <c r="C62" s="366" t="s">
        <v>34</v>
      </c>
      <c r="D62" s="370" t="s">
        <v>149</v>
      </c>
      <c r="E62" s="362" t="n">
        <f aca="false">SUMIF(BSPL2026!M:M,'BS_DEC 2026'!D62,BSPL2026!Z:Z)</f>
        <v>0</v>
      </c>
      <c r="F62" s="364"/>
      <c r="G62" s="364"/>
      <c r="H62" s="365"/>
      <c r="I62" s="356"/>
      <c r="J62" s="355"/>
      <c r="K62" s="362" t="n">
        <f aca="false">E62+I62-J62</f>
        <v>0</v>
      </c>
      <c r="L62" s="363"/>
      <c r="M62" s="362" t="n">
        <v>0</v>
      </c>
      <c r="N62" s="363"/>
      <c r="O62" s="358" t="n">
        <f aca="false">++K62-M62</f>
        <v>0</v>
      </c>
      <c r="R62" s="358"/>
    </row>
    <row r="63" customFormat="false" ht="21" hidden="false" customHeight="true" outlineLevel="0" collapsed="false">
      <c r="B63" s="359"/>
      <c r="C63" s="366"/>
      <c r="D63" s="370" t="s">
        <v>151</v>
      </c>
      <c r="E63" s="362" t="n">
        <f aca="false">SUMIF(BSPL2026!M:M,'BS_DEC 2026'!D63,BSPL2026!Z:Z)</f>
        <v>0</v>
      </c>
      <c r="F63" s="363"/>
      <c r="G63" s="364"/>
      <c r="H63" s="365"/>
      <c r="I63" s="356"/>
      <c r="J63" s="355"/>
      <c r="K63" s="362" t="n">
        <f aca="false">E63+I63-J63</f>
        <v>0</v>
      </c>
      <c r="L63" s="363"/>
      <c r="M63" s="362" t="n">
        <v>0</v>
      </c>
      <c r="N63" s="363"/>
      <c r="O63" s="358" t="n">
        <f aca="false">++K63-M63</f>
        <v>0</v>
      </c>
      <c r="R63" s="358"/>
    </row>
    <row r="64" customFormat="false" ht="21" hidden="false" customHeight="true" outlineLevel="0" collapsed="false">
      <c r="B64" s="359"/>
      <c r="C64" s="341" t="s">
        <v>2355</v>
      </c>
      <c r="D64" s="353"/>
      <c r="E64" s="362" t="n">
        <f aca="false">SUMIF(BSPL2026!M:M,'BS_DEC 2026'!D64,BSPL2026!Z:Z)</f>
        <v>0</v>
      </c>
      <c r="F64" s="363" t="n">
        <f aca="false">SUM(E65:E70)</f>
        <v>2353872442</v>
      </c>
      <c r="G64" s="364"/>
      <c r="H64" s="365"/>
      <c r="I64" s="356"/>
      <c r="J64" s="355"/>
      <c r="K64" s="362" t="n">
        <f aca="false">E64+I64-J64</f>
        <v>0</v>
      </c>
      <c r="L64" s="363" t="n">
        <f aca="false">SUM(K65:K70)</f>
        <v>2323872442</v>
      </c>
      <c r="M64" s="362" t="n">
        <v>0</v>
      </c>
      <c r="N64" s="363" t="n">
        <v>1603371682</v>
      </c>
      <c r="O64" s="358" t="n">
        <f aca="false">++K64-M64</f>
        <v>0</v>
      </c>
      <c r="R64" s="358"/>
    </row>
    <row r="65" customFormat="false" ht="21" hidden="false" customHeight="true" outlineLevel="0" collapsed="false">
      <c r="B65" s="359"/>
      <c r="C65" s="366" t="s">
        <v>26</v>
      </c>
      <c r="D65" s="367" t="s">
        <v>155</v>
      </c>
      <c r="E65" s="362" t="n">
        <f aca="false">SUMIF(BSPL2026!M:M,'BS_DEC 2026'!D65,BSPL2026!Z:Z)</f>
        <v>1931634850</v>
      </c>
      <c r="F65" s="363" t="s">
        <v>2348</v>
      </c>
      <c r="G65" s="364"/>
      <c r="H65" s="365"/>
      <c r="I65" s="356"/>
      <c r="J65" s="355" t="n">
        <f aca="false">++'statutory adj_2026 조정분개'!M8</f>
        <v>-30000000</v>
      </c>
      <c r="K65" s="362" t="n">
        <f aca="false">E65+I65+J65</f>
        <v>1901634850</v>
      </c>
      <c r="L65" s="363" t="s">
        <v>2348</v>
      </c>
      <c r="M65" s="362" t="n">
        <v>1181134090</v>
      </c>
      <c r="N65" s="363" t="s">
        <v>2348</v>
      </c>
      <c r="O65" s="358" t="n">
        <f aca="false">++K65-M65</f>
        <v>720500760</v>
      </c>
      <c r="R65" s="358"/>
    </row>
    <row r="66" customFormat="false" ht="21" hidden="false" customHeight="true" outlineLevel="0" collapsed="false">
      <c r="B66" s="359"/>
      <c r="C66" s="366" t="s">
        <v>30</v>
      </c>
      <c r="D66" s="367" t="s">
        <v>158</v>
      </c>
      <c r="E66" s="362" t="n">
        <f aca="false">SUMIF(BSPL2026!M:M,'BS_DEC 2026'!D66,BSPL2026!Z:Z)</f>
        <v>0</v>
      </c>
      <c r="F66" s="363" t="s">
        <v>2348</v>
      </c>
      <c r="G66" s="364"/>
      <c r="H66" s="365"/>
      <c r="I66" s="356"/>
      <c r="J66" s="355"/>
      <c r="K66" s="362" t="n">
        <f aca="false">E66+I66-J66</f>
        <v>0</v>
      </c>
      <c r="L66" s="363" t="s">
        <v>2348</v>
      </c>
      <c r="M66" s="362" t="n">
        <v>0</v>
      </c>
      <c r="N66" s="363" t="s">
        <v>2348</v>
      </c>
      <c r="O66" s="358" t="n">
        <f aca="false">++K66-M66</f>
        <v>0</v>
      </c>
      <c r="R66" s="358"/>
    </row>
    <row r="67" customFormat="false" ht="21" hidden="false" customHeight="true" outlineLevel="0" collapsed="false">
      <c r="B67" s="359"/>
      <c r="C67" s="366" t="s">
        <v>34</v>
      </c>
      <c r="D67" s="370" t="s">
        <v>160</v>
      </c>
      <c r="E67" s="362" t="n">
        <f aca="false">SUMIF(BSPL2026!M:M,'BS_DEC 2026'!D67,BSPL2026!Z:Z)</f>
        <v>422237592</v>
      </c>
      <c r="F67" s="363"/>
      <c r="G67" s="364"/>
      <c r="H67" s="368"/>
      <c r="I67" s="356"/>
      <c r="J67" s="355"/>
      <c r="K67" s="362" t="n">
        <f aca="false">E67+I67+J67+H67</f>
        <v>422237592</v>
      </c>
      <c r="L67" s="363"/>
      <c r="M67" s="362" t="n">
        <v>422237592</v>
      </c>
      <c r="N67" s="363"/>
      <c r="O67" s="358" t="n">
        <f aca="false">++K67-M67</f>
        <v>0</v>
      </c>
      <c r="R67" s="358"/>
    </row>
    <row r="68" customFormat="false" ht="21" hidden="false" customHeight="true" outlineLevel="0" collapsed="false">
      <c r="B68" s="359"/>
      <c r="C68" s="366" t="s">
        <v>38</v>
      </c>
      <c r="D68" s="370" t="s">
        <v>162</v>
      </c>
      <c r="E68" s="362" t="n">
        <f aca="false">SUMIF(BSPL2026!M:M,'BS_DEC 2026'!D68,BSPL2026!Z:Z)</f>
        <v>0</v>
      </c>
      <c r="F68" s="363"/>
      <c r="G68" s="364"/>
      <c r="H68" s="365"/>
      <c r="I68" s="356"/>
      <c r="J68" s="355"/>
      <c r="K68" s="362" t="n">
        <f aca="false">E68+I68+J68</f>
        <v>0</v>
      </c>
      <c r="L68" s="363"/>
      <c r="M68" s="362" t="n">
        <v>0</v>
      </c>
      <c r="N68" s="363"/>
      <c r="O68" s="358" t="n">
        <f aca="false">++K68-M68</f>
        <v>0</v>
      </c>
      <c r="R68" s="358"/>
    </row>
    <row r="69" customFormat="false" ht="21" hidden="false" customHeight="true" outlineLevel="0" collapsed="false">
      <c r="B69" s="359"/>
      <c r="C69" s="366" t="s">
        <v>163</v>
      </c>
      <c r="D69" s="370" t="s">
        <v>164</v>
      </c>
      <c r="E69" s="362" t="n">
        <f aca="false">SUMIF(BSPL2026!M:M,'BS_DEC 2026'!D69,BSPL2026!Z:Z)</f>
        <v>0</v>
      </c>
      <c r="F69" s="363"/>
      <c r="G69" s="364"/>
      <c r="H69" s="365"/>
      <c r="I69" s="364"/>
      <c r="J69" s="363"/>
      <c r="K69" s="362" t="n">
        <f aca="false">E69+I69-J69</f>
        <v>0</v>
      </c>
      <c r="L69" s="363"/>
      <c r="M69" s="362" t="n">
        <v>0</v>
      </c>
      <c r="N69" s="363"/>
      <c r="O69" s="358" t="n">
        <f aca="false">++K69-M69</f>
        <v>0</v>
      </c>
      <c r="R69" s="358"/>
    </row>
    <row r="70" customFormat="false" ht="21" hidden="false" customHeight="true" outlineLevel="0" collapsed="false">
      <c r="B70" s="359"/>
      <c r="C70" s="366" t="s">
        <v>165</v>
      </c>
      <c r="D70" s="370" t="s">
        <v>166</v>
      </c>
      <c r="E70" s="362" t="n">
        <f aca="false">SUMIF(BSPL2026!M:M,'BS_DEC 2026'!D70,BSPL2026!Z:Z)</f>
        <v>0</v>
      </c>
      <c r="F70" s="363"/>
      <c r="G70" s="364"/>
      <c r="H70" s="365"/>
      <c r="I70" s="364"/>
      <c r="J70" s="363"/>
      <c r="K70" s="362" t="n">
        <f aca="false">E70+I70-J70</f>
        <v>0</v>
      </c>
      <c r="L70" s="363"/>
      <c r="M70" s="362" t="n">
        <v>0</v>
      </c>
      <c r="N70" s="363"/>
      <c r="O70" s="358" t="n">
        <f aca="false">++K70-M70</f>
        <v>0</v>
      </c>
      <c r="R70" s="358"/>
    </row>
    <row r="71" customFormat="false" ht="21" hidden="false" customHeight="true" outlineLevel="0" collapsed="false">
      <c r="B71" s="359"/>
      <c r="C71" s="372" t="s">
        <v>168</v>
      </c>
      <c r="D71" s="352" t="s">
        <v>169</v>
      </c>
      <c r="E71" s="362"/>
      <c r="F71" s="373" t="n">
        <f aca="false">SUMIF(BSPL2026!M:M,'BS_DEC 2026'!D71,BSPL2026!Z:Z)</f>
        <v>51562836</v>
      </c>
      <c r="G71" s="364"/>
      <c r="H71" s="365"/>
      <c r="I71" s="364"/>
      <c r="J71" s="363"/>
      <c r="K71" s="362"/>
      <c r="L71" s="363" t="n">
        <f aca="false">++F71</f>
        <v>51562836</v>
      </c>
      <c r="M71" s="362"/>
      <c r="N71" s="363" t="n">
        <v>8237836</v>
      </c>
      <c r="O71" s="358" t="n">
        <f aca="false">++L71-N71</f>
        <v>43325000</v>
      </c>
      <c r="R71" s="358"/>
    </row>
    <row r="72" customFormat="false" ht="21" hidden="false" customHeight="true" outlineLevel="0" collapsed="false">
      <c r="B72" s="351"/>
      <c r="C72" s="352" t="s">
        <v>2356</v>
      </c>
      <c r="D72" s="353"/>
      <c r="E72" s="354"/>
      <c r="F72" s="355" t="n">
        <f aca="false">+F11+F37</f>
        <v>469451959283</v>
      </c>
      <c r="G72" s="356"/>
      <c r="H72" s="357"/>
      <c r="I72" s="356"/>
      <c r="J72" s="355"/>
      <c r="K72" s="354"/>
      <c r="L72" s="355" t="n">
        <f aca="false">+L11+L37</f>
        <v>457036149159</v>
      </c>
      <c r="M72" s="354"/>
      <c r="N72" s="355" t="n">
        <v>402171370716</v>
      </c>
      <c r="O72" s="358" t="n">
        <f aca="false">++L72-N72</f>
        <v>54864778443</v>
      </c>
      <c r="R72" s="358"/>
    </row>
    <row r="73" customFormat="false" ht="21" hidden="false" customHeight="true" outlineLevel="0" collapsed="false">
      <c r="B73" s="374"/>
      <c r="C73" s="375"/>
      <c r="D73" s="376"/>
      <c r="E73" s="377"/>
      <c r="F73" s="378"/>
      <c r="G73" s="379"/>
      <c r="H73" s="380"/>
      <c r="I73" s="379"/>
      <c r="J73" s="378"/>
      <c r="K73" s="377"/>
      <c r="L73" s="378"/>
      <c r="M73" s="377"/>
      <c r="N73" s="378"/>
      <c r="O73" s="358"/>
      <c r="R73" s="358"/>
    </row>
    <row r="74" customFormat="false" ht="21" hidden="false" customHeight="true" outlineLevel="0" collapsed="false">
      <c r="B74" s="381"/>
      <c r="C74" s="382" t="s">
        <v>2357</v>
      </c>
      <c r="D74" s="383"/>
      <c r="E74" s="384"/>
      <c r="F74" s="385"/>
      <c r="G74" s="386"/>
      <c r="H74" s="387"/>
      <c r="I74" s="386"/>
      <c r="J74" s="385"/>
      <c r="K74" s="384"/>
      <c r="L74" s="385"/>
      <c r="M74" s="384"/>
      <c r="N74" s="385"/>
      <c r="O74" s="358"/>
      <c r="R74" s="358"/>
    </row>
    <row r="75" customFormat="false" ht="21" hidden="false" customHeight="true" outlineLevel="0" collapsed="false">
      <c r="B75" s="351" t="s">
        <v>2345</v>
      </c>
      <c r="C75" s="352" t="s">
        <v>2358</v>
      </c>
      <c r="D75" s="353"/>
      <c r="E75" s="354"/>
      <c r="F75" s="355" t="n">
        <f aca="false">SUM(E76:E87)</f>
        <v>212685219604</v>
      </c>
      <c r="G75" s="356"/>
      <c r="H75" s="357"/>
      <c r="I75" s="356"/>
      <c r="J75" s="355"/>
      <c r="K75" s="354"/>
      <c r="L75" s="355" t="n">
        <f aca="false">SUM(K76:K87)</f>
        <v>199623153058</v>
      </c>
      <c r="M75" s="354"/>
      <c r="N75" s="355" t="n">
        <v>140791861473</v>
      </c>
      <c r="O75" s="358" t="n">
        <f aca="false">++L75-N75</f>
        <v>58831291585</v>
      </c>
      <c r="R75" s="358"/>
    </row>
    <row r="76" customFormat="false" ht="21" hidden="false" customHeight="true" outlineLevel="0" collapsed="false">
      <c r="B76" s="359"/>
      <c r="C76" s="366" t="n">
        <v>1</v>
      </c>
      <c r="D76" s="367" t="s">
        <v>178</v>
      </c>
      <c r="E76" s="362" t="n">
        <f aca="false">-SUMIF(BSPL2026!M:M,'BS_DEC 2026'!D76,BSPL2026!Z:Z)</f>
        <v>90624050033</v>
      </c>
      <c r="F76" s="363"/>
      <c r="G76" s="388"/>
      <c r="H76" s="368"/>
      <c r="I76" s="364"/>
      <c r="J76" s="363"/>
      <c r="K76" s="362" t="n">
        <f aca="false">E76+G76-J76-H76+I76</f>
        <v>90624050033</v>
      </c>
      <c r="L76" s="363"/>
      <c r="M76" s="362" t="n">
        <v>13684687580</v>
      </c>
      <c r="N76" s="363"/>
      <c r="O76" s="358" t="n">
        <f aca="false">++K76-M76</f>
        <v>76939362453</v>
      </c>
      <c r="R76" s="358"/>
    </row>
    <row r="77" customFormat="false" ht="21" hidden="false" customHeight="true" outlineLevel="0" collapsed="false">
      <c r="B77" s="359"/>
      <c r="C77" s="366" t="n">
        <v>2</v>
      </c>
      <c r="D77" s="367" t="s">
        <v>181</v>
      </c>
      <c r="E77" s="362" t="n">
        <f aca="false">-SUMIF(BSPL2026!M:M,'BS_DEC 2026'!D77,BSPL2026!Z:Z)</f>
        <v>-0</v>
      </c>
      <c r="F77" s="363"/>
      <c r="G77" s="364"/>
      <c r="H77" s="365"/>
      <c r="I77" s="356"/>
      <c r="J77" s="355"/>
      <c r="K77" s="362" t="n">
        <f aca="false">E77+I77-J77</f>
        <v>0</v>
      </c>
      <c r="L77" s="363"/>
      <c r="M77" s="362" t="n">
        <v>0</v>
      </c>
      <c r="N77" s="363"/>
      <c r="O77" s="358" t="n">
        <f aca="false">++K77-M77</f>
        <v>0</v>
      </c>
      <c r="R77" s="358"/>
    </row>
    <row r="78" customFormat="false" ht="21" hidden="false" customHeight="true" outlineLevel="0" collapsed="false">
      <c r="B78" s="359"/>
      <c r="C78" s="366" t="n">
        <v>3</v>
      </c>
      <c r="D78" s="367" t="s">
        <v>183</v>
      </c>
      <c r="E78" s="362" t="n">
        <f aca="false">-SUMIF(BSPL2026!M:M,'BS_DEC 2026'!D78,BSPL2026!Z:Z)</f>
        <v>11973774324</v>
      </c>
      <c r="F78" s="363"/>
      <c r="G78" s="364"/>
      <c r="H78" s="365"/>
      <c r="I78" s="364"/>
      <c r="J78" s="363" t="n">
        <f aca="false">++-'statutory adj_2026 조정분개'!N46</f>
        <v>-612260090</v>
      </c>
      <c r="K78" s="362" t="n">
        <f aca="false">E78+J78+78+I78</f>
        <v>11361514312</v>
      </c>
      <c r="L78" s="363"/>
      <c r="M78" s="362" t="n">
        <v>14114112505</v>
      </c>
      <c r="N78" s="363"/>
      <c r="O78" s="358" t="n">
        <f aca="false">++K78-M78</f>
        <v>-2752598193</v>
      </c>
      <c r="R78" s="358"/>
    </row>
    <row r="79" customFormat="false" ht="21" hidden="false" customHeight="true" outlineLevel="0" collapsed="false">
      <c r="B79" s="359"/>
      <c r="C79" s="366" t="n">
        <v>4</v>
      </c>
      <c r="D79" s="367" t="s">
        <v>186</v>
      </c>
      <c r="E79" s="362" t="n">
        <f aca="false">-SUMIF(BSPL2026!M:M,'BS_DEC 2026'!D79,BSPL2026!Z:Z)</f>
        <v>-0</v>
      </c>
      <c r="F79" s="363"/>
      <c r="G79" s="364"/>
      <c r="H79" s="365"/>
      <c r="I79" s="356"/>
      <c r="J79" s="355"/>
      <c r="K79" s="362" t="n">
        <f aca="false">E79+I79-J79</f>
        <v>0</v>
      </c>
      <c r="L79" s="363"/>
      <c r="M79" s="362" t="n">
        <v>2737532</v>
      </c>
      <c r="N79" s="363"/>
      <c r="O79" s="358" t="n">
        <f aca="false">++K79-M79</f>
        <v>-2737532</v>
      </c>
      <c r="R79" s="358"/>
    </row>
    <row r="80" customFormat="false" ht="21" hidden="false" customHeight="true" outlineLevel="0" collapsed="false">
      <c r="B80" s="359"/>
      <c r="C80" s="366" t="n">
        <v>5</v>
      </c>
      <c r="D80" s="367" t="s">
        <v>188</v>
      </c>
      <c r="E80" s="362" t="n">
        <f aca="false">-SUMIF(BSPL2026!M:M,'BS_DEC 2026'!D80,BSPL2026!Z:Z)</f>
        <v>2221411285</v>
      </c>
      <c r="F80" s="363"/>
      <c r="G80" s="364"/>
      <c r="H80" s="365"/>
      <c r="I80" s="364"/>
      <c r="J80" s="363"/>
      <c r="K80" s="362" t="n">
        <f aca="false">E80+I80-J80</f>
        <v>2221411285</v>
      </c>
      <c r="L80" s="363"/>
      <c r="M80" s="362" t="n">
        <v>1217627633</v>
      </c>
      <c r="N80" s="363"/>
      <c r="O80" s="358" t="n">
        <f aca="false">++K80-M80</f>
        <v>1003783652</v>
      </c>
      <c r="P80" s="358"/>
      <c r="R80" s="358"/>
    </row>
    <row r="81" customFormat="false" ht="21" hidden="false" customHeight="true" outlineLevel="0" collapsed="false">
      <c r="B81" s="359"/>
      <c r="C81" s="366" t="n">
        <v>6</v>
      </c>
      <c r="D81" s="367" t="s">
        <v>191</v>
      </c>
      <c r="E81" s="362" t="n">
        <f aca="false">-SUMIF(BSPL2026!M:M,'BS_DEC 2026'!D81,BSPL2026!Z:Z)</f>
        <v>94434209558</v>
      </c>
      <c r="F81" s="363"/>
      <c r="G81" s="364"/>
      <c r="H81" s="365"/>
      <c r="I81" s="356" t="n">
        <f aca="false">++'statutory adj_2026 조정분개'!N31+'statutory adj_2026 조정분개'!N32+'statutory adj_2026 조정분개'!N33</f>
        <v>12415810124</v>
      </c>
      <c r="J81" s="355" t="n">
        <f aca="false">++-'statutory adj_2026 조정분개'!N45</f>
        <v>612260090</v>
      </c>
      <c r="K81" s="362" t="n">
        <f aca="false">E81+G81-I81+J81</f>
        <v>82630659524</v>
      </c>
      <c r="L81" s="363"/>
      <c r="M81" s="362" t="n">
        <v>93900348921</v>
      </c>
      <c r="N81" s="363"/>
      <c r="O81" s="358" t="n">
        <f aca="false">++K81-M81</f>
        <v>-11269689397</v>
      </c>
      <c r="R81" s="358"/>
    </row>
    <row r="82" customFormat="false" ht="21" hidden="false" customHeight="true" outlineLevel="0" collapsed="false">
      <c r="B82" s="359"/>
      <c r="C82" s="366" t="n">
        <v>7</v>
      </c>
      <c r="D82" s="367" t="s">
        <v>194</v>
      </c>
      <c r="E82" s="362" t="n">
        <f aca="false">-SUMIF(BSPL2026!M:M,'BS_DEC 2026'!D82,BSPL2026!Z:Z)</f>
        <v>3833429789</v>
      </c>
      <c r="F82" s="363"/>
      <c r="G82" s="364"/>
      <c r="H82" s="365"/>
      <c r="I82" s="364"/>
      <c r="J82" s="363"/>
      <c r="K82" s="362" t="n">
        <f aca="false">E82+-I82-J82</f>
        <v>3833429789</v>
      </c>
      <c r="L82" s="363"/>
      <c r="M82" s="362" t="n">
        <v>4357240088</v>
      </c>
      <c r="N82" s="363"/>
      <c r="O82" s="358" t="n">
        <f aca="false">++K82-M82</f>
        <v>-523810299</v>
      </c>
      <c r="R82" s="358"/>
    </row>
    <row r="83" customFormat="false" ht="21" hidden="false" customHeight="true" outlineLevel="0" collapsed="false">
      <c r="B83" s="359"/>
      <c r="C83" s="366" t="n">
        <v>8</v>
      </c>
      <c r="D83" s="367" t="s">
        <v>197</v>
      </c>
      <c r="E83" s="362" t="n">
        <f aca="false">-SUMIF(BSPL2026!M:M,'BS_DEC 2026'!D83,BSPL2026!Z:Z)</f>
        <v>2668049829</v>
      </c>
      <c r="F83" s="363"/>
      <c r="G83" s="364"/>
      <c r="H83" s="368"/>
      <c r="I83" s="356"/>
      <c r="J83" s="355"/>
      <c r="K83" s="362" t="n">
        <f aca="false">E83+G83-J83-H83-I83</f>
        <v>2668049829</v>
      </c>
      <c r="L83" s="363"/>
      <c r="M83" s="362" t="n">
        <v>6632631113</v>
      </c>
      <c r="N83" s="363"/>
      <c r="O83" s="358" t="n">
        <f aca="false">++K83-M83</f>
        <v>-3964581284</v>
      </c>
      <c r="R83" s="358"/>
    </row>
    <row r="84" customFormat="false" ht="21" hidden="false" customHeight="true" outlineLevel="0" collapsed="false">
      <c r="B84" s="359"/>
      <c r="C84" s="366" t="n">
        <v>9</v>
      </c>
      <c r="D84" s="367" t="s">
        <v>200</v>
      </c>
      <c r="E84" s="362" t="n">
        <f aca="false">-SUMIF(BSPL2026!M:M,'BS_DEC 2026'!D84,BSPL2026!Z:Z)</f>
        <v>-0</v>
      </c>
      <c r="F84" s="363"/>
      <c r="G84" s="364"/>
      <c r="H84" s="365"/>
      <c r="I84" s="364"/>
      <c r="J84" s="363"/>
      <c r="K84" s="362" t="n">
        <f aca="false">E84+I84-J84</f>
        <v>0</v>
      </c>
      <c r="L84" s="363"/>
      <c r="M84" s="362" t="n">
        <v>0</v>
      </c>
      <c r="N84" s="363"/>
      <c r="O84" s="358" t="n">
        <f aca="false">++K84-M84</f>
        <v>0</v>
      </c>
      <c r="R84" s="358"/>
    </row>
    <row r="85" customFormat="false" ht="21" hidden="false" customHeight="true" outlineLevel="0" collapsed="false">
      <c r="B85" s="359"/>
      <c r="C85" s="366" t="n">
        <v>10</v>
      </c>
      <c r="D85" s="367" t="s">
        <v>202</v>
      </c>
      <c r="E85" s="362" t="n">
        <f aca="false">-SUMIF(BSPL2026!M:M,'BS_DEC 2026'!D85,BSPL2026!Z:Z)</f>
        <v>-0</v>
      </c>
      <c r="F85" s="363" t="s">
        <v>2348</v>
      </c>
      <c r="G85" s="362"/>
      <c r="H85" s="365"/>
      <c r="I85" s="356"/>
      <c r="J85" s="355"/>
      <c r="K85" s="362" t="n">
        <f aca="false">E85+I85-J85</f>
        <v>0</v>
      </c>
      <c r="L85" s="363" t="s">
        <v>2348</v>
      </c>
      <c r="M85" s="362" t="n">
        <v>0</v>
      </c>
      <c r="N85" s="363" t="s">
        <v>2348</v>
      </c>
      <c r="O85" s="358" t="n">
        <f aca="false">++K85-M85</f>
        <v>0</v>
      </c>
      <c r="Q85" s="389"/>
      <c r="R85" s="358"/>
    </row>
    <row r="86" customFormat="false" ht="21" hidden="false" customHeight="true" outlineLevel="0" collapsed="false">
      <c r="B86" s="359"/>
      <c r="C86" s="366" t="n">
        <v>11</v>
      </c>
      <c r="D86" s="367" t="s">
        <v>204</v>
      </c>
      <c r="E86" s="362" t="n">
        <f aca="false">-SUMIF(BSPL2026!M:M,'BS_DEC 2026'!D86,BSPL2026!Z:Z)</f>
        <v>-0</v>
      </c>
      <c r="F86" s="363"/>
      <c r="G86" s="362"/>
      <c r="H86" s="365"/>
      <c r="I86" s="364"/>
      <c r="J86" s="363"/>
      <c r="K86" s="362" t="n">
        <f aca="false">E86+I86-J86</f>
        <v>0</v>
      </c>
      <c r="L86" s="363"/>
      <c r="M86" s="362" t="n">
        <v>0</v>
      </c>
      <c r="N86" s="363"/>
      <c r="O86" s="358" t="n">
        <f aca="false">++K86-M86</f>
        <v>0</v>
      </c>
      <c r="R86" s="358"/>
    </row>
    <row r="87" customFormat="false" ht="21" hidden="false" customHeight="true" outlineLevel="0" collapsed="false">
      <c r="A87" s="370" t="s">
        <v>2359</v>
      </c>
      <c r="B87" s="359"/>
      <c r="C87" s="366" t="n">
        <v>12</v>
      </c>
      <c r="D87" s="370" t="s">
        <v>206</v>
      </c>
      <c r="E87" s="362" t="n">
        <f aca="false">-SUMIF(BSPL2026!M:M,'BS_DEC 2026'!D87,BSPL2026!Z:Z)</f>
        <v>6930294786</v>
      </c>
      <c r="F87" s="363"/>
      <c r="G87" s="362"/>
      <c r="H87" s="365"/>
      <c r="I87" s="356" t="n">
        <f aca="false">++'statutory adj_2026 조정분개'!N28</f>
        <v>646256500</v>
      </c>
      <c r="J87" s="355"/>
      <c r="K87" s="362" t="n">
        <f aca="false">E87+-I87+J87</f>
        <v>6284038286</v>
      </c>
      <c r="L87" s="363"/>
      <c r="M87" s="362" t="n">
        <v>6882476101</v>
      </c>
      <c r="N87" s="363"/>
      <c r="O87" s="358" t="n">
        <f aca="false">++K87-M87</f>
        <v>-598437815</v>
      </c>
      <c r="R87" s="358"/>
    </row>
    <row r="88" customFormat="false" ht="21" hidden="false" customHeight="true" outlineLevel="0" collapsed="false">
      <c r="B88" s="351" t="s">
        <v>2350</v>
      </c>
      <c r="C88" s="352" t="s">
        <v>2360</v>
      </c>
      <c r="D88" s="353"/>
      <c r="E88" s="362"/>
      <c r="F88" s="355" t="n">
        <f aca="false">+E89+E90+E91+F94+E95</f>
        <v>912409574</v>
      </c>
      <c r="G88" s="354"/>
      <c r="H88" s="357"/>
      <c r="I88" s="364"/>
      <c r="J88" s="363"/>
      <c r="K88" s="362" t="n">
        <f aca="false">E88+I88-J88</f>
        <v>0</v>
      </c>
      <c r="L88" s="355" t="n">
        <f aca="false">+K89+K90+K91+L94+K95</f>
        <v>1558666074</v>
      </c>
      <c r="M88" s="362" t="n">
        <v>0</v>
      </c>
      <c r="N88" s="355" t="n">
        <v>1681126243</v>
      </c>
      <c r="O88" s="358" t="n">
        <f aca="false">++L88-N88</f>
        <v>-122460169</v>
      </c>
      <c r="R88" s="358"/>
    </row>
    <row r="89" customFormat="false" ht="21" hidden="false" customHeight="true" outlineLevel="0" collapsed="false">
      <c r="B89" s="359"/>
      <c r="C89" s="366" t="n">
        <v>1</v>
      </c>
      <c r="D89" s="367" t="s">
        <v>211</v>
      </c>
      <c r="E89" s="362" t="n">
        <f aca="false">-SUMIF(BSPL2026!M:M,'BS_DEC 2026'!D89,BSPL2026!Z:Z)</f>
        <v>-0</v>
      </c>
      <c r="F89" s="363"/>
      <c r="G89" s="362"/>
      <c r="H89" s="365"/>
      <c r="I89" s="356"/>
      <c r="J89" s="355"/>
      <c r="K89" s="362" t="n">
        <f aca="false">E89+I89-J89</f>
        <v>0</v>
      </c>
      <c r="L89" s="363"/>
      <c r="M89" s="362" t="n">
        <v>0</v>
      </c>
      <c r="N89" s="363"/>
      <c r="O89" s="358" t="n">
        <f aca="false">++K89-M89</f>
        <v>0</v>
      </c>
      <c r="R89" s="358"/>
    </row>
    <row r="90" customFormat="false" ht="21" hidden="false" customHeight="true" outlineLevel="0" collapsed="false">
      <c r="B90" s="359"/>
      <c r="C90" s="366" t="n">
        <v>2</v>
      </c>
      <c r="D90" s="367" t="s">
        <v>213</v>
      </c>
      <c r="E90" s="362" t="n">
        <f aca="false">-SUMIF(BSPL2026!M:M,'BS_DEC 2026'!D90,BSPL2026!Z:Z)</f>
        <v>-0</v>
      </c>
      <c r="F90" s="363"/>
      <c r="G90" s="362"/>
      <c r="H90" s="365"/>
      <c r="I90" s="364"/>
      <c r="J90" s="363"/>
      <c r="K90" s="362" t="n">
        <f aca="false">E90+I90-J90</f>
        <v>0</v>
      </c>
      <c r="L90" s="363"/>
      <c r="M90" s="362" t="n">
        <v>0</v>
      </c>
      <c r="N90" s="363"/>
      <c r="O90" s="358" t="n">
        <f aca="false">++K90-M90</f>
        <v>0</v>
      </c>
      <c r="R90" s="358"/>
    </row>
    <row r="91" customFormat="false" ht="21" hidden="false" customHeight="true" outlineLevel="0" collapsed="false">
      <c r="B91" s="359"/>
      <c r="C91" s="366" t="n">
        <v>3</v>
      </c>
      <c r="D91" s="367" t="s">
        <v>215</v>
      </c>
      <c r="E91" s="362" t="n">
        <f aca="false">-SUMIF(BSPL2026!M:M,'BS_DEC 2026'!D91,BSPL2026!Z:Z)</f>
        <v>-0</v>
      </c>
      <c r="F91" s="363"/>
      <c r="G91" s="364"/>
      <c r="H91" s="365"/>
      <c r="I91" s="356"/>
      <c r="J91" s="355"/>
      <c r="K91" s="362" t="n">
        <f aca="false">E91+I91-J91</f>
        <v>0</v>
      </c>
      <c r="L91" s="363"/>
      <c r="M91" s="362" t="n">
        <v>0</v>
      </c>
      <c r="N91" s="363"/>
      <c r="O91" s="358" t="n">
        <f aca="false">++K91-M91</f>
        <v>0</v>
      </c>
      <c r="R91" s="358"/>
    </row>
    <row r="92" customFormat="false" ht="21" hidden="false" customHeight="true" outlineLevel="0" collapsed="false">
      <c r="A92" s="370" t="s">
        <v>2361</v>
      </c>
      <c r="B92" s="359"/>
      <c r="C92" s="366" t="n">
        <v>4</v>
      </c>
      <c r="D92" s="367" t="s">
        <v>217</v>
      </c>
      <c r="E92" s="362" t="n">
        <f aca="false">-SUMIF(BSPL2026!M:M,'BS_DEC 2026'!D92,BSPL2026!Z:Z)</f>
        <v>-0</v>
      </c>
      <c r="F92" s="363"/>
      <c r="G92" s="364"/>
      <c r="H92" s="365"/>
      <c r="I92" s="364"/>
      <c r="J92" s="363" t="n">
        <f aca="false">++'statutory adj_2026 조정분개'!N29</f>
        <v>-646256500</v>
      </c>
      <c r="K92" s="362" t="n">
        <f aca="false">E92+I92-J92</f>
        <v>646256500</v>
      </c>
      <c r="L92" s="363"/>
      <c r="M92" s="362" t="n">
        <v>779863000</v>
      </c>
      <c r="N92" s="363"/>
      <c r="O92" s="358" t="n">
        <f aca="false">++K92-M92</f>
        <v>-133606500</v>
      </c>
      <c r="R92" s="358"/>
    </row>
    <row r="93" customFormat="false" ht="21" hidden="false" customHeight="true" outlineLevel="0" collapsed="false">
      <c r="B93" s="359"/>
      <c r="C93" s="366"/>
      <c r="D93" s="367" t="s">
        <v>219</v>
      </c>
      <c r="E93" s="362" t="n">
        <f aca="false">-SUMIF(BSPL2026!M:M,'BS_DEC 2026'!D93,BSPL2026!Z:Z)</f>
        <v>912409574</v>
      </c>
      <c r="F93" s="363"/>
      <c r="G93" s="364"/>
      <c r="H93" s="365"/>
      <c r="I93" s="356"/>
      <c r="J93" s="355"/>
      <c r="K93" s="362" t="n">
        <f aca="false">E93+I93-J93</f>
        <v>912409574</v>
      </c>
      <c r="L93" s="363"/>
      <c r="M93" s="362" t="n">
        <v>901263243</v>
      </c>
      <c r="N93" s="363"/>
      <c r="O93" s="358" t="n">
        <f aca="false">++K93-M93</f>
        <v>11146331</v>
      </c>
      <c r="R93" s="358"/>
    </row>
    <row r="94" customFormat="false" ht="21" hidden="false" customHeight="true" outlineLevel="0" collapsed="false">
      <c r="B94" s="359"/>
      <c r="C94" s="366"/>
      <c r="D94" s="367" t="s">
        <v>221</v>
      </c>
      <c r="E94" s="362" t="n">
        <f aca="false">-SUMIF(BSPL2026!M:M,'BS_DEC 2026'!D94,BSPL2026!Z:Z)</f>
        <v>-0</v>
      </c>
      <c r="F94" s="371" t="n">
        <f aca="false">SUM(E92:E94)</f>
        <v>912409574</v>
      </c>
      <c r="G94" s="364"/>
      <c r="H94" s="365"/>
      <c r="I94" s="364"/>
      <c r="J94" s="363"/>
      <c r="K94" s="362" t="n">
        <f aca="false">E94+I94-J94</f>
        <v>0</v>
      </c>
      <c r="L94" s="371" t="n">
        <f aca="false">SUM(K92:K94)</f>
        <v>1558666074</v>
      </c>
      <c r="M94" s="362" t="n">
        <v>0</v>
      </c>
      <c r="N94" s="371" t="n">
        <v>1681126243</v>
      </c>
      <c r="O94" s="358" t="n">
        <f aca="false">++L94-N94</f>
        <v>-122460169</v>
      </c>
      <c r="R94" s="358"/>
    </row>
    <row r="95" customFormat="false" ht="21" hidden="false" customHeight="true" outlineLevel="0" collapsed="false">
      <c r="B95" s="359"/>
      <c r="C95" s="366" t="n">
        <v>5</v>
      </c>
      <c r="D95" s="367" t="s">
        <v>222</v>
      </c>
      <c r="E95" s="362" t="n">
        <f aca="false">-SUMIF(BSPL2026!M:M,'BS_DEC 2026'!D95,BSPL2026!Z:Z)</f>
        <v>-0</v>
      </c>
      <c r="F95" s="363"/>
      <c r="G95" s="364"/>
      <c r="H95" s="365"/>
      <c r="I95" s="364"/>
      <c r="J95" s="363"/>
      <c r="K95" s="362" t="n">
        <f aca="false">E95+I95-J95</f>
        <v>0</v>
      </c>
      <c r="L95" s="363"/>
      <c r="M95" s="362" t="n">
        <v>0</v>
      </c>
      <c r="N95" s="363"/>
      <c r="O95" s="358" t="n">
        <f aca="false">++K95-M95</f>
        <v>0</v>
      </c>
      <c r="R95" s="358"/>
    </row>
    <row r="96" customFormat="false" ht="21" hidden="false" customHeight="true" outlineLevel="0" collapsed="false">
      <c r="B96" s="351"/>
      <c r="C96" s="352" t="s">
        <v>2362</v>
      </c>
      <c r="D96" s="353"/>
      <c r="E96" s="362"/>
      <c r="F96" s="355" t="n">
        <f aca="false">+F75+F88</f>
        <v>213597629178</v>
      </c>
      <c r="G96" s="356"/>
      <c r="H96" s="357"/>
      <c r="I96" s="356"/>
      <c r="J96" s="355"/>
      <c r="K96" s="362"/>
      <c r="L96" s="355" t="n">
        <f aca="false">+L75+L88</f>
        <v>201181819132</v>
      </c>
      <c r="M96" s="362"/>
      <c r="N96" s="355" t="n">
        <v>142472987716</v>
      </c>
      <c r="O96" s="358" t="n">
        <f aca="false">++L96-N96</f>
        <v>58708831416</v>
      </c>
      <c r="R96" s="358"/>
    </row>
    <row r="97" customFormat="false" ht="21" hidden="false" customHeight="true" outlineLevel="0" collapsed="false">
      <c r="B97" s="351"/>
      <c r="C97" s="352" t="s">
        <v>2363</v>
      </c>
      <c r="D97" s="353"/>
      <c r="E97" s="362"/>
      <c r="F97" s="355"/>
      <c r="G97" s="356"/>
      <c r="H97" s="357"/>
      <c r="I97" s="356"/>
      <c r="J97" s="355"/>
      <c r="K97" s="362"/>
      <c r="L97" s="355"/>
      <c r="M97" s="362"/>
      <c r="N97" s="355"/>
      <c r="O97" s="358"/>
      <c r="R97" s="358"/>
    </row>
    <row r="98" customFormat="false" ht="21" hidden="false" customHeight="true" outlineLevel="0" collapsed="false">
      <c r="B98" s="351" t="s">
        <v>2345</v>
      </c>
      <c r="C98" s="352" t="s">
        <v>2364</v>
      </c>
      <c r="D98" s="353"/>
      <c r="E98" s="362"/>
      <c r="F98" s="355" t="n">
        <f aca="false">+E99+E100</f>
        <v>138868021795</v>
      </c>
      <c r="G98" s="356"/>
      <c r="H98" s="357"/>
      <c r="I98" s="356"/>
      <c r="J98" s="355"/>
      <c r="K98" s="362"/>
      <c r="L98" s="355" t="n">
        <f aca="false">+K99+K100</f>
        <v>138868021795</v>
      </c>
      <c r="M98" s="362"/>
      <c r="N98" s="355" t="n">
        <v>138868021795</v>
      </c>
      <c r="O98" s="358" t="n">
        <f aca="false">++L98-N98</f>
        <v>0</v>
      </c>
      <c r="R98" s="358"/>
    </row>
    <row r="99" customFormat="false" ht="21" hidden="false" customHeight="true" outlineLevel="0" collapsed="false">
      <c r="B99" s="359"/>
      <c r="C99" s="366" t="n">
        <v>1</v>
      </c>
      <c r="D99" s="367" t="s">
        <v>231</v>
      </c>
      <c r="E99" s="362" t="n">
        <f aca="false">-SUMIF(BSPL2026!M:M,'BS_DEC 2026'!D99,BSPL2026!Z:Z)</f>
        <v>4287180000</v>
      </c>
      <c r="F99" s="363" t="s">
        <v>2348</v>
      </c>
      <c r="G99" s="364"/>
      <c r="H99" s="365"/>
      <c r="I99" s="364"/>
      <c r="J99" s="363"/>
      <c r="K99" s="362" t="n">
        <f aca="false">E99+I99-J99</f>
        <v>4287180000</v>
      </c>
      <c r="L99" s="363" t="s">
        <v>2348</v>
      </c>
      <c r="M99" s="362" t="n">
        <v>4287180000</v>
      </c>
      <c r="N99" s="363" t="s">
        <v>2348</v>
      </c>
      <c r="O99" s="358" t="n">
        <f aca="false">++K99-M99</f>
        <v>0</v>
      </c>
      <c r="R99" s="358"/>
    </row>
    <row r="100" customFormat="false" ht="21" hidden="false" customHeight="true" outlineLevel="0" collapsed="false">
      <c r="B100" s="359"/>
      <c r="C100" s="366" t="n">
        <v>2</v>
      </c>
      <c r="D100" s="367" t="s">
        <v>1693</v>
      </c>
      <c r="E100" s="362" t="n">
        <f aca="false">SUM(E101:E102)</f>
        <v>134580841795</v>
      </c>
      <c r="F100" s="363"/>
      <c r="G100" s="364"/>
      <c r="H100" s="365"/>
      <c r="I100" s="364"/>
      <c r="J100" s="363"/>
      <c r="K100" s="362" t="n">
        <f aca="false">SUM(K101:K102)</f>
        <v>134580841795</v>
      </c>
      <c r="L100" s="363"/>
      <c r="M100" s="362" t="n">
        <v>134580841795</v>
      </c>
      <c r="N100" s="363"/>
      <c r="O100" s="358" t="n">
        <f aca="false">++K100-M100</f>
        <v>0</v>
      </c>
      <c r="R100" s="358"/>
    </row>
    <row r="101" customFormat="false" ht="21" hidden="false" customHeight="true" outlineLevel="0" collapsed="false">
      <c r="B101" s="359"/>
      <c r="C101" s="366"/>
      <c r="D101" s="370" t="s">
        <v>235</v>
      </c>
      <c r="E101" s="362" t="n">
        <f aca="false">-SUMIF(BSPL2026!M:M,'BS_DEC 2026'!D101,BSPL2026!Z:Z)</f>
        <v>152461603149</v>
      </c>
      <c r="F101" s="363"/>
      <c r="G101" s="364"/>
      <c r="H101" s="365"/>
      <c r="I101" s="364"/>
      <c r="J101" s="363"/>
      <c r="K101" s="362" t="n">
        <f aca="false">E101+G101+J101</f>
        <v>152461603149</v>
      </c>
      <c r="L101" s="363"/>
      <c r="M101" s="362" t="n">
        <v>152461603149</v>
      </c>
      <c r="N101" s="363"/>
      <c r="O101" s="358" t="n">
        <f aca="false">++K101-M101</f>
        <v>0</v>
      </c>
      <c r="R101" s="358"/>
    </row>
    <row r="102" customFormat="false" ht="21" hidden="false" customHeight="true" outlineLevel="0" collapsed="false">
      <c r="B102" s="359"/>
      <c r="C102" s="366"/>
      <c r="D102" s="370" t="s">
        <v>237</v>
      </c>
      <c r="E102" s="362" t="n">
        <f aca="false">-SUMIF(BSPL2026!M:M,'BS_DEC 2026'!D102,BSPL2026!Z:Z)</f>
        <v>-17880761354</v>
      </c>
      <c r="F102" s="363"/>
      <c r="G102" s="364"/>
      <c r="H102" s="365"/>
      <c r="I102" s="364"/>
      <c r="J102" s="363"/>
      <c r="K102" s="362" t="n">
        <f aca="false">E102+G102+J102</f>
        <v>-17880761354</v>
      </c>
      <c r="L102" s="363"/>
      <c r="M102" s="362" t="n">
        <v>-17880761354</v>
      </c>
      <c r="N102" s="363"/>
      <c r="O102" s="358" t="n">
        <f aca="false">++K102-M102</f>
        <v>0</v>
      </c>
      <c r="R102" s="358"/>
    </row>
    <row r="103" customFormat="false" ht="21" hidden="false" customHeight="true" outlineLevel="0" collapsed="false">
      <c r="B103" s="351" t="s">
        <v>2350</v>
      </c>
      <c r="C103" s="352" t="s">
        <v>2365</v>
      </c>
      <c r="D103" s="353"/>
      <c r="E103" s="362"/>
      <c r="F103" s="355" t="n">
        <f aca="false">+E104+E105</f>
        <v>116986308310</v>
      </c>
      <c r="G103" s="356"/>
      <c r="H103" s="357"/>
      <c r="I103" s="364"/>
      <c r="J103" s="363"/>
      <c r="K103" s="362" t="n">
        <f aca="false">E103+I103-J103</f>
        <v>0</v>
      </c>
      <c r="L103" s="355" t="n">
        <f aca="false">+K104+K105</f>
        <v>116986308308</v>
      </c>
      <c r="M103" s="362" t="n">
        <v>0</v>
      </c>
      <c r="N103" s="355" t="n">
        <v>120830361203.924</v>
      </c>
      <c r="O103" s="358" t="n">
        <f aca="false">++L103-N103</f>
        <v>-3844052895.924</v>
      </c>
      <c r="R103" s="358"/>
    </row>
    <row r="104" customFormat="false" ht="21" hidden="false" customHeight="true" outlineLevel="0" collapsed="false">
      <c r="B104" s="359"/>
      <c r="C104" s="366" t="n">
        <v>1</v>
      </c>
      <c r="D104" s="367" t="s">
        <v>243</v>
      </c>
      <c r="E104" s="362" t="n">
        <f aca="false">-SUMIF(BSPL2026!M:M,'BS_DEC 2026'!D104,BSPL2026!Z:Z)</f>
        <v>2143590000</v>
      </c>
      <c r="F104" s="363" t="s">
        <v>2348</v>
      </c>
      <c r="G104" s="364"/>
      <c r="H104" s="365"/>
      <c r="I104" s="364"/>
      <c r="J104" s="363"/>
      <c r="K104" s="362" t="n">
        <f aca="false">E104+G104-J104</f>
        <v>2143590000</v>
      </c>
      <c r="L104" s="363" t="s">
        <v>2348</v>
      </c>
      <c r="M104" s="362" t="n">
        <v>1861200000</v>
      </c>
      <c r="N104" s="363" t="s">
        <v>2348</v>
      </c>
      <c r="O104" s="358" t="n">
        <f aca="false">++K104-M104</f>
        <v>282390000</v>
      </c>
      <c r="R104" s="358"/>
    </row>
    <row r="105" customFormat="false" ht="21" hidden="false" customHeight="true" outlineLevel="0" collapsed="false">
      <c r="B105" s="359"/>
      <c r="C105" s="366" t="n">
        <v>2</v>
      </c>
      <c r="D105" s="367" t="s">
        <v>246</v>
      </c>
      <c r="E105" s="373" t="n">
        <f aca="false">SUM(E106:E107)</f>
        <v>114842718310</v>
      </c>
      <c r="F105" s="363"/>
      <c r="G105" s="364"/>
      <c r="H105" s="365"/>
      <c r="I105" s="364"/>
      <c r="J105" s="363"/>
      <c r="K105" s="373" t="n">
        <f aca="false">SUM(K106:K107)</f>
        <v>114842718308</v>
      </c>
      <c r="L105" s="371"/>
      <c r="M105" s="373" t="n">
        <v>118969161203.924</v>
      </c>
      <c r="N105" s="363"/>
      <c r="O105" s="358" t="n">
        <f aca="false">++K105-M105</f>
        <v>-4126442895.924</v>
      </c>
      <c r="R105" s="358"/>
    </row>
    <row r="106" customFormat="false" ht="21" hidden="false" customHeight="true" outlineLevel="0" collapsed="false">
      <c r="B106" s="359"/>
      <c r="C106" s="366"/>
      <c r="D106" s="367" t="s">
        <v>248</v>
      </c>
      <c r="E106" s="362" t="n">
        <f aca="false">-SUMIF(BSPL2026!M:M,'BS_DEC 2026'!D106,BSPL2026!Z:Z)</f>
        <v>65553831288</v>
      </c>
      <c r="F106" s="363" t="s">
        <v>2348</v>
      </c>
      <c r="G106" s="390"/>
      <c r="H106" s="368"/>
      <c r="I106" s="364"/>
      <c r="J106" s="363"/>
      <c r="K106" s="362" t="n">
        <f aca="false">E106+G106-J106+H106</f>
        <v>65553831288</v>
      </c>
      <c r="L106" s="363" t="s">
        <v>2348</v>
      </c>
      <c r="M106" s="362" t="n">
        <v>81009322866.924</v>
      </c>
      <c r="N106" s="363" t="s">
        <v>2348</v>
      </c>
      <c r="O106" s="358" t="n">
        <f aca="false">++K106-M106</f>
        <v>-15455491578.924</v>
      </c>
      <c r="P106" s="389"/>
      <c r="R106" s="358"/>
    </row>
    <row r="107" customFormat="false" ht="21" hidden="false" customHeight="true" outlineLevel="0" collapsed="false">
      <c r="B107" s="359"/>
      <c r="C107" s="366"/>
      <c r="D107" s="370" t="s">
        <v>251</v>
      </c>
      <c r="E107" s="362" t="n">
        <f aca="false">++'PL_DEC.2026'!F99</f>
        <v>49288887022</v>
      </c>
      <c r="F107" s="363"/>
      <c r="G107" s="391"/>
      <c r="H107" s="365" t="n">
        <v>-2</v>
      </c>
      <c r="I107" s="364"/>
      <c r="J107" s="363"/>
      <c r="K107" s="362" t="n">
        <f aca="false">E107+G107-J107+H107</f>
        <v>49288887020</v>
      </c>
      <c r="L107" s="363"/>
      <c r="M107" s="362" t="n">
        <v>37959838337</v>
      </c>
      <c r="N107" s="363"/>
      <c r="O107" s="358" t="n">
        <f aca="false">++K107-M107</f>
        <v>11329048683</v>
      </c>
      <c r="R107" s="358"/>
    </row>
    <row r="108" customFormat="false" ht="20.25" hidden="false" customHeight="true" outlineLevel="0" collapsed="false">
      <c r="B108" s="351"/>
      <c r="C108" s="352" t="s">
        <v>2366</v>
      </c>
      <c r="D108" s="353"/>
      <c r="E108" s="354"/>
      <c r="F108" s="355" t="n">
        <f aca="false">+F98+F103</f>
        <v>255854330105</v>
      </c>
      <c r="G108" s="356"/>
      <c r="H108" s="357"/>
      <c r="I108" s="356"/>
      <c r="J108" s="355"/>
      <c r="K108" s="354"/>
      <c r="L108" s="355" t="n">
        <f aca="false">+L98+L103</f>
        <v>255854330103</v>
      </c>
      <c r="M108" s="354"/>
      <c r="N108" s="355" t="n">
        <v>259698382998.924</v>
      </c>
      <c r="O108" s="358" t="n">
        <f aca="false">++L108-N108</f>
        <v>-3844052895.92401</v>
      </c>
      <c r="P108" s="392"/>
      <c r="R108" s="358"/>
    </row>
    <row r="109" customFormat="false" ht="21" hidden="false" customHeight="true" outlineLevel="0" collapsed="false">
      <c r="B109" s="393"/>
      <c r="C109" s="394" t="s">
        <v>2367</v>
      </c>
      <c r="D109" s="395"/>
      <c r="E109" s="396"/>
      <c r="F109" s="397" t="n">
        <f aca="false">+F96+F108</f>
        <v>469451959283</v>
      </c>
      <c r="G109" s="398"/>
      <c r="H109" s="399"/>
      <c r="I109" s="398"/>
      <c r="J109" s="397"/>
      <c r="K109" s="396"/>
      <c r="L109" s="397" t="n">
        <f aca="false">+L96+L108</f>
        <v>457036149235</v>
      </c>
      <c r="M109" s="396"/>
      <c r="N109" s="397" t="n">
        <v>402171370714.924</v>
      </c>
      <c r="O109" s="358" t="n">
        <f aca="false">++L109-N109</f>
        <v>54864778520.076</v>
      </c>
      <c r="R109" s="358"/>
    </row>
    <row r="110" customFormat="false" ht="16.5" hidden="false" customHeight="false" outlineLevel="0" collapsed="false">
      <c r="E110" s="389"/>
      <c r="F110" s="400"/>
      <c r="G110" s="400"/>
      <c r="H110" s="400"/>
      <c r="I110" s="400"/>
      <c r="J110" s="400"/>
      <c r="K110" s="389"/>
      <c r="L110" s="400"/>
      <c r="M110" s="389"/>
      <c r="N110" s="400"/>
      <c r="O110" s="389"/>
    </row>
    <row r="111" customFormat="false" ht="16.5" hidden="false" customHeight="false" outlineLevel="0" collapsed="false">
      <c r="E111" s="401"/>
      <c r="F111" s="401"/>
      <c r="G111" s="401"/>
      <c r="H111" s="401"/>
      <c r="I111" s="401"/>
      <c r="J111" s="401"/>
      <c r="K111" s="401"/>
      <c r="L111" s="401"/>
      <c r="M111" s="401"/>
      <c r="N111" s="401"/>
      <c r="O111" s="389"/>
    </row>
    <row r="112" customFormat="false" ht="16.5" hidden="false" customHeight="false" outlineLevel="0" collapsed="false">
      <c r="E112" s="401" t="s">
        <v>2368</v>
      </c>
      <c r="F112" s="402" t="n">
        <f aca="false">F109-F72</f>
        <v>0</v>
      </c>
      <c r="G112" s="401"/>
      <c r="H112" s="401"/>
      <c r="I112" s="401"/>
      <c r="J112" s="401"/>
      <c r="K112" s="401"/>
      <c r="L112" s="402" t="n">
        <f aca="false">L109-L72</f>
        <v>76</v>
      </c>
      <c r="M112" s="401"/>
      <c r="N112" s="402" t="n">
        <f aca="false">N109-N72</f>
        <v>-1.07598876953125</v>
      </c>
      <c r="O112" s="389"/>
    </row>
    <row r="113" customFormat="false" ht="16.5" hidden="false" customHeight="false" outlineLevel="0" collapsed="false">
      <c r="E113" s="401"/>
      <c r="F113" s="401"/>
      <c r="G113" s="401"/>
      <c r="H113" s="401"/>
      <c r="I113" s="401"/>
      <c r="J113" s="401"/>
      <c r="K113" s="401"/>
      <c r="L113" s="401"/>
      <c r="M113" s="401"/>
      <c r="N113" s="401"/>
      <c r="O113" s="389"/>
    </row>
    <row r="114" customFormat="false" ht="15" hidden="false" customHeight="true" outlineLevel="0" collapsed="false">
      <c r="D114" s="366"/>
      <c r="E114" s="369" t="s">
        <v>2369</v>
      </c>
      <c r="F114" s="403" t="n">
        <v>469451959283</v>
      </c>
      <c r="G114" s="403" t="s">
        <v>2370</v>
      </c>
      <c r="H114" s="403"/>
      <c r="I114" s="389"/>
      <c r="J114" s="401"/>
      <c r="L114" s="403" t="n">
        <v>457036149235</v>
      </c>
      <c r="M114" s="369" t="s">
        <v>2369</v>
      </c>
      <c r="N114" s="369" t="n">
        <v>402171370714.924</v>
      </c>
      <c r="O114" s="389"/>
    </row>
    <row r="115" customFormat="false" ht="16.5" hidden="false" customHeight="false" outlineLevel="0" collapsed="false">
      <c r="D115" s="366"/>
      <c r="E115" s="369"/>
      <c r="F115" s="404" t="n">
        <f aca="false">++F109-F114</f>
        <v>0</v>
      </c>
      <c r="G115" s="369"/>
      <c r="H115" s="369"/>
      <c r="I115" s="405"/>
      <c r="J115" s="400"/>
      <c r="L115" s="369" t="n">
        <f aca="false">++L109-L114</f>
        <v>0</v>
      </c>
      <c r="M115" s="369"/>
      <c r="N115" s="369" t="n">
        <f aca="false">++N109-N114</f>
        <v>0</v>
      </c>
      <c r="O115" s="389"/>
    </row>
    <row r="116" customFormat="false" ht="16.5" hidden="false" customHeight="false" outlineLevel="0" collapsed="false">
      <c r="F116" s="369"/>
      <c r="I116" s="406"/>
      <c r="K116" s="389"/>
      <c r="O116" s="389"/>
    </row>
    <row r="117" customFormat="false" ht="16.5" hidden="false" customHeight="false" outlineLevel="0" collapsed="false">
      <c r="E117" s="369"/>
      <c r="F117" s="400"/>
      <c r="G117" s="400"/>
      <c r="H117" s="400"/>
      <c r="I117" s="400"/>
      <c r="J117" s="400"/>
      <c r="L117" s="400"/>
      <c r="N117" s="400"/>
      <c r="O117" s="389"/>
    </row>
    <row r="118" customFormat="false" ht="16.5" hidden="false" customHeight="false" outlineLevel="0" collapsed="false">
      <c r="E118" s="369"/>
      <c r="L118" s="407"/>
      <c r="O118" s="389"/>
    </row>
    <row r="119" customFormat="false" ht="16.5" hidden="false" customHeight="false" outlineLevel="0" collapsed="false">
      <c r="E119" s="389"/>
      <c r="F119" s="369"/>
      <c r="G119" s="389"/>
      <c r="H119" s="389"/>
      <c r="I119" s="408" t="s">
        <v>248</v>
      </c>
      <c r="J119" s="409" t="s">
        <v>11</v>
      </c>
      <c r="M119" s="389"/>
    </row>
    <row r="120" customFormat="false" ht="16.5" hidden="false" customHeight="false" outlineLevel="0" collapsed="false">
      <c r="E120" s="400"/>
      <c r="F120" s="369"/>
      <c r="I120" s="410" t="s">
        <v>2371</v>
      </c>
      <c r="J120" s="409" t="n">
        <f aca="false">++N103</f>
        <v>120830361203.924</v>
      </c>
      <c r="M120" s="389"/>
    </row>
    <row r="121" customFormat="false" ht="16.5" hidden="false" customHeight="false" outlineLevel="0" collapsed="false">
      <c r="I121" s="408" t="s">
        <v>251</v>
      </c>
      <c r="J121" s="411" t="n">
        <f aca="false">K107</f>
        <v>49288887020</v>
      </c>
    </row>
    <row r="122" customFormat="false" ht="16.5" hidden="false" customHeight="false" outlineLevel="0" collapsed="false">
      <c r="E122" s="401"/>
      <c r="I122" s="408" t="s">
        <v>2372</v>
      </c>
      <c r="J122" s="409" t="n">
        <v>-6453000000</v>
      </c>
    </row>
    <row r="123" customFormat="false" ht="16.5" hidden="false" customHeight="false" outlineLevel="0" collapsed="false">
      <c r="I123" s="410" t="s">
        <v>1382</v>
      </c>
      <c r="J123" s="409" t="n">
        <f aca="false">SUM(J120:J122)</f>
        <v>163666248223.924</v>
      </c>
    </row>
    <row r="124" customFormat="false" ht="16.5" hidden="false" customHeight="false" outlineLevel="0" collapsed="false">
      <c r="I124" s="408" t="s">
        <v>2365</v>
      </c>
      <c r="J124" s="409" t="n">
        <f aca="false">++L103</f>
        <v>116986308308</v>
      </c>
    </row>
    <row r="125" customFormat="false" ht="16.5" hidden="false" customHeight="false" outlineLevel="0" collapsed="false">
      <c r="I125" s="412" t="s">
        <v>2373</v>
      </c>
      <c r="J125" s="413" t="n">
        <f aca="false">++J123-J124</f>
        <v>46679939915.924</v>
      </c>
    </row>
    <row r="127" customFormat="false" ht="16.5" hidden="false" customHeight="false" outlineLevel="0" collapsed="false">
      <c r="I127" s="400" t="s">
        <v>2374</v>
      </c>
      <c r="J127" s="400"/>
      <c r="L127" s="414" t="s">
        <v>2375</v>
      </c>
    </row>
    <row r="128" customFormat="false" ht="16.5" hidden="false" customHeight="false" outlineLevel="0" collapsed="false">
      <c r="H128" s="414" t="s">
        <v>2376</v>
      </c>
      <c r="I128" s="400" t="s">
        <v>2284</v>
      </c>
      <c r="J128" s="400" t="n">
        <v>111822252</v>
      </c>
      <c r="L128" s="400" t="n">
        <f aca="false">++-J128</f>
        <v>-111822252</v>
      </c>
    </row>
    <row r="129" customFormat="false" ht="16.5" hidden="false" customHeight="false" outlineLevel="0" collapsed="false">
      <c r="H129" s="414" t="s">
        <v>2377</v>
      </c>
      <c r="I129" s="400" t="s">
        <v>2289</v>
      </c>
      <c r="J129" s="400" t="n">
        <v>-433482852</v>
      </c>
      <c r="L129" s="400"/>
    </row>
    <row r="130" customFormat="false" ht="16.5" hidden="false" customHeight="false" outlineLevel="0" collapsed="false">
      <c r="H130" s="414" t="s">
        <v>2378</v>
      </c>
      <c r="I130" s="400" t="s">
        <v>2294</v>
      </c>
      <c r="J130" s="400" t="n">
        <v>-2165556320</v>
      </c>
      <c r="L130" s="400" t="n">
        <f aca="false">++-J130</f>
        <v>2165556320</v>
      </c>
    </row>
    <row r="131" customFormat="false" ht="16.5" hidden="false" customHeight="false" outlineLevel="0" collapsed="false">
      <c r="H131" s="414" t="s">
        <v>2379</v>
      </c>
      <c r="I131" s="400" t="s">
        <v>2315</v>
      </c>
      <c r="J131" s="400" t="n">
        <v>348460250</v>
      </c>
      <c r="L131" s="400"/>
    </row>
    <row r="132" customFormat="false" ht="16.5" hidden="false" customHeight="false" outlineLevel="0" collapsed="false">
      <c r="I132" s="415" t="s">
        <v>1382</v>
      </c>
      <c r="J132" s="415" t="n">
        <f aca="false">SUM(J128:J131)</f>
        <v>-2138756670</v>
      </c>
    </row>
    <row r="133" customFormat="false" ht="16.5" hidden="false" customHeight="false" outlineLevel="0" collapsed="false">
      <c r="I133" s="400"/>
      <c r="J133" s="400"/>
    </row>
    <row r="137" customFormat="false" ht="15" hidden="false" customHeight="true" outlineLevel="0" collapsed="false">
      <c r="D137" s="414"/>
    </row>
    <row r="138" customFormat="false" ht="15.75" hidden="false" customHeight="true" outlineLevel="0" collapsed="false">
      <c r="D138" s="414"/>
      <c r="G138" s="416" t="s">
        <v>1396</v>
      </c>
      <c r="H138" s="417" t="s">
        <v>1397</v>
      </c>
      <c r="I138" s="417" t="s">
        <v>1398</v>
      </c>
      <c r="J138" s="417" t="s">
        <v>1399</v>
      </c>
      <c r="K138" s="417" t="s">
        <v>1400</v>
      </c>
      <c r="L138" s="417" t="s">
        <v>1401</v>
      </c>
      <c r="M138" s="417" t="s">
        <v>1402</v>
      </c>
    </row>
    <row r="139" customFormat="false" ht="15" hidden="false" customHeight="true" outlineLevel="0" collapsed="false">
      <c r="D139" s="414"/>
      <c r="H139" s="369"/>
      <c r="I139" s="369"/>
      <c r="J139" s="369"/>
      <c r="K139" s="369"/>
      <c r="L139" s="369"/>
    </row>
    <row r="140" customFormat="false" ht="15" hidden="false" customHeight="true" outlineLevel="0" collapsed="false">
      <c r="D140" s="414"/>
      <c r="E140" s="418" t="s">
        <v>447</v>
      </c>
      <c r="F140" s="419" t="s">
        <v>162</v>
      </c>
      <c r="G140" s="420" t="n">
        <v>86266003</v>
      </c>
      <c r="H140" s="421"/>
      <c r="I140" s="421" t="n">
        <v>4493279100</v>
      </c>
      <c r="J140" s="421" t="n">
        <f aca="false">++-I140</f>
        <v>-4493279100</v>
      </c>
      <c r="K140" s="421"/>
      <c r="L140" s="421"/>
      <c r="M140" s="422"/>
      <c r="N140" s="423" t="s">
        <v>2380</v>
      </c>
    </row>
    <row r="141" customFormat="false" ht="15" hidden="false" customHeight="true" outlineLevel="0" collapsed="false">
      <c r="D141" s="414"/>
      <c r="E141" s="424" t="s">
        <v>428</v>
      </c>
      <c r="F141" s="425" t="s">
        <v>428</v>
      </c>
      <c r="G141" s="426" t="n">
        <v>86000000</v>
      </c>
      <c r="H141" s="427" t="n">
        <v>4493279100</v>
      </c>
      <c r="I141" s="427"/>
      <c r="J141" s="427"/>
      <c r="K141" s="427"/>
      <c r="L141" s="427"/>
      <c r="M141" s="428" t="n">
        <v>4493279100</v>
      </c>
      <c r="N141" s="429" t="s">
        <v>2380</v>
      </c>
    </row>
    <row r="142" customFormat="false" ht="15" hidden="false" customHeight="true" outlineLevel="0" collapsed="false">
      <c r="D142" s="414"/>
      <c r="E142" s="430"/>
      <c r="F142" s="431"/>
      <c r="G142" s="432"/>
      <c r="H142" s="369"/>
      <c r="I142" s="369"/>
      <c r="J142" s="369"/>
      <c r="K142" s="369"/>
      <c r="L142" s="369"/>
      <c r="M142" s="433"/>
      <c r="N142" s="434"/>
    </row>
    <row r="143" customFormat="false" ht="15" hidden="false" customHeight="true" outlineLevel="0" collapsed="false">
      <c r="D143" s="414"/>
      <c r="E143" s="418" t="s">
        <v>447</v>
      </c>
      <c r="F143" s="419" t="s">
        <v>64</v>
      </c>
      <c r="G143" s="420" t="n">
        <v>86291000</v>
      </c>
      <c r="H143" s="421" t="n">
        <v>2433597536</v>
      </c>
      <c r="I143" s="421"/>
      <c r="J143" s="421" t="n">
        <f aca="false">++H143</f>
        <v>2433597536</v>
      </c>
      <c r="K143" s="421"/>
      <c r="L143" s="421"/>
      <c r="M143" s="422"/>
      <c r="N143" s="435" t="s">
        <v>2381</v>
      </c>
    </row>
    <row r="144" customFormat="false" ht="15" hidden="false" customHeight="true" outlineLevel="0" collapsed="false">
      <c r="D144" s="414"/>
      <c r="E144" s="436" t="s">
        <v>447</v>
      </c>
      <c r="F144" s="437" t="s">
        <v>160</v>
      </c>
      <c r="G144" s="438" t="n">
        <v>86291502</v>
      </c>
      <c r="H144" s="369" t="n">
        <v>1909466258</v>
      </c>
      <c r="I144" s="369"/>
      <c r="J144" s="369" t="n">
        <f aca="false">++H144</f>
        <v>1909466258</v>
      </c>
      <c r="K144" s="369"/>
      <c r="L144" s="369"/>
      <c r="M144" s="433"/>
      <c r="N144" s="439" t="s">
        <v>2381</v>
      </c>
    </row>
    <row r="145" customFormat="false" ht="15" hidden="false" customHeight="true" outlineLevel="0" collapsed="false">
      <c r="D145" s="414"/>
      <c r="E145" s="440" t="s">
        <v>173</v>
      </c>
      <c r="F145" s="437" t="s">
        <v>197</v>
      </c>
      <c r="G145" s="438" t="n">
        <v>86429307</v>
      </c>
      <c r="H145" s="369" t="n">
        <v>2203949374</v>
      </c>
      <c r="I145" s="369"/>
      <c r="J145" s="369"/>
      <c r="K145" s="369" t="n">
        <f aca="false">++H145</f>
        <v>2203949374</v>
      </c>
      <c r="L145" s="369"/>
      <c r="M145" s="433"/>
      <c r="N145" s="439" t="s">
        <v>2381</v>
      </c>
    </row>
    <row r="146" customFormat="false" ht="15" hidden="false" customHeight="true" outlineLevel="0" collapsed="false">
      <c r="D146" s="414"/>
      <c r="E146" s="424" t="s">
        <v>428</v>
      </c>
      <c r="F146" s="425" t="s">
        <v>428</v>
      </c>
      <c r="G146" s="426" t="n">
        <v>86000000</v>
      </c>
      <c r="H146" s="427"/>
      <c r="I146" s="427" t="n">
        <v>6547013168</v>
      </c>
      <c r="J146" s="427"/>
      <c r="K146" s="427"/>
      <c r="L146" s="427"/>
      <c r="M146" s="441" t="n">
        <f aca="false">++-I146</f>
        <v>-6547013168</v>
      </c>
      <c r="N146" s="442" t="s">
        <v>2381</v>
      </c>
    </row>
    <row r="147" customFormat="false" ht="15" hidden="false" customHeight="true" outlineLevel="0" collapsed="false">
      <c r="D147" s="414"/>
      <c r="H147" s="369"/>
      <c r="I147" s="369"/>
      <c r="J147" s="369"/>
      <c r="K147" s="369"/>
      <c r="L147" s="369"/>
    </row>
    <row r="148" customFormat="false" ht="15" hidden="false" customHeight="true" outlineLevel="0" collapsed="false">
      <c r="D148" s="414"/>
      <c r="H148" s="369"/>
      <c r="I148" s="369"/>
      <c r="J148" s="369"/>
      <c r="K148" s="369"/>
      <c r="L148" s="369"/>
    </row>
    <row r="149" customFormat="false" ht="15" hidden="false" customHeight="true" outlineLevel="0" collapsed="false">
      <c r="D149" s="414"/>
      <c r="E149" s="434"/>
      <c r="F149" s="443" t="s">
        <v>414</v>
      </c>
      <c r="G149" s="434" t="n">
        <v>86030002</v>
      </c>
      <c r="H149" s="369"/>
      <c r="I149" s="369" t="n">
        <v>2165556320</v>
      </c>
      <c r="J149" s="369"/>
      <c r="K149" s="369"/>
      <c r="L149" s="369"/>
      <c r="M149" s="433" t="n">
        <v>-2165556320</v>
      </c>
      <c r="N149" s="434" t="s">
        <v>2382</v>
      </c>
    </row>
    <row r="150" customFormat="false" ht="15" hidden="false" customHeight="true" outlineLevel="0" collapsed="false">
      <c r="D150" s="414"/>
      <c r="E150" s="434"/>
      <c r="F150" s="443" t="s">
        <v>428</v>
      </c>
      <c r="G150" s="434" t="n">
        <v>86000000</v>
      </c>
      <c r="H150" s="369" t="n">
        <v>2165556320</v>
      </c>
      <c r="I150" s="369"/>
      <c r="J150" s="369"/>
      <c r="K150" s="369"/>
      <c r="L150" s="369"/>
      <c r="M150" s="433" t="n">
        <v>2165556320</v>
      </c>
      <c r="N150" s="434" t="s">
        <v>2382</v>
      </c>
    </row>
    <row r="151" customFormat="false" ht="15" hidden="false" customHeight="true" outlineLevel="0" collapsed="false">
      <c r="D151" s="414"/>
      <c r="H151" s="369"/>
      <c r="I151" s="369"/>
      <c r="J151" s="369"/>
      <c r="K151" s="369"/>
      <c r="L151" s="369"/>
    </row>
    <row r="152" customFormat="false" ht="15" hidden="false" customHeight="true" outlineLevel="0" collapsed="false">
      <c r="C152" s="439"/>
      <c r="H152" s="369"/>
      <c r="I152" s="369"/>
      <c r="J152" s="369"/>
      <c r="K152" s="369"/>
      <c r="L152" s="369"/>
    </row>
    <row r="153" customFormat="false" ht="15" hidden="false" customHeight="true" outlineLevel="0" collapsed="false">
      <c r="C153" s="439"/>
      <c r="E153" s="444" t="s">
        <v>173</v>
      </c>
      <c r="F153" s="445" t="s">
        <v>191</v>
      </c>
      <c r="G153" s="445" t="n">
        <v>86424000</v>
      </c>
      <c r="H153" s="421" t="n">
        <v>433482852</v>
      </c>
      <c r="I153" s="421"/>
      <c r="J153" s="421"/>
      <c r="K153" s="421" t="n">
        <v>433482852</v>
      </c>
      <c r="L153" s="421"/>
      <c r="M153" s="445"/>
      <c r="N153" s="446" t="s">
        <v>2383</v>
      </c>
    </row>
    <row r="154" customFormat="false" ht="15" hidden="false" customHeight="true" outlineLevel="0" collapsed="false">
      <c r="E154" s="447" t="s">
        <v>862</v>
      </c>
      <c r="F154" s="448" t="s">
        <v>319</v>
      </c>
      <c r="G154" s="448" t="n">
        <v>86000300</v>
      </c>
      <c r="H154" s="427"/>
      <c r="I154" s="427" t="n">
        <v>433482852</v>
      </c>
      <c r="J154" s="427"/>
      <c r="K154" s="427"/>
      <c r="L154" s="427"/>
      <c r="M154" s="449" t="n">
        <v>-433482852</v>
      </c>
      <c r="N154" s="450" t="s">
        <v>2383</v>
      </c>
    </row>
    <row r="155" customFormat="false" ht="16.5" hidden="false" customHeight="false" outlineLevel="0" collapsed="false">
      <c r="H155" s="369"/>
      <c r="I155" s="369"/>
      <c r="J155" s="369"/>
      <c r="K155" s="369"/>
      <c r="L155" s="369"/>
    </row>
    <row r="156" customFormat="false" ht="16.5" hidden="false" customHeight="false" outlineLevel="0" collapsed="false">
      <c r="H156" s="369"/>
      <c r="I156" s="369"/>
      <c r="J156" s="369"/>
      <c r="K156" s="369"/>
      <c r="L156" s="369"/>
    </row>
    <row r="157" customFormat="false" ht="16.5" hidden="false" customHeight="false" outlineLevel="0" collapsed="false">
      <c r="E157" s="444"/>
      <c r="F157" s="445"/>
      <c r="G157" s="445"/>
      <c r="H157" s="421"/>
      <c r="I157" s="421"/>
      <c r="J157" s="421"/>
      <c r="K157" s="421"/>
      <c r="L157" s="421"/>
      <c r="M157" s="445"/>
      <c r="N157" s="445"/>
    </row>
    <row r="158" customFormat="false" ht="16.5" hidden="false" customHeight="false" outlineLevel="0" collapsed="false">
      <c r="E158" s="451" t="s">
        <v>173</v>
      </c>
      <c r="F158" s="370" t="s">
        <v>194</v>
      </c>
      <c r="G158" s="414" t="n">
        <v>86265300</v>
      </c>
      <c r="H158" s="369"/>
      <c r="I158" s="369" t="n">
        <v>348460250</v>
      </c>
      <c r="J158" s="369" t="n">
        <v>-348460250</v>
      </c>
      <c r="K158" s="369"/>
      <c r="L158" s="369"/>
      <c r="N158" s="370" t="s">
        <v>2384</v>
      </c>
    </row>
    <row r="159" customFormat="false" ht="15" hidden="false" customHeight="true" outlineLevel="0" collapsed="false">
      <c r="E159" s="447" t="s">
        <v>862</v>
      </c>
      <c r="F159" s="448" t="s">
        <v>344</v>
      </c>
      <c r="G159" s="448" t="n">
        <v>86290000</v>
      </c>
      <c r="H159" s="427" t="n">
        <v>348460250</v>
      </c>
      <c r="I159" s="427"/>
      <c r="J159" s="427"/>
      <c r="K159" s="427"/>
      <c r="L159" s="427"/>
      <c r="M159" s="449" t="n">
        <v>348460250</v>
      </c>
      <c r="N159" s="448" t="s">
        <v>2384</v>
      </c>
    </row>
    <row r="160" customFormat="false" ht="16.5" hidden="false" customHeight="false" outlineLevel="0" collapsed="false">
      <c r="H160" s="369"/>
      <c r="I160" s="369"/>
      <c r="J160" s="369"/>
      <c r="K160" s="369"/>
      <c r="L160" s="369"/>
    </row>
    <row r="161" customFormat="false" ht="16.5" hidden="false" customHeight="false" outlineLevel="0" collapsed="false">
      <c r="H161" s="369"/>
      <c r="I161" s="369"/>
      <c r="J161" s="369"/>
      <c r="K161" s="369"/>
      <c r="L161" s="369"/>
    </row>
    <row r="162" customFormat="false" ht="16.5" hidden="false" customHeight="false" outlineLevel="0" collapsed="false">
      <c r="H162" s="369"/>
      <c r="I162" s="369"/>
      <c r="J162" s="369"/>
      <c r="K162" s="369"/>
      <c r="L162" s="369"/>
    </row>
    <row r="164" customFormat="false" ht="16.5" hidden="false" customHeight="false" outlineLevel="0" collapsed="false">
      <c r="J164" s="389" t="n">
        <f aca="false">SUM(J140:J160)</f>
        <v>-498675556</v>
      </c>
      <c r="K164" s="389" t="n">
        <f aca="false">SUM(K140:K160)</f>
        <v>2637432226</v>
      </c>
      <c r="L164" s="389" t="n">
        <f aca="false">SUM(L140:L160)</f>
        <v>0</v>
      </c>
      <c r="M164" s="452" t="n">
        <f aca="false">SUM(M140:M160)</f>
        <v>-2138756670</v>
      </c>
    </row>
  </sheetData>
  <mergeCells count="10">
    <mergeCell ref="B3:J3"/>
    <mergeCell ref="B5:J5"/>
    <mergeCell ref="B6:J6"/>
    <mergeCell ref="I7:J7"/>
    <mergeCell ref="B8:D9"/>
    <mergeCell ref="E8:F9"/>
    <mergeCell ref="I8:J8"/>
    <mergeCell ref="K8:L9"/>
    <mergeCell ref="M8:N9"/>
    <mergeCell ref="I9:J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B1:AC118"/>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1" ySplit="81" topLeftCell="B82" activePane="bottomRight" state="frozen"/>
      <selection pane="topLeft" activeCell="A1" activeCellId="0" sqref="A1"/>
      <selection pane="topRight" activeCell="B1" activeCellId="0" sqref="B1"/>
      <selection pane="bottomLeft" activeCell="A82" activeCellId="0" sqref="A82"/>
      <selection pane="bottomRight" activeCell="G16" activeCellId="0" sqref="G16"/>
    </sheetView>
  </sheetViews>
  <sheetFormatPr defaultColWidth="8.5" defaultRowHeight="16.5" zeroHeight="false" outlineLevelRow="0" outlineLevelCol="0"/>
  <cols>
    <col collapsed="false" customWidth="true" hidden="false" outlineLevel="0" max="1" min="1" style="172" width="3.63"/>
    <col collapsed="false" customWidth="true" hidden="false" outlineLevel="0" max="2" min="2" style="334" width="5.25"/>
    <col collapsed="false" customWidth="true" hidden="false" outlineLevel="0" max="3" min="3" style="334" width="29"/>
    <col collapsed="false" customWidth="true" hidden="false" outlineLevel="0" max="4" min="4" style="172" width="18.37"/>
    <col collapsed="false" customWidth="true" hidden="false" outlineLevel="0" max="5" min="5" style="172" width="16"/>
    <col collapsed="false" customWidth="true" hidden="false" outlineLevel="0" max="6" min="6" style="172" width="15.13"/>
    <col collapsed="false" customWidth="true" hidden="false" outlineLevel="0" max="7" min="7" style="172" width="37"/>
    <col collapsed="false" customWidth="true" hidden="false" outlineLevel="0" max="8" min="8" style="334" width="3.5"/>
    <col collapsed="false" customWidth="true" hidden="false" outlineLevel="0" max="9" min="9" style="172" width="9.37"/>
    <col collapsed="false" customWidth="true" hidden="false" outlineLevel="0" max="10" min="10" style="172" width="13.87"/>
    <col collapsed="false" customWidth="true" hidden="false" outlineLevel="0" max="11" min="11" style="334" width="14.37"/>
    <col collapsed="false" customWidth="true" hidden="false" outlineLevel="0" max="12" min="12" style="172" width="15.5"/>
    <col collapsed="false" customWidth="true" hidden="false" outlineLevel="0" max="13" min="13" style="172" width="15"/>
    <col collapsed="false" customWidth="true" hidden="false" outlineLevel="0" max="14" min="14" style="172" width="15.5"/>
    <col collapsed="false" customWidth="true" hidden="false" outlineLevel="0" max="15" min="15" style="172" width="15.13"/>
    <col collapsed="false" customWidth="true" hidden="false" outlineLevel="0" max="16" min="16" style="172" width="16"/>
    <col collapsed="false" customWidth="true" hidden="false" outlineLevel="0" max="17" min="17" style="172" width="12.13"/>
    <col collapsed="false" customWidth="true" hidden="false" outlineLevel="0" max="18" min="18" style="172" width="18.5"/>
    <col collapsed="false" customWidth="true" hidden="false" outlineLevel="0" max="19" min="19" style="172" width="50.75"/>
    <col collapsed="false" customWidth="true" hidden="false" outlineLevel="0" max="20" min="20" style="172" width="11.5"/>
    <col collapsed="false" customWidth="false" hidden="false" outlineLevel="0" max="21" min="21" style="172" width="8.5"/>
    <col collapsed="false" customWidth="true" hidden="false" outlineLevel="0" max="22" min="22" style="172" width="3.63"/>
    <col collapsed="false" customWidth="true" hidden="false" outlineLevel="0" max="23" min="23" style="172" width="9.25"/>
    <col collapsed="false" customWidth="true" hidden="false" outlineLevel="0" max="24" min="24" style="172" width="27.37"/>
    <col collapsed="false" customWidth="true" hidden="false" outlineLevel="0" max="25" min="25" style="334" width="11.37"/>
    <col collapsed="false" customWidth="true" hidden="false" outlineLevel="0" max="27" min="27" style="334" width="12.13"/>
    <col collapsed="false" customWidth="true" hidden="false" outlineLevel="0" max="28" min="28" style="172" width="18.5"/>
    <col collapsed="false" customWidth="true" hidden="false" outlineLevel="0" max="29" min="29" style="172" width="16.5"/>
    <col collapsed="false" customWidth="true" hidden="false" outlineLevel="0" max="30" min="30" style="172" width="15.63"/>
  </cols>
  <sheetData>
    <row r="1" customFormat="false" ht="22.5" hidden="false" customHeight="true" outlineLevel="0" collapsed="false">
      <c r="P1" s="453"/>
      <c r="Q1" s="454" t="s">
        <v>2385</v>
      </c>
      <c r="R1" s="455"/>
      <c r="S1" s="453"/>
      <c r="AA1" s="454" t="s">
        <v>2385</v>
      </c>
      <c r="AB1" s="455"/>
    </row>
    <row r="2" customFormat="false" ht="22.5" hidden="false" customHeight="true" outlineLevel="0" collapsed="false">
      <c r="P2" s="453"/>
      <c r="Q2" s="456" t="s">
        <v>275</v>
      </c>
      <c r="R2" s="457" t="s">
        <v>2386</v>
      </c>
      <c r="S2" s="453"/>
      <c r="AA2" s="456" t="s">
        <v>275</v>
      </c>
      <c r="AB2" s="457" t="s">
        <v>2387</v>
      </c>
    </row>
    <row r="3" customFormat="false" ht="22.5" hidden="false" customHeight="true" outlineLevel="0" collapsed="false">
      <c r="B3" s="336" t="s">
        <v>2388</v>
      </c>
      <c r="C3" s="336"/>
      <c r="D3" s="336"/>
      <c r="E3" s="336"/>
      <c r="F3" s="336"/>
      <c r="G3" s="336"/>
      <c r="H3" s="336"/>
      <c r="I3" s="336"/>
      <c r="J3" s="336"/>
      <c r="K3" s="336"/>
      <c r="L3" s="336"/>
      <c r="M3" s="336"/>
      <c r="N3" s="336"/>
      <c r="O3" s="336"/>
      <c r="P3" s="453"/>
      <c r="Q3" s="458" t="s">
        <v>279</v>
      </c>
      <c r="R3" s="459" t="n">
        <f aca="false">N19*-1</f>
        <v>155744141506</v>
      </c>
      <c r="S3" s="460"/>
      <c r="W3" s="461" t="n">
        <v>64550000</v>
      </c>
      <c r="X3" s="462" t="s">
        <v>2389</v>
      </c>
      <c r="Y3" s="463" t="n">
        <f aca="false">VLOOKUP(W3,BSPL2026!B:Z,25,FALSE())</f>
        <v>0</v>
      </c>
      <c r="AA3" s="458" t="s">
        <v>279</v>
      </c>
      <c r="AB3" s="459" t="n">
        <v>160701424589</v>
      </c>
    </row>
    <row r="4" customFormat="false" ht="15" hidden="false" customHeight="true" outlineLevel="0" collapsed="false">
      <c r="N4" s="392"/>
      <c r="P4" s="453"/>
      <c r="Q4" s="458" t="s">
        <v>281</v>
      </c>
      <c r="R4" s="464" t="n">
        <f aca="false">+R5+R6</f>
        <v>423703487976</v>
      </c>
      <c r="S4" s="460"/>
      <c r="W4" s="461" t="n">
        <v>68231100</v>
      </c>
      <c r="X4" s="462" t="s">
        <v>2390</v>
      </c>
      <c r="Y4" s="463" t="n">
        <f aca="false">VLOOKUP(W4,BSPL2026!B:Z,25,FALSE())</f>
        <v>5349677</v>
      </c>
      <c r="AA4" s="458" t="s">
        <v>281</v>
      </c>
      <c r="AB4" s="464" t="n">
        <v>496634725832</v>
      </c>
    </row>
    <row r="5" customFormat="false" ht="16.5" hidden="false" customHeight="true" outlineLevel="0" collapsed="false">
      <c r="B5" s="465" t="s">
        <v>2391</v>
      </c>
      <c r="C5" s="465"/>
      <c r="D5" s="465"/>
      <c r="E5" s="465"/>
      <c r="F5" s="465"/>
      <c r="G5" s="465"/>
      <c r="H5" s="465"/>
      <c r="I5" s="465"/>
      <c r="J5" s="465"/>
      <c r="K5" s="465"/>
      <c r="L5" s="465"/>
      <c r="M5" s="465"/>
      <c r="N5" s="465"/>
      <c r="O5" s="465"/>
      <c r="P5" s="453"/>
      <c r="Q5" s="466" t="s">
        <v>283</v>
      </c>
      <c r="R5" s="467" t="n">
        <v>424753563203</v>
      </c>
      <c r="S5" s="453" t="s">
        <v>284</v>
      </c>
      <c r="U5" s="341" t="s">
        <v>2392</v>
      </c>
      <c r="W5" s="461" t="n">
        <v>68231300</v>
      </c>
      <c r="X5" s="462" t="s">
        <v>2389</v>
      </c>
      <c r="Y5" s="463" t="n">
        <f aca="false">VLOOKUP(W5,BSPL2026!B:Z,25,FALSE())</f>
        <v>27017806</v>
      </c>
      <c r="AA5" s="466" t="s">
        <v>283</v>
      </c>
      <c r="AB5" s="463" t="n">
        <v>500932927846</v>
      </c>
    </row>
    <row r="6" customFormat="false" ht="16.5" hidden="false" customHeight="true" outlineLevel="0" collapsed="false">
      <c r="B6" s="465" t="s">
        <v>2393</v>
      </c>
      <c r="C6" s="465"/>
      <c r="D6" s="465"/>
      <c r="E6" s="465"/>
      <c r="F6" s="465"/>
      <c r="G6" s="465"/>
      <c r="H6" s="465"/>
      <c r="I6" s="465"/>
      <c r="J6" s="465"/>
      <c r="K6" s="465"/>
      <c r="L6" s="465"/>
      <c r="M6" s="465"/>
      <c r="N6" s="465"/>
      <c r="O6" s="465"/>
      <c r="P6" s="453"/>
      <c r="Q6" s="466" t="s">
        <v>296</v>
      </c>
      <c r="R6" s="467" t="n">
        <f aca="false">++-532824837-517516755+266365</f>
        <v>-1050075227</v>
      </c>
      <c r="S6" s="468" t="s">
        <v>2394</v>
      </c>
      <c r="T6" s="352" t="s">
        <v>2395</v>
      </c>
      <c r="U6" s="341" t="s">
        <v>2392</v>
      </c>
      <c r="W6" s="461"/>
      <c r="X6" s="461"/>
      <c r="Y6" s="463" t="n">
        <f aca="false">Y3+Y4+Y5</f>
        <v>32367483</v>
      </c>
      <c r="AA6" s="466" t="s">
        <v>296</v>
      </c>
      <c r="AB6" s="463" t="n">
        <v>-4298202014</v>
      </c>
    </row>
    <row r="7" customFormat="false" ht="18" hidden="false" customHeight="true" outlineLevel="0" collapsed="false">
      <c r="E7" s="341" t="s">
        <v>2336</v>
      </c>
      <c r="G7" s="342" t="s">
        <v>1437</v>
      </c>
      <c r="H7" s="342"/>
      <c r="I7" s="342"/>
      <c r="J7" s="342" t="s">
        <v>2396</v>
      </c>
      <c r="K7" s="342"/>
      <c r="N7" s="392"/>
      <c r="P7" s="468"/>
      <c r="Q7" s="458" t="s">
        <v>290</v>
      </c>
      <c r="R7" s="464" t="n">
        <f aca="false">+R8+R9</f>
        <v>401804189961</v>
      </c>
      <c r="S7" s="468"/>
      <c r="AA7" s="458" t="s">
        <v>290</v>
      </c>
      <c r="AB7" s="464" t="n">
        <v>501592008939</v>
      </c>
    </row>
    <row r="8" customFormat="false" ht="16.5" hidden="false" customHeight="true" outlineLevel="0" collapsed="false">
      <c r="B8" s="343" t="s">
        <v>2338</v>
      </c>
      <c r="C8" s="343"/>
      <c r="D8" s="343"/>
      <c r="E8" s="469" t="s">
        <v>2397</v>
      </c>
      <c r="F8" s="469"/>
      <c r="G8" s="470" t="s">
        <v>2341</v>
      </c>
      <c r="H8" s="470"/>
      <c r="I8" s="470" t="s">
        <v>2340</v>
      </c>
      <c r="J8" s="347" t="s">
        <v>2341</v>
      </c>
      <c r="K8" s="347"/>
      <c r="L8" s="344" t="str">
        <f aca="false">E8</f>
        <v>제     37 (당)    기
Dec 2026</v>
      </c>
      <c r="M8" s="344"/>
      <c r="N8" s="471" t="s">
        <v>2398</v>
      </c>
      <c r="O8" s="471"/>
      <c r="P8" s="468"/>
      <c r="Q8" s="472" t="s">
        <v>293</v>
      </c>
      <c r="R8" s="473" t="n">
        <v>401771822478</v>
      </c>
      <c r="S8" s="453" t="s">
        <v>294</v>
      </c>
      <c r="T8" s="352" t="s">
        <v>2395</v>
      </c>
      <c r="U8" s="341" t="s">
        <v>2399</v>
      </c>
      <c r="AA8" s="472" t="s">
        <v>293</v>
      </c>
      <c r="AB8" s="474" t="n">
        <v>501294219546</v>
      </c>
      <c r="AC8" s="475"/>
    </row>
    <row r="9" customFormat="false" ht="16.5" hidden="false" customHeight="true" outlineLevel="0" collapsed="false">
      <c r="B9" s="343"/>
      <c r="C9" s="343"/>
      <c r="D9" s="343"/>
      <c r="E9" s="469"/>
      <c r="F9" s="469"/>
      <c r="G9" s="476" t="s">
        <v>2208</v>
      </c>
      <c r="H9" s="476"/>
      <c r="I9" s="476" t="s">
        <v>2342</v>
      </c>
      <c r="J9" s="350" t="s">
        <v>2343</v>
      </c>
      <c r="K9" s="350"/>
      <c r="L9" s="344"/>
      <c r="M9" s="344"/>
      <c r="N9" s="471"/>
      <c r="O9" s="471"/>
      <c r="P9" s="468"/>
      <c r="Q9" s="466" t="s">
        <v>296</v>
      </c>
      <c r="R9" s="467" t="n">
        <v>32367483</v>
      </c>
      <c r="S9" s="453" t="s">
        <v>297</v>
      </c>
      <c r="T9" s="352" t="s">
        <v>2395</v>
      </c>
      <c r="U9" s="341" t="s">
        <v>2399</v>
      </c>
      <c r="AA9" s="466" t="s">
        <v>296</v>
      </c>
      <c r="AB9" s="463" t="n">
        <v>297789393</v>
      </c>
    </row>
    <row r="10" customFormat="false" ht="16.5" hidden="false" customHeight="true" outlineLevel="0" collapsed="false">
      <c r="B10" s="477"/>
      <c r="C10" s="478"/>
      <c r="D10" s="478"/>
      <c r="E10" s="478"/>
      <c r="F10" s="478"/>
      <c r="G10" s="479"/>
      <c r="H10" s="347"/>
      <c r="I10" s="470"/>
      <c r="J10" s="480"/>
      <c r="K10" s="480"/>
      <c r="L10" s="479"/>
      <c r="M10" s="347"/>
      <c r="N10" s="477"/>
      <c r="O10" s="481"/>
      <c r="P10" s="468"/>
      <c r="Q10" s="458" t="s">
        <v>299</v>
      </c>
      <c r="R10" s="467" t="n">
        <f aca="false">R3+R4-R7</f>
        <v>177643439521</v>
      </c>
      <c r="S10" s="468"/>
      <c r="AA10" s="458" t="s">
        <v>299</v>
      </c>
      <c r="AB10" s="467" t="n">
        <v>155744141482</v>
      </c>
    </row>
    <row r="11" customFormat="false" ht="21" hidden="false" customHeight="true" outlineLevel="0" collapsed="false">
      <c r="B11" s="351" t="s">
        <v>2345</v>
      </c>
      <c r="C11" s="352" t="s">
        <v>264</v>
      </c>
      <c r="D11" s="353"/>
      <c r="E11" s="482"/>
      <c r="F11" s="482" t="n">
        <f aca="false">SUM(E12:E13)</f>
        <v>532321516164</v>
      </c>
      <c r="G11" s="483"/>
      <c r="H11" s="484"/>
      <c r="I11" s="485"/>
      <c r="J11" s="482"/>
      <c r="K11" s="482"/>
      <c r="L11" s="483"/>
      <c r="M11" s="484" t="n">
        <f aca="false">SUM(L12:L13)</f>
        <v>532321516164</v>
      </c>
      <c r="N11" s="483"/>
      <c r="O11" s="484" t="n">
        <v>645754460671</v>
      </c>
      <c r="P11" s="486" t="n">
        <f aca="false">++M11-O11</f>
        <v>-113432944507</v>
      </c>
      <c r="Q11" s="486"/>
      <c r="R11" s="487" t="n">
        <v>177643439521</v>
      </c>
      <c r="S11" s="468"/>
      <c r="AA11" s="468"/>
      <c r="AB11" s="487" t="n">
        <v>155744141506</v>
      </c>
    </row>
    <row r="12" customFormat="false" ht="21" hidden="false" customHeight="true" outlineLevel="0" collapsed="false">
      <c r="B12" s="359"/>
      <c r="C12" s="366" t="n">
        <v>1</v>
      </c>
      <c r="D12" s="367" t="s">
        <v>264</v>
      </c>
      <c r="E12" s="488" t="n">
        <f aca="false">-SUMIF(BSPL2026!$M:$M,'PL_DEC.2026'!$D12,BSPL2026!$Z:$Z)</f>
        <v>532321516164</v>
      </c>
      <c r="F12" s="488"/>
      <c r="G12" s="483"/>
      <c r="H12" s="489"/>
      <c r="I12" s="490"/>
      <c r="J12" s="488"/>
      <c r="K12" s="488"/>
      <c r="L12" s="491" t="n">
        <f aca="false">+E12-G12</f>
        <v>532321516164</v>
      </c>
      <c r="M12" s="489"/>
      <c r="N12" s="491" t="n">
        <v>645754460671</v>
      </c>
      <c r="O12" s="489"/>
      <c r="P12" s="486" t="n">
        <f aca="false">L12-N12</f>
        <v>-113432944507</v>
      </c>
      <c r="Q12" s="392"/>
      <c r="R12" s="392" t="n">
        <f aca="false">R10-R11</f>
        <v>0</v>
      </c>
      <c r="S12" s="392"/>
      <c r="T12" s="392"/>
      <c r="AA12" s="392"/>
      <c r="AB12" s="392" t="n">
        <v>-24</v>
      </c>
    </row>
    <row r="13" customFormat="false" ht="21" hidden="false" customHeight="true" outlineLevel="0" collapsed="false">
      <c r="B13" s="359"/>
      <c r="C13" s="366" t="n">
        <v>2</v>
      </c>
      <c r="D13" s="367" t="s">
        <v>266</v>
      </c>
      <c r="E13" s="488" t="n">
        <f aca="false">-SUMIF(BSPL2026!$M:$M,'PL_DEC.2026'!$D13,BSPL2026!$Z:$Z)</f>
        <v>-0</v>
      </c>
      <c r="F13" s="488"/>
      <c r="G13" s="491"/>
      <c r="H13" s="489"/>
      <c r="I13" s="490"/>
      <c r="J13" s="488"/>
      <c r="K13" s="488"/>
      <c r="L13" s="491" t="n">
        <f aca="false">+E13-G13</f>
        <v>-0</v>
      </c>
      <c r="M13" s="489"/>
      <c r="N13" s="491" t="n">
        <v>0</v>
      </c>
      <c r="O13" s="489"/>
      <c r="P13" s="486" t="n">
        <f aca="false">L13-N13</f>
        <v>-0</v>
      </c>
      <c r="Q13" s="392"/>
      <c r="R13" s="492" t="n">
        <v>517516755.181335</v>
      </c>
      <c r="S13" s="492" t="s">
        <v>2400</v>
      </c>
      <c r="T13" s="492"/>
      <c r="U13" s="493"/>
    </row>
    <row r="14" customFormat="false" ht="21" hidden="false" customHeight="true" outlineLevel="0" collapsed="false">
      <c r="B14" s="351" t="s">
        <v>2350</v>
      </c>
      <c r="C14" s="352" t="s">
        <v>824</v>
      </c>
      <c r="D14" s="353"/>
      <c r="E14" s="482"/>
      <c r="F14" s="482" t="n">
        <f aca="false">SUM(E15:E20)</f>
        <v>401363779478</v>
      </c>
      <c r="G14" s="483"/>
      <c r="H14" s="484"/>
      <c r="I14" s="485"/>
      <c r="J14" s="482"/>
      <c r="K14" s="482"/>
      <c r="L14" s="483"/>
      <c r="M14" s="484" t="n">
        <f aca="false">F14+G14+J14+1</f>
        <v>401363779479</v>
      </c>
      <c r="N14" s="483"/>
      <c r="O14" s="484" t="n">
        <v>501702262547</v>
      </c>
      <c r="P14" s="486" t="n">
        <f aca="false">M14-O14</f>
        <v>-100338483068</v>
      </c>
      <c r="Q14" s="392"/>
      <c r="R14" s="392"/>
      <c r="S14" s="392"/>
      <c r="T14" s="392"/>
    </row>
    <row r="15" customFormat="false" ht="21" hidden="false" customHeight="true" outlineLevel="0" collapsed="false">
      <c r="B15" s="359"/>
      <c r="C15" s="366" t="n">
        <v>1</v>
      </c>
      <c r="D15" s="367" t="s">
        <v>269</v>
      </c>
      <c r="E15" s="488" t="n">
        <f aca="false">SUMIF(BSPL2026!$M:$M,'PL_DEC.2026'!$D15,BSPL2026!$Z:$Z)</f>
        <v>401363779478</v>
      </c>
      <c r="F15" s="488"/>
      <c r="G15" s="483"/>
      <c r="H15" s="484"/>
      <c r="I15" s="485"/>
      <c r="J15" s="482"/>
      <c r="K15" s="482"/>
      <c r="L15" s="494" t="n">
        <f aca="false">SUM(L16:L20)</f>
        <v>401771822503</v>
      </c>
      <c r="M15" s="495"/>
      <c r="N15" s="494" t="n">
        <v>501702262547</v>
      </c>
      <c r="O15" s="489"/>
      <c r="P15" s="486" t="n">
        <f aca="false">++L15-N15</f>
        <v>-99930440044</v>
      </c>
      <c r="Q15" s="392"/>
      <c r="R15" s="496" t="s">
        <v>2401</v>
      </c>
      <c r="S15" s="392"/>
      <c r="T15" s="392"/>
    </row>
    <row r="16" customFormat="false" ht="21" hidden="false" customHeight="true" outlineLevel="0" collapsed="false">
      <c r="B16" s="359"/>
      <c r="C16" s="366"/>
      <c r="D16" s="367" t="s">
        <v>272</v>
      </c>
      <c r="E16" s="488" t="n">
        <f aca="false">SUMIF(BSPL2026!$M:$M,'PL_DEC.2026'!$D16,BSPL2026!$Z:$Z)</f>
        <v>0</v>
      </c>
      <c r="F16" s="488"/>
      <c r="G16" s="491"/>
      <c r="H16" s="489"/>
      <c r="I16" s="490"/>
      <c r="J16" s="488"/>
      <c r="K16" s="488"/>
      <c r="L16" s="491" t="n">
        <f aca="false">R3</f>
        <v>155744141506</v>
      </c>
      <c r="M16" s="489"/>
      <c r="N16" s="491" t="n">
        <v>160701424589</v>
      </c>
      <c r="O16" s="489"/>
      <c r="P16" s="486" t="n">
        <f aca="false">L16-N16</f>
        <v>-4957283083</v>
      </c>
      <c r="Q16" s="392"/>
      <c r="R16" s="392" t="n">
        <v>178160956275.86</v>
      </c>
      <c r="S16" s="392" t="s">
        <v>2402</v>
      </c>
      <c r="T16" s="392"/>
    </row>
    <row r="17" customFormat="false" ht="21" hidden="false" customHeight="true" outlineLevel="0" collapsed="false">
      <c r="B17" s="359"/>
      <c r="C17" s="366"/>
      <c r="D17" s="367" t="s">
        <v>277</v>
      </c>
      <c r="E17" s="488" t="n">
        <f aca="false">SUMIF(BSPL2026!$M:$M,'PL_DEC.2026'!$D17,BSPL2026!$Z:$Z)</f>
        <v>0</v>
      </c>
      <c r="F17" s="488"/>
      <c r="G17" s="483"/>
      <c r="H17" s="489"/>
      <c r="I17" s="490"/>
      <c r="J17" s="488"/>
      <c r="K17" s="488"/>
      <c r="L17" s="491" t="n">
        <f aca="false">R4+J14+25</f>
        <v>423703488001</v>
      </c>
      <c r="M17" s="489"/>
      <c r="N17" s="491" t="n">
        <v>497042768857</v>
      </c>
      <c r="O17" s="489"/>
      <c r="P17" s="486" t="n">
        <f aca="false">L17-N17</f>
        <v>-73339280856</v>
      </c>
      <c r="Q17" s="392"/>
      <c r="R17" s="392" t="n">
        <v>177643439520.679</v>
      </c>
      <c r="S17" s="392" t="s">
        <v>2403</v>
      </c>
      <c r="T17" s="392"/>
    </row>
    <row r="18" customFormat="false" ht="21" hidden="false" customHeight="true" outlineLevel="0" collapsed="false">
      <c r="B18" s="359"/>
      <c r="C18" s="366"/>
      <c r="D18" s="497" t="s">
        <v>288</v>
      </c>
      <c r="E18" s="488" t="n">
        <f aca="false">SUMIF(BSPL2026!$M:$M,'PL_DEC.2026'!$D18,BSPL2026!$Z:$Z)</f>
        <v>0</v>
      </c>
      <c r="F18" s="488"/>
      <c r="G18" s="483"/>
      <c r="H18" s="489"/>
      <c r="I18" s="490"/>
      <c r="J18" s="488"/>
      <c r="K18" s="488"/>
      <c r="L18" s="491" t="n">
        <f aca="false">-R9-G18</f>
        <v>-32367483</v>
      </c>
      <c r="M18" s="489"/>
      <c r="N18" s="491" t="n">
        <v>-297789393</v>
      </c>
      <c r="O18" s="489"/>
      <c r="P18" s="486" t="n">
        <f aca="false">L18-N18</f>
        <v>265421910</v>
      </c>
      <c r="Q18" s="392"/>
      <c r="R18" s="498" t="n">
        <f aca="false">++R16-R17</f>
        <v>517516755.181</v>
      </c>
      <c r="S18" s="498" t="s">
        <v>1382</v>
      </c>
      <c r="T18" s="392"/>
    </row>
    <row r="19" customFormat="false" ht="21" hidden="false" customHeight="true" outlineLevel="0" collapsed="false">
      <c r="B19" s="359"/>
      <c r="C19" s="366"/>
      <c r="D19" s="367" t="s">
        <v>291</v>
      </c>
      <c r="E19" s="488" t="n">
        <f aca="false">SUMIF(BSPL2026!$M:$M,'PL_DEC.2026'!$D19,BSPL2026!$Z:$Z)</f>
        <v>0</v>
      </c>
      <c r="F19" s="488"/>
      <c r="G19" s="491"/>
      <c r="H19" s="489"/>
      <c r="I19" s="490"/>
      <c r="J19" s="488"/>
      <c r="K19" s="488"/>
      <c r="L19" s="491" t="n">
        <f aca="false">-'BS_DEC 2026'!L28</f>
        <v>-177643439521</v>
      </c>
      <c r="M19" s="489"/>
      <c r="N19" s="491" t="n">
        <v>-155744141506</v>
      </c>
      <c r="O19" s="489"/>
      <c r="P19" s="486" t="n">
        <f aca="false">L19-N19</f>
        <v>-21899298015</v>
      </c>
      <c r="Q19" s="392"/>
      <c r="R19" s="392"/>
      <c r="S19" s="392"/>
      <c r="T19" s="392"/>
    </row>
    <row r="20" customFormat="false" ht="21" hidden="false" customHeight="true" outlineLevel="0" collapsed="false">
      <c r="B20" s="351" t="s">
        <v>2404</v>
      </c>
      <c r="C20" s="352" t="s">
        <v>305</v>
      </c>
      <c r="D20" s="353"/>
      <c r="E20" s="488" t="n">
        <f aca="false">SUMIF(BSPL2026!$M:$M,'PL_DEC.2026'!$D20,BSPL2026!$Z:$Z)</f>
        <v>0</v>
      </c>
      <c r="F20" s="482"/>
      <c r="G20" s="483"/>
      <c r="H20" s="484"/>
      <c r="I20" s="485"/>
      <c r="J20" s="482"/>
      <c r="K20" s="482"/>
      <c r="L20" s="491" t="n">
        <f aca="false">+E20+G20</f>
        <v>0</v>
      </c>
      <c r="M20" s="484"/>
      <c r="N20" s="491" t="n">
        <v>0</v>
      </c>
      <c r="O20" s="484"/>
      <c r="P20" s="486" t="n">
        <f aca="false">L20-N20</f>
        <v>0</v>
      </c>
      <c r="Q20" s="392"/>
      <c r="R20" s="392"/>
      <c r="S20" s="392"/>
      <c r="T20" s="392"/>
    </row>
    <row r="21" customFormat="false" ht="21" hidden="false" customHeight="true" outlineLevel="0" collapsed="false">
      <c r="B21" s="351" t="s">
        <v>2405</v>
      </c>
      <c r="C21" s="352" t="s">
        <v>2406</v>
      </c>
      <c r="D21" s="353"/>
      <c r="E21" s="482"/>
      <c r="F21" s="482" t="n">
        <f aca="false">F11-F14</f>
        <v>130957736686</v>
      </c>
      <c r="G21" s="483"/>
      <c r="H21" s="484"/>
      <c r="I21" s="485"/>
      <c r="J21" s="482"/>
      <c r="K21" s="482"/>
      <c r="L21" s="491"/>
      <c r="M21" s="484" t="n">
        <f aca="false">M11-M14</f>
        <v>130957736685</v>
      </c>
      <c r="N21" s="483"/>
      <c r="O21" s="484" t="n">
        <v>144052198124</v>
      </c>
      <c r="P21" s="486" t="n">
        <f aca="false">M21-O21</f>
        <v>-13094461439</v>
      </c>
      <c r="Q21" s="392"/>
      <c r="R21" s="392"/>
      <c r="S21" s="392"/>
      <c r="T21" s="392"/>
    </row>
    <row r="22" customFormat="false" ht="21" hidden="false" customHeight="true" outlineLevel="0" collapsed="false">
      <c r="B22" s="351" t="s">
        <v>2405</v>
      </c>
      <c r="C22" s="352" t="s">
        <v>2407</v>
      </c>
      <c r="D22" s="353"/>
      <c r="E22" s="482"/>
      <c r="F22" s="482" t="n">
        <f aca="false">SUM(E24:E63)</f>
        <v>90107200362</v>
      </c>
      <c r="G22" s="483"/>
      <c r="H22" s="484"/>
      <c r="I22" s="485"/>
      <c r="J22" s="482"/>
      <c r="K22" s="482"/>
      <c r="L22" s="491"/>
      <c r="M22" s="484" t="n">
        <f aca="false">SUM(L24:L63)</f>
        <v>69362864046</v>
      </c>
      <c r="N22" s="483"/>
      <c r="O22" s="484" t="n">
        <v>114570413852</v>
      </c>
      <c r="P22" s="486" t="n">
        <f aca="false">M22-O22</f>
        <v>-45207549806</v>
      </c>
      <c r="Q22" s="392"/>
      <c r="R22" s="392"/>
      <c r="S22" s="392"/>
      <c r="T22" s="392"/>
    </row>
    <row r="23" customFormat="false" ht="21" hidden="false" customHeight="true" outlineLevel="0" collapsed="false">
      <c r="B23" s="499" t="s">
        <v>2408</v>
      </c>
      <c r="C23" s="352" t="s">
        <v>2409</v>
      </c>
      <c r="E23" s="482"/>
      <c r="F23" s="482" t="n">
        <f aca="false">SUM(E24:E28)</f>
        <v>15965818075</v>
      </c>
      <c r="G23" s="483"/>
      <c r="H23" s="484"/>
      <c r="I23" s="485"/>
      <c r="J23" s="482"/>
      <c r="K23" s="482"/>
      <c r="L23" s="491"/>
      <c r="M23" s="484"/>
      <c r="N23" s="483"/>
      <c r="O23" s="484"/>
      <c r="P23" s="486" t="n">
        <f aca="false">L23-N23</f>
        <v>0</v>
      </c>
      <c r="Q23" s="392"/>
      <c r="R23" s="392"/>
      <c r="S23" s="392"/>
      <c r="T23" s="392"/>
    </row>
    <row r="24" customFormat="false" ht="21" hidden="false" customHeight="true" outlineLevel="0" collapsed="false">
      <c r="B24" s="359"/>
      <c r="C24" s="366" t="n">
        <v>1</v>
      </c>
      <c r="D24" s="367" t="s">
        <v>309</v>
      </c>
      <c r="E24" s="488" t="n">
        <f aca="false">SUMIF(BSPL2026!$M:$M,'PL_DEC.2026'!$D24,BSPL2026!$Z:$Z)</f>
        <v>3354728043</v>
      </c>
      <c r="F24" s="488"/>
      <c r="G24" s="491"/>
      <c r="H24" s="489"/>
      <c r="I24" s="490"/>
      <c r="J24" s="488"/>
      <c r="K24" s="488"/>
      <c r="L24" s="491" t="n">
        <f aca="false">+E24+G24</f>
        <v>3354728043</v>
      </c>
      <c r="M24" s="489"/>
      <c r="N24" s="491" t="n">
        <v>4150097232</v>
      </c>
      <c r="O24" s="489"/>
      <c r="P24" s="486" t="n">
        <f aca="false">L24-N24</f>
        <v>-795369189</v>
      </c>
      <c r="Q24" s="392"/>
      <c r="R24" s="392"/>
      <c r="S24" s="392"/>
      <c r="T24" s="392"/>
      <c r="U24" s="341"/>
      <c r="V24" s="341"/>
      <c r="W24" s="341"/>
      <c r="X24" s="341"/>
    </row>
    <row r="25" customFormat="false" ht="21" hidden="false" customHeight="true" outlineLevel="0" collapsed="false">
      <c r="B25" s="359"/>
      <c r="C25" s="366" t="n">
        <v>2</v>
      </c>
      <c r="D25" s="367" t="s">
        <v>311</v>
      </c>
      <c r="E25" s="488" t="n">
        <f aca="false">SUMIF(BSPL2026!$M:$M,'PL_DEC.2026'!$D25,BSPL2026!$Z:$Z)</f>
        <v>0</v>
      </c>
      <c r="F25" s="488"/>
      <c r="G25" s="483"/>
      <c r="H25" s="484"/>
      <c r="I25" s="490"/>
      <c r="J25" s="488"/>
      <c r="K25" s="488"/>
      <c r="L25" s="491" t="n">
        <f aca="false">+E25+G25</f>
        <v>0</v>
      </c>
      <c r="M25" s="489"/>
      <c r="N25" s="491" t="n">
        <v>0</v>
      </c>
      <c r="O25" s="489"/>
      <c r="P25" s="486" t="n">
        <f aca="false">L25-N25</f>
        <v>0</v>
      </c>
      <c r="Q25" s="392"/>
      <c r="R25" s="392"/>
      <c r="S25" s="392"/>
      <c r="T25" s="392"/>
      <c r="U25" s="341"/>
      <c r="V25" s="341"/>
      <c r="W25" s="341"/>
      <c r="X25" s="341"/>
    </row>
    <row r="26" customFormat="false" ht="21" hidden="false" customHeight="true" outlineLevel="0" collapsed="false">
      <c r="B26" s="359"/>
      <c r="C26" s="366" t="n">
        <v>3</v>
      </c>
      <c r="D26" s="367" t="s">
        <v>312</v>
      </c>
      <c r="E26" s="488" t="n">
        <f aca="false">SUMIF(BSPL2026!$M:$M,'PL_DEC.2026'!$D26,BSPL2026!$Z:$Z)</f>
        <v>1641883650</v>
      </c>
      <c r="F26" s="488"/>
      <c r="G26" s="491"/>
      <c r="H26" s="489"/>
      <c r="I26" s="490"/>
      <c r="J26" s="488"/>
      <c r="K26" s="488"/>
      <c r="L26" s="491" t="n">
        <f aca="false">+E26+H26</f>
        <v>1641883650</v>
      </c>
      <c r="M26" s="489"/>
      <c r="N26" s="491" t="n">
        <v>2701698214</v>
      </c>
      <c r="O26" s="489"/>
      <c r="P26" s="486" t="n">
        <f aca="false">L26-N26</f>
        <v>-1059814564</v>
      </c>
      <c r="Q26" s="392"/>
      <c r="R26" s="392"/>
      <c r="S26" s="392"/>
      <c r="T26" s="392"/>
      <c r="U26" s="341"/>
      <c r="V26" s="341"/>
      <c r="W26" s="341"/>
      <c r="X26" s="341"/>
    </row>
    <row r="27" customFormat="false" ht="21" hidden="false" customHeight="true" outlineLevel="0" collapsed="false">
      <c r="B27" s="359"/>
      <c r="C27" s="366" t="n">
        <v>4</v>
      </c>
      <c r="D27" s="367" t="s">
        <v>314</v>
      </c>
      <c r="E27" s="488" t="n">
        <f aca="false">SUMIF(BSPL2026!$M:$M,'PL_DEC.2026'!$D27,BSPL2026!$Z:$Z)</f>
        <v>0</v>
      </c>
      <c r="F27" s="488"/>
      <c r="G27" s="483"/>
      <c r="H27" s="484"/>
      <c r="I27" s="490"/>
      <c r="J27" s="488"/>
      <c r="K27" s="488"/>
      <c r="L27" s="491" t="n">
        <f aca="false">+E27+G27</f>
        <v>0</v>
      </c>
      <c r="M27" s="489"/>
      <c r="N27" s="491" t="n">
        <v>0</v>
      </c>
      <c r="O27" s="489"/>
      <c r="P27" s="486" t="n">
        <f aca="false">L27-N27</f>
        <v>0</v>
      </c>
      <c r="Q27" s="392"/>
      <c r="R27" s="392"/>
      <c r="S27" s="392"/>
      <c r="T27" s="392"/>
      <c r="U27" s="341"/>
      <c r="V27" s="341"/>
      <c r="W27" s="341"/>
      <c r="X27" s="341"/>
    </row>
    <row r="28" customFormat="false" ht="21" hidden="false" customHeight="true" outlineLevel="0" collapsed="false">
      <c r="B28" s="359"/>
      <c r="C28" s="366" t="n">
        <v>5</v>
      </c>
      <c r="D28" s="367" t="s">
        <v>315</v>
      </c>
      <c r="E28" s="488" t="n">
        <f aca="false">SUMIF(BSPL2026!$M:$M,'PL_DEC.2026'!$D28,BSPL2026!$Z:$Z)</f>
        <v>10969206382</v>
      </c>
      <c r="F28" s="488"/>
      <c r="G28" s="491"/>
      <c r="H28" s="489"/>
      <c r="I28" s="490"/>
      <c r="J28" s="488"/>
      <c r="K28" s="488" t="n">
        <f aca="false">VLOOKUP(D28,'statutory adj_2026 조정분개'!$J$12:$P$26,7,FALSE())</f>
        <v>-7481129</v>
      </c>
      <c r="L28" s="491" t="n">
        <f aca="false">+E28+G28+K28</f>
        <v>10961725253</v>
      </c>
      <c r="M28" s="489"/>
      <c r="N28" s="491" t="n">
        <v>17485003789</v>
      </c>
      <c r="O28" s="489"/>
      <c r="P28" s="486" t="n">
        <f aca="false">L28-N28</f>
        <v>-6523278536</v>
      </c>
      <c r="Q28" s="392"/>
      <c r="R28" s="392"/>
      <c r="S28" s="392"/>
      <c r="T28" s="392"/>
      <c r="U28" s="341"/>
      <c r="V28" s="341"/>
      <c r="W28" s="341"/>
      <c r="X28" s="341"/>
    </row>
    <row r="29" customFormat="false" ht="21" hidden="false" customHeight="true" outlineLevel="0" collapsed="false">
      <c r="B29" s="500" t="s">
        <v>2410</v>
      </c>
      <c r="C29" s="501" t="s">
        <v>2411</v>
      </c>
      <c r="D29" s="367"/>
      <c r="E29" s="488"/>
      <c r="F29" s="502" t="n">
        <f aca="false">SUM(E30:E36)</f>
        <v>34547108797</v>
      </c>
      <c r="G29" s="483"/>
      <c r="H29" s="484"/>
      <c r="I29" s="490"/>
      <c r="J29" s="488"/>
      <c r="K29" s="488"/>
      <c r="L29" s="491"/>
      <c r="M29" s="495" t="n">
        <f aca="false">SUM(L30:L36)</f>
        <v>31494645340</v>
      </c>
      <c r="N29" s="491"/>
      <c r="O29" s="495" t="n">
        <v>59889099005</v>
      </c>
      <c r="P29" s="486" t="n">
        <f aca="false">M29-O29</f>
        <v>-28394453665</v>
      </c>
      <c r="Q29" s="392"/>
      <c r="R29" s="392"/>
      <c r="S29" s="392"/>
      <c r="T29" s="392"/>
      <c r="U29" s="341"/>
      <c r="V29" s="341"/>
      <c r="W29" s="341"/>
      <c r="X29" s="341"/>
    </row>
    <row r="30" customFormat="false" ht="21" hidden="false" customHeight="true" outlineLevel="0" collapsed="false">
      <c r="B30" s="359"/>
      <c r="C30" s="366" t="n">
        <v>6</v>
      </c>
      <c r="D30" s="367" t="s">
        <v>318</v>
      </c>
      <c r="E30" s="488" t="n">
        <f aca="false">SUMIF(BSPL2026!$M:$M,'PL_DEC.2026'!$D30,BSPL2026!$Z:$Z)</f>
        <v>0</v>
      </c>
      <c r="F30" s="488"/>
      <c r="G30" s="491"/>
      <c r="H30" s="489"/>
      <c r="I30" s="490"/>
      <c r="J30" s="488"/>
      <c r="K30" s="488"/>
      <c r="L30" s="491" t="n">
        <f aca="false">+E30+G30</f>
        <v>0</v>
      </c>
      <c r="M30" s="489"/>
      <c r="N30" s="491" t="n">
        <v>0</v>
      </c>
      <c r="O30" s="489"/>
      <c r="P30" s="486" t="n">
        <f aca="false">L30-N30</f>
        <v>0</v>
      </c>
      <c r="Q30" s="392"/>
      <c r="R30" s="392"/>
      <c r="S30" s="392"/>
      <c r="T30" s="392"/>
      <c r="U30" s="341"/>
      <c r="V30" s="341"/>
      <c r="W30" s="341"/>
      <c r="X30" s="341"/>
    </row>
    <row r="31" customFormat="false" ht="21" hidden="false" customHeight="true" outlineLevel="0" collapsed="false">
      <c r="B31" s="359"/>
      <c r="C31" s="366" t="n">
        <v>7</v>
      </c>
      <c r="D31" s="367" t="s">
        <v>319</v>
      </c>
      <c r="E31" s="488" t="n">
        <f aca="false">SUMIF(BSPL2026!$M:$M,'PL_DEC.2026'!$D31,BSPL2026!$Z:$Z)</f>
        <v>27029848823</v>
      </c>
      <c r="F31" s="488"/>
      <c r="G31" s="483"/>
      <c r="H31" s="484"/>
      <c r="I31" s="490"/>
      <c r="J31" s="488"/>
      <c r="K31" s="488" t="n">
        <f aca="false">++'statutory adj_2026 조정분개'!P12</f>
        <v>-2369648232</v>
      </c>
      <c r="L31" s="503" t="n">
        <f aca="false">+E31+G31+K31-I31</f>
        <v>24660200591</v>
      </c>
      <c r="M31" s="489"/>
      <c r="N31" s="491" t="n">
        <v>51357142027</v>
      </c>
      <c r="O31" s="489"/>
      <c r="P31" s="486" t="n">
        <f aca="false">L31-N31</f>
        <v>-26696941436</v>
      </c>
      <c r="Q31" s="392"/>
      <c r="R31" s="392"/>
      <c r="S31" s="392"/>
      <c r="T31" s="392"/>
      <c r="U31" s="341"/>
      <c r="V31" s="341"/>
      <c r="W31" s="341"/>
      <c r="X31" s="341"/>
    </row>
    <row r="32" customFormat="false" ht="21" hidden="false" customHeight="true" outlineLevel="0" collapsed="false">
      <c r="B32" s="359"/>
      <c r="C32" s="366" t="n">
        <v>8</v>
      </c>
      <c r="D32" s="367" t="s">
        <v>321</v>
      </c>
      <c r="E32" s="488" t="n">
        <f aca="false">SUMIF(BSPL2026!$M:$M,'PL_DEC.2026'!$D32,BSPL2026!$Z:$Z)</f>
        <v>2514418581</v>
      </c>
      <c r="F32" s="488"/>
      <c r="G32" s="491"/>
      <c r="H32" s="489"/>
      <c r="I32" s="490"/>
      <c r="J32" s="488"/>
      <c r="K32" s="488"/>
      <c r="L32" s="491" t="n">
        <f aca="false">+E32+G32+K32</f>
        <v>2514418581</v>
      </c>
      <c r="M32" s="489"/>
      <c r="N32" s="491" t="n">
        <v>3105838674</v>
      </c>
      <c r="O32" s="489"/>
      <c r="P32" s="486" t="n">
        <f aca="false">L32-N32</f>
        <v>-591420093</v>
      </c>
      <c r="Q32" s="392"/>
      <c r="R32" s="392"/>
      <c r="S32" s="392"/>
      <c r="T32" s="392"/>
      <c r="U32" s="341"/>
      <c r="V32" s="341"/>
      <c r="W32" s="341"/>
      <c r="X32" s="341"/>
    </row>
    <row r="33" customFormat="false" ht="21" hidden="false" customHeight="true" outlineLevel="0" collapsed="false">
      <c r="B33" s="359"/>
      <c r="C33" s="366" t="n">
        <v>9</v>
      </c>
      <c r="D33" s="367" t="s">
        <v>323</v>
      </c>
      <c r="E33" s="488" t="n">
        <f aca="false">SUMIF(BSPL2026!$M:$M,'PL_DEC.2026'!$D33,BSPL2026!$Z:$Z)</f>
        <v>342470945</v>
      </c>
      <c r="F33" s="488"/>
      <c r="G33" s="491"/>
      <c r="H33" s="489"/>
      <c r="I33" s="490"/>
      <c r="J33" s="488"/>
      <c r="K33" s="488" t="n">
        <f aca="false">VLOOKUP(D33,'statutory adj_2026 조정분개'!$J$12:$P$26,7,FALSE())</f>
        <v>-333409964</v>
      </c>
      <c r="L33" s="491" t="n">
        <f aca="false">+E33+G33+K33</f>
        <v>9060981</v>
      </c>
      <c r="M33" s="489"/>
      <c r="N33" s="491" t="n">
        <v>238756591</v>
      </c>
      <c r="O33" s="489"/>
      <c r="P33" s="486" t="n">
        <f aca="false">L33-N33</f>
        <v>-229695610</v>
      </c>
      <c r="Q33" s="392"/>
      <c r="R33" s="392"/>
      <c r="S33" s="392"/>
      <c r="T33" s="392"/>
      <c r="U33" s="341"/>
      <c r="V33" s="341"/>
      <c r="W33" s="341"/>
      <c r="X33" s="341"/>
    </row>
    <row r="34" customFormat="false" ht="21" hidden="false" customHeight="true" outlineLevel="0" collapsed="false">
      <c r="B34" s="359"/>
      <c r="C34" s="366" t="n">
        <v>10</v>
      </c>
      <c r="D34" s="367" t="s">
        <v>325</v>
      </c>
      <c r="E34" s="488" t="n">
        <f aca="false">SUMIF(BSPL2026!$M:$M,'PL_DEC.2026'!$D34,BSPL2026!$Z:$Z)</f>
        <v>4660370448</v>
      </c>
      <c r="F34" s="488"/>
      <c r="G34" s="491"/>
      <c r="H34" s="489"/>
      <c r="I34" s="490"/>
      <c r="J34" s="488"/>
      <c r="K34" s="488" t="n">
        <f aca="false">VLOOKUP(D34,'statutory adj_2026 조정분개'!$J$12:$P$26,7,FALSE())</f>
        <v>-349405261</v>
      </c>
      <c r="L34" s="491" t="n">
        <f aca="false">+E34+G34+K34</f>
        <v>4310965187</v>
      </c>
      <c r="M34" s="489"/>
      <c r="N34" s="491" t="n">
        <v>5187361713</v>
      </c>
      <c r="O34" s="489"/>
      <c r="P34" s="486" t="n">
        <f aca="false">L34-N34</f>
        <v>-876396526</v>
      </c>
      <c r="Q34" s="392"/>
      <c r="R34" s="392"/>
      <c r="S34" s="392"/>
      <c r="T34" s="392"/>
      <c r="U34" s="341"/>
      <c r="V34" s="341"/>
      <c r="W34" s="341"/>
      <c r="X34" s="341"/>
    </row>
    <row r="35" customFormat="false" ht="21" hidden="false" customHeight="true" outlineLevel="0" collapsed="false">
      <c r="B35" s="359"/>
      <c r="C35" s="366" t="n">
        <v>11</v>
      </c>
      <c r="D35" s="367" t="s">
        <v>327</v>
      </c>
      <c r="E35" s="488" t="n">
        <f aca="false">SUMIF(BSPL2026!$M:$M,'PL_DEC.2026'!$D35,BSPL2026!$Z:$Z)</f>
        <v>0</v>
      </c>
      <c r="F35" s="488"/>
      <c r="G35" s="491"/>
      <c r="H35" s="489"/>
      <c r="I35" s="490"/>
      <c r="J35" s="488"/>
      <c r="K35" s="488"/>
      <c r="L35" s="491" t="n">
        <f aca="false">+E35+G35+K35</f>
        <v>0</v>
      </c>
      <c r="M35" s="489"/>
      <c r="N35" s="491" t="n">
        <v>0</v>
      </c>
      <c r="O35" s="489"/>
      <c r="P35" s="486" t="n">
        <f aca="false">L35-N35</f>
        <v>0</v>
      </c>
      <c r="Q35" s="392"/>
      <c r="R35" s="392"/>
      <c r="S35" s="392"/>
      <c r="T35" s="392"/>
      <c r="U35" s="341"/>
      <c r="V35" s="341"/>
      <c r="W35" s="341"/>
      <c r="X35" s="341"/>
    </row>
    <row r="36" customFormat="false" ht="21" hidden="false" customHeight="true" outlineLevel="0" collapsed="false">
      <c r="B36" s="359"/>
      <c r="C36" s="366" t="n">
        <v>12</v>
      </c>
      <c r="D36" s="367" t="s">
        <v>328</v>
      </c>
      <c r="E36" s="488" t="n">
        <f aca="false">SUMIF(BSPL2026!$M:$M,'PL_DEC.2026'!$D36,BSPL2026!$Z:$Z)</f>
        <v>0</v>
      </c>
      <c r="F36" s="488"/>
      <c r="G36" s="491"/>
      <c r="H36" s="489"/>
      <c r="I36" s="490"/>
      <c r="J36" s="488"/>
      <c r="K36" s="488"/>
      <c r="L36" s="491" t="n">
        <f aca="false">+E36+G36+K36</f>
        <v>0</v>
      </c>
      <c r="M36" s="489"/>
      <c r="N36" s="491" t="n">
        <v>0</v>
      </c>
      <c r="O36" s="489"/>
      <c r="P36" s="486" t="n">
        <f aca="false">L36-N36</f>
        <v>0</v>
      </c>
      <c r="Q36" s="392"/>
      <c r="U36" s="341"/>
      <c r="V36" s="341"/>
      <c r="W36" s="341"/>
      <c r="X36" s="341"/>
    </row>
    <row r="37" customFormat="false" ht="21" hidden="false" customHeight="true" outlineLevel="0" collapsed="false">
      <c r="B37" s="504" t="s">
        <v>2412</v>
      </c>
      <c r="C37" s="505" t="s">
        <v>2413</v>
      </c>
      <c r="D37" s="367"/>
      <c r="E37" s="488"/>
      <c r="F37" s="502" t="n">
        <f aca="false">SUM(E38:E62)</f>
        <v>39594273490</v>
      </c>
      <c r="G37" s="491"/>
      <c r="H37" s="489"/>
      <c r="I37" s="490"/>
      <c r="J37" s="488"/>
      <c r="K37" s="488"/>
      <c r="L37" s="491"/>
      <c r="M37" s="495" t="n">
        <f aca="false">SUM(L38:L62)</f>
        <v>21909881760</v>
      </c>
      <c r="N37" s="491"/>
      <c r="O37" s="495" t="n">
        <v>30344515612</v>
      </c>
      <c r="P37" s="486" t="n">
        <f aca="false">M37-O37</f>
        <v>-8434633852</v>
      </c>
      <c r="Q37" s="392"/>
      <c r="U37" s="341"/>
      <c r="V37" s="341"/>
      <c r="W37" s="341"/>
      <c r="X37" s="341"/>
    </row>
    <row r="38" customFormat="false" ht="21" hidden="false" customHeight="true" outlineLevel="0" collapsed="false">
      <c r="B38" s="359"/>
      <c r="C38" s="366" t="n">
        <v>13</v>
      </c>
      <c r="D38" s="367" t="s">
        <v>330</v>
      </c>
      <c r="E38" s="488" t="n">
        <f aca="false">SUMIF(BSPL2026!$M:$M,'PL_DEC.2026'!$D38,BSPL2026!$Z:$Z)</f>
        <v>2631063371</v>
      </c>
      <c r="F38" s="488"/>
      <c r="G38" s="491"/>
      <c r="H38" s="489"/>
      <c r="I38" s="490"/>
      <c r="J38" s="488"/>
      <c r="K38" s="488" t="n">
        <f aca="false">VLOOKUP(D38,'statutory adj_2026 조정분개'!$J$12:$P$26,7,FALSE())</f>
        <v>-155357637</v>
      </c>
      <c r="L38" s="491" t="n">
        <f aca="false">+E38+G38+K38</f>
        <v>2475705734</v>
      </c>
      <c r="M38" s="489"/>
      <c r="N38" s="491" t="n">
        <v>3449415516</v>
      </c>
      <c r="O38" s="489"/>
      <c r="P38" s="486" t="n">
        <f aca="false">L38-N38</f>
        <v>-973709782</v>
      </c>
      <c r="Q38" s="392"/>
    </row>
    <row r="39" customFormat="false" ht="21" hidden="false" customHeight="true" outlineLevel="0" collapsed="false">
      <c r="B39" s="359"/>
      <c r="C39" s="366" t="n">
        <v>14</v>
      </c>
      <c r="D39" s="367" t="s">
        <v>332</v>
      </c>
      <c r="E39" s="488" t="n">
        <f aca="false">SUMIF(BSPL2026!$M:$M,'PL_DEC.2026'!$D39,BSPL2026!$Z:$Z)</f>
        <v>3180643883</v>
      </c>
      <c r="F39" s="488"/>
      <c r="G39" s="491"/>
      <c r="H39" s="489"/>
      <c r="I39" s="490"/>
      <c r="J39" s="488"/>
      <c r="K39" s="488" t="n">
        <f aca="false">VLOOKUP(D39,'statutory adj_2026 조정분개'!$J$12:$P$26,7,FALSE())</f>
        <v>-128225390</v>
      </c>
      <c r="L39" s="491" t="n">
        <f aca="false">+E39+G39+K39</f>
        <v>3052418493</v>
      </c>
      <c r="M39" s="489"/>
      <c r="N39" s="491" t="n">
        <v>4880498630</v>
      </c>
      <c r="O39" s="489"/>
      <c r="P39" s="486" t="n">
        <f aca="false">L39-N39</f>
        <v>-1828080137</v>
      </c>
      <c r="Q39" s="392"/>
    </row>
    <row r="40" customFormat="false" ht="21" hidden="false" customHeight="true" outlineLevel="0" collapsed="false">
      <c r="B40" s="359"/>
      <c r="C40" s="366" t="n">
        <v>15</v>
      </c>
      <c r="D40" s="367" t="s">
        <v>334</v>
      </c>
      <c r="E40" s="488" t="n">
        <f aca="false">SUMIF(BSPL2026!$M:$M,'PL_DEC.2026'!$D40,BSPL2026!$Z:$Z)</f>
        <v>286038515</v>
      </c>
      <c r="F40" s="488"/>
      <c r="G40" s="491"/>
      <c r="H40" s="489"/>
      <c r="I40" s="490"/>
      <c r="J40" s="488"/>
      <c r="K40" s="488" t="n">
        <f aca="false">VLOOKUP(D40,'statutory adj_2026 조정분개'!$J$12:$P$26,7,FALSE())</f>
        <v>-15020622</v>
      </c>
      <c r="L40" s="491" t="n">
        <f aca="false">+E40+G40+K40</f>
        <v>271017893</v>
      </c>
      <c r="M40" s="489"/>
      <c r="N40" s="491" t="n">
        <v>376080533</v>
      </c>
      <c r="O40" s="489"/>
      <c r="P40" s="486" t="n">
        <f aca="false">L40-N40</f>
        <v>-105062640</v>
      </c>
      <c r="Q40" s="392"/>
    </row>
    <row r="41" customFormat="false" ht="21" hidden="false" customHeight="true" outlineLevel="0" collapsed="false">
      <c r="B41" s="359"/>
      <c r="C41" s="366" t="n">
        <v>16</v>
      </c>
      <c r="D41" s="367" t="s">
        <v>335</v>
      </c>
      <c r="E41" s="488" t="n">
        <f aca="false">SUMIF(BSPL2026!$M:$M,'PL_DEC.2026'!$D41,BSPL2026!$Z:$Z)</f>
        <v>52610582</v>
      </c>
      <c r="F41" s="488"/>
      <c r="G41" s="491"/>
      <c r="H41" s="489"/>
      <c r="I41" s="490"/>
      <c r="J41" s="488"/>
      <c r="K41" s="488" t="n">
        <f aca="false">VLOOKUP(D41,'statutory adj_2026 조정분개'!$J$12:$P$26,7,FALSE())</f>
        <v>-17966376</v>
      </c>
      <c r="L41" s="491" t="n">
        <f aca="false">+E41+G41+K41</f>
        <v>34644206</v>
      </c>
      <c r="M41" s="489"/>
      <c r="N41" s="491" t="n">
        <v>88805964</v>
      </c>
      <c r="O41" s="489"/>
      <c r="P41" s="486" t="n">
        <f aca="false">L41-N41</f>
        <v>-54161758</v>
      </c>
      <c r="Q41" s="392"/>
    </row>
    <row r="42" customFormat="false" ht="21" hidden="false" customHeight="true" outlineLevel="0" collapsed="false">
      <c r="B42" s="359"/>
      <c r="C42" s="366" t="n">
        <v>17</v>
      </c>
      <c r="D42" s="367" t="s">
        <v>336</v>
      </c>
      <c r="E42" s="488" t="n">
        <f aca="false">SUMIF(BSPL2026!$M:$M,'PL_DEC.2026'!$D42,BSPL2026!$Z:$Z)</f>
        <v>473528691</v>
      </c>
      <c r="F42" s="488"/>
      <c r="G42" s="491"/>
      <c r="H42" s="489"/>
      <c r="I42" s="490"/>
      <c r="J42" s="488"/>
      <c r="K42" s="488" t="n">
        <f aca="false">VLOOKUP(D42,'statutory adj_2026 조정분개'!$J$12:$P$26,7,FALSE())</f>
        <v>-473087</v>
      </c>
      <c r="L42" s="491" t="n">
        <f aca="false">+E42+G42+K42</f>
        <v>473055604</v>
      </c>
      <c r="M42" s="489"/>
      <c r="N42" s="491" t="n">
        <v>327254962</v>
      </c>
      <c r="O42" s="489"/>
      <c r="P42" s="486" t="n">
        <f aca="false">L42-N42</f>
        <v>145800642</v>
      </c>
      <c r="Q42" s="392"/>
    </row>
    <row r="43" customFormat="false" ht="21" hidden="false" customHeight="true" outlineLevel="0" collapsed="false">
      <c r="B43" s="359"/>
      <c r="C43" s="366" t="n">
        <v>18</v>
      </c>
      <c r="D43" s="367" t="s">
        <v>338</v>
      </c>
      <c r="E43" s="488" t="n">
        <f aca="false">SUMIF(BSPL2026!$M:$M,'PL_DEC.2026'!$D43,BSPL2026!$Z:$Z)</f>
        <v>1596899456</v>
      </c>
      <c r="F43" s="488"/>
      <c r="G43" s="506"/>
      <c r="H43" s="489"/>
      <c r="I43" s="490"/>
      <c r="J43" s="488"/>
      <c r="K43" s="488"/>
      <c r="L43" s="491" t="n">
        <f aca="false">+E43+G43</f>
        <v>1596899456</v>
      </c>
      <c r="M43" s="489"/>
      <c r="N43" s="491" t="n">
        <v>1464303590</v>
      </c>
      <c r="O43" s="489"/>
      <c r="P43" s="486" t="n">
        <f aca="false">L43-N43</f>
        <v>132595866</v>
      </c>
      <c r="Q43" s="392"/>
    </row>
    <row r="44" customFormat="false" ht="21" hidden="false" customHeight="true" outlineLevel="0" collapsed="false">
      <c r="B44" s="359"/>
      <c r="C44" s="366" t="n">
        <v>19</v>
      </c>
      <c r="D44" s="367" t="s">
        <v>340</v>
      </c>
      <c r="E44" s="488" t="n">
        <f aca="false">SUMIF(BSPL2026!$M:$M,'PL_DEC.2026'!$D44,BSPL2026!$Z:$Z)</f>
        <v>0</v>
      </c>
      <c r="F44" s="488"/>
      <c r="G44" s="491"/>
      <c r="H44" s="489"/>
      <c r="I44" s="490"/>
      <c r="J44" s="488"/>
      <c r="K44" s="488"/>
      <c r="L44" s="491" t="n">
        <f aca="false">+E44+G44</f>
        <v>0</v>
      </c>
      <c r="M44" s="489"/>
      <c r="N44" s="491" t="n">
        <v>0</v>
      </c>
      <c r="O44" s="489"/>
      <c r="P44" s="486" t="n">
        <f aca="false">L44-N44</f>
        <v>0</v>
      </c>
      <c r="Q44" s="392"/>
    </row>
    <row r="45" customFormat="false" ht="21" hidden="false" customHeight="true" outlineLevel="0" collapsed="false">
      <c r="B45" s="359"/>
      <c r="C45" s="366" t="n">
        <v>20</v>
      </c>
      <c r="D45" s="367" t="s">
        <v>341</v>
      </c>
      <c r="E45" s="488" t="n">
        <f aca="false">SUMIF(BSPL2026!$M:$M,'PL_DEC.2026'!$D45,BSPL2026!$Z:$Z)</f>
        <v>71728174</v>
      </c>
      <c r="F45" s="488"/>
      <c r="G45" s="491"/>
      <c r="H45" s="489"/>
      <c r="I45" s="490"/>
      <c r="J45" s="488"/>
      <c r="K45" s="488"/>
      <c r="L45" s="491" t="n">
        <f aca="false">+E45+G45</f>
        <v>71728174</v>
      </c>
      <c r="M45" s="489"/>
      <c r="N45" s="491" t="n">
        <v>96139930</v>
      </c>
      <c r="O45" s="489"/>
      <c r="P45" s="486" t="n">
        <f aca="false">L45-N45</f>
        <v>-24411756</v>
      </c>
      <c r="Q45" s="392"/>
    </row>
    <row r="46" customFormat="false" ht="21" hidden="false" customHeight="true" outlineLevel="0" collapsed="false">
      <c r="B46" s="359"/>
      <c r="C46" s="366" t="n">
        <v>21</v>
      </c>
      <c r="D46" s="367" t="s">
        <v>342</v>
      </c>
      <c r="E46" s="488" t="n">
        <f aca="false">SUMIF(BSPL2026!$M:$M,'PL_DEC.2026'!$D46,BSPL2026!$Z:$Z)</f>
        <v>16172820</v>
      </c>
      <c r="F46" s="488"/>
      <c r="G46" s="491"/>
      <c r="H46" s="489"/>
      <c r="I46" s="490"/>
      <c r="J46" s="488"/>
      <c r="K46" s="488"/>
      <c r="L46" s="491" t="n">
        <f aca="false">+E46+G46</f>
        <v>16172820</v>
      </c>
      <c r="M46" s="489"/>
      <c r="N46" s="491" t="n">
        <v>26593320</v>
      </c>
      <c r="O46" s="489"/>
      <c r="P46" s="486" t="n">
        <f aca="false">L46-N46</f>
        <v>-10420500</v>
      </c>
      <c r="Q46" s="392"/>
    </row>
    <row r="47" customFormat="false" ht="21" hidden="false" customHeight="true" outlineLevel="0" collapsed="false">
      <c r="B47" s="359"/>
      <c r="C47" s="366" t="n">
        <v>22</v>
      </c>
      <c r="D47" s="367" t="s">
        <v>343</v>
      </c>
      <c r="E47" s="488" t="n">
        <f aca="false">SUMIF(BSPL2026!$M:$M,'PL_DEC.2026'!$D47,BSPL2026!$Z:$Z)</f>
        <v>0</v>
      </c>
      <c r="F47" s="488"/>
      <c r="G47" s="491"/>
      <c r="H47" s="489"/>
      <c r="I47" s="490"/>
      <c r="J47" s="488"/>
      <c r="K47" s="488"/>
      <c r="L47" s="491" t="n">
        <f aca="false">+E47+G47</f>
        <v>0</v>
      </c>
      <c r="M47" s="489"/>
      <c r="N47" s="491" t="n">
        <v>0</v>
      </c>
      <c r="O47" s="489"/>
      <c r="P47" s="486" t="n">
        <f aca="false">L47-N47</f>
        <v>0</v>
      </c>
      <c r="Q47" s="392"/>
    </row>
    <row r="48" customFormat="false" ht="21" hidden="false" customHeight="true" outlineLevel="0" collapsed="false">
      <c r="B48" s="359"/>
      <c r="C48" s="366" t="n">
        <v>23</v>
      </c>
      <c r="D48" s="367" t="s">
        <v>344</v>
      </c>
      <c r="E48" s="488" t="n">
        <f aca="false">SUMIF(BSPL2026!$M:$M,'PL_DEC.2026'!$D48,BSPL2026!$Z:$Z)</f>
        <v>14049051551</v>
      </c>
      <c r="F48" s="488"/>
      <c r="G48" s="491"/>
      <c r="H48" s="489"/>
      <c r="I48" s="490"/>
      <c r="J48" s="488"/>
      <c r="K48" s="488" t="n">
        <f aca="false">VLOOKUP(D48,'statutory adj_2026 조정분개'!$J$12:$P$26,7,FALSE())</f>
        <v>-61682684</v>
      </c>
      <c r="L48" s="491" t="n">
        <f aca="false">+E48+G48+K48-I48+H48</f>
        <v>13987368867</v>
      </c>
      <c r="M48" s="489"/>
      <c r="N48" s="491" t="n">
        <v>10883770009</v>
      </c>
      <c r="O48" s="489"/>
      <c r="P48" s="486" t="n">
        <f aca="false">L48-N48</f>
        <v>3103598858</v>
      </c>
      <c r="Q48" s="392"/>
    </row>
    <row r="49" customFormat="false" ht="21" hidden="false" customHeight="true" outlineLevel="0" collapsed="false">
      <c r="B49" s="359"/>
      <c r="C49" s="366" t="n">
        <v>23</v>
      </c>
      <c r="D49" s="367" t="s">
        <v>346</v>
      </c>
      <c r="E49" s="488" t="n">
        <f aca="false">SUMIF(BSPL2026!$M:$M,'PL_DEC.2026'!$D49,BSPL2026!$Z:$Z)</f>
        <v>1609276386</v>
      </c>
      <c r="F49" s="488"/>
      <c r="G49" s="491"/>
      <c r="H49" s="489"/>
      <c r="I49" s="490"/>
      <c r="J49" s="488"/>
      <c r="K49" s="488"/>
      <c r="L49" s="491" t="n">
        <f aca="false">+E49+G49</f>
        <v>1609276386</v>
      </c>
      <c r="M49" s="489"/>
      <c r="N49" s="491" t="n">
        <v>2776269144</v>
      </c>
      <c r="O49" s="489"/>
      <c r="P49" s="486" t="n">
        <f aca="false">L49-N49</f>
        <v>-1166992758</v>
      </c>
      <c r="Q49" s="392"/>
    </row>
    <row r="50" customFormat="false" ht="21" hidden="false" customHeight="true" outlineLevel="0" collapsed="false">
      <c r="B50" s="359"/>
      <c r="C50" s="366" t="n">
        <v>23</v>
      </c>
      <c r="D50" s="367" t="s">
        <v>348</v>
      </c>
      <c r="E50" s="488" t="n">
        <f aca="false">SUMIF(BSPL2026!$M:$M,'PL_DEC.2026'!$D50,BSPL2026!$Z:$Z)</f>
        <v>417021348</v>
      </c>
      <c r="F50" s="488"/>
      <c r="G50" s="491"/>
      <c r="H50" s="489"/>
      <c r="I50" s="490"/>
      <c r="J50" s="488"/>
      <c r="K50" s="488" t="n">
        <f aca="false">VLOOKUP(D50,'statutory adj_2026 조정분개'!$J$12:$P$26,7,FALSE())</f>
        <v>-7044189</v>
      </c>
      <c r="L50" s="491" t="n">
        <f aca="false">+E50+G50+K50</f>
        <v>409977159</v>
      </c>
      <c r="M50" s="489"/>
      <c r="N50" s="491" t="n">
        <v>799707733</v>
      </c>
      <c r="O50" s="489"/>
      <c r="P50" s="486" t="n">
        <f aca="false">L50-N50</f>
        <v>-389730574</v>
      </c>
      <c r="Q50" s="392"/>
    </row>
    <row r="51" customFormat="false" ht="21" hidden="false" customHeight="true" outlineLevel="0" collapsed="false">
      <c r="B51" s="359"/>
      <c r="C51" s="366" t="n">
        <v>23</v>
      </c>
      <c r="D51" s="367" t="s">
        <v>351</v>
      </c>
      <c r="E51" s="488" t="n">
        <f aca="false">SUMIF(BSPL2026!$M:$M,'PL_DEC.2026'!$D51,BSPL2026!$Z:$Z)</f>
        <v>0</v>
      </c>
      <c r="F51" s="488"/>
      <c r="G51" s="491"/>
      <c r="H51" s="489"/>
      <c r="I51" s="490"/>
      <c r="J51" s="488"/>
      <c r="K51" s="488"/>
      <c r="L51" s="491" t="n">
        <f aca="false">+E51+G51</f>
        <v>0</v>
      </c>
      <c r="M51" s="489"/>
      <c r="N51" s="491" t="n">
        <v>0</v>
      </c>
      <c r="O51" s="489"/>
      <c r="P51" s="486" t="n">
        <f aca="false">L51-N51</f>
        <v>0</v>
      </c>
      <c r="Q51" s="392"/>
    </row>
    <row r="52" customFormat="false" ht="21" hidden="false" customHeight="true" outlineLevel="0" collapsed="false">
      <c r="B52" s="359"/>
      <c r="C52" s="366" t="n">
        <v>23</v>
      </c>
      <c r="D52" s="367" t="s">
        <v>353</v>
      </c>
      <c r="E52" s="488" t="n">
        <f aca="false">SUMIF(BSPL2026!$M:$M,'PL_DEC.2026'!$D52,BSPL2026!$Z:$Z)</f>
        <v>274311</v>
      </c>
      <c r="F52" s="488"/>
      <c r="G52" s="491"/>
      <c r="H52" s="489"/>
      <c r="I52" s="490"/>
      <c r="J52" s="488"/>
      <c r="K52" s="488"/>
      <c r="L52" s="491" t="n">
        <f aca="false">+E52+G52</f>
        <v>274311</v>
      </c>
      <c r="M52" s="489"/>
      <c r="N52" s="491" t="n">
        <v>1991992</v>
      </c>
      <c r="O52" s="489"/>
      <c r="P52" s="486" t="n">
        <f aca="false">L52-N52</f>
        <v>-1717681</v>
      </c>
      <c r="Q52" s="392"/>
    </row>
    <row r="53" customFormat="false" ht="21" hidden="false" customHeight="true" outlineLevel="0" collapsed="false">
      <c r="B53" s="359"/>
      <c r="C53" s="366" t="n">
        <v>23</v>
      </c>
      <c r="D53" s="367" t="s">
        <v>355</v>
      </c>
      <c r="E53" s="488" t="n">
        <f aca="false">SUMIF(BSPL2026!$M:$M,'PL_DEC.2026'!$D53,BSPL2026!$Z:$Z)</f>
        <v>13638965984</v>
      </c>
      <c r="F53" s="488"/>
      <c r="G53" s="491"/>
      <c r="H53" s="489"/>
      <c r="I53" s="490"/>
      <c r="J53" s="488"/>
      <c r="K53" s="488" t="n">
        <f aca="false">VLOOKUP(D53,'statutory adj_2026 조정분개'!$J$12:$P$26,7,FALSE())</f>
        <v>-13314198758</v>
      </c>
      <c r="L53" s="491" t="n">
        <f aca="false">+E53+G53+K53</f>
        <v>324767226</v>
      </c>
      <c r="M53" s="489"/>
      <c r="N53" s="491" t="n">
        <v>2352493481</v>
      </c>
      <c r="O53" s="489"/>
      <c r="P53" s="486" t="n">
        <f aca="false">L53-N53</f>
        <v>-2027726255</v>
      </c>
      <c r="Q53" s="392"/>
    </row>
    <row r="54" customFormat="false" ht="21" hidden="false" customHeight="true" outlineLevel="0" collapsed="false">
      <c r="B54" s="359"/>
      <c r="C54" s="366" t="n">
        <v>23</v>
      </c>
      <c r="D54" s="367" t="s">
        <v>358</v>
      </c>
      <c r="E54" s="488" t="n">
        <f aca="false">SUMIF(BSPL2026!$M:$M,'PL_DEC.2026'!$D54,BSPL2026!$Z:$Z)</f>
        <v>494263895</v>
      </c>
      <c r="F54" s="488"/>
      <c r="G54" s="491"/>
      <c r="H54" s="507"/>
      <c r="I54" s="490"/>
      <c r="J54" s="488"/>
      <c r="K54" s="488"/>
      <c r="L54" s="491" t="n">
        <f aca="false">+E54+H54</f>
        <v>494263895</v>
      </c>
      <c r="M54" s="489"/>
      <c r="N54" s="491" t="n">
        <v>1118402963</v>
      </c>
      <c r="O54" s="489"/>
      <c r="P54" s="486" t="n">
        <f aca="false">L54-N54</f>
        <v>-624139068</v>
      </c>
      <c r="Q54" s="392"/>
    </row>
    <row r="55" customFormat="false" ht="21" hidden="false" customHeight="true" outlineLevel="0" collapsed="false">
      <c r="B55" s="359"/>
      <c r="C55" s="366" t="n">
        <v>23</v>
      </c>
      <c r="D55" s="367" t="s">
        <v>361</v>
      </c>
      <c r="E55" s="488" t="n">
        <f aca="false">SUMIF(BSPL2026!$M:$M,'PL_DEC.2026'!$D55,BSPL2026!$Z:$Z)</f>
        <v>943115504</v>
      </c>
      <c r="F55" s="488"/>
      <c r="G55" s="491"/>
      <c r="H55" s="489"/>
      <c r="I55" s="490"/>
      <c r="J55" s="488"/>
      <c r="K55" s="488" t="n">
        <f aca="false">VLOOKUP(D55,'statutory adj_2026 조정분개'!$J$12:$P$26,7,FALSE())</f>
        <v>-3977948983</v>
      </c>
      <c r="L55" s="491" t="n">
        <f aca="false">+E55+G55+K55</f>
        <v>-3034833479</v>
      </c>
      <c r="M55" s="489"/>
      <c r="N55" s="491" t="n">
        <v>1412322391</v>
      </c>
      <c r="O55" s="489"/>
      <c r="P55" s="486" t="n">
        <f aca="false">L55-N55</f>
        <v>-4447155870</v>
      </c>
      <c r="Q55" s="392"/>
    </row>
    <row r="56" customFormat="false" ht="21" hidden="false" customHeight="true" outlineLevel="0" collapsed="false">
      <c r="B56" s="359"/>
      <c r="C56" s="366" t="n">
        <v>23</v>
      </c>
      <c r="D56" s="367" t="s">
        <v>364</v>
      </c>
      <c r="E56" s="488" t="n">
        <f aca="false">SUMIF(BSPL2026!$M:$M,'PL_DEC.2026'!$D56,BSPL2026!$Z:$Z)</f>
        <v>137743628</v>
      </c>
      <c r="F56" s="488"/>
      <c r="G56" s="491"/>
      <c r="H56" s="489"/>
      <c r="I56" s="490"/>
      <c r="J56" s="488"/>
      <c r="K56" s="488" t="n">
        <f aca="false">VLOOKUP(D56,'statutory adj_2026 조정분개'!$J$12:$P$26,7,FALSE())</f>
        <v>-6474004</v>
      </c>
      <c r="L56" s="491" t="n">
        <f aca="false">+E56+G56+K56</f>
        <v>131269624</v>
      </c>
      <c r="M56" s="489"/>
      <c r="N56" s="491" t="n">
        <v>229334737</v>
      </c>
      <c r="O56" s="489"/>
      <c r="P56" s="486" t="n">
        <f aca="false">L56-N56</f>
        <v>-98065113</v>
      </c>
      <c r="Q56" s="392"/>
    </row>
    <row r="57" customFormat="false" ht="21" hidden="false" customHeight="true" outlineLevel="0" collapsed="false">
      <c r="B57" s="359"/>
      <c r="C57" s="366" t="n">
        <v>23</v>
      </c>
      <c r="D57" s="367" t="s">
        <v>366</v>
      </c>
      <c r="E57" s="488" t="n">
        <f aca="false">SUMIF(BSPL2026!$M:$M,'PL_DEC.2026'!$D57,BSPL2026!$Z:$Z)</f>
        <v>0</v>
      </c>
      <c r="F57" s="488"/>
      <c r="G57" s="491"/>
      <c r="H57" s="489"/>
      <c r="I57" s="490"/>
      <c r="J57" s="488"/>
      <c r="K57" s="488"/>
      <c r="L57" s="491" t="n">
        <f aca="false">+E57+G57+K57</f>
        <v>0</v>
      </c>
      <c r="M57" s="489"/>
      <c r="N57" s="491" t="n">
        <v>0</v>
      </c>
      <c r="O57" s="489"/>
      <c r="P57" s="486" t="n">
        <f aca="false">L57-N57</f>
        <v>0</v>
      </c>
      <c r="Q57" s="392"/>
    </row>
    <row r="58" customFormat="false" ht="21" hidden="false" customHeight="true" outlineLevel="0" collapsed="false">
      <c r="B58" s="359"/>
      <c r="C58" s="366" t="n">
        <v>23</v>
      </c>
      <c r="D58" s="367" t="s">
        <v>368</v>
      </c>
      <c r="E58" s="488" t="n">
        <f aca="false">SUMIF(BSPL2026!$M:$M,'PL_DEC.2026'!$D58,BSPL2026!$Z:$Z)</f>
        <v>0</v>
      </c>
      <c r="F58" s="488"/>
      <c r="G58" s="491"/>
      <c r="H58" s="489"/>
      <c r="I58" s="490"/>
      <c r="J58" s="488"/>
      <c r="K58" s="488"/>
      <c r="L58" s="491" t="n">
        <f aca="false">+E58+G58+K58</f>
        <v>0</v>
      </c>
      <c r="M58" s="489"/>
      <c r="N58" s="491" t="n">
        <v>0</v>
      </c>
      <c r="O58" s="489"/>
      <c r="P58" s="486" t="n">
        <f aca="false">L58-N58</f>
        <v>0</v>
      </c>
      <c r="Q58" s="392"/>
    </row>
    <row r="59" customFormat="false" ht="21" hidden="false" customHeight="true" outlineLevel="0" collapsed="false">
      <c r="B59" s="359"/>
      <c r="C59" s="366" t="n">
        <v>23</v>
      </c>
      <c r="D59" s="367" t="s">
        <v>370</v>
      </c>
      <c r="E59" s="488" t="n">
        <f aca="false">SUMIF(BSPL2026!$M:$M,'PL_DEC.2026'!$D59,BSPL2026!$Z:$Z)</f>
        <v>0</v>
      </c>
      <c r="F59" s="488"/>
      <c r="G59" s="491"/>
      <c r="H59" s="489"/>
      <c r="I59" s="490"/>
      <c r="J59" s="488"/>
      <c r="K59" s="488"/>
      <c r="L59" s="491" t="n">
        <f aca="false">+E59+G59+K59</f>
        <v>0</v>
      </c>
      <c r="M59" s="489"/>
      <c r="N59" s="491" t="n">
        <v>0</v>
      </c>
      <c r="O59" s="489"/>
      <c r="P59" s="486" t="n">
        <f aca="false">L59-N59</f>
        <v>0</v>
      </c>
      <c r="Q59" s="392"/>
    </row>
    <row r="60" customFormat="false" ht="21" hidden="false" customHeight="true" outlineLevel="0" collapsed="false">
      <c r="B60" s="359"/>
      <c r="C60" s="366" t="n">
        <v>23</v>
      </c>
      <c r="D60" s="367" t="s">
        <v>372</v>
      </c>
      <c r="E60" s="488" t="n">
        <f aca="false">SUMIF(BSPL2026!$M:$M,'PL_DEC.2026'!$D60,BSPL2026!$Z:$Z)</f>
        <v>0</v>
      </c>
      <c r="F60" s="488"/>
      <c r="G60" s="491"/>
      <c r="H60" s="489"/>
      <c r="I60" s="490"/>
      <c r="J60" s="488"/>
      <c r="K60" s="488"/>
      <c r="L60" s="491" t="n">
        <f aca="false">+E60+G60+K60</f>
        <v>0</v>
      </c>
      <c r="M60" s="489"/>
      <c r="N60" s="491" t="n">
        <v>0</v>
      </c>
      <c r="O60" s="489"/>
      <c r="P60" s="486" t="n">
        <f aca="false">L60-N60</f>
        <v>0</v>
      </c>
      <c r="Q60" s="392"/>
    </row>
    <row r="61" customFormat="false" ht="21" hidden="false" customHeight="true" outlineLevel="0" collapsed="false">
      <c r="B61" s="359"/>
      <c r="C61" s="366" t="n">
        <v>23</v>
      </c>
      <c r="D61" s="367" t="s">
        <v>374</v>
      </c>
      <c r="E61" s="488" t="n">
        <f aca="false">SUMIF(BSPL2026!$M:$M,'PL_DEC.2026'!$D61,BSPL2026!$Z:$Z)</f>
        <v>-4124609</v>
      </c>
      <c r="F61" s="488"/>
      <c r="G61" s="491"/>
      <c r="H61" s="489"/>
      <c r="I61" s="490"/>
      <c r="J61" s="488"/>
      <c r="K61" s="488"/>
      <c r="L61" s="491" t="n">
        <f aca="false">+E61+G61+K61</f>
        <v>-4124609</v>
      </c>
      <c r="M61" s="489"/>
      <c r="N61" s="491" t="n">
        <v>61130717</v>
      </c>
      <c r="O61" s="489"/>
      <c r="P61" s="486" t="n">
        <f aca="false">L61-N61</f>
        <v>-65255326</v>
      </c>
      <c r="Q61" s="392"/>
      <c r="R61" s="341"/>
      <c r="S61" s="341"/>
    </row>
    <row r="62" customFormat="false" ht="21" hidden="false" customHeight="true" outlineLevel="0" collapsed="false">
      <c r="B62" s="359"/>
      <c r="C62" s="366" t="n">
        <v>23</v>
      </c>
      <c r="D62" s="367" t="s">
        <v>377</v>
      </c>
      <c r="E62" s="488" t="n">
        <f aca="false">SUMIF(BSPL2026!$M:$M,'PL_DEC.2026'!$D62,BSPL2026!$Z:$Z)</f>
        <v>0</v>
      </c>
      <c r="F62" s="488"/>
      <c r="G62" s="491"/>
      <c r="H62" s="489"/>
      <c r="I62" s="490"/>
      <c r="J62" s="488"/>
      <c r="K62" s="488"/>
      <c r="L62" s="491" t="n">
        <f aca="false">+E62+G62+K62</f>
        <v>0</v>
      </c>
      <c r="M62" s="489"/>
      <c r="N62" s="491" t="n">
        <v>0</v>
      </c>
      <c r="O62" s="489"/>
      <c r="P62" s="486" t="n">
        <f aca="false">L62-N62</f>
        <v>0</v>
      </c>
      <c r="Q62" s="392"/>
      <c r="R62" s="341"/>
      <c r="S62" s="341"/>
      <c r="T62" s="341"/>
    </row>
    <row r="63" customFormat="false" ht="21" hidden="false" customHeight="true" outlineLevel="0" collapsed="false">
      <c r="B63" s="504" t="s">
        <v>2414</v>
      </c>
      <c r="C63" s="505" t="s">
        <v>2415</v>
      </c>
      <c r="E63" s="488" t="n">
        <f aca="false">SUMIF(BSPL2026!$M:$M,'PL_DEC.2026'!$D63,BSPL2026!$Z:$Z)</f>
        <v>0</v>
      </c>
      <c r="F63" s="488"/>
      <c r="G63" s="491"/>
      <c r="H63" s="489"/>
      <c r="I63" s="490"/>
      <c r="J63" s="488"/>
      <c r="K63" s="488"/>
      <c r="L63" s="491" t="n">
        <f aca="false">+E63+G63+K63</f>
        <v>0</v>
      </c>
      <c r="M63" s="489"/>
      <c r="N63" s="491" t="n">
        <v>0</v>
      </c>
      <c r="O63" s="489"/>
      <c r="P63" s="486" t="n">
        <f aca="false">L63-N63</f>
        <v>0</v>
      </c>
      <c r="Q63" s="392"/>
      <c r="T63" s="341"/>
    </row>
    <row r="64" customFormat="false" ht="21" hidden="false" customHeight="true" outlineLevel="0" collapsed="false">
      <c r="B64" s="351" t="s">
        <v>2416</v>
      </c>
      <c r="C64" s="352" t="s">
        <v>2417</v>
      </c>
      <c r="D64" s="353"/>
      <c r="E64" s="482"/>
      <c r="F64" s="482" t="n">
        <f aca="false">F21-F22</f>
        <v>40850536324</v>
      </c>
      <c r="G64" s="483"/>
      <c r="H64" s="484"/>
      <c r="I64" s="485"/>
      <c r="J64" s="482"/>
      <c r="K64" s="482"/>
      <c r="L64" s="491"/>
      <c r="M64" s="484" t="n">
        <f aca="false">M21-M22</f>
        <v>61594872639</v>
      </c>
      <c r="N64" s="483"/>
      <c r="O64" s="484" t="n">
        <v>29481784272</v>
      </c>
      <c r="P64" s="486" t="n">
        <f aca="false">M64-O64</f>
        <v>32113088367</v>
      </c>
      <c r="Q64" s="392"/>
      <c r="R64" s="414"/>
      <c r="S64" s="414"/>
      <c r="T64" s="414"/>
    </row>
    <row r="65" customFormat="false" ht="21" hidden="false" customHeight="true" outlineLevel="0" collapsed="false">
      <c r="B65" s="351" t="s">
        <v>2418</v>
      </c>
      <c r="C65" s="352" t="s">
        <v>870</v>
      </c>
      <c r="D65" s="353"/>
      <c r="E65" s="482"/>
      <c r="F65" s="482" t="n">
        <f aca="false">SUM(E66:E79)</f>
        <v>21799718927</v>
      </c>
      <c r="G65" s="483"/>
      <c r="H65" s="484"/>
      <c r="I65" s="485"/>
      <c r="J65" s="482"/>
      <c r="K65" s="482"/>
      <c r="L65" s="491"/>
      <c r="M65" s="484" t="n">
        <f aca="false">SUM(L66:L79)</f>
        <v>954170351</v>
      </c>
      <c r="N65" s="483"/>
      <c r="O65" s="484" t="n">
        <v>19209610002</v>
      </c>
      <c r="P65" s="486" t="n">
        <f aca="false">M65-O65</f>
        <v>-18255439651</v>
      </c>
      <c r="Q65" s="392"/>
      <c r="R65" s="414"/>
      <c r="S65" s="414"/>
      <c r="T65" s="414"/>
    </row>
    <row r="66" customFormat="false" ht="21" hidden="false" customHeight="true" outlineLevel="0" collapsed="false">
      <c r="B66" s="359"/>
      <c r="C66" s="366" t="n">
        <v>1</v>
      </c>
      <c r="D66" s="367" t="s">
        <v>382</v>
      </c>
      <c r="E66" s="488" t="n">
        <f aca="false">-SUMIF(BSPL2026!$M:$M,'PL_DEC.2026'!$D66,BSPL2026!$Z:$Z)</f>
        <v>201226458</v>
      </c>
      <c r="F66" s="488"/>
      <c r="G66" s="491"/>
      <c r="H66" s="489"/>
      <c r="I66" s="490"/>
      <c r="J66" s="488"/>
      <c r="K66" s="488"/>
      <c r="L66" s="491" t="n">
        <f aca="false">+E66+G66</f>
        <v>201226458</v>
      </c>
      <c r="M66" s="489"/>
      <c r="N66" s="491" t="n">
        <v>238441022</v>
      </c>
      <c r="O66" s="489"/>
      <c r="P66" s="486" t="n">
        <f aca="false">L66-N66</f>
        <v>-37214564</v>
      </c>
      <c r="Q66" s="392"/>
    </row>
    <row r="67" customFormat="false" ht="21" hidden="false" customHeight="true" outlineLevel="0" collapsed="false">
      <c r="B67" s="359"/>
      <c r="C67" s="366" t="n">
        <v>2</v>
      </c>
      <c r="D67" s="367" t="s">
        <v>383</v>
      </c>
      <c r="E67" s="488" t="n">
        <f aca="false">-SUMIF(BSPL2026!$M:$M,'PL_DEC.2026'!$D67,BSPL2026!$Z:$Z)</f>
        <v>-0</v>
      </c>
      <c r="F67" s="488"/>
      <c r="G67" s="491"/>
      <c r="H67" s="489"/>
      <c r="I67" s="490"/>
      <c r="J67" s="488"/>
      <c r="K67" s="488"/>
      <c r="L67" s="491" t="n">
        <f aca="false">+E67+G67</f>
        <v>0</v>
      </c>
      <c r="M67" s="489"/>
      <c r="N67" s="491" t="n">
        <v>0</v>
      </c>
      <c r="O67" s="489"/>
      <c r="P67" s="486" t="n">
        <f aca="false">L67-N67</f>
        <v>0</v>
      </c>
      <c r="Q67" s="392"/>
    </row>
    <row r="68" customFormat="false" ht="21" hidden="false" customHeight="true" outlineLevel="0" collapsed="false">
      <c r="B68" s="359"/>
      <c r="C68" s="366" t="n">
        <v>3</v>
      </c>
      <c r="D68" s="367" t="s">
        <v>384</v>
      </c>
      <c r="E68" s="488" t="n">
        <f aca="false">-SUMIF(BSPL2026!$M:$M,'PL_DEC.2026'!$D68,BSPL2026!$Z:$Z)</f>
        <v>123781136</v>
      </c>
      <c r="F68" s="488"/>
      <c r="G68" s="491"/>
      <c r="H68" s="489"/>
      <c r="I68" s="490"/>
      <c r="J68" s="488"/>
      <c r="K68" s="488"/>
      <c r="L68" s="491" t="n">
        <f aca="false">+E68+G68</f>
        <v>123781136</v>
      </c>
      <c r="M68" s="489"/>
      <c r="N68" s="491" t="n">
        <v>24481540</v>
      </c>
      <c r="O68" s="489"/>
      <c r="P68" s="486" t="n">
        <f aca="false">L68-N68</f>
        <v>99299596</v>
      </c>
      <c r="Q68" s="392"/>
    </row>
    <row r="69" customFormat="false" ht="21" hidden="false" customHeight="true" outlineLevel="0" collapsed="false">
      <c r="B69" s="359"/>
      <c r="C69" s="366" t="n">
        <v>4</v>
      </c>
      <c r="D69" s="367" t="s">
        <v>386</v>
      </c>
      <c r="E69" s="488" t="n">
        <f aca="false">-SUMIF(BSPL2026!$M:$M,'PL_DEC.2026'!$D69,BSPL2026!$Z:$Z)</f>
        <v>-0</v>
      </c>
      <c r="F69" s="488"/>
      <c r="G69" s="491"/>
      <c r="H69" s="489"/>
      <c r="I69" s="490"/>
      <c r="J69" s="488"/>
      <c r="K69" s="488"/>
      <c r="L69" s="491" t="n">
        <f aca="false">+E69+K69</f>
        <v>0</v>
      </c>
      <c r="M69" s="489"/>
      <c r="N69" s="491" t="n">
        <v>0</v>
      </c>
      <c r="O69" s="489"/>
      <c r="P69" s="486" t="n">
        <f aca="false">L69-N69</f>
        <v>0</v>
      </c>
      <c r="Q69" s="392"/>
    </row>
    <row r="70" customFormat="false" ht="21" hidden="false" customHeight="true" outlineLevel="0" collapsed="false">
      <c r="B70" s="359"/>
      <c r="C70" s="366" t="n">
        <v>5</v>
      </c>
      <c r="D70" s="367" t="s">
        <v>387</v>
      </c>
      <c r="E70" s="488" t="n">
        <f aca="false">-SUMIF(BSPL2026!$M:$M,'PL_DEC.2026'!$D70,BSPL2026!$Z:$Z)</f>
        <v>-0</v>
      </c>
      <c r="F70" s="488"/>
      <c r="G70" s="491"/>
      <c r="H70" s="489"/>
      <c r="I70" s="490"/>
      <c r="J70" s="488"/>
      <c r="K70" s="488"/>
      <c r="L70" s="491" t="n">
        <f aca="false">+E70+G70</f>
        <v>0</v>
      </c>
      <c r="M70" s="489"/>
      <c r="N70" s="491" t="n">
        <v>0</v>
      </c>
      <c r="O70" s="489"/>
      <c r="P70" s="486" t="n">
        <f aca="false">L70-N70</f>
        <v>0</v>
      </c>
      <c r="Q70" s="392"/>
    </row>
    <row r="71" customFormat="false" ht="21" hidden="false" customHeight="true" outlineLevel="0" collapsed="false">
      <c r="B71" s="359"/>
      <c r="C71" s="366" t="n">
        <v>6</v>
      </c>
      <c r="D71" s="367" t="s">
        <v>388</v>
      </c>
      <c r="E71" s="488" t="n">
        <f aca="false">-SUMIF(BSPL2026!$M:$M,'PL_DEC.2026'!$D71,BSPL2026!$Z:$Z)</f>
        <v>-0</v>
      </c>
      <c r="F71" s="488"/>
      <c r="G71" s="491"/>
      <c r="H71" s="489"/>
      <c r="I71" s="490"/>
      <c r="J71" s="488"/>
      <c r="K71" s="488"/>
      <c r="L71" s="491" t="n">
        <f aca="false">+E71+G71</f>
        <v>0</v>
      </c>
      <c r="M71" s="489"/>
      <c r="N71" s="491" t="n">
        <v>0</v>
      </c>
      <c r="O71" s="489"/>
      <c r="P71" s="486" t="n">
        <f aca="false">L71-N71</f>
        <v>0</v>
      </c>
      <c r="Q71" s="392"/>
    </row>
    <row r="72" customFormat="false" ht="21" hidden="false" customHeight="true" outlineLevel="0" collapsed="false">
      <c r="B72" s="359"/>
      <c r="C72" s="366" t="n">
        <v>7</v>
      </c>
      <c r="D72" s="367" t="s">
        <v>389</v>
      </c>
      <c r="E72" s="488" t="n">
        <f aca="false">-SUMIF(BSPL2026!$M:$M,'PL_DEC.2026'!$D72,BSPL2026!$Z:$Z)</f>
        <v>-0</v>
      </c>
      <c r="F72" s="488"/>
      <c r="G72" s="491"/>
      <c r="H72" s="489"/>
      <c r="I72" s="490"/>
      <c r="J72" s="488"/>
      <c r="K72" s="488"/>
      <c r="L72" s="491" t="n">
        <f aca="false">+E72+G72+H72</f>
        <v>0</v>
      </c>
      <c r="M72" s="489"/>
      <c r="N72" s="491" t="n">
        <v>0</v>
      </c>
      <c r="O72" s="489"/>
      <c r="P72" s="486" t="n">
        <f aca="false">L72-N72</f>
        <v>0</v>
      </c>
      <c r="Q72" s="392"/>
    </row>
    <row r="73" customFormat="false" ht="21" hidden="false" customHeight="true" outlineLevel="0" collapsed="false">
      <c r="B73" s="359"/>
      <c r="C73" s="366" t="n">
        <v>8</v>
      </c>
      <c r="D73" s="367" t="s">
        <v>390</v>
      </c>
      <c r="E73" s="488" t="n">
        <f aca="false">-SUMIF(BSPL2026!$M:$M,'PL_DEC.2026'!$D73,BSPL2026!$Z:$Z)</f>
        <v>-0</v>
      </c>
      <c r="F73" s="488"/>
      <c r="G73" s="491"/>
      <c r="H73" s="489"/>
      <c r="I73" s="490"/>
      <c r="J73" s="488"/>
      <c r="K73" s="488"/>
      <c r="L73" s="491" t="n">
        <f aca="false">+E73+G73</f>
        <v>0</v>
      </c>
      <c r="M73" s="489"/>
      <c r="N73" s="491" t="n">
        <v>0</v>
      </c>
      <c r="O73" s="489"/>
      <c r="P73" s="486" t="n">
        <f aca="false">L73-N73</f>
        <v>0</v>
      </c>
      <c r="Q73" s="392"/>
    </row>
    <row r="74" customFormat="false" ht="21" hidden="false" customHeight="true" outlineLevel="0" collapsed="false">
      <c r="B74" s="359"/>
      <c r="C74" s="366" t="n">
        <v>8</v>
      </c>
      <c r="D74" s="367" t="s">
        <v>391</v>
      </c>
      <c r="E74" s="488" t="n">
        <f aca="false">-SUMIF(BSPL2026!$M:$M,'PL_DEC.2026'!$D74,BSPL2026!$Z:$Z)</f>
        <v>-0</v>
      </c>
      <c r="F74" s="488"/>
      <c r="G74" s="491"/>
      <c r="H74" s="489"/>
      <c r="I74" s="490"/>
      <c r="J74" s="488"/>
      <c r="K74" s="488"/>
      <c r="L74" s="491" t="n">
        <f aca="false">+E74+G74</f>
        <v>0</v>
      </c>
      <c r="M74" s="489"/>
      <c r="N74" s="491" t="n">
        <v>0</v>
      </c>
      <c r="O74" s="489"/>
      <c r="P74" s="486" t="n">
        <f aca="false">L74-N74</f>
        <v>0</v>
      </c>
      <c r="Q74" s="392"/>
    </row>
    <row r="75" customFormat="false" ht="21" hidden="false" customHeight="true" outlineLevel="0" collapsed="false">
      <c r="B75" s="359"/>
      <c r="C75" s="366" t="n">
        <v>8</v>
      </c>
      <c r="D75" s="367" t="s">
        <v>392</v>
      </c>
      <c r="E75" s="488" t="n">
        <f aca="false">-SUMIF(BSPL2026!$M:$M,'PL_DEC.2026'!$D75,BSPL2026!$Z:$Z)</f>
        <v>-0</v>
      </c>
      <c r="F75" s="488"/>
      <c r="G75" s="491"/>
      <c r="H75" s="489"/>
      <c r="I75" s="490"/>
      <c r="J75" s="488"/>
      <c r="K75" s="488"/>
      <c r="L75" s="491" t="n">
        <f aca="false">+E75+G75</f>
        <v>0</v>
      </c>
      <c r="M75" s="489"/>
      <c r="N75" s="491" t="n">
        <v>0</v>
      </c>
      <c r="O75" s="489"/>
      <c r="P75" s="486" t="n">
        <f aca="false">L75-N75</f>
        <v>0</v>
      </c>
      <c r="Q75" s="392"/>
    </row>
    <row r="76" customFormat="false" ht="21" hidden="false" customHeight="true" outlineLevel="0" collapsed="false">
      <c r="B76" s="359"/>
      <c r="C76" s="366" t="n">
        <v>8</v>
      </c>
      <c r="D76" s="367" t="s">
        <v>393</v>
      </c>
      <c r="E76" s="488" t="n">
        <f aca="false">-SUMIF(BSPL2026!$M:$M,'PL_DEC.2026'!$D76,BSPL2026!$Z:$Z)</f>
        <v>21474711333</v>
      </c>
      <c r="F76" s="488"/>
      <c r="G76" s="506"/>
      <c r="H76" s="489"/>
      <c r="I76" s="490"/>
      <c r="J76" s="488" t="n">
        <f aca="false">++'statutory adj_2026 조정분개'!P11</f>
        <v>20794942446</v>
      </c>
      <c r="K76" s="488" t="n">
        <f aca="false">VLOOKUP(D76,'statutory adj_2026 조정분개'!$J$12:$P$26,7,FALSE())</f>
        <v>-50606130</v>
      </c>
      <c r="L76" s="491" t="n">
        <f aca="false">+E76+G76-J76+K76</f>
        <v>629162757</v>
      </c>
      <c r="M76" s="489"/>
      <c r="N76" s="491" t="n">
        <v>18946687440</v>
      </c>
      <c r="O76" s="489"/>
      <c r="P76" s="486" t="n">
        <f aca="false">L76-N76</f>
        <v>-18317524683</v>
      </c>
      <c r="Q76" s="392"/>
    </row>
    <row r="77" customFormat="false" ht="21" hidden="false" customHeight="true" outlineLevel="0" collapsed="false">
      <c r="B77" s="359"/>
      <c r="C77" s="366" t="n">
        <v>8</v>
      </c>
      <c r="D77" s="367" t="s">
        <v>395</v>
      </c>
      <c r="E77" s="488" t="n">
        <f aca="false">-SUMIF(BSPL2026!$M:$M,'PL_DEC.2026'!$D77,BSPL2026!$Z:$Z)</f>
        <v>-0</v>
      </c>
      <c r="F77" s="488"/>
      <c r="G77" s="491"/>
      <c r="H77" s="489"/>
      <c r="I77" s="490"/>
      <c r="J77" s="488"/>
      <c r="K77" s="488"/>
      <c r="L77" s="491" t="n">
        <f aca="false">+E77+G77</f>
        <v>0</v>
      </c>
      <c r="M77" s="489"/>
      <c r="N77" s="491" t="n">
        <v>0</v>
      </c>
      <c r="O77" s="489"/>
      <c r="P77" s="486" t="n">
        <f aca="false">L77-N77</f>
        <v>0</v>
      </c>
      <c r="Q77" s="392"/>
      <c r="R77" s="341"/>
      <c r="S77" s="341"/>
    </row>
    <row r="78" customFormat="false" ht="21" hidden="false" customHeight="true" outlineLevel="0" collapsed="false">
      <c r="B78" s="359"/>
      <c r="C78" s="366" t="n">
        <v>8</v>
      </c>
      <c r="D78" s="367" t="s">
        <v>396</v>
      </c>
      <c r="E78" s="488" t="n">
        <f aca="false">-SUMIF(BSPL2026!$M:$M,'PL_DEC.2026'!$D78,BSPL2026!$Z:$Z)</f>
        <v>-0</v>
      </c>
      <c r="F78" s="488"/>
      <c r="G78" s="491"/>
      <c r="H78" s="489"/>
      <c r="I78" s="490"/>
      <c r="J78" s="488"/>
      <c r="K78" s="488"/>
      <c r="L78" s="491" t="n">
        <f aca="false">+E78+G78</f>
        <v>0</v>
      </c>
      <c r="M78" s="489"/>
      <c r="N78" s="491" t="n">
        <v>0</v>
      </c>
      <c r="O78" s="489"/>
      <c r="P78" s="486" t="n">
        <f aca="false">L78-N78</f>
        <v>0</v>
      </c>
      <c r="Q78" s="392"/>
      <c r="T78" s="341"/>
    </row>
    <row r="79" customFormat="false" ht="21" hidden="false" customHeight="true" outlineLevel="0" collapsed="false">
      <c r="B79" s="359"/>
      <c r="C79" s="366" t="n">
        <v>8</v>
      </c>
      <c r="D79" s="367" t="s">
        <v>398</v>
      </c>
      <c r="E79" s="488" t="n">
        <f aca="false">-SUMIF(BSPL2026!$M:$M,'PL_DEC.2026'!$D79,BSPL2026!$Z:$Z)</f>
        <v>-0</v>
      </c>
      <c r="F79" s="488"/>
      <c r="G79" s="491"/>
      <c r="H79" s="489"/>
      <c r="I79" s="490"/>
      <c r="J79" s="488"/>
      <c r="K79" s="488"/>
      <c r="L79" s="491" t="n">
        <f aca="false">+E79+G79</f>
        <v>0</v>
      </c>
      <c r="M79" s="489"/>
      <c r="N79" s="491" t="n">
        <v>0</v>
      </c>
      <c r="O79" s="489"/>
      <c r="P79" s="486" t="n">
        <f aca="false">L79-N79</f>
        <v>0</v>
      </c>
      <c r="Q79" s="392"/>
    </row>
    <row r="80" customFormat="false" ht="21" hidden="false" customHeight="true" outlineLevel="0" collapsed="false">
      <c r="B80" s="351" t="s">
        <v>2419</v>
      </c>
      <c r="C80" s="352" t="s">
        <v>1090</v>
      </c>
      <c r="D80" s="353"/>
      <c r="E80" s="482"/>
      <c r="F80" s="482" t="n">
        <f aca="false">SUM(E81:E96)</f>
        <v>2174644784</v>
      </c>
      <c r="G80" s="483"/>
      <c r="H80" s="484"/>
      <c r="I80" s="485"/>
      <c r="J80" s="482"/>
      <c r="K80" s="482"/>
      <c r="L80" s="491"/>
      <c r="M80" s="484" t="n">
        <f aca="false">SUM(L81:L96)</f>
        <v>2174644784</v>
      </c>
      <c r="N80" s="491"/>
      <c r="O80" s="484" t="n">
        <v>483100924</v>
      </c>
      <c r="P80" s="486" t="n">
        <f aca="false">M80-O80</f>
        <v>1691543860</v>
      </c>
      <c r="Q80" s="392"/>
      <c r="R80" s="414"/>
      <c r="S80" s="414"/>
      <c r="T80" s="414"/>
    </row>
    <row r="81" customFormat="false" ht="21" hidden="false" customHeight="true" outlineLevel="0" collapsed="false">
      <c r="B81" s="359"/>
      <c r="C81" s="366" t="n">
        <v>1</v>
      </c>
      <c r="D81" s="367" t="s">
        <v>400</v>
      </c>
      <c r="E81" s="488" t="n">
        <f aca="false">SUMIF(BSPL2026!$M:$M,'PL_DEC.2026'!$D81,BSPL2026!$Z:$Z)</f>
        <v>149258988</v>
      </c>
      <c r="F81" s="488"/>
      <c r="G81" s="491"/>
      <c r="H81" s="507"/>
      <c r="I81" s="490"/>
      <c r="J81" s="488"/>
      <c r="K81" s="488"/>
      <c r="L81" s="491" t="n">
        <f aca="false">+E81+H81</f>
        <v>149258988</v>
      </c>
      <c r="M81" s="489"/>
      <c r="N81" s="491" t="n">
        <v>92801999</v>
      </c>
      <c r="O81" s="489"/>
      <c r="P81" s="486" t="n">
        <f aca="false">L81-N81</f>
        <v>56456989</v>
      </c>
      <c r="Q81" s="392"/>
    </row>
    <row r="82" customFormat="false" ht="21" hidden="false" customHeight="true" outlineLevel="0" collapsed="false">
      <c r="B82" s="359"/>
      <c r="C82" s="366" t="n">
        <v>2</v>
      </c>
      <c r="D82" s="367" t="s">
        <v>402</v>
      </c>
      <c r="E82" s="488" t="n">
        <f aca="false">SUMIF(BSPL2026!$M:$M,'PL_DEC.2026'!$D82,BSPL2026!$Z:$Z)</f>
        <v>0</v>
      </c>
      <c r="F82" s="488"/>
      <c r="G82" s="491"/>
      <c r="H82" s="489"/>
      <c r="I82" s="490"/>
      <c r="J82" s="488"/>
      <c r="K82" s="488"/>
      <c r="L82" s="491" t="n">
        <f aca="false">+E82+G82</f>
        <v>0</v>
      </c>
      <c r="M82" s="489"/>
      <c r="N82" s="491" t="n">
        <v>0</v>
      </c>
      <c r="O82" s="489"/>
      <c r="P82" s="486" t="n">
        <f aca="false">L82-N82</f>
        <v>0</v>
      </c>
      <c r="Q82" s="392"/>
    </row>
    <row r="83" customFormat="false" ht="21" hidden="false" customHeight="true" outlineLevel="0" collapsed="false">
      <c r="B83" s="359"/>
      <c r="C83" s="366" t="n">
        <v>3</v>
      </c>
      <c r="D83" s="367" t="s">
        <v>403</v>
      </c>
      <c r="E83" s="488" t="n">
        <f aca="false">SUMIF(BSPL2026!$M:$M,'PL_DEC.2026'!$D83,BSPL2026!$Z:$Z)</f>
        <v>-37435248</v>
      </c>
      <c r="F83" s="488"/>
      <c r="G83" s="491"/>
      <c r="H83" s="489"/>
      <c r="I83" s="490"/>
      <c r="J83" s="488"/>
      <c r="K83" s="488"/>
      <c r="L83" s="491" t="n">
        <f aca="false">+E83+G83</f>
        <v>-37435248</v>
      </c>
      <c r="M83" s="489"/>
      <c r="N83" s="491" t="n">
        <v>33586551</v>
      </c>
      <c r="O83" s="489"/>
      <c r="P83" s="486" t="n">
        <f aca="false">L83-N83</f>
        <v>-71021799</v>
      </c>
      <c r="Q83" s="392"/>
    </row>
    <row r="84" customFormat="false" ht="21" hidden="false" customHeight="true" outlineLevel="0" collapsed="false">
      <c r="B84" s="359"/>
      <c r="C84" s="366" t="n">
        <v>4</v>
      </c>
      <c r="D84" s="367" t="s">
        <v>405</v>
      </c>
      <c r="E84" s="488" t="n">
        <f aca="false">SUMIF(BSPL2026!$M:$M,'PL_DEC.2026'!$D84,BSPL2026!$Z:$Z)</f>
        <v>0</v>
      </c>
      <c r="F84" s="488"/>
      <c r="G84" s="491"/>
      <c r="H84" s="489"/>
      <c r="I84" s="490"/>
      <c r="J84" s="488"/>
      <c r="K84" s="488"/>
      <c r="L84" s="491" t="n">
        <f aca="false">+E84+G84</f>
        <v>0</v>
      </c>
      <c r="M84" s="489"/>
      <c r="N84" s="491" t="n">
        <v>0</v>
      </c>
      <c r="O84" s="489"/>
      <c r="P84" s="486" t="n">
        <f aca="false">L84-N84</f>
        <v>0</v>
      </c>
      <c r="Q84" s="392"/>
    </row>
    <row r="85" customFormat="false" ht="21" hidden="false" customHeight="true" outlineLevel="0" collapsed="false">
      <c r="B85" s="359"/>
      <c r="C85" s="366" t="n">
        <v>5</v>
      </c>
      <c r="D85" s="367" t="s">
        <v>406</v>
      </c>
      <c r="E85" s="488" t="n">
        <f aca="false">SUMIF(BSPL2026!$M:$M,'PL_DEC.2026'!$D85,BSPL2026!$Z:$Z)</f>
        <v>290797619</v>
      </c>
      <c r="F85" s="488"/>
      <c r="G85" s="491"/>
      <c r="H85" s="489"/>
      <c r="I85" s="490"/>
      <c r="J85" s="488"/>
      <c r="K85" s="488"/>
      <c r="L85" s="491" t="n">
        <f aca="false">+E85+G85</f>
        <v>290797619</v>
      </c>
      <c r="M85" s="489"/>
      <c r="N85" s="491" t="n">
        <v>259053818</v>
      </c>
      <c r="O85" s="489"/>
      <c r="P85" s="486" t="n">
        <f aca="false">L85-N85</f>
        <v>31743801</v>
      </c>
      <c r="Q85" s="392"/>
    </row>
    <row r="86" customFormat="false" ht="21" hidden="false" customHeight="true" outlineLevel="0" collapsed="false">
      <c r="B86" s="359"/>
      <c r="C86" s="366" t="n">
        <v>5</v>
      </c>
      <c r="D86" s="367" t="s">
        <v>408</v>
      </c>
      <c r="E86" s="488" t="n">
        <f aca="false">SUMIF(BSPL2026!$M:$M,'PL_DEC.2026'!$D86,BSPL2026!$Z:$Z)</f>
        <v>0</v>
      </c>
      <c r="F86" s="488"/>
      <c r="G86" s="491"/>
      <c r="H86" s="489"/>
      <c r="I86" s="490"/>
      <c r="J86" s="488"/>
      <c r="K86" s="488"/>
      <c r="L86" s="491" t="n">
        <f aca="false">+E86+G86</f>
        <v>0</v>
      </c>
      <c r="M86" s="489"/>
      <c r="N86" s="491" t="n">
        <v>0</v>
      </c>
      <c r="O86" s="489"/>
      <c r="P86" s="486" t="n">
        <f aca="false">L86-N86</f>
        <v>0</v>
      </c>
      <c r="Q86" s="392"/>
    </row>
    <row r="87" customFormat="false" ht="21" hidden="false" customHeight="true" outlineLevel="0" collapsed="false">
      <c r="B87" s="359"/>
      <c r="C87" s="366" t="n">
        <v>5</v>
      </c>
      <c r="D87" s="367" t="s">
        <v>409</v>
      </c>
      <c r="E87" s="488" t="n">
        <f aca="false">SUMIF(BSPL2026!$M:$M,'PL_DEC.2026'!$D87,BSPL2026!$Z:$Z)</f>
        <v>1372357643</v>
      </c>
      <c r="F87" s="488"/>
      <c r="G87" s="491"/>
      <c r="H87" s="489"/>
      <c r="I87" s="490"/>
      <c r="J87" s="488"/>
      <c r="K87" s="488"/>
      <c r="L87" s="491" t="n">
        <f aca="false">+E87+G87</f>
        <v>1372357643</v>
      </c>
      <c r="M87" s="489"/>
      <c r="N87" s="491" t="n">
        <v>0</v>
      </c>
      <c r="O87" s="489"/>
      <c r="P87" s="486" t="n">
        <f aca="false">L87-N87</f>
        <v>1372357643</v>
      </c>
      <c r="Q87" s="392"/>
    </row>
    <row r="88" customFormat="false" ht="21" hidden="false" customHeight="true" outlineLevel="0" collapsed="false">
      <c r="B88" s="359"/>
      <c r="C88" s="366" t="n">
        <v>5</v>
      </c>
      <c r="D88" s="367" t="s">
        <v>411</v>
      </c>
      <c r="E88" s="488" t="n">
        <f aca="false">SUMIF(BSPL2026!$M:$M,'PL_DEC.2026'!$D88,BSPL2026!$Z:$Z)</f>
        <v>0</v>
      </c>
      <c r="F88" s="488"/>
      <c r="G88" s="491"/>
      <c r="H88" s="489"/>
      <c r="I88" s="490"/>
      <c r="J88" s="488"/>
      <c r="K88" s="488"/>
      <c r="L88" s="491" t="n">
        <f aca="false">+E88+G88</f>
        <v>0</v>
      </c>
      <c r="M88" s="489"/>
      <c r="N88" s="491" t="n">
        <v>0</v>
      </c>
      <c r="O88" s="489"/>
      <c r="P88" s="486" t="n">
        <f aca="false">L88-N88</f>
        <v>0</v>
      </c>
      <c r="Q88" s="392"/>
    </row>
    <row r="89" customFormat="false" ht="21" hidden="false" customHeight="true" outlineLevel="0" collapsed="false">
      <c r="B89" s="359"/>
      <c r="C89" s="366" t="n">
        <v>5</v>
      </c>
      <c r="D89" s="367" t="s">
        <v>412</v>
      </c>
      <c r="E89" s="488" t="n">
        <f aca="false">SUMIF(BSPL2026!$M:$M,'PL_DEC.2026'!$D89,BSPL2026!$Z:$Z)</f>
        <v>0</v>
      </c>
      <c r="F89" s="488"/>
      <c r="G89" s="491"/>
      <c r="H89" s="489"/>
      <c r="I89" s="490"/>
      <c r="J89" s="488"/>
      <c r="K89" s="488"/>
      <c r="L89" s="491" t="n">
        <f aca="false">+E89+G89</f>
        <v>0</v>
      </c>
      <c r="M89" s="489"/>
      <c r="N89" s="491" t="n">
        <v>0</v>
      </c>
      <c r="O89" s="489"/>
      <c r="P89" s="486" t="n">
        <f aca="false">L89-N89</f>
        <v>0</v>
      </c>
      <c r="Q89" s="392"/>
    </row>
    <row r="90" customFormat="false" ht="21" hidden="false" customHeight="true" outlineLevel="0" collapsed="false">
      <c r="B90" s="359"/>
      <c r="C90" s="366" t="n">
        <v>5</v>
      </c>
      <c r="D90" s="367" t="s">
        <v>413</v>
      </c>
      <c r="E90" s="488" t="n">
        <f aca="false">SUMIF(BSPL2026!$M:$M,'PL_DEC.2026'!$D90,BSPL2026!$Z:$Z)</f>
        <v>0</v>
      </c>
      <c r="F90" s="488"/>
      <c r="G90" s="491"/>
      <c r="H90" s="489"/>
      <c r="I90" s="490"/>
      <c r="J90" s="488"/>
      <c r="K90" s="488"/>
      <c r="L90" s="491" t="n">
        <f aca="false">+E90+G90</f>
        <v>0</v>
      </c>
      <c r="M90" s="489"/>
      <c r="N90" s="491" t="n">
        <v>0</v>
      </c>
      <c r="O90" s="489"/>
      <c r="P90" s="486" t="n">
        <f aca="false">L90-N90</f>
        <v>0</v>
      </c>
      <c r="Q90" s="392"/>
    </row>
    <row r="91" customFormat="false" ht="21" hidden="false" customHeight="true" outlineLevel="0" collapsed="false">
      <c r="B91" s="359"/>
      <c r="C91" s="366" t="n">
        <v>5</v>
      </c>
      <c r="D91" s="367" t="s">
        <v>414</v>
      </c>
      <c r="E91" s="488" t="n">
        <f aca="false">SUMIF(BSPL2026!$M:$M,'PL_DEC.2026'!$D91,BSPL2026!$Z:$Z)</f>
        <v>0</v>
      </c>
      <c r="F91" s="488"/>
      <c r="G91" s="491"/>
      <c r="H91" s="489"/>
      <c r="I91" s="490"/>
      <c r="J91" s="488"/>
      <c r="K91" s="488"/>
      <c r="L91" s="491" t="n">
        <f aca="false">+E91+G91+I91</f>
        <v>0</v>
      </c>
      <c r="M91" s="489"/>
      <c r="N91" s="491" t="n">
        <v>0</v>
      </c>
      <c r="O91" s="489"/>
      <c r="P91" s="486" t="n">
        <f aca="false">L91-N91</f>
        <v>0</v>
      </c>
      <c r="Q91" s="392"/>
    </row>
    <row r="92" customFormat="false" ht="21" hidden="false" customHeight="true" outlineLevel="0" collapsed="false">
      <c r="B92" s="359"/>
      <c r="C92" s="366" t="n">
        <v>6</v>
      </c>
      <c r="D92" s="367" t="s">
        <v>415</v>
      </c>
      <c r="E92" s="488" t="n">
        <f aca="false">SUMIF(BSPL2026!$M:$M,'PL_DEC.2026'!$D92,BSPL2026!$Z:$Z)</f>
        <v>0</v>
      </c>
      <c r="F92" s="488"/>
      <c r="G92" s="491"/>
      <c r="H92" s="489"/>
      <c r="I92" s="490"/>
      <c r="J92" s="488"/>
      <c r="K92" s="488"/>
      <c r="L92" s="491" t="n">
        <f aca="false">+E92+G92</f>
        <v>0</v>
      </c>
      <c r="M92" s="489"/>
      <c r="N92" s="491" t="n">
        <v>0</v>
      </c>
      <c r="O92" s="489"/>
      <c r="P92" s="486" t="n">
        <f aca="false">L92-N92</f>
        <v>0</v>
      </c>
      <c r="Q92" s="392"/>
    </row>
    <row r="93" customFormat="false" ht="21" hidden="false" customHeight="true" outlineLevel="0" collapsed="false">
      <c r="B93" s="359"/>
      <c r="C93" s="366" t="n">
        <v>7</v>
      </c>
      <c r="D93" s="367" t="s">
        <v>416</v>
      </c>
      <c r="E93" s="488" t="n">
        <f aca="false">SUMIF(BSPL2026!$M:$M,'PL_DEC.2026'!$D93,BSPL2026!$Z:$Z)</f>
        <v>0</v>
      </c>
      <c r="F93" s="488"/>
      <c r="G93" s="491"/>
      <c r="H93" s="489"/>
      <c r="I93" s="490"/>
      <c r="J93" s="488"/>
      <c r="K93" s="488"/>
      <c r="L93" s="491" t="n">
        <f aca="false">+E93+G93</f>
        <v>0</v>
      </c>
      <c r="M93" s="489"/>
      <c r="N93" s="491" t="n">
        <v>0</v>
      </c>
      <c r="O93" s="489"/>
      <c r="P93" s="486" t="n">
        <f aca="false">L93-N93</f>
        <v>0</v>
      </c>
      <c r="Q93" s="392"/>
    </row>
    <row r="94" customFormat="false" ht="21" hidden="false" customHeight="true" outlineLevel="0" collapsed="false">
      <c r="B94" s="359"/>
      <c r="C94" s="366" t="n">
        <v>8</v>
      </c>
      <c r="D94" s="367" t="s">
        <v>417</v>
      </c>
      <c r="E94" s="488" t="n">
        <f aca="false">SUMIF(BSPL2026!$M:$M,'PL_DEC.2026'!$D94,BSPL2026!$Z:$Z)</f>
        <v>0</v>
      </c>
      <c r="F94" s="488"/>
      <c r="G94" s="491"/>
      <c r="H94" s="489"/>
      <c r="I94" s="490"/>
      <c r="J94" s="488"/>
      <c r="K94" s="488"/>
      <c r="L94" s="491" t="n">
        <f aca="false">+E94+G94</f>
        <v>0</v>
      </c>
      <c r="M94" s="489"/>
      <c r="N94" s="491" t="n">
        <v>0</v>
      </c>
      <c r="O94" s="489"/>
      <c r="P94" s="486" t="n">
        <f aca="false">L94-N94</f>
        <v>0</v>
      </c>
      <c r="Q94" s="392"/>
      <c r="R94" s="341"/>
      <c r="S94" s="341"/>
    </row>
    <row r="95" customFormat="false" ht="21" hidden="false" customHeight="true" outlineLevel="0" collapsed="false">
      <c r="B95" s="359"/>
      <c r="C95" s="366" t="n">
        <v>9</v>
      </c>
      <c r="D95" s="367" t="s">
        <v>418</v>
      </c>
      <c r="E95" s="488" t="n">
        <f aca="false">SUMIF(BSPL2026!$M:$M,'PL_DEC.2026'!$D95,BSPL2026!$Z:$Z)</f>
        <v>0</v>
      </c>
      <c r="F95" s="488"/>
      <c r="G95" s="491"/>
      <c r="H95" s="489"/>
      <c r="I95" s="490"/>
      <c r="J95" s="488"/>
      <c r="K95" s="488"/>
      <c r="L95" s="491" t="n">
        <f aca="false">+E95+G95</f>
        <v>0</v>
      </c>
      <c r="M95" s="489"/>
      <c r="N95" s="491" t="n">
        <v>0</v>
      </c>
      <c r="O95" s="489"/>
      <c r="P95" s="486" t="n">
        <f aca="false">L95-N95</f>
        <v>0</v>
      </c>
      <c r="Q95" s="392"/>
      <c r="R95" s="341"/>
      <c r="S95" s="341"/>
      <c r="T95" s="341"/>
    </row>
    <row r="96" customFormat="false" ht="21" hidden="false" customHeight="true" outlineLevel="0" collapsed="false">
      <c r="B96" s="359"/>
      <c r="C96" s="366" t="n">
        <v>10</v>
      </c>
      <c r="D96" s="367" t="s">
        <v>419</v>
      </c>
      <c r="E96" s="488" t="n">
        <f aca="false">SUMIF(BSPL2026!$M:$M,'PL_DEC.2026'!$D96,BSPL2026!$Z:$Z)</f>
        <v>399665782</v>
      </c>
      <c r="F96" s="488"/>
      <c r="G96" s="491"/>
      <c r="H96" s="489"/>
      <c r="I96" s="490"/>
      <c r="J96" s="488"/>
      <c r="K96" s="488"/>
      <c r="L96" s="491" t="n">
        <f aca="false">+E96+G96-H96</f>
        <v>399665782</v>
      </c>
      <c r="M96" s="489"/>
      <c r="N96" s="491" t="n">
        <v>97658556</v>
      </c>
      <c r="O96" s="489"/>
      <c r="P96" s="486" t="n">
        <f aca="false">L96-N96</f>
        <v>302007226</v>
      </c>
      <c r="Q96" s="392"/>
      <c r="R96" s="341"/>
      <c r="S96" s="341"/>
      <c r="T96" s="341"/>
    </row>
    <row r="97" customFormat="false" ht="21" hidden="false" customHeight="true" outlineLevel="0" collapsed="false">
      <c r="B97" s="351" t="s">
        <v>2420</v>
      </c>
      <c r="C97" s="352" t="s">
        <v>2421</v>
      </c>
      <c r="D97" s="353"/>
      <c r="E97" s="482"/>
      <c r="F97" s="482" t="n">
        <f aca="false">F64+F65-F80</f>
        <v>60475610467</v>
      </c>
      <c r="G97" s="491"/>
      <c r="H97" s="489"/>
      <c r="I97" s="490"/>
      <c r="J97" s="488"/>
      <c r="K97" s="488"/>
      <c r="L97" s="491"/>
      <c r="M97" s="484" t="n">
        <f aca="false">M64+M65-M80</f>
        <v>60374398206</v>
      </c>
      <c r="N97" s="483"/>
      <c r="O97" s="484" t="n">
        <v>48208293350</v>
      </c>
      <c r="P97" s="486" t="n">
        <f aca="false">M97-O97</f>
        <v>12166104856</v>
      </c>
      <c r="Q97" s="392"/>
      <c r="R97" s="414"/>
      <c r="S97" s="414"/>
    </row>
    <row r="98" customFormat="false" ht="21" hidden="false" customHeight="true" outlineLevel="0" collapsed="false">
      <c r="B98" s="351" t="s">
        <v>2422</v>
      </c>
      <c r="C98" s="352" t="s">
        <v>428</v>
      </c>
      <c r="D98" s="353"/>
      <c r="E98" s="482"/>
      <c r="F98" s="488" t="n">
        <f aca="false">SUMIF(BSPL2026!$M:$M,$C98,BSPL2026!$Z:$Z)</f>
        <v>11186723445</v>
      </c>
      <c r="G98" s="491"/>
      <c r="H98" s="489"/>
      <c r="I98" s="490"/>
      <c r="J98" s="488"/>
      <c r="K98" s="488"/>
      <c r="L98" s="491"/>
      <c r="M98" s="489" t="n">
        <f aca="false">+F98+G98+K98</f>
        <v>11186723445</v>
      </c>
      <c r="N98" s="491"/>
      <c r="O98" s="489" t="n">
        <v>10248455012</v>
      </c>
      <c r="P98" s="486" t="n">
        <f aca="false">M98-O98</f>
        <v>938268433</v>
      </c>
      <c r="Q98" s="392"/>
      <c r="R98" s="414"/>
      <c r="S98" s="414"/>
      <c r="T98" s="414"/>
    </row>
    <row r="99" customFormat="false" ht="21" hidden="false" customHeight="true" outlineLevel="0" collapsed="false">
      <c r="B99" s="393" t="s">
        <v>2423</v>
      </c>
      <c r="C99" s="394" t="s">
        <v>251</v>
      </c>
      <c r="D99" s="395"/>
      <c r="E99" s="508"/>
      <c r="F99" s="508" t="n">
        <f aca="false">F97-F98</f>
        <v>49288887022</v>
      </c>
      <c r="G99" s="509"/>
      <c r="H99" s="510"/>
      <c r="I99" s="511"/>
      <c r="J99" s="508"/>
      <c r="K99" s="508"/>
      <c r="L99" s="509"/>
      <c r="M99" s="510" t="n">
        <f aca="false">M97-M98</f>
        <v>49187674761</v>
      </c>
      <c r="N99" s="512"/>
      <c r="O99" s="510" t="n">
        <v>37959838338</v>
      </c>
      <c r="P99" s="486" t="n">
        <f aca="false">M99-O99</f>
        <v>11227836423</v>
      </c>
      <c r="Q99" s="392"/>
      <c r="R99" s="401"/>
      <c r="S99" s="401"/>
      <c r="T99" s="414"/>
    </row>
    <row r="100" customFormat="false" ht="16.5" hidden="false" customHeight="false" outlineLevel="0" collapsed="false">
      <c r="F100" s="400"/>
      <c r="G100" s="400"/>
      <c r="H100" s="400"/>
      <c r="I100" s="400"/>
      <c r="J100" s="400"/>
      <c r="K100" s="400"/>
      <c r="L100" s="400"/>
      <c r="M100" s="400"/>
      <c r="O100" s="400"/>
      <c r="R100" s="401"/>
      <c r="S100" s="401"/>
      <c r="T100" s="401"/>
    </row>
    <row r="101" customFormat="false" ht="16.5" hidden="false" customHeight="false" outlineLevel="0" collapsed="false">
      <c r="E101" s="414" t="s">
        <v>2369</v>
      </c>
      <c r="F101" s="389" t="n">
        <v>-49288887022</v>
      </c>
      <c r="G101" s="400" t="s">
        <v>2424</v>
      </c>
      <c r="H101" s="400"/>
      <c r="I101" s="400"/>
      <c r="J101" s="400"/>
      <c r="K101" s="400"/>
      <c r="L101" s="400"/>
      <c r="M101" s="389" t="n">
        <v>49187674761</v>
      </c>
      <c r="O101" s="400" t="n">
        <v>37959838338</v>
      </c>
      <c r="T101" s="401"/>
    </row>
    <row r="102" customFormat="false" ht="16.5" hidden="false" customHeight="false" outlineLevel="0" collapsed="false">
      <c r="E102" s="401" t="s">
        <v>2369</v>
      </c>
      <c r="F102" s="401" t="n">
        <f aca="false">++F99+F101</f>
        <v>0</v>
      </c>
      <c r="G102" s="482"/>
      <c r="H102" s="482"/>
      <c r="I102" s="482"/>
      <c r="J102" s="482"/>
      <c r="K102" s="482"/>
      <c r="L102" s="482"/>
      <c r="M102" s="482" t="n">
        <f aca="false">++M99-M101</f>
        <v>0</v>
      </c>
      <c r="R102" s="414"/>
      <c r="S102" s="414"/>
      <c r="T102" s="414"/>
    </row>
    <row r="103" customFormat="false" ht="16.5" hidden="false" customHeight="false" outlineLevel="0" collapsed="false">
      <c r="G103" s="482"/>
      <c r="H103" s="482"/>
      <c r="I103" s="482"/>
      <c r="J103" s="482"/>
      <c r="K103" s="482"/>
      <c r="L103" s="482"/>
      <c r="M103" s="482"/>
      <c r="R103" s="414"/>
      <c r="S103" s="414"/>
      <c r="T103" s="414"/>
    </row>
    <row r="104" customFormat="false" ht="16.5" hidden="false" customHeight="false" outlineLevel="0" collapsed="false">
      <c r="K104" s="482" t="n">
        <f aca="false">++F99-M99</f>
        <v>101212261</v>
      </c>
      <c r="L104" s="482"/>
      <c r="M104" s="482"/>
    </row>
    <row r="105" customFormat="false" ht="16.5" hidden="false" customHeight="false" outlineLevel="0" collapsed="false">
      <c r="K105" s="482"/>
      <c r="L105" s="482"/>
      <c r="M105" s="482"/>
    </row>
    <row r="106" customFormat="false" ht="16.5" hidden="false" customHeight="false" outlineLevel="0" collapsed="false">
      <c r="K106" s="482"/>
      <c r="L106" s="482"/>
      <c r="M106" s="482"/>
    </row>
    <row r="107" customFormat="false" ht="16.5" hidden="false" customHeight="false" outlineLevel="0" collapsed="false">
      <c r="K107" s="482"/>
      <c r="L107" s="482"/>
      <c r="M107" s="482"/>
    </row>
    <row r="108" customFormat="false" ht="16.5" hidden="false" customHeight="false" outlineLevel="0" collapsed="false">
      <c r="K108" s="482"/>
      <c r="L108" s="482"/>
      <c r="M108" s="482"/>
    </row>
    <row r="109" customFormat="false" ht="16.5" hidden="false" customHeight="false" outlineLevel="0" collapsed="false">
      <c r="K109" s="482"/>
      <c r="L109" s="482"/>
      <c r="M109" s="482"/>
    </row>
    <row r="110" customFormat="false" ht="16.5" hidden="false" customHeight="false" outlineLevel="0" collapsed="false">
      <c r="K110" s="482"/>
      <c r="L110" s="482"/>
      <c r="M110" s="482"/>
    </row>
    <row r="111" customFormat="false" ht="16.5" hidden="false" customHeight="false" outlineLevel="0" collapsed="false">
      <c r="K111" s="482"/>
      <c r="L111" s="482"/>
      <c r="M111" s="482"/>
    </row>
    <row r="112" customFormat="false" ht="16.5" hidden="false" customHeight="false" outlineLevel="0" collapsed="false">
      <c r="K112" s="482"/>
      <c r="L112" s="482"/>
      <c r="M112" s="482"/>
    </row>
    <row r="113" customFormat="false" ht="16.5" hidden="false" customHeight="false" outlineLevel="0" collapsed="false">
      <c r="I113" s="482"/>
    </row>
    <row r="114" customFormat="false" ht="16.5" hidden="false" customHeight="false" outlineLevel="0" collapsed="false">
      <c r="I114" s="482"/>
    </row>
    <row r="118" customFormat="false" ht="16.5" hidden="false" customHeight="false" outlineLevel="0" collapsed="false">
      <c r="H118" s="389" t="n">
        <f aca="false">++G98+G96+H81+G76+H54+G43+G31+H26+G14</f>
        <v>0</v>
      </c>
    </row>
  </sheetData>
  <mergeCells count="13">
    <mergeCell ref="B3:O3"/>
    <mergeCell ref="B5:O5"/>
    <mergeCell ref="B6:O6"/>
    <mergeCell ref="G7:H7"/>
    <mergeCell ref="J7:K7"/>
    <mergeCell ref="B8:D9"/>
    <mergeCell ref="E8:F9"/>
    <mergeCell ref="G8:H8"/>
    <mergeCell ref="J8:K8"/>
    <mergeCell ref="L8:M9"/>
    <mergeCell ref="N8:O9"/>
    <mergeCell ref="G9:H9"/>
    <mergeCell ref="J9:K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Z121"/>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selection pane="topLeft" activeCell="K105" activeCellId="0" sqref="K105"/>
    </sheetView>
  </sheetViews>
  <sheetFormatPr defaultColWidth="16.62890625" defaultRowHeight="16.5" zeroHeight="false" outlineLevelRow="0" outlineLevelCol="0"/>
  <cols>
    <col collapsed="false" customWidth="true" hidden="false" outlineLevel="0" max="1" min="1" style="172" width="2.63"/>
    <col collapsed="false" customWidth="true" hidden="false" outlineLevel="0" max="2" min="2" style="334" width="2.63"/>
    <col collapsed="false" customWidth="true" hidden="false" outlineLevel="0" max="3" min="3" style="172" width="4.63"/>
    <col collapsed="false" customWidth="true" hidden="false" outlineLevel="0" max="4" min="4" style="172" width="24.63"/>
    <col collapsed="false" customWidth="true" hidden="true" outlineLevel="0" max="5" min="5" style="172" width="15.63"/>
    <col collapsed="false" customWidth="false" hidden="false" outlineLevel="0" max="12" min="11" style="172" width="16.63"/>
    <col collapsed="false" customWidth="false" hidden="false" outlineLevel="0" max="15" min="15" style="172" width="16.63"/>
    <col collapsed="false" customWidth="false" hidden="false" outlineLevel="0" max="17" min="17" style="172" width="16.63"/>
    <col collapsed="false" customWidth="true" hidden="false" outlineLevel="0" max="20" min="19" style="172" width="60.63"/>
    <col collapsed="false" customWidth="true" hidden="false" outlineLevel="0" max="21" min="21" style="334" width="60.63"/>
    <col collapsed="false" customWidth="false" hidden="false" outlineLevel="0" max="23" min="22" style="172" width="16.63"/>
  </cols>
  <sheetData>
    <row r="1" customFormat="false" ht="16.5" hidden="false" customHeight="false" outlineLevel="0" collapsed="false">
      <c r="A1" s="513" t="s">
        <v>2425</v>
      </c>
      <c r="I1" s="514"/>
    </row>
    <row r="2" customFormat="false" ht="16.5" hidden="false" customHeight="false" outlineLevel="0" collapsed="false">
      <c r="B2" s="515" t="s">
        <v>2333</v>
      </c>
      <c r="K2" s="516" t="s">
        <v>2</v>
      </c>
      <c r="L2" s="517" t="n">
        <v>0.01</v>
      </c>
      <c r="M2" s="518" t="n">
        <v>6457544606.71</v>
      </c>
      <c r="N2" s="519"/>
      <c r="O2" s="520"/>
      <c r="P2" s="520"/>
      <c r="Q2" s="521"/>
      <c r="R2" s="521"/>
      <c r="S2" s="522"/>
      <c r="T2" s="520"/>
      <c r="U2" s="520"/>
      <c r="V2" s="523"/>
    </row>
    <row r="3" customFormat="false" ht="16.5" hidden="false" customHeight="false" outlineLevel="0" collapsed="false">
      <c r="B3" s="524" t="s">
        <v>2335</v>
      </c>
      <c r="K3" s="525" t="s">
        <v>4</v>
      </c>
      <c r="L3" s="526" t="n">
        <v>0.8</v>
      </c>
      <c r="M3" s="527" t="n">
        <v>5166035685.368</v>
      </c>
      <c r="N3" s="519"/>
      <c r="O3" s="520"/>
      <c r="P3" s="520"/>
      <c r="Q3" s="521"/>
      <c r="R3" s="521"/>
      <c r="S3" s="522"/>
      <c r="T3" s="520"/>
      <c r="U3" s="520"/>
      <c r="V3" s="523"/>
    </row>
    <row r="4" customFormat="false" ht="16.5" hidden="false" customHeight="false" outlineLevel="0" collapsed="false">
      <c r="B4" s="524" t="s">
        <v>2426</v>
      </c>
      <c r="H4" s="523"/>
      <c r="K4" s="528" t="s">
        <v>5</v>
      </c>
      <c r="L4" s="529" t="n">
        <v>0.03</v>
      </c>
      <c r="M4" s="530" t="n">
        <v>193726338.2013</v>
      </c>
      <c r="N4" s="519"/>
      <c r="O4" s="520"/>
      <c r="P4" s="520"/>
      <c r="Q4" s="521"/>
      <c r="R4" s="521"/>
      <c r="S4" s="522"/>
      <c r="T4" s="520"/>
      <c r="U4" s="520"/>
      <c r="V4" s="523"/>
    </row>
    <row r="5" customFormat="false" ht="16.5" hidden="false" customHeight="false" outlineLevel="0" collapsed="false">
      <c r="E5" s="523"/>
      <c r="F5" s="523"/>
      <c r="G5" s="519" t="s">
        <v>1437</v>
      </c>
      <c r="H5" s="519"/>
      <c r="I5" s="531" t="s">
        <v>2337</v>
      </c>
      <c r="J5" s="531"/>
      <c r="K5" s="523"/>
      <c r="L5" s="523"/>
      <c r="M5" s="523"/>
      <c r="N5" s="523"/>
      <c r="O5" s="520"/>
      <c r="P5" s="520"/>
      <c r="Q5" s="521"/>
      <c r="R5" s="521"/>
      <c r="S5" s="522"/>
      <c r="T5" s="520"/>
      <c r="U5" s="520"/>
      <c r="V5" s="523"/>
    </row>
    <row r="6" customFormat="false" ht="16.5" hidden="false" customHeight="true" outlineLevel="0" collapsed="false">
      <c r="B6" s="532" t="s">
        <v>2338</v>
      </c>
      <c r="C6" s="532"/>
      <c r="D6" s="532"/>
      <c r="E6" s="533" t="s">
        <v>2427</v>
      </c>
      <c r="F6" s="533"/>
      <c r="G6" s="534" t="s">
        <v>2339</v>
      </c>
      <c r="H6" s="535" t="s">
        <v>2340</v>
      </c>
      <c r="I6" s="536" t="s">
        <v>2341</v>
      </c>
      <c r="J6" s="536"/>
      <c r="K6" s="533" t="s">
        <v>2427</v>
      </c>
      <c r="L6" s="533"/>
      <c r="M6" s="533" t="s">
        <v>2428</v>
      </c>
      <c r="N6" s="533"/>
      <c r="O6" s="537" t="s">
        <v>2429</v>
      </c>
      <c r="P6" s="537"/>
      <c r="Q6" s="533" t="s">
        <v>2430</v>
      </c>
      <c r="R6" s="538" t="s">
        <v>2431</v>
      </c>
      <c r="S6" s="533" t="s">
        <v>2432</v>
      </c>
      <c r="T6" s="533" t="s">
        <v>2433</v>
      </c>
      <c r="U6" s="533" t="s">
        <v>2434</v>
      </c>
      <c r="V6" s="523"/>
    </row>
    <row r="7" customFormat="false" ht="16.5" hidden="false" customHeight="false" outlineLevel="0" collapsed="false">
      <c r="B7" s="532"/>
      <c r="C7" s="532"/>
      <c r="D7" s="532"/>
      <c r="E7" s="533"/>
      <c r="F7" s="533"/>
      <c r="G7" s="539" t="s">
        <v>2208</v>
      </c>
      <c r="H7" s="540" t="s">
        <v>2342</v>
      </c>
      <c r="I7" s="541" t="s">
        <v>2343</v>
      </c>
      <c r="J7" s="541"/>
      <c r="K7" s="533"/>
      <c r="L7" s="533"/>
      <c r="M7" s="533"/>
      <c r="N7" s="533"/>
      <c r="O7" s="542" t="s">
        <v>11</v>
      </c>
      <c r="P7" s="543" t="s">
        <v>2435</v>
      </c>
      <c r="Q7" s="533"/>
      <c r="R7" s="533"/>
      <c r="S7" s="533"/>
      <c r="T7" s="533"/>
      <c r="U7" s="533"/>
    </row>
    <row r="8" customFormat="false" ht="16.5" hidden="false" customHeight="false" outlineLevel="0" collapsed="false">
      <c r="B8" s="544"/>
      <c r="C8" s="545" t="s">
        <v>2344</v>
      </c>
      <c r="D8" s="546"/>
      <c r="E8" s="547"/>
      <c r="F8" s="548"/>
      <c r="G8" s="549"/>
      <c r="H8" s="550"/>
      <c r="I8" s="549"/>
      <c r="J8" s="548"/>
      <c r="K8" s="547"/>
      <c r="L8" s="548"/>
      <c r="M8" s="547"/>
      <c r="N8" s="548"/>
      <c r="O8" s="547"/>
      <c r="P8" s="548"/>
      <c r="Q8" s="551"/>
      <c r="R8" s="551"/>
      <c r="S8" s="552"/>
      <c r="T8" s="550"/>
      <c r="U8" s="550"/>
      <c r="V8" s="519"/>
      <c r="W8" s="553"/>
      <c r="X8" s="553"/>
      <c r="Y8" s="553"/>
      <c r="Z8" s="553"/>
    </row>
    <row r="9" customFormat="false" ht="16.5" hidden="false" customHeight="false" outlineLevel="0" collapsed="false">
      <c r="B9" s="544" t="s">
        <v>2345</v>
      </c>
      <c r="C9" s="545" t="s">
        <v>2346</v>
      </c>
      <c r="D9" s="546"/>
      <c r="E9" s="547"/>
      <c r="F9" s="548" t="n">
        <v>404185071807</v>
      </c>
      <c r="G9" s="549"/>
      <c r="H9" s="550"/>
      <c r="I9" s="549"/>
      <c r="J9" s="548"/>
      <c r="K9" s="547"/>
      <c r="L9" s="548" t="n">
        <v>399003823525</v>
      </c>
      <c r="M9" s="547"/>
      <c r="N9" s="548" t="n">
        <v>389444572154</v>
      </c>
      <c r="O9" s="547" t="n">
        <v>9559251371</v>
      </c>
      <c r="P9" s="554" t="n">
        <v>0.0245458585239184</v>
      </c>
      <c r="Q9" s="551"/>
      <c r="R9" s="551"/>
      <c r="S9" s="552"/>
      <c r="T9" s="550"/>
      <c r="U9" s="550"/>
      <c r="V9" s="519"/>
      <c r="W9" s="553"/>
      <c r="X9" s="553"/>
      <c r="Y9" s="553"/>
      <c r="Z9" s="553"/>
    </row>
    <row r="10" customFormat="false" ht="16.5" hidden="false" customHeight="false" outlineLevel="0" collapsed="false">
      <c r="B10" s="544"/>
      <c r="C10" s="555" t="n">
        <v>-1</v>
      </c>
      <c r="D10" s="556" t="s">
        <v>2347</v>
      </c>
      <c r="E10" s="547"/>
      <c r="F10" s="548" t="n">
        <v>227695998570</v>
      </c>
      <c r="G10" s="549"/>
      <c r="H10" s="550"/>
      <c r="I10" s="549"/>
      <c r="J10" s="548"/>
      <c r="K10" s="547"/>
      <c r="L10" s="548" t="n">
        <v>222568030855</v>
      </c>
      <c r="M10" s="547"/>
      <c r="N10" s="548" t="n">
        <v>193617654983</v>
      </c>
      <c r="O10" s="547" t="n">
        <v>28950375872</v>
      </c>
      <c r="P10" s="554" t="n">
        <v>0.149523429950342</v>
      </c>
      <c r="Q10" s="551"/>
      <c r="R10" s="551"/>
      <c r="S10" s="552"/>
      <c r="T10" s="550"/>
      <c r="U10" s="550"/>
      <c r="V10" s="519"/>
      <c r="W10" s="553"/>
      <c r="X10" s="553"/>
      <c r="Y10" s="553"/>
      <c r="Z10" s="553"/>
    </row>
    <row r="11" customFormat="false" ht="67.5" hidden="false" customHeight="true" outlineLevel="0" collapsed="false">
      <c r="B11" s="557"/>
      <c r="C11" s="558" t="n">
        <v>1</v>
      </c>
      <c r="D11" s="559" t="s">
        <v>27</v>
      </c>
      <c r="E11" s="560" t="n">
        <v>11105202344</v>
      </c>
      <c r="F11" s="561" t="s">
        <v>2348</v>
      </c>
      <c r="G11" s="59"/>
      <c r="H11" s="562"/>
      <c r="I11" s="59"/>
      <c r="J11" s="561"/>
      <c r="K11" s="560" t="n">
        <v>11105202344</v>
      </c>
      <c r="L11" s="561" t="s">
        <v>2348</v>
      </c>
      <c r="M11" s="560" t="n">
        <v>4700617833</v>
      </c>
      <c r="N11" s="561" t="s">
        <v>2348</v>
      </c>
      <c r="O11" s="560" t="n">
        <v>6404584511</v>
      </c>
      <c r="P11" s="563" t="n">
        <v>1.3624984498926</v>
      </c>
      <c r="Q11" s="564" t="s">
        <v>2436</v>
      </c>
      <c r="R11" s="565" t="s">
        <v>2437</v>
      </c>
      <c r="S11" s="566"/>
      <c r="T11" s="567" t="s">
        <v>2438</v>
      </c>
      <c r="U11" s="566" t="s">
        <v>2439</v>
      </c>
      <c r="V11" s="519"/>
      <c r="W11" s="568"/>
      <c r="X11" s="568"/>
      <c r="Y11" s="568"/>
      <c r="Z11" s="568"/>
    </row>
    <row r="12" customFormat="false" ht="175.5" hidden="false" customHeight="true" outlineLevel="0" collapsed="false">
      <c r="B12" s="557"/>
      <c r="C12" s="558" t="n">
        <v>2</v>
      </c>
      <c r="D12" s="559" t="s">
        <v>31</v>
      </c>
      <c r="E12" s="560" t="n">
        <v>173947218023</v>
      </c>
      <c r="F12" s="561"/>
      <c r="G12" s="59"/>
      <c r="H12" s="562"/>
      <c r="I12" s="59"/>
      <c r="J12" s="561" t="n">
        <v>-7192440524</v>
      </c>
      <c r="K12" s="560" t="n">
        <v>166754777499</v>
      </c>
      <c r="L12" s="561"/>
      <c r="M12" s="560" t="n">
        <v>158110132809</v>
      </c>
      <c r="N12" s="561"/>
      <c r="O12" s="560" t="n">
        <v>8644644690</v>
      </c>
      <c r="P12" s="563" t="n">
        <v>0.054674830362978</v>
      </c>
      <c r="Q12" s="564" t="s">
        <v>2436</v>
      </c>
      <c r="R12" s="565" t="s">
        <v>2440</v>
      </c>
      <c r="S12" s="566" t="s">
        <v>2441</v>
      </c>
      <c r="T12" s="566" t="s">
        <v>2442</v>
      </c>
      <c r="U12" s="566"/>
      <c r="V12" s="519"/>
      <c r="W12" s="568"/>
      <c r="X12" s="568"/>
      <c r="Y12" s="568"/>
      <c r="Z12" s="568"/>
    </row>
    <row r="13" customFormat="false" ht="81" hidden="false" customHeight="true" outlineLevel="0" collapsed="false">
      <c r="B13" s="557"/>
      <c r="C13" s="558" t="n">
        <v>3</v>
      </c>
      <c r="D13" s="559" t="s">
        <v>35</v>
      </c>
      <c r="E13" s="560" t="n">
        <v>-122273991</v>
      </c>
      <c r="F13" s="561" t="n">
        <v>173824944032</v>
      </c>
      <c r="G13" s="59"/>
      <c r="H13" s="562"/>
      <c r="I13" s="59"/>
      <c r="J13" s="561"/>
      <c r="K13" s="560" t="n">
        <v>-122273991</v>
      </c>
      <c r="L13" s="561" t="n">
        <v>166632503508</v>
      </c>
      <c r="M13" s="560" t="n">
        <v>-61143274</v>
      </c>
      <c r="N13" s="561" t="n">
        <v>158048989535</v>
      </c>
      <c r="O13" s="560" t="n">
        <v>-61130717</v>
      </c>
      <c r="P13" s="563" t="n">
        <v>0.999794629904836</v>
      </c>
      <c r="Q13" s="564"/>
      <c r="R13" s="565" t="s">
        <v>2440</v>
      </c>
      <c r="S13" s="567" t="s">
        <v>2443</v>
      </c>
      <c r="T13" s="566"/>
      <c r="U13" s="567" t="s">
        <v>2444</v>
      </c>
      <c r="V13" s="519"/>
      <c r="W13" s="568"/>
      <c r="X13" s="568"/>
      <c r="Y13" s="568"/>
      <c r="Z13" s="568"/>
    </row>
    <row r="14" customFormat="false" ht="81" hidden="false" customHeight="true" outlineLevel="0" collapsed="false">
      <c r="B14" s="557"/>
      <c r="C14" s="558" t="n">
        <v>4</v>
      </c>
      <c r="D14" s="559" t="s">
        <v>39</v>
      </c>
      <c r="E14" s="560" t="n">
        <v>16997869331</v>
      </c>
      <c r="F14" s="561" t="s">
        <v>2348</v>
      </c>
      <c r="G14" s="560"/>
      <c r="H14" s="562"/>
      <c r="I14" s="59" t="n">
        <v>2256858116</v>
      </c>
      <c r="J14" s="561"/>
      <c r="K14" s="560" t="n">
        <v>19254727447</v>
      </c>
      <c r="L14" s="561" t="s">
        <v>2348</v>
      </c>
      <c r="M14" s="560" t="n">
        <v>9707924824</v>
      </c>
      <c r="N14" s="561" t="s">
        <v>2348</v>
      </c>
      <c r="O14" s="560" t="n">
        <v>9546802623</v>
      </c>
      <c r="P14" s="563" t="n">
        <v>0.983403023414265</v>
      </c>
      <c r="Q14" s="564" t="s">
        <v>2436</v>
      </c>
      <c r="R14" s="565" t="s">
        <v>2440</v>
      </c>
      <c r="S14" s="567" t="s">
        <v>2445</v>
      </c>
      <c r="T14" s="566"/>
      <c r="U14" s="567" t="s">
        <v>2446</v>
      </c>
      <c r="V14" s="569"/>
      <c r="W14" s="568"/>
      <c r="X14" s="568"/>
      <c r="Y14" s="568"/>
      <c r="Z14" s="568"/>
    </row>
    <row r="15" customFormat="false" ht="16.5" hidden="false" customHeight="false" outlineLevel="0" collapsed="false">
      <c r="B15" s="557"/>
      <c r="C15" s="558" t="n">
        <v>5</v>
      </c>
      <c r="D15" s="559" t="s">
        <v>43</v>
      </c>
      <c r="E15" s="560" t="n">
        <v>9</v>
      </c>
      <c r="F15" s="561"/>
      <c r="G15" s="59"/>
      <c r="H15" s="562"/>
      <c r="I15" s="59"/>
      <c r="J15" s="561" t="n">
        <v>9</v>
      </c>
      <c r="K15" s="560" t="n">
        <v>0</v>
      </c>
      <c r="L15" s="561"/>
      <c r="M15" s="560" t="n">
        <v>0</v>
      </c>
      <c r="N15" s="561"/>
      <c r="O15" s="560" t="n">
        <v>0</v>
      </c>
      <c r="P15" s="563" t="n">
        <v>0</v>
      </c>
      <c r="Q15" s="564"/>
      <c r="R15" s="565" t="s">
        <v>2437</v>
      </c>
      <c r="S15" s="566"/>
      <c r="T15" s="566"/>
      <c r="U15" s="566"/>
      <c r="V15" s="519"/>
      <c r="W15" s="568"/>
      <c r="X15" s="568"/>
      <c r="Y15" s="568"/>
      <c r="Z15" s="568"/>
    </row>
    <row r="16" customFormat="false" ht="67.5" hidden="false" customHeight="true" outlineLevel="0" collapsed="false">
      <c r="B16" s="557"/>
      <c r="C16" s="558" t="n">
        <v>6</v>
      </c>
      <c r="D16" s="559" t="s">
        <v>46</v>
      </c>
      <c r="E16" s="560" t="n">
        <v>979522379</v>
      </c>
      <c r="F16" s="561"/>
      <c r="G16" s="59"/>
      <c r="H16" s="562"/>
      <c r="I16" s="570" t="n">
        <v>82</v>
      </c>
      <c r="J16" s="561"/>
      <c r="K16" s="560" t="n">
        <v>979522461</v>
      </c>
      <c r="L16" s="561"/>
      <c r="M16" s="560" t="n">
        <v>113711529</v>
      </c>
      <c r="N16" s="561"/>
      <c r="O16" s="560" t="n">
        <v>865810932</v>
      </c>
      <c r="P16" s="563" t="n">
        <v>7.6140998156836</v>
      </c>
      <c r="Q16" s="564"/>
      <c r="R16" s="565" t="s">
        <v>2437</v>
      </c>
      <c r="S16" s="567" t="s">
        <v>2447</v>
      </c>
      <c r="T16" s="567" t="s">
        <v>2448</v>
      </c>
      <c r="U16" s="566"/>
      <c r="V16" s="519"/>
      <c r="W16" s="571"/>
      <c r="Z16" s="568"/>
    </row>
    <row r="17" customFormat="false" ht="94.5" hidden="false" customHeight="true" outlineLevel="0" collapsed="false">
      <c r="B17" s="557"/>
      <c r="C17" s="558" t="n">
        <v>7</v>
      </c>
      <c r="D17" s="559" t="s">
        <v>50</v>
      </c>
      <c r="E17" s="560" t="n">
        <v>67506656</v>
      </c>
      <c r="F17" s="561"/>
      <c r="G17" s="59"/>
      <c r="H17" s="562"/>
      <c r="I17" s="59" t="n">
        <v>26463700</v>
      </c>
      <c r="J17" s="561"/>
      <c r="K17" s="560" t="n">
        <v>93970356</v>
      </c>
      <c r="L17" s="561"/>
      <c r="M17" s="560" t="n">
        <v>699908984</v>
      </c>
      <c r="N17" s="561"/>
      <c r="O17" s="560" t="n">
        <v>-605938628</v>
      </c>
      <c r="P17" s="563" t="n">
        <v>-0.865739177309946</v>
      </c>
      <c r="Q17" s="564"/>
      <c r="R17" s="565" t="s">
        <v>2437</v>
      </c>
      <c r="S17" s="567" t="s">
        <v>2449</v>
      </c>
      <c r="T17" s="567" t="s">
        <v>2450</v>
      </c>
      <c r="U17" s="567" t="s">
        <v>2451</v>
      </c>
      <c r="V17" s="519"/>
      <c r="W17" s="571"/>
      <c r="Z17" s="568"/>
    </row>
    <row r="18" customFormat="false" ht="16.5" hidden="false" customHeight="false" outlineLevel="0" collapsed="false">
      <c r="B18" s="557"/>
      <c r="C18" s="558" t="n">
        <v>8</v>
      </c>
      <c r="D18" s="559" t="s">
        <v>54</v>
      </c>
      <c r="E18" s="560" t="n">
        <v>0</v>
      </c>
      <c r="F18" s="561"/>
      <c r="G18" s="59"/>
      <c r="H18" s="562"/>
      <c r="I18" s="59"/>
      <c r="J18" s="561"/>
      <c r="K18" s="560" t="n">
        <v>0</v>
      </c>
      <c r="L18" s="561"/>
      <c r="M18" s="560" t="n">
        <v>0</v>
      </c>
      <c r="N18" s="561"/>
      <c r="O18" s="560" t="n">
        <v>0</v>
      </c>
      <c r="P18" s="563" t="s">
        <v>2452</v>
      </c>
      <c r="Q18" s="564"/>
      <c r="R18" s="564"/>
      <c r="S18" s="566"/>
      <c r="T18" s="566"/>
      <c r="U18" s="566"/>
      <c r="V18" s="519"/>
      <c r="W18" s="571"/>
      <c r="Z18" s="568"/>
    </row>
    <row r="19" customFormat="false" ht="16.5" hidden="false" customHeight="false" outlineLevel="0" collapsed="false">
      <c r="B19" s="557"/>
      <c r="C19" s="558" t="n">
        <v>9</v>
      </c>
      <c r="D19" s="559" t="s">
        <v>57</v>
      </c>
      <c r="E19" s="560" t="n">
        <v>0</v>
      </c>
      <c r="F19" s="561"/>
      <c r="G19" s="59"/>
      <c r="H19" s="562"/>
      <c r="I19" s="59"/>
      <c r="J19" s="561"/>
      <c r="K19" s="560" t="n">
        <v>0</v>
      </c>
      <c r="L19" s="561"/>
      <c r="M19" s="560" t="n">
        <v>0</v>
      </c>
      <c r="N19" s="561"/>
      <c r="O19" s="560" t="n">
        <v>0</v>
      </c>
      <c r="P19" s="563" t="s">
        <v>2452</v>
      </c>
      <c r="Q19" s="564"/>
      <c r="R19" s="564"/>
      <c r="S19" s="566"/>
      <c r="T19" s="566"/>
      <c r="U19" s="566"/>
      <c r="V19" s="519"/>
      <c r="W19" s="571"/>
      <c r="Z19" s="568"/>
    </row>
    <row r="20" customFormat="false" ht="16.5" hidden="false" customHeight="false" outlineLevel="0" collapsed="false">
      <c r="B20" s="557"/>
      <c r="C20" s="558" t="n">
        <v>10</v>
      </c>
      <c r="D20" s="559" t="s">
        <v>60</v>
      </c>
      <c r="E20" s="560" t="n">
        <v>307501499</v>
      </c>
      <c r="F20" s="561"/>
      <c r="G20" s="59"/>
      <c r="H20" s="562"/>
      <c r="I20" s="59"/>
      <c r="J20" s="561"/>
      <c r="K20" s="560" t="n">
        <v>307501499</v>
      </c>
      <c r="L20" s="561"/>
      <c r="M20" s="560" t="n">
        <v>285160922</v>
      </c>
      <c r="N20" s="561"/>
      <c r="O20" s="560" t="n">
        <v>22340577</v>
      </c>
      <c r="P20" s="563" t="n">
        <v>0.0783437535666265</v>
      </c>
      <c r="Q20" s="564"/>
      <c r="R20" s="565" t="s">
        <v>2437</v>
      </c>
      <c r="S20" s="566"/>
      <c r="T20" s="566"/>
      <c r="U20" s="566"/>
      <c r="V20" s="519"/>
      <c r="W20" s="571"/>
      <c r="Z20" s="568"/>
    </row>
    <row r="21" customFormat="false" ht="16.5" hidden="false" customHeight="false" outlineLevel="0" collapsed="false">
      <c r="B21" s="557"/>
      <c r="C21" s="558" t="n">
        <v>11</v>
      </c>
      <c r="D21" s="559" t="s">
        <v>64</v>
      </c>
      <c r="E21" s="560" t="n">
        <v>24413452320</v>
      </c>
      <c r="F21" s="561"/>
      <c r="G21" s="59" t="n">
        <v>-4234961041</v>
      </c>
      <c r="H21" s="562"/>
      <c r="I21" s="59" t="n">
        <v>4016111961</v>
      </c>
      <c r="J21" s="561"/>
      <c r="K21" s="560" t="n">
        <v>24194603240</v>
      </c>
      <c r="L21" s="561"/>
      <c r="M21" s="560" t="n">
        <v>20061341356</v>
      </c>
      <c r="N21" s="561"/>
      <c r="O21" s="560" t="n">
        <v>4133261884</v>
      </c>
      <c r="P21" s="563" t="n">
        <v>0.20603118259407</v>
      </c>
      <c r="Q21" s="564"/>
      <c r="R21" s="565" t="s">
        <v>2453</v>
      </c>
      <c r="S21" s="572"/>
      <c r="T21" s="566"/>
      <c r="U21" s="566"/>
      <c r="V21" s="519"/>
      <c r="W21" s="571"/>
      <c r="Z21" s="568"/>
    </row>
    <row r="22" customFormat="false" ht="16.5" hidden="false" customHeight="false" outlineLevel="0" collapsed="false">
      <c r="B22" s="557"/>
      <c r="C22" s="558" t="n">
        <v>12</v>
      </c>
      <c r="D22" s="559" t="s">
        <v>68</v>
      </c>
      <c r="E22" s="560" t="n">
        <v>0</v>
      </c>
      <c r="F22" s="561"/>
      <c r="G22" s="59"/>
      <c r="H22" s="562"/>
      <c r="I22" s="59"/>
      <c r="J22" s="561"/>
      <c r="K22" s="560" t="n">
        <v>0</v>
      </c>
      <c r="L22" s="561"/>
      <c r="M22" s="560" t="n">
        <v>0</v>
      </c>
      <c r="N22" s="561"/>
      <c r="O22" s="560" t="n">
        <v>0</v>
      </c>
      <c r="P22" s="563" t="s">
        <v>2452</v>
      </c>
      <c r="Q22" s="564"/>
      <c r="R22" s="564"/>
      <c r="S22" s="566"/>
      <c r="T22" s="566"/>
      <c r="U22" s="566"/>
      <c r="V22" s="519"/>
      <c r="W22" s="571"/>
      <c r="X22" s="573"/>
      <c r="Z22" s="568"/>
    </row>
    <row r="23" customFormat="false" ht="16.5" hidden="false" customHeight="false" outlineLevel="0" collapsed="false">
      <c r="B23" s="557"/>
      <c r="C23" s="558" t="n">
        <v>13</v>
      </c>
      <c r="D23" s="559" t="s">
        <v>70</v>
      </c>
      <c r="E23" s="560"/>
      <c r="F23" s="561"/>
      <c r="G23" s="59"/>
      <c r="H23" s="562"/>
      <c r="I23" s="59"/>
      <c r="J23" s="561"/>
      <c r="K23" s="560"/>
      <c r="L23" s="561"/>
      <c r="M23" s="560" t="n">
        <v>0</v>
      </c>
      <c r="N23" s="561"/>
      <c r="O23" s="560" t="n">
        <v>0</v>
      </c>
      <c r="P23" s="563" t="s">
        <v>2452</v>
      </c>
      <c r="Q23" s="564"/>
      <c r="R23" s="564"/>
      <c r="S23" s="566"/>
      <c r="T23" s="566"/>
      <c r="U23" s="566"/>
      <c r="V23" s="519"/>
      <c r="W23" s="571"/>
      <c r="X23" s="573"/>
      <c r="Z23" s="568"/>
    </row>
    <row r="24" customFormat="false" ht="16.5" hidden="false" customHeight="false" outlineLevel="0" collapsed="false">
      <c r="B24" s="544"/>
      <c r="C24" s="555" t="n">
        <v>-2</v>
      </c>
      <c r="D24" s="556" t="s">
        <v>2349</v>
      </c>
      <c r="E24" s="547"/>
      <c r="F24" s="548" t="n">
        <v>176489073237</v>
      </c>
      <c r="G24" s="549"/>
      <c r="H24" s="550"/>
      <c r="I24" s="549"/>
      <c r="J24" s="548"/>
      <c r="K24" s="547"/>
      <c r="L24" s="548" t="n">
        <v>176435792670</v>
      </c>
      <c r="M24" s="547"/>
      <c r="N24" s="548" t="n">
        <v>195826917171</v>
      </c>
      <c r="O24" s="547" t="n">
        <v>-19391124501</v>
      </c>
      <c r="P24" s="554" t="n">
        <v>-0.0990217523777249</v>
      </c>
      <c r="Q24" s="551"/>
      <c r="R24" s="551"/>
      <c r="S24" s="552"/>
      <c r="T24" s="552"/>
      <c r="U24" s="552"/>
      <c r="V24" s="519"/>
      <c r="W24" s="571"/>
      <c r="Z24" s="568"/>
    </row>
    <row r="25" customFormat="false" ht="94.5" hidden="false" customHeight="true" outlineLevel="0" collapsed="false">
      <c r="B25" s="557"/>
      <c r="C25" s="558" t="n">
        <v>1</v>
      </c>
      <c r="D25" s="559" t="s">
        <v>75</v>
      </c>
      <c r="E25" s="560" t="n">
        <v>160568039290</v>
      </c>
      <c r="F25" s="561"/>
      <c r="G25" s="59"/>
      <c r="H25" s="562"/>
      <c r="I25" s="59"/>
      <c r="J25" s="561"/>
      <c r="K25" s="560" t="n">
        <v>160568039290</v>
      </c>
      <c r="L25" s="561"/>
      <c r="M25" s="560" t="n">
        <v>165872046968</v>
      </c>
      <c r="N25" s="561"/>
      <c r="O25" s="560" t="n">
        <v>-5304007678</v>
      </c>
      <c r="P25" s="563" t="n">
        <v>-0.031976501013599</v>
      </c>
      <c r="Q25" s="564"/>
      <c r="R25" s="565" t="s">
        <v>2454</v>
      </c>
      <c r="S25" s="566"/>
      <c r="T25" s="567" t="s">
        <v>2455</v>
      </c>
      <c r="U25" s="567" t="s">
        <v>2456</v>
      </c>
      <c r="V25" s="519"/>
      <c r="W25" s="571"/>
      <c r="Z25" s="568"/>
    </row>
    <row r="26" customFormat="false" ht="267" hidden="false" customHeight="true" outlineLevel="0" collapsed="false">
      <c r="B26" s="557"/>
      <c r="C26" s="558"/>
      <c r="D26" s="559" t="s">
        <v>78</v>
      </c>
      <c r="E26" s="560" t="n">
        <v>-4770617217</v>
      </c>
      <c r="F26" s="561" t="n">
        <v>155797422073</v>
      </c>
      <c r="G26" s="59" t="n">
        <v>-53280567</v>
      </c>
      <c r="H26" s="562"/>
      <c r="I26" s="59"/>
      <c r="J26" s="561"/>
      <c r="K26" s="560" t="n">
        <v>-4823897784</v>
      </c>
      <c r="L26" s="561" t="n">
        <v>155744141506</v>
      </c>
      <c r="M26" s="560" t="n">
        <v>-5170622379</v>
      </c>
      <c r="N26" s="561" t="n">
        <v>160701424589</v>
      </c>
      <c r="O26" s="560" t="n">
        <v>346724595</v>
      </c>
      <c r="P26" s="563" t="n">
        <v>-0.0670566461028347</v>
      </c>
      <c r="Q26" s="564"/>
      <c r="R26" s="565" t="s">
        <v>2454</v>
      </c>
      <c r="S26" s="567" t="s">
        <v>2457</v>
      </c>
      <c r="T26" s="566" t="s">
        <v>2458</v>
      </c>
      <c r="U26" s="567" t="s">
        <v>2459</v>
      </c>
      <c r="V26" s="519"/>
      <c r="W26" s="571"/>
      <c r="Z26" s="568"/>
    </row>
    <row r="27" customFormat="false" ht="16.5" hidden="false" customHeight="false" outlineLevel="0" collapsed="false">
      <c r="B27" s="557"/>
      <c r="C27" s="558" t="n">
        <v>2</v>
      </c>
      <c r="D27" s="559" t="s">
        <v>81</v>
      </c>
      <c r="E27" s="560" t="n">
        <v>0</v>
      </c>
      <c r="F27" s="561"/>
      <c r="G27" s="59"/>
      <c r="H27" s="562"/>
      <c r="I27" s="59"/>
      <c r="J27" s="561"/>
      <c r="K27" s="560" t="n">
        <v>0</v>
      </c>
      <c r="L27" s="561"/>
      <c r="M27" s="560" t="n">
        <v>0</v>
      </c>
      <c r="N27" s="561"/>
      <c r="O27" s="560" t="n">
        <v>0</v>
      </c>
      <c r="P27" s="563" t="s">
        <v>2452</v>
      </c>
      <c r="Q27" s="564"/>
      <c r="R27" s="564"/>
      <c r="S27" s="566"/>
      <c r="T27" s="566"/>
      <c r="U27" s="566"/>
      <c r="V27" s="519"/>
      <c r="W27" s="571"/>
      <c r="Z27" s="568"/>
    </row>
    <row r="28" customFormat="false" ht="16.5" hidden="false" customHeight="false" outlineLevel="0" collapsed="false">
      <c r="B28" s="557"/>
      <c r="C28" s="558" t="n">
        <v>3</v>
      </c>
      <c r="D28" s="559" t="s">
        <v>82</v>
      </c>
      <c r="E28" s="560" t="n">
        <v>0</v>
      </c>
      <c r="F28" s="561"/>
      <c r="G28" s="59"/>
      <c r="H28" s="562"/>
      <c r="I28" s="59"/>
      <c r="J28" s="561"/>
      <c r="K28" s="560" t="n">
        <v>0</v>
      </c>
      <c r="L28" s="561"/>
      <c r="M28" s="560" t="n">
        <v>0</v>
      </c>
      <c r="N28" s="561"/>
      <c r="O28" s="560" t="n">
        <v>0</v>
      </c>
      <c r="P28" s="563" t="s">
        <v>2452</v>
      </c>
      <c r="Q28" s="564"/>
      <c r="R28" s="564"/>
      <c r="S28" s="566"/>
      <c r="T28" s="566"/>
      <c r="U28" s="566"/>
      <c r="V28" s="519"/>
      <c r="W28" s="571"/>
      <c r="Z28" s="568"/>
    </row>
    <row r="29" customFormat="false" ht="16.5" hidden="false" customHeight="false" outlineLevel="0" collapsed="false">
      <c r="B29" s="557"/>
      <c r="C29" s="558" t="n">
        <v>4</v>
      </c>
      <c r="D29" s="63" t="s">
        <v>84</v>
      </c>
      <c r="E29" s="560" t="n">
        <v>0</v>
      </c>
      <c r="F29" s="561"/>
      <c r="G29" s="59"/>
      <c r="H29" s="562"/>
      <c r="I29" s="59"/>
      <c r="J29" s="561"/>
      <c r="K29" s="560" t="n">
        <v>0</v>
      </c>
      <c r="L29" s="561"/>
      <c r="M29" s="560" t="n">
        <v>0</v>
      </c>
      <c r="N29" s="561"/>
      <c r="O29" s="560" t="n">
        <v>0</v>
      </c>
      <c r="P29" s="563" t="s">
        <v>2452</v>
      </c>
      <c r="Q29" s="564"/>
      <c r="R29" s="564"/>
      <c r="S29" s="566"/>
      <c r="T29" s="566"/>
      <c r="U29" s="566"/>
      <c r="V29" s="519"/>
      <c r="W29" s="571"/>
      <c r="Z29" s="568"/>
    </row>
    <row r="30" customFormat="false" ht="16.5" hidden="false" customHeight="false" outlineLevel="0" collapsed="false">
      <c r="B30" s="557"/>
      <c r="C30" s="558" t="n">
        <v>5</v>
      </c>
      <c r="D30" s="63" t="s">
        <v>86</v>
      </c>
      <c r="E30" s="560" t="n">
        <v>0</v>
      </c>
      <c r="F30" s="561"/>
      <c r="G30" s="59"/>
      <c r="H30" s="562"/>
      <c r="I30" s="59"/>
      <c r="J30" s="561"/>
      <c r="K30" s="560" t="n">
        <v>0</v>
      </c>
      <c r="L30" s="561"/>
      <c r="M30" s="560" t="n">
        <v>0</v>
      </c>
      <c r="N30" s="561"/>
      <c r="O30" s="560" t="n">
        <v>0</v>
      </c>
      <c r="P30" s="563" t="s">
        <v>2452</v>
      </c>
      <c r="Q30" s="564"/>
      <c r="R30" s="564"/>
      <c r="S30" s="566"/>
      <c r="T30" s="566"/>
      <c r="U30" s="566"/>
      <c r="V30" s="519"/>
      <c r="W30" s="571"/>
      <c r="Z30" s="568"/>
    </row>
    <row r="31" customFormat="false" ht="16.5" hidden="false" customHeight="false" outlineLevel="0" collapsed="false">
      <c r="B31" s="557"/>
      <c r="C31" s="558" t="n">
        <v>6</v>
      </c>
      <c r="D31" s="63" t="s">
        <v>88</v>
      </c>
      <c r="E31" s="560" t="n">
        <v>0</v>
      </c>
      <c r="F31" s="561"/>
      <c r="G31" s="59"/>
      <c r="H31" s="562"/>
      <c r="I31" s="59"/>
      <c r="J31" s="561"/>
      <c r="K31" s="560" t="n">
        <v>0</v>
      </c>
      <c r="L31" s="561"/>
      <c r="M31" s="560" t="n">
        <v>0</v>
      </c>
      <c r="N31" s="561"/>
      <c r="O31" s="560" t="n">
        <v>0</v>
      </c>
      <c r="P31" s="563" t="s">
        <v>2452</v>
      </c>
      <c r="Q31" s="564"/>
      <c r="R31" s="564"/>
      <c r="S31" s="566"/>
      <c r="T31" s="566"/>
      <c r="U31" s="566"/>
      <c r="V31" s="519"/>
      <c r="W31" s="571"/>
      <c r="Z31" s="568"/>
    </row>
    <row r="32" customFormat="false" ht="16.5" hidden="false" customHeight="false" outlineLevel="0" collapsed="false">
      <c r="B32" s="557"/>
      <c r="C32" s="558" t="n">
        <v>7</v>
      </c>
      <c r="D32" s="63" t="s">
        <v>90</v>
      </c>
      <c r="E32" s="560" t="n">
        <v>0</v>
      </c>
      <c r="F32" s="561"/>
      <c r="G32" s="59"/>
      <c r="H32" s="562"/>
      <c r="I32" s="59"/>
      <c r="J32" s="561"/>
      <c r="K32" s="560" t="n">
        <v>0</v>
      </c>
      <c r="L32" s="561"/>
      <c r="M32" s="560" t="n">
        <v>0</v>
      </c>
      <c r="N32" s="561"/>
      <c r="O32" s="560" t="n">
        <v>0</v>
      </c>
      <c r="P32" s="563" t="s">
        <v>2452</v>
      </c>
      <c r="Q32" s="564"/>
      <c r="R32" s="564"/>
      <c r="S32" s="566"/>
      <c r="T32" s="566"/>
      <c r="U32" s="566"/>
      <c r="V32" s="519"/>
      <c r="W32" s="571"/>
      <c r="Z32" s="568"/>
    </row>
    <row r="33" customFormat="false" ht="16.5" hidden="false" customHeight="false" outlineLevel="0" collapsed="false">
      <c r="B33" s="557"/>
      <c r="C33" s="558" t="n">
        <v>8</v>
      </c>
      <c r="D33" s="63" t="s">
        <v>92</v>
      </c>
      <c r="E33" s="560" t="n">
        <v>0</v>
      </c>
      <c r="F33" s="561"/>
      <c r="G33" s="59"/>
      <c r="H33" s="562"/>
      <c r="I33" s="59"/>
      <c r="J33" s="561"/>
      <c r="K33" s="560" t="n">
        <v>0</v>
      </c>
      <c r="L33" s="561"/>
      <c r="M33" s="560" t="n">
        <v>0</v>
      </c>
      <c r="N33" s="561"/>
      <c r="O33" s="560" t="n">
        <v>0</v>
      </c>
      <c r="P33" s="563" t="s">
        <v>2452</v>
      </c>
      <c r="Q33" s="564"/>
      <c r="R33" s="564"/>
      <c r="S33" s="566"/>
      <c r="T33" s="566"/>
      <c r="U33" s="566"/>
      <c r="V33" s="519"/>
      <c r="W33" s="571"/>
      <c r="Z33" s="568"/>
    </row>
    <row r="34" customFormat="false" ht="54" hidden="false" customHeight="true" outlineLevel="0" collapsed="false">
      <c r="B34" s="557"/>
      <c r="C34" s="558" t="n">
        <v>9</v>
      </c>
      <c r="D34" s="63" t="s">
        <v>94</v>
      </c>
      <c r="E34" s="560" t="n">
        <v>20691651164</v>
      </c>
      <c r="F34" s="561"/>
      <c r="G34" s="59"/>
      <c r="H34" s="562"/>
      <c r="I34" s="59"/>
      <c r="J34" s="561"/>
      <c r="K34" s="560" t="n">
        <v>20691651164</v>
      </c>
      <c r="L34" s="561"/>
      <c r="M34" s="560" t="n">
        <v>35125492582</v>
      </c>
      <c r="N34" s="561"/>
      <c r="O34" s="560" t="n">
        <v>-14433841418</v>
      </c>
      <c r="P34" s="563" t="n">
        <v>-0.410922106908662</v>
      </c>
      <c r="Q34" s="564" t="s">
        <v>2436</v>
      </c>
      <c r="R34" s="565" t="s">
        <v>2454</v>
      </c>
      <c r="S34" s="566" t="s">
        <v>2460</v>
      </c>
      <c r="T34" s="566"/>
      <c r="U34" s="567" t="s">
        <v>2461</v>
      </c>
      <c r="V34" s="519"/>
      <c r="W34" s="571"/>
      <c r="Z34" s="568"/>
    </row>
    <row r="35" customFormat="false" ht="16.5" hidden="false" customHeight="false" outlineLevel="0" collapsed="false">
      <c r="B35" s="544" t="s">
        <v>2350</v>
      </c>
      <c r="C35" s="545" t="s">
        <v>2351</v>
      </c>
      <c r="D35" s="556"/>
      <c r="E35" s="547"/>
      <c r="F35" s="548" t="n">
        <v>8253017386</v>
      </c>
      <c r="G35" s="549"/>
      <c r="H35" s="550"/>
      <c r="I35" s="549"/>
      <c r="J35" s="548"/>
      <c r="K35" s="547" t="n">
        <v>0</v>
      </c>
      <c r="L35" s="548" t="n">
        <v>3167547191</v>
      </c>
      <c r="M35" s="547"/>
      <c r="N35" s="548" t="n">
        <v>15647456165</v>
      </c>
      <c r="O35" s="547" t="n">
        <v>-12479908974</v>
      </c>
      <c r="P35" s="554" t="n">
        <v>-0.79756791406867</v>
      </c>
      <c r="Q35" s="551"/>
      <c r="R35" s="551"/>
      <c r="S35" s="552"/>
      <c r="T35" s="552"/>
      <c r="U35" s="552"/>
      <c r="V35" s="519"/>
      <c r="W35" s="571"/>
      <c r="Z35" s="568"/>
    </row>
    <row r="36" customFormat="false" ht="16.5" hidden="false" customHeight="false" outlineLevel="0" collapsed="false">
      <c r="B36" s="544"/>
      <c r="C36" s="555" t="n">
        <v>-1</v>
      </c>
      <c r="D36" s="556" t="s">
        <v>2352</v>
      </c>
      <c r="E36" s="547"/>
      <c r="F36" s="548" t="n">
        <v>0</v>
      </c>
      <c r="G36" s="549"/>
      <c r="H36" s="550"/>
      <c r="I36" s="549"/>
      <c r="J36" s="548"/>
      <c r="K36" s="547"/>
      <c r="L36" s="548" t="n">
        <v>30000000</v>
      </c>
      <c r="M36" s="547"/>
      <c r="N36" s="548" t="n">
        <v>30000000</v>
      </c>
      <c r="O36" s="547" t="n">
        <v>0</v>
      </c>
      <c r="P36" s="554" t="n">
        <v>0</v>
      </c>
      <c r="Q36" s="551"/>
      <c r="R36" s="551"/>
      <c r="S36" s="552"/>
      <c r="T36" s="552"/>
      <c r="U36" s="552"/>
      <c r="V36" s="519"/>
      <c r="W36" s="571"/>
      <c r="Z36" s="568"/>
    </row>
    <row r="37" customFormat="false" ht="27" hidden="false" customHeight="true" outlineLevel="0" collapsed="false">
      <c r="B37" s="557"/>
      <c r="C37" s="558" t="s">
        <v>26</v>
      </c>
      <c r="D37" s="559" t="s">
        <v>101</v>
      </c>
      <c r="E37" s="560" t="n">
        <v>0</v>
      </c>
      <c r="F37" s="561"/>
      <c r="G37" s="59"/>
      <c r="H37" s="562"/>
      <c r="I37" s="59"/>
      <c r="J37" s="561"/>
      <c r="K37" s="560" t="n">
        <v>0</v>
      </c>
      <c r="L37" s="561"/>
      <c r="M37" s="560" t="n">
        <v>0</v>
      </c>
      <c r="N37" s="561"/>
      <c r="O37" s="560" t="n">
        <v>0</v>
      </c>
      <c r="P37" s="563" t="s">
        <v>2452</v>
      </c>
      <c r="Q37" s="564"/>
      <c r="R37" s="564"/>
      <c r="S37" s="566"/>
      <c r="T37" s="567" t="s">
        <v>2462</v>
      </c>
      <c r="U37" s="566"/>
      <c r="V37" s="519"/>
      <c r="W37" s="571"/>
      <c r="Z37" s="568"/>
    </row>
    <row r="38" customFormat="false" ht="16.5" hidden="false" customHeight="false" outlineLevel="0" collapsed="false">
      <c r="B38" s="557"/>
      <c r="C38" s="558" t="s">
        <v>30</v>
      </c>
      <c r="D38" s="559" t="s">
        <v>102</v>
      </c>
      <c r="E38" s="560" t="n">
        <v>0</v>
      </c>
      <c r="F38" s="561"/>
      <c r="G38" s="59"/>
      <c r="H38" s="562"/>
      <c r="I38" s="59"/>
      <c r="J38" s="561"/>
      <c r="K38" s="560" t="n">
        <v>0</v>
      </c>
      <c r="L38" s="561"/>
      <c r="M38" s="560" t="n">
        <v>0</v>
      </c>
      <c r="N38" s="561"/>
      <c r="O38" s="560" t="n">
        <v>0</v>
      </c>
      <c r="P38" s="563" t="s">
        <v>2452</v>
      </c>
      <c r="Q38" s="564"/>
      <c r="R38" s="564"/>
      <c r="S38" s="566"/>
      <c r="T38" s="566"/>
      <c r="U38" s="567" t="s">
        <v>2463</v>
      </c>
      <c r="V38" s="519"/>
      <c r="W38" s="571"/>
      <c r="Z38" s="568"/>
    </row>
    <row r="39" customFormat="false" ht="16.5" hidden="false" customHeight="false" outlineLevel="0" collapsed="false">
      <c r="B39" s="557"/>
      <c r="C39" s="558" t="s">
        <v>34</v>
      </c>
      <c r="D39" s="559" t="s">
        <v>104</v>
      </c>
      <c r="E39" s="560" t="n">
        <v>0</v>
      </c>
      <c r="F39" s="561"/>
      <c r="G39" s="59"/>
      <c r="H39" s="562"/>
      <c r="I39" s="59" t="n">
        <v>30000000</v>
      </c>
      <c r="J39" s="561"/>
      <c r="K39" s="560" t="n">
        <v>30000000</v>
      </c>
      <c r="L39" s="561"/>
      <c r="M39" s="560" t="n">
        <v>30000000</v>
      </c>
      <c r="N39" s="561"/>
      <c r="O39" s="560" t="n">
        <v>0</v>
      </c>
      <c r="P39" s="563" t="n">
        <v>0</v>
      </c>
      <c r="Q39" s="564"/>
      <c r="R39" s="565" t="s">
        <v>2437</v>
      </c>
      <c r="S39" s="566"/>
      <c r="T39" s="566"/>
      <c r="U39" s="567" t="s">
        <v>105</v>
      </c>
      <c r="V39" s="519"/>
      <c r="W39" s="571"/>
      <c r="Z39" s="568"/>
    </row>
    <row r="40" customFormat="false" ht="16.5" hidden="false" customHeight="false" outlineLevel="0" collapsed="false">
      <c r="B40" s="544"/>
      <c r="C40" s="555" t="n">
        <v>-2</v>
      </c>
      <c r="D40" s="556" t="s">
        <v>2353</v>
      </c>
      <c r="E40" s="547"/>
      <c r="F40" s="548" t="n">
        <v>2562924520</v>
      </c>
      <c r="G40" s="549"/>
      <c r="H40" s="550"/>
      <c r="I40" s="549"/>
      <c r="J40" s="548"/>
      <c r="K40" s="547" t="n">
        <v>0</v>
      </c>
      <c r="L40" s="548" t="n">
        <v>1525937673</v>
      </c>
      <c r="M40" s="547"/>
      <c r="N40" s="548" t="n">
        <v>2447516612</v>
      </c>
      <c r="O40" s="547" t="n">
        <v>-921578939</v>
      </c>
      <c r="P40" s="554" t="n">
        <v>-0.376536336661236</v>
      </c>
      <c r="Q40" s="551"/>
      <c r="R40" s="551"/>
      <c r="S40" s="552"/>
      <c r="T40" s="552"/>
      <c r="U40" s="552"/>
      <c r="V40" s="519"/>
      <c r="W40" s="571"/>
      <c r="Z40" s="568"/>
    </row>
    <row r="41" customFormat="false" ht="16.5" hidden="false" customHeight="false" outlineLevel="0" collapsed="false">
      <c r="B41" s="557"/>
      <c r="C41" s="558" t="s">
        <v>26</v>
      </c>
      <c r="D41" s="559" t="s">
        <v>110</v>
      </c>
      <c r="E41" s="560" t="n">
        <v>0</v>
      </c>
      <c r="F41" s="561"/>
      <c r="G41" s="59"/>
      <c r="H41" s="562"/>
      <c r="I41" s="59"/>
      <c r="J41" s="561"/>
      <c r="K41" s="560" t="n">
        <v>0</v>
      </c>
      <c r="L41" s="561"/>
      <c r="M41" s="560" t="n">
        <v>0</v>
      </c>
      <c r="N41" s="561"/>
      <c r="O41" s="560" t="n">
        <v>0</v>
      </c>
      <c r="P41" s="563" t="s">
        <v>2452</v>
      </c>
      <c r="Q41" s="564"/>
      <c r="R41" s="564"/>
      <c r="S41" s="566"/>
      <c r="T41" s="566"/>
      <c r="U41" s="566"/>
      <c r="V41" s="519"/>
      <c r="W41" s="571"/>
      <c r="Z41" s="568"/>
    </row>
    <row r="42" customFormat="false" ht="16.5" hidden="false" customHeight="false" outlineLevel="0" collapsed="false">
      <c r="B42" s="557"/>
      <c r="C42" s="558" t="s">
        <v>30</v>
      </c>
      <c r="D42" s="559" t="s">
        <v>112</v>
      </c>
      <c r="E42" s="560" t="n">
        <v>0</v>
      </c>
      <c r="F42" s="561"/>
      <c r="G42" s="59"/>
      <c r="H42" s="562"/>
      <c r="I42" s="59"/>
      <c r="J42" s="561"/>
      <c r="K42" s="560" t="n">
        <v>0</v>
      </c>
      <c r="L42" s="561"/>
      <c r="M42" s="560" t="n">
        <v>0</v>
      </c>
      <c r="N42" s="561"/>
      <c r="O42" s="560" t="n">
        <v>0</v>
      </c>
      <c r="P42" s="563" t="s">
        <v>2452</v>
      </c>
      <c r="Q42" s="564"/>
      <c r="R42" s="564"/>
      <c r="S42" s="566"/>
      <c r="T42" s="566"/>
      <c r="U42" s="566"/>
      <c r="V42" s="519"/>
      <c r="W42" s="571"/>
      <c r="Z42" s="568"/>
    </row>
    <row r="43" customFormat="false" ht="16.5" hidden="false" customHeight="false" outlineLevel="0" collapsed="false">
      <c r="B43" s="557"/>
      <c r="C43" s="558"/>
      <c r="D43" s="559" t="s">
        <v>114</v>
      </c>
      <c r="E43" s="560" t="n">
        <v>0</v>
      </c>
      <c r="F43" s="561"/>
      <c r="G43" s="59"/>
      <c r="H43" s="562"/>
      <c r="I43" s="59"/>
      <c r="J43" s="561"/>
      <c r="K43" s="560" t="n">
        <v>0</v>
      </c>
      <c r="L43" s="561"/>
      <c r="M43" s="560" t="n">
        <v>0</v>
      </c>
      <c r="N43" s="561"/>
      <c r="O43" s="560" t="n">
        <v>0</v>
      </c>
      <c r="P43" s="563" t="s">
        <v>2452</v>
      </c>
      <c r="Q43" s="564"/>
      <c r="R43" s="564"/>
      <c r="S43" s="566"/>
      <c r="T43" s="566"/>
      <c r="U43" s="566"/>
      <c r="V43" s="519"/>
      <c r="W43" s="571"/>
      <c r="Z43" s="568"/>
    </row>
    <row r="44" customFormat="false" ht="16.5" hidden="false" customHeight="false" outlineLevel="0" collapsed="false">
      <c r="B44" s="557"/>
      <c r="C44" s="558" t="s">
        <v>34</v>
      </c>
      <c r="D44" s="559" t="s">
        <v>116</v>
      </c>
      <c r="E44" s="560" t="n">
        <v>13604145011</v>
      </c>
      <c r="F44" s="561" t="n">
        <v>1681885058</v>
      </c>
      <c r="G44" s="59" t="n">
        <v>-11215999121</v>
      </c>
      <c r="H44" s="562"/>
      <c r="I44" s="59"/>
      <c r="J44" s="561"/>
      <c r="K44" s="560" t="n">
        <v>2388145890</v>
      </c>
      <c r="L44" s="561" t="n">
        <v>644898211</v>
      </c>
      <c r="M44" s="560" t="n">
        <v>2388145890</v>
      </c>
      <c r="N44" s="561" t="n">
        <v>1348423558</v>
      </c>
      <c r="O44" s="560" t="n">
        <v>0</v>
      </c>
      <c r="P44" s="563" t="n">
        <v>0</v>
      </c>
      <c r="Q44" s="564"/>
      <c r="R44" s="565" t="s">
        <v>2437</v>
      </c>
      <c r="S44" s="566"/>
      <c r="T44" s="566"/>
      <c r="U44" s="566"/>
      <c r="V44" s="519"/>
      <c r="W44" s="571"/>
      <c r="Z44" s="568"/>
    </row>
    <row r="45" customFormat="false" ht="27" hidden="false" customHeight="true" outlineLevel="0" collapsed="false">
      <c r="B45" s="557"/>
      <c r="C45" s="558"/>
      <c r="D45" s="559" t="s">
        <v>118</v>
      </c>
      <c r="E45" s="560" t="n">
        <v>-11922259953</v>
      </c>
      <c r="F45" s="561"/>
      <c r="G45" s="59" t="n">
        <v>10179012274</v>
      </c>
      <c r="H45" s="562"/>
      <c r="I45" s="59"/>
      <c r="J45" s="561"/>
      <c r="K45" s="560" t="n">
        <v>-1743247679</v>
      </c>
      <c r="L45" s="561"/>
      <c r="M45" s="560" t="n">
        <v>-1039722332</v>
      </c>
      <c r="N45" s="561"/>
      <c r="O45" s="560" t="n">
        <v>-703525347</v>
      </c>
      <c r="P45" s="563" t="n">
        <v>0.676647336839159</v>
      </c>
      <c r="Q45" s="564"/>
      <c r="R45" s="565" t="s">
        <v>2437</v>
      </c>
      <c r="S45" s="566"/>
      <c r="T45" s="566"/>
      <c r="U45" s="567" t="s">
        <v>2464</v>
      </c>
      <c r="V45" s="519"/>
      <c r="W45" s="571"/>
      <c r="Z45" s="568"/>
    </row>
    <row r="46" customFormat="false" ht="27" hidden="false" customHeight="true" outlineLevel="0" collapsed="false">
      <c r="B46" s="557"/>
      <c r="C46" s="558" t="s">
        <v>38</v>
      </c>
      <c r="D46" s="559" t="s">
        <v>120</v>
      </c>
      <c r="E46" s="560" t="n">
        <v>1434004742</v>
      </c>
      <c r="F46" s="561" t="n">
        <v>531516324</v>
      </c>
      <c r="G46" s="59"/>
      <c r="H46" s="562"/>
      <c r="I46" s="59"/>
      <c r="J46" s="561" t="n">
        <v>-485029742</v>
      </c>
      <c r="K46" s="560" t="n">
        <v>948975000</v>
      </c>
      <c r="L46" s="561" t="n">
        <v>454953824</v>
      </c>
      <c r="M46" s="560" t="n">
        <v>948975000</v>
      </c>
      <c r="N46" s="561" t="n">
        <v>598844928</v>
      </c>
      <c r="O46" s="560" t="n">
        <v>0</v>
      </c>
      <c r="P46" s="563" t="n">
        <v>0</v>
      </c>
      <c r="Q46" s="564"/>
      <c r="R46" s="565" t="s">
        <v>2437</v>
      </c>
      <c r="S46" s="566"/>
      <c r="T46" s="566"/>
      <c r="U46" s="567" t="s">
        <v>2465</v>
      </c>
      <c r="V46" s="519"/>
      <c r="W46" s="571"/>
      <c r="Z46" s="568"/>
    </row>
    <row r="47" customFormat="false" ht="26.25" hidden="false" customHeight="true" outlineLevel="0" collapsed="false">
      <c r="B47" s="557"/>
      <c r="C47" s="558"/>
      <c r="D47" s="63" t="s">
        <v>122</v>
      </c>
      <c r="E47" s="560" t="n">
        <v>-902488418</v>
      </c>
      <c r="F47" s="561"/>
      <c r="G47" s="59"/>
      <c r="H47" s="562"/>
      <c r="I47" s="59" t="n">
        <v>408467242</v>
      </c>
      <c r="J47" s="561"/>
      <c r="K47" s="560" t="n">
        <v>-494021176</v>
      </c>
      <c r="L47" s="561"/>
      <c r="M47" s="560" t="n">
        <v>-350130072</v>
      </c>
      <c r="N47" s="561"/>
      <c r="O47" s="560" t="n">
        <v>-143891104</v>
      </c>
      <c r="P47" s="563" t="n">
        <v>0.410964711423017</v>
      </c>
      <c r="Q47" s="564"/>
      <c r="R47" s="565" t="s">
        <v>2437</v>
      </c>
      <c r="S47" s="566"/>
      <c r="T47" s="566"/>
      <c r="U47" s="567" t="s">
        <v>2466</v>
      </c>
      <c r="V47" s="519"/>
      <c r="W47" s="571"/>
      <c r="Z47" s="568"/>
    </row>
    <row r="48" customFormat="false" ht="16.5" hidden="false" customHeight="false" outlineLevel="0" collapsed="false">
      <c r="B48" s="557"/>
      <c r="C48" s="558" t="s">
        <v>42</v>
      </c>
      <c r="D48" s="63" t="s">
        <v>124</v>
      </c>
      <c r="E48" s="560"/>
      <c r="F48" s="561" t="n">
        <v>0</v>
      </c>
      <c r="G48" s="59"/>
      <c r="H48" s="562"/>
      <c r="I48" s="59"/>
      <c r="J48" s="561"/>
      <c r="K48" s="560" t="n">
        <v>0</v>
      </c>
      <c r="L48" s="561" t="n">
        <v>0</v>
      </c>
      <c r="M48" s="560" t="n">
        <v>0</v>
      </c>
      <c r="N48" s="561" t="n">
        <v>0</v>
      </c>
      <c r="O48" s="560" t="n">
        <v>0</v>
      </c>
      <c r="P48" s="563" t="s">
        <v>2452</v>
      </c>
      <c r="Q48" s="564"/>
      <c r="R48" s="564"/>
      <c r="S48" s="566"/>
      <c r="T48" s="566"/>
      <c r="U48" s="566"/>
      <c r="V48" s="519"/>
      <c r="W48" s="571"/>
      <c r="Z48" s="568"/>
    </row>
    <row r="49" customFormat="false" ht="16.5" hidden="false" customHeight="false" outlineLevel="0" collapsed="false">
      <c r="B49" s="557"/>
      <c r="C49" s="558"/>
      <c r="D49" s="63" t="s">
        <v>126</v>
      </c>
      <c r="E49" s="560" t="n">
        <v>0</v>
      </c>
      <c r="F49" s="561"/>
      <c r="G49" s="59"/>
      <c r="H49" s="562"/>
      <c r="I49" s="59"/>
      <c r="J49" s="561"/>
      <c r="K49" s="560" t="n">
        <v>0</v>
      </c>
      <c r="L49" s="561"/>
      <c r="M49" s="560" t="n">
        <v>0</v>
      </c>
      <c r="N49" s="561"/>
      <c r="O49" s="560" t="n">
        <v>0</v>
      </c>
      <c r="P49" s="563" t="s">
        <v>2452</v>
      </c>
      <c r="Q49" s="564"/>
      <c r="R49" s="564"/>
      <c r="S49" s="566"/>
      <c r="T49" s="566"/>
      <c r="U49" s="566"/>
      <c r="V49" s="519"/>
      <c r="W49" s="571"/>
      <c r="Z49" s="568"/>
    </row>
    <row r="50" customFormat="false" ht="16.5" hidden="false" customHeight="false" outlineLevel="0" collapsed="false">
      <c r="B50" s="557"/>
      <c r="C50" s="558" t="s">
        <v>45</v>
      </c>
      <c r="D50" s="63" t="s">
        <v>128</v>
      </c>
      <c r="E50" s="560" t="n">
        <v>76984016</v>
      </c>
      <c r="F50" s="561" t="n">
        <v>5633333</v>
      </c>
      <c r="G50" s="59"/>
      <c r="H50" s="562"/>
      <c r="I50" s="59" t="n">
        <v>485029742</v>
      </c>
      <c r="J50" s="561"/>
      <c r="K50" s="560" t="n">
        <v>562013758</v>
      </c>
      <c r="L50" s="561" t="n">
        <v>82195833</v>
      </c>
      <c r="M50" s="560" t="n">
        <v>562013758</v>
      </c>
      <c r="N50" s="561" t="n">
        <v>109590569</v>
      </c>
      <c r="O50" s="560" t="n">
        <v>0</v>
      </c>
      <c r="P50" s="563" t="n">
        <v>0</v>
      </c>
      <c r="Q50" s="564"/>
      <c r="R50" s="565" t="s">
        <v>2437</v>
      </c>
      <c r="S50" s="566"/>
      <c r="T50" s="566"/>
      <c r="U50" s="566"/>
      <c r="V50" s="519"/>
      <c r="W50" s="571"/>
      <c r="Z50" s="568"/>
    </row>
    <row r="51" customFormat="false" ht="16.5" hidden="false" customHeight="false" outlineLevel="0" collapsed="false">
      <c r="B51" s="557"/>
      <c r="C51" s="558"/>
      <c r="D51" s="63" t="s">
        <v>130</v>
      </c>
      <c r="E51" s="560" t="n">
        <v>-71350683</v>
      </c>
      <c r="F51" s="561"/>
      <c r="G51" s="59"/>
      <c r="H51" s="562"/>
      <c r="I51" s="59"/>
      <c r="J51" s="561" t="n">
        <v>-408467242</v>
      </c>
      <c r="K51" s="560" t="n">
        <v>-479817925</v>
      </c>
      <c r="L51" s="561"/>
      <c r="M51" s="560" t="n">
        <v>-452423189</v>
      </c>
      <c r="N51" s="561"/>
      <c r="O51" s="560" t="n">
        <v>-27394736</v>
      </c>
      <c r="P51" s="563" t="n">
        <v>0.0605511314761543</v>
      </c>
      <c r="Q51" s="564"/>
      <c r="R51" s="565" t="s">
        <v>2437</v>
      </c>
      <c r="S51" s="566"/>
      <c r="T51" s="566"/>
      <c r="U51" s="566"/>
      <c r="V51" s="519"/>
      <c r="W51" s="571"/>
      <c r="Z51" s="568"/>
    </row>
    <row r="52" customFormat="false" ht="16.5" hidden="false" customHeight="false" outlineLevel="0" collapsed="false">
      <c r="B52" s="557"/>
      <c r="C52" s="558" t="s">
        <v>49</v>
      </c>
      <c r="D52" s="63" t="s">
        <v>132</v>
      </c>
      <c r="E52" s="560" t="n">
        <v>1632938339</v>
      </c>
      <c r="F52" s="561" t="n">
        <v>343889805</v>
      </c>
      <c r="G52" s="59"/>
      <c r="H52" s="562"/>
      <c r="I52" s="59"/>
      <c r="J52" s="561"/>
      <c r="K52" s="560" t="n">
        <v>1632938339</v>
      </c>
      <c r="L52" s="561" t="n">
        <v>343889805</v>
      </c>
      <c r="M52" s="560" t="n">
        <v>1580099270</v>
      </c>
      <c r="N52" s="561" t="n">
        <v>390657557</v>
      </c>
      <c r="O52" s="560" t="n">
        <v>52839069</v>
      </c>
      <c r="P52" s="563" t="n">
        <v>0.0334403477067615</v>
      </c>
      <c r="Q52" s="564"/>
      <c r="R52" s="565" t="s">
        <v>2437</v>
      </c>
      <c r="S52" s="566"/>
      <c r="T52" s="566"/>
      <c r="U52" s="566"/>
      <c r="V52" s="519"/>
      <c r="W52" s="571"/>
      <c r="Z52" s="568"/>
    </row>
    <row r="53" customFormat="false" ht="26.25" hidden="false" customHeight="true" outlineLevel="0" collapsed="false">
      <c r="B53" s="557"/>
      <c r="C53" s="558"/>
      <c r="D53" s="63" t="s">
        <v>134</v>
      </c>
      <c r="E53" s="560" t="n">
        <v>-1289048534</v>
      </c>
      <c r="F53" s="561"/>
      <c r="G53" s="59"/>
      <c r="H53" s="562"/>
      <c r="I53" s="59"/>
      <c r="J53" s="561"/>
      <c r="K53" s="560" t="n">
        <v>-1289048534</v>
      </c>
      <c r="L53" s="561"/>
      <c r="M53" s="560" t="n">
        <v>-1189441713</v>
      </c>
      <c r="N53" s="561"/>
      <c r="O53" s="560" t="n">
        <v>-99606821</v>
      </c>
      <c r="P53" s="563" t="n">
        <v>0.0837424986120358</v>
      </c>
      <c r="Q53" s="564"/>
      <c r="R53" s="565" t="s">
        <v>2437</v>
      </c>
      <c r="S53" s="566"/>
      <c r="T53" s="566"/>
      <c r="U53" s="567" t="s">
        <v>2467</v>
      </c>
      <c r="V53" s="519"/>
      <c r="W53" s="571"/>
      <c r="Z53" s="568"/>
    </row>
    <row r="54" customFormat="false" ht="16.5" hidden="false" customHeight="false" outlineLevel="0" collapsed="false">
      <c r="B54" s="544"/>
      <c r="C54" s="36" t="s">
        <v>2468</v>
      </c>
      <c r="D54" s="556"/>
      <c r="E54" s="547"/>
      <c r="F54" s="548" t="n">
        <v>0</v>
      </c>
      <c r="G54" s="549"/>
      <c r="H54" s="550"/>
      <c r="I54" s="549"/>
      <c r="J54" s="548"/>
      <c r="K54" s="547" t="n">
        <v>0</v>
      </c>
      <c r="L54" s="548" t="n">
        <v>0</v>
      </c>
      <c r="M54" s="547"/>
      <c r="N54" s="548" t="n">
        <v>0</v>
      </c>
      <c r="O54" s="547" t="n">
        <v>0</v>
      </c>
      <c r="P54" s="563" t="n">
        <v>0</v>
      </c>
      <c r="Q54" s="551"/>
      <c r="R54" s="551"/>
      <c r="S54" s="552"/>
      <c r="T54" s="552"/>
      <c r="U54" s="552"/>
      <c r="V54" s="519"/>
      <c r="W54" s="571"/>
      <c r="Z54" s="568"/>
    </row>
    <row r="55" customFormat="false" ht="16.5" hidden="false" customHeight="false" outlineLevel="0" collapsed="false">
      <c r="B55" s="557"/>
      <c r="C55" s="558" t="s">
        <v>26</v>
      </c>
      <c r="D55" s="559" t="s">
        <v>139</v>
      </c>
      <c r="E55" s="560" t="n">
        <v>355759457</v>
      </c>
      <c r="F55" s="561" t="n">
        <v>0</v>
      </c>
      <c r="G55" s="59"/>
      <c r="H55" s="562"/>
      <c r="I55" s="59"/>
      <c r="J55" s="561"/>
      <c r="K55" s="560" t="n">
        <v>355759457</v>
      </c>
      <c r="L55" s="561" t="n">
        <v>0</v>
      </c>
      <c r="M55" s="560" t="n">
        <v>355759457</v>
      </c>
      <c r="N55" s="561" t="n">
        <v>0</v>
      </c>
      <c r="O55" s="560" t="n">
        <v>0</v>
      </c>
      <c r="P55" s="563" t="n">
        <v>0</v>
      </c>
      <c r="Q55" s="564"/>
      <c r="R55" s="564"/>
      <c r="S55" s="566"/>
      <c r="T55" s="566"/>
      <c r="U55" s="566"/>
      <c r="V55" s="519"/>
      <c r="W55" s="571"/>
      <c r="Z55" s="568"/>
    </row>
    <row r="56" customFormat="false" ht="16.5" hidden="false" customHeight="false" outlineLevel="0" collapsed="false">
      <c r="B56" s="557"/>
      <c r="C56" s="558"/>
      <c r="D56" s="63" t="s">
        <v>141</v>
      </c>
      <c r="E56" s="560" t="n">
        <v>-355759457</v>
      </c>
      <c r="F56" s="561"/>
      <c r="G56" s="59"/>
      <c r="H56" s="562"/>
      <c r="I56" s="59"/>
      <c r="J56" s="561"/>
      <c r="K56" s="560" t="n">
        <v>-355759457</v>
      </c>
      <c r="L56" s="561"/>
      <c r="M56" s="560" t="n">
        <v>-355759457</v>
      </c>
      <c r="N56" s="561"/>
      <c r="O56" s="560" t="n">
        <v>0</v>
      </c>
      <c r="P56" s="563" t="n">
        <v>0</v>
      </c>
      <c r="Q56" s="564"/>
      <c r="R56" s="564"/>
      <c r="S56" s="566"/>
      <c r="T56" s="566"/>
      <c r="U56" s="566"/>
      <c r="V56" s="519"/>
      <c r="W56" s="571"/>
      <c r="Z56" s="568"/>
    </row>
    <row r="57" customFormat="false" ht="16.5" hidden="false" customHeight="false" outlineLevel="0" collapsed="false">
      <c r="B57" s="557"/>
      <c r="C57" s="558" t="s">
        <v>30</v>
      </c>
      <c r="D57" s="63" t="s">
        <v>143</v>
      </c>
      <c r="E57" s="560" t="n">
        <v>3706860500</v>
      </c>
      <c r="F57" s="561" t="n">
        <v>0</v>
      </c>
      <c r="G57" s="59"/>
      <c r="H57" s="562"/>
      <c r="I57" s="59"/>
      <c r="J57" s="561"/>
      <c r="K57" s="560" t="n">
        <v>3706860500</v>
      </c>
      <c r="L57" s="561" t="n">
        <v>0</v>
      </c>
      <c r="M57" s="560" t="n">
        <v>3706860500</v>
      </c>
      <c r="N57" s="561" t="n">
        <v>0</v>
      </c>
      <c r="O57" s="560" t="n">
        <v>0</v>
      </c>
      <c r="P57" s="563" t="n">
        <v>0</v>
      </c>
      <c r="Q57" s="564"/>
      <c r="R57" s="564"/>
      <c r="S57" s="566"/>
      <c r="T57" s="566"/>
      <c r="U57" s="566"/>
      <c r="V57" s="519"/>
      <c r="W57" s="571"/>
      <c r="Z57" s="568"/>
    </row>
    <row r="58" customFormat="false" ht="16.5" hidden="false" customHeight="false" outlineLevel="0" collapsed="false">
      <c r="B58" s="557"/>
      <c r="C58" s="558"/>
      <c r="D58" s="63" t="s">
        <v>145</v>
      </c>
      <c r="E58" s="560" t="n">
        <v>-3111195178</v>
      </c>
      <c r="F58" s="561"/>
      <c r="G58" s="59"/>
      <c r="H58" s="562"/>
      <c r="I58" s="59"/>
      <c r="J58" s="561"/>
      <c r="K58" s="560" t="n">
        <v>-3111195178</v>
      </c>
      <c r="L58" s="561"/>
      <c r="M58" s="560" t="n">
        <v>-3111195178</v>
      </c>
      <c r="N58" s="561"/>
      <c r="O58" s="560" t="n">
        <v>0</v>
      </c>
      <c r="P58" s="563" t="n">
        <v>0</v>
      </c>
      <c r="Q58" s="564"/>
      <c r="R58" s="564"/>
      <c r="S58" s="566"/>
      <c r="T58" s="566"/>
      <c r="U58" s="566"/>
      <c r="V58" s="519"/>
      <c r="W58" s="571"/>
      <c r="Z58" s="568"/>
    </row>
    <row r="59" customFormat="false" ht="16.5" hidden="false" customHeight="false" outlineLevel="0" collapsed="false">
      <c r="B59" s="557"/>
      <c r="C59" s="558"/>
      <c r="D59" s="63" t="s">
        <v>147</v>
      </c>
      <c r="E59" s="560" t="n">
        <v>-595665322</v>
      </c>
      <c r="F59" s="561"/>
      <c r="G59" s="59"/>
      <c r="H59" s="562"/>
      <c r="I59" s="59"/>
      <c r="J59" s="561"/>
      <c r="K59" s="560" t="n">
        <v>-595665322</v>
      </c>
      <c r="L59" s="561"/>
      <c r="M59" s="560" t="n">
        <v>-595665322</v>
      </c>
      <c r="N59" s="561"/>
      <c r="O59" s="560" t="n">
        <v>0</v>
      </c>
      <c r="P59" s="563" t="n">
        <v>0</v>
      </c>
      <c r="Q59" s="564"/>
      <c r="R59" s="564"/>
      <c r="S59" s="566"/>
      <c r="T59" s="566"/>
      <c r="U59" s="566"/>
      <c r="V59" s="519"/>
      <c r="W59" s="571"/>
      <c r="Z59" s="568"/>
    </row>
    <row r="60" customFormat="false" ht="16.5" hidden="false" customHeight="false" outlineLevel="0" collapsed="false">
      <c r="B60" s="557"/>
      <c r="C60" s="558" t="s">
        <v>34</v>
      </c>
      <c r="D60" s="63" t="s">
        <v>149</v>
      </c>
      <c r="E60" s="560" t="n">
        <v>0</v>
      </c>
      <c r="F60" s="561"/>
      <c r="G60" s="59"/>
      <c r="H60" s="562"/>
      <c r="I60" s="59"/>
      <c r="J60" s="561"/>
      <c r="K60" s="560" t="n">
        <v>0</v>
      </c>
      <c r="L60" s="561"/>
      <c r="M60" s="560" t="n">
        <v>0</v>
      </c>
      <c r="N60" s="561"/>
      <c r="O60" s="560" t="n">
        <v>0</v>
      </c>
      <c r="P60" s="563" t="s">
        <v>2452</v>
      </c>
      <c r="Q60" s="564"/>
      <c r="R60" s="564"/>
      <c r="S60" s="566"/>
      <c r="T60" s="566"/>
      <c r="U60" s="566"/>
      <c r="V60" s="519"/>
      <c r="W60" s="571"/>
      <c r="Z60" s="568"/>
    </row>
    <row r="61" customFormat="false" ht="16.5" hidden="false" customHeight="false" outlineLevel="0" collapsed="false">
      <c r="B61" s="557"/>
      <c r="C61" s="558"/>
      <c r="D61" s="63" t="s">
        <v>151</v>
      </c>
      <c r="E61" s="560" t="n">
        <v>0</v>
      </c>
      <c r="F61" s="561"/>
      <c r="G61" s="59"/>
      <c r="H61" s="562"/>
      <c r="I61" s="59"/>
      <c r="J61" s="561"/>
      <c r="K61" s="560" t="n">
        <v>0</v>
      </c>
      <c r="L61" s="561"/>
      <c r="M61" s="560" t="n">
        <v>0</v>
      </c>
      <c r="N61" s="561"/>
      <c r="O61" s="560" t="n">
        <v>0</v>
      </c>
      <c r="P61" s="563" t="s">
        <v>2452</v>
      </c>
      <c r="Q61" s="564"/>
      <c r="R61" s="564"/>
      <c r="S61" s="566"/>
      <c r="T61" s="566"/>
      <c r="U61" s="566"/>
      <c r="V61" s="519"/>
      <c r="W61" s="571"/>
      <c r="Z61" s="568"/>
    </row>
    <row r="62" customFormat="false" ht="16.5" hidden="false" customHeight="false" outlineLevel="0" collapsed="false">
      <c r="B62" s="544"/>
      <c r="C62" s="36" t="s">
        <v>2469</v>
      </c>
      <c r="D62" s="556"/>
      <c r="E62" s="547" t="n">
        <v>0</v>
      </c>
      <c r="F62" s="548" t="n">
        <v>5681855030</v>
      </c>
      <c r="G62" s="549"/>
      <c r="H62" s="550"/>
      <c r="I62" s="549"/>
      <c r="J62" s="548"/>
      <c r="K62" s="547" t="n">
        <v>0</v>
      </c>
      <c r="L62" s="548" t="n">
        <v>1603371682</v>
      </c>
      <c r="M62" s="547"/>
      <c r="N62" s="548" t="n">
        <v>13169939553</v>
      </c>
      <c r="O62" s="547"/>
      <c r="P62" s="554" t="n">
        <v>0</v>
      </c>
      <c r="Q62" s="551"/>
      <c r="R62" s="551"/>
      <c r="S62" s="552"/>
      <c r="T62" s="552"/>
      <c r="U62" s="552"/>
      <c r="V62" s="519"/>
      <c r="W62" s="571"/>
      <c r="Z62" s="568"/>
    </row>
    <row r="63" customFormat="false" ht="27" hidden="false" customHeight="true" outlineLevel="0" collapsed="false">
      <c r="B63" s="557"/>
      <c r="C63" s="558" t="s">
        <v>26</v>
      </c>
      <c r="D63" s="559" t="s">
        <v>155</v>
      </c>
      <c r="E63" s="560" t="n">
        <v>1211134090</v>
      </c>
      <c r="F63" s="561" t="s">
        <v>2348</v>
      </c>
      <c r="G63" s="59"/>
      <c r="H63" s="562"/>
      <c r="I63" s="59"/>
      <c r="J63" s="561" t="n">
        <v>-30000000</v>
      </c>
      <c r="K63" s="560" t="n">
        <v>1181134090</v>
      </c>
      <c r="L63" s="561" t="s">
        <v>2348</v>
      </c>
      <c r="M63" s="560" t="n">
        <v>9548626104</v>
      </c>
      <c r="N63" s="561" t="s">
        <v>2348</v>
      </c>
      <c r="O63" s="560" t="n">
        <v>-8367492014</v>
      </c>
      <c r="P63" s="563" t="n">
        <v>-0.876303242253332</v>
      </c>
      <c r="Q63" s="564" t="s">
        <v>2436</v>
      </c>
      <c r="R63" s="565" t="s">
        <v>2437</v>
      </c>
      <c r="S63" s="567" t="s">
        <v>2470</v>
      </c>
      <c r="T63" s="567" t="s">
        <v>2471</v>
      </c>
      <c r="U63" s="567" t="s">
        <v>2472</v>
      </c>
      <c r="V63" s="569"/>
      <c r="W63" s="571"/>
      <c r="Z63" s="568"/>
    </row>
    <row r="64" customFormat="false" ht="16.5" hidden="false" customHeight="false" outlineLevel="0" collapsed="false">
      <c r="B64" s="557"/>
      <c r="C64" s="558" t="s">
        <v>30</v>
      </c>
      <c r="D64" s="559" t="s">
        <v>158</v>
      </c>
      <c r="E64" s="560" t="n">
        <v>0</v>
      </c>
      <c r="F64" s="561" t="s">
        <v>2348</v>
      </c>
      <c r="G64" s="59"/>
      <c r="H64" s="562"/>
      <c r="I64" s="59"/>
      <c r="J64" s="561"/>
      <c r="K64" s="560" t="n">
        <v>0</v>
      </c>
      <c r="L64" s="561" t="s">
        <v>2348</v>
      </c>
      <c r="M64" s="560" t="n">
        <v>0</v>
      </c>
      <c r="N64" s="561" t="s">
        <v>2348</v>
      </c>
      <c r="O64" s="560" t="n">
        <v>0</v>
      </c>
      <c r="P64" s="563" t="s">
        <v>2452</v>
      </c>
      <c r="Q64" s="564"/>
      <c r="R64" s="564"/>
      <c r="S64" s="566"/>
      <c r="T64" s="566"/>
      <c r="U64" s="566"/>
      <c r="V64" s="519"/>
      <c r="W64" s="571"/>
      <c r="Z64" s="568"/>
    </row>
    <row r="65" customFormat="false" ht="16.5" hidden="false" customHeight="false" outlineLevel="0" collapsed="false">
      <c r="B65" s="557"/>
      <c r="C65" s="558" t="s">
        <v>34</v>
      </c>
      <c r="D65" s="63" t="s">
        <v>160</v>
      </c>
      <c r="E65" s="560" t="n">
        <v>0</v>
      </c>
      <c r="F65" s="561"/>
      <c r="G65" s="59" t="n">
        <v>1711847191</v>
      </c>
      <c r="H65" s="562"/>
      <c r="I65" s="59"/>
      <c r="J65" s="561" t="n">
        <v>-1289609599</v>
      </c>
      <c r="K65" s="560" t="n">
        <v>422237592</v>
      </c>
      <c r="L65" s="561"/>
      <c r="M65" s="560" t="n">
        <v>3621313449</v>
      </c>
      <c r="N65" s="561"/>
      <c r="O65" s="560" t="n">
        <v>-3199075857</v>
      </c>
      <c r="P65" s="563" t="n">
        <v>-0.883402086578118</v>
      </c>
      <c r="Q65" s="564"/>
      <c r="R65" s="565" t="s">
        <v>2453</v>
      </c>
      <c r="S65" s="572"/>
      <c r="T65" s="566"/>
      <c r="U65" s="566"/>
      <c r="V65" s="519"/>
      <c r="W65" s="571"/>
      <c r="Z65" s="568"/>
    </row>
    <row r="66" customFormat="false" ht="16.5" hidden="false" customHeight="false" outlineLevel="0" collapsed="false">
      <c r="B66" s="557"/>
      <c r="C66" s="558" t="s">
        <v>38</v>
      </c>
      <c r="D66" s="63" t="s">
        <v>162</v>
      </c>
      <c r="E66" s="560" t="n">
        <v>4470720940</v>
      </c>
      <c r="F66" s="561"/>
      <c r="G66" s="59"/>
      <c r="H66" s="562"/>
      <c r="I66" s="59"/>
      <c r="J66" s="561" t="n">
        <v>-4470720940</v>
      </c>
      <c r="K66" s="560" t="n">
        <v>0</v>
      </c>
      <c r="L66" s="561"/>
      <c r="M66" s="560" t="n">
        <v>0</v>
      </c>
      <c r="N66" s="561"/>
      <c r="O66" s="560" t="n">
        <v>0</v>
      </c>
      <c r="P66" s="563" t="n">
        <v>0</v>
      </c>
      <c r="Q66" s="564"/>
      <c r="R66" s="565" t="s">
        <v>2453</v>
      </c>
      <c r="S66" s="566"/>
      <c r="T66" s="566"/>
      <c r="U66" s="566"/>
      <c r="V66" s="519"/>
      <c r="W66" s="571"/>
      <c r="Z66" s="568"/>
    </row>
    <row r="67" customFormat="false" ht="81" hidden="false" customHeight="true" outlineLevel="0" collapsed="false">
      <c r="B67" s="557"/>
      <c r="C67" s="558" t="s">
        <v>163</v>
      </c>
      <c r="D67" s="63" t="s">
        <v>164</v>
      </c>
      <c r="E67" s="560" t="n">
        <v>0</v>
      </c>
      <c r="F67" s="561"/>
      <c r="G67" s="59"/>
      <c r="H67" s="562"/>
      <c r="I67" s="59"/>
      <c r="J67" s="561"/>
      <c r="K67" s="560" t="n">
        <v>0</v>
      </c>
      <c r="L67" s="561"/>
      <c r="M67" s="560" t="n">
        <v>6829150284</v>
      </c>
      <c r="N67" s="561"/>
      <c r="O67" s="560" t="n">
        <v>-6829150284</v>
      </c>
      <c r="P67" s="563" t="n">
        <v>-1</v>
      </c>
      <c r="Q67" s="564" t="s">
        <v>2436</v>
      </c>
      <c r="R67" s="565" t="s">
        <v>2437</v>
      </c>
      <c r="S67" s="567" t="s">
        <v>2473</v>
      </c>
      <c r="T67" s="567" t="s">
        <v>2473</v>
      </c>
      <c r="U67" s="566" t="s">
        <v>2474</v>
      </c>
      <c r="V67" s="519"/>
      <c r="W67" s="571"/>
      <c r="Z67" s="568"/>
    </row>
    <row r="68" customFormat="false" ht="53.25" hidden="false" customHeight="true" outlineLevel="0" collapsed="false">
      <c r="B68" s="557"/>
      <c r="C68" s="558" t="s">
        <v>165</v>
      </c>
      <c r="D68" s="63" t="s">
        <v>166</v>
      </c>
      <c r="E68" s="560" t="n">
        <v>0</v>
      </c>
      <c r="F68" s="561"/>
      <c r="G68" s="59"/>
      <c r="H68" s="562"/>
      <c r="I68" s="59"/>
      <c r="J68" s="561"/>
      <c r="K68" s="560" t="n">
        <v>0</v>
      </c>
      <c r="L68" s="561"/>
      <c r="M68" s="560" t="n">
        <v>-6829150284</v>
      </c>
      <c r="N68" s="561"/>
      <c r="O68" s="560" t="n">
        <v>6829150284</v>
      </c>
      <c r="P68" s="563" t="n">
        <v>-1</v>
      </c>
      <c r="Q68" s="564" t="s">
        <v>2436</v>
      </c>
      <c r="R68" s="565" t="s">
        <v>2437</v>
      </c>
      <c r="S68" s="567" t="s">
        <v>2475</v>
      </c>
      <c r="T68" s="567" t="s">
        <v>2475</v>
      </c>
      <c r="U68" s="566" t="s">
        <v>2476</v>
      </c>
      <c r="V68" s="519"/>
      <c r="W68" s="571"/>
      <c r="Z68" s="568"/>
    </row>
    <row r="69" customFormat="false" ht="16.5" hidden="false" customHeight="false" outlineLevel="0" collapsed="false">
      <c r="B69" s="557"/>
      <c r="C69" s="574" t="s">
        <v>168</v>
      </c>
      <c r="D69" s="545" t="s">
        <v>169</v>
      </c>
      <c r="E69" s="547"/>
      <c r="F69" s="548" t="n">
        <v>8237836</v>
      </c>
      <c r="G69" s="549"/>
      <c r="H69" s="550"/>
      <c r="I69" s="549"/>
      <c r="J69" s="548"/>
      <c r="K69" s="547"/>
      <c r="L69" s="548" t="n">
        <v>8237836</v>
      </c>
      <c r="M69" s="547"/>
      <c r="N69" s="548" t="n">
        <v>0</v>
      </c>
      <c r="O69" s="547" t="n">
        <v>8237836</v>
      </c>
      <c r="P69" s="554" t="n">
        <v>1</v>
      </c>
      <c r="Q69" s="551"/>
      <c r="R69" s="575" t="s">
        <v>2437</v>
      </c>
      <c r="S69" s="552"/>
      <c r="T69" s="552"/>
      <c r="U69" s="552"/>
      <c r="V69" s="519"/>
      <c r="W69" s="571"/>
      <c r="Z69" s="568"/>
    </row>
    <row r="70" customFormat="false" ht="16.5" hidden="false" customHeight="false" outlineLevel="0" collapsed="false">
      <c r="B70" s="544"/>
      <c r="C70" s="545" t="s">
        <v>2356</v>
      </c>
      <c r="D70" s="556"/>
      <c r="E70" s="547"/>
      <c r="F70" s="548" t="n">
        <v>412438089193</v>
      </c>
      <c r="G70" s="549"/>
      <c r="H70" s="550"/>
      <c r="I70" s="549"/>
      <c r="J70" s="548"/>
      <c r="K70" s="547"/>
      <c r="L70" s="548" t="n">
        <v>402171370716</v>
      </c>
      <c r="M70" s="547"/>
      <c r="N70" s="548" t="n">
        <v>405092028319</v>
      </c>
      <c r="O70" s="547" t="n">
        <v>-2920657603</v>
      </c>
      <c r="P70" s="554" t="n">
        <v>-0.00720986195438053</v>
      </c>
      <c r="Q70" s="575"/>
      <c r="R70" s="575"/>
      <c r="S70" s="552"/>
      <c r="T70" s="552"/>
      <c r="U70" s="552"/>
      <c r="V70" s="519"/>
      <c r="W70" s="571"/>
      <c r="Z70" s="568"/>
    </row>
    <row r="71" customFormat="false" ht="16.5" hidden="false" customHeight="false" outlineLevel="0" collapsed="false">
      <c r="B71" s="576"/>
      <c r="C71" s="577"/>
      <c r="D71" s="578"/>
      <c r="E71" s="579"/>
      <c r="F71" s="580"/>
      <c r="G71" s="581"/>
      <c r="H71" s="582"/>
      <c r="I71" s="581"/>
      <c r="J71" s="580"/>
      <c r="K71" s="579"/>
      <c r="L71" s="580"/>
      <c r="M71" s="579"/>
      <c r="N71" s="580"/>
      <c r="O71" s="579"/>
      <c r="P71" s="583"/>
      <c r="Q71" s="584"/>
      <c r="R71" s="584"/>
      <c r="S71" s="585"/>
      <c r="T71" s="585"/>
      <c r="U71" s="585"/>
      <c r="V71" s="519"/>
      <c r="W71" s="571"/>
      <c r="Z71" s="568"/>
    </row>
    <row r="72" customFormat="false" ht="16.5" hidden="false" customHeight="false" outlineLevel="0" collapsed="false">
      <c r="B72" s="586"/>
      <c r="C72" s="587" t="s">
        <v>2357</v>
      </c>
      <c r="D72" s="588"/>
      <c r="E72" s="589"/>
      <c r="F72" s="590"/>
      <c r="G72" s="549"/>
      <c r="H72" s="550"/>
      <c r="I72" s="549"/>
      <c r="J72" s="590"/>
      <c r="K72" s="589"/>
      <c r="L72" s="590"/>
      <c r="M72" s="589"/>
      <c r="N72" s="590"/>
      <c r="O72" s="589"/>
      <c r="P72" s="591"/>
      <c r="Q72" s="592"/>
      <c r="R72" s="592"/>
      <c r="S72" s="593"/>
      <c r="T72" s="593"/>
      <c r="U72" s="593"/>
      <c r="V72" s="519"/>
      <c r="W72" s="571"/>
      <c r="Z72" s="568"/>
    </row>
    <row r="73" customFormat="false" ht="16.5" hidden="false" customHeight="false" outlineLevel="0" collapsed="false">
      <c r="B73" s="544" t="s">
        <v>2345</v>
      </c>
      <c r="C73" s="545" t="s">
        <v>2358</v>
      </c>
      <c r="D73" s="556"/>
      <c r="E73" s="547"/>
      <c r="F73" s="548" t="n">
        <v>154019626401</v>
      </c>
      <c r="G73" s="549"/>
      <c r="H73" s="550"/>
      <c r="I73" s="549"/>
      <c r="J73" s="548"/>
      <c r="K73" s="547"/>
      <c r="L73" s="548" t="n">
        <v>140791861473</v>
      </c>
      <c r="M73" s="547"/>
      <c r="N73" s="548" t="n">
        <v>165898001260</v>
      </c>
      <c r="O73" s="547" t="n">
        <v>-25106139787</v>
      </c>
      <c r="P73" s="554" t="n">
        <v>-0.151334793646205</v>
      </c>
      <c r="Q73" s="575"/>
      <c r="R73" s="575"/>
      <c r="S73" s="552"/>
      <c r="T73" s="552"/>
      <c r="U73" s="552"/>
      <c r="V73" s="519"/>
      <c r="W73" s="571"/>
      <c r="Z73" s="568"/>
    </row>
    <row r="74" customFormat="false" ht="67.5" hidden="false" customHeight="true" outlineLevel="0" collapsed="false">
      <c r="B74" s="557"/>
      <c r="C74" s="558" t="n">
        <v>1</v>
      </c>
      <c r="D74" s="559" t="s">
        <v>178</v>
      </c>
      <c r="E74" s="560" t="n">
        <v>13529982099</v>
      </c>
      <c r="F74" s="561"/>
      <c r="G74" s="59"/>
      <c r="H74" s="562"/>
      <c r="I74" s="59" t="n">
        <v>253337519</v>
      </c>
      <c r="J74" s="561" t="n">
        <v>-408043000</v>
      </c>
      <c r="K74" s="560" t="n">
        <v>13684687580</v>
      </c>
      <c r="L74" s="561"/>
      <c r="M74" s="560" t="n">
        <v>72729419025</v>
      </c>
      <c r="N74" s="561"/>
      <c r="O74" s="560" t="n">
        <v>-59044731445</v>
      </c>
      <c r="P74" s="563" t="n">
        <v>-0.811841098644057</v>
      </c>
      <c r="Q74" s="564" t="s">
        <v>2436</v>
      </c>
      <c r="R74" s="565" t="s">
        <v>2454</v>
      </c>
      <c r="S74" s="567" t="s">
        <v>2477</v>
      </c>
      <c r="T74" s="567" t="s">
        <v>2478</v>
      </c>
      <c r="U74" s="567" t="s">
        <v>2479</v>
      </c>
      <c r="V74" s="594"/>
      <c r="W74" s="571"/>
      <c r="Z74" s="568"/>
    </row>
    <row r="75" customFormat="false" ht="16.5" hidden="false" customHeight="false" outlineLevel="0" collapsed="false">
      <c r="B75" s="557"/>
      <c r="C75" s="558" t="n">
        <v>2</v>
      </c>
      <c r="D75" s="559" t="s">
        <v>181</v>
      </c>
      <c r="E75" s="560" t="n">
        <v>0</v>
      </c>
      <c r="F75" s="561"/>
      <c r="G75" s="59"/>
      <c r="H75" s="562"/>
      <c r="I75" s="59"/>
      <c r="J75" s="561"/>
      <c r="K75" s="560" t="n">
        <v>0</v>
      </c>
      <c r="L75" s="561"/>
      <c r="M75" s="560" t="n">
        <v>0</v>
      </c>
      <c r="N75" s="561"/>
      <c r="O75" s="560" t="n">
        <v>0</v>
      </c>
      <c r="P75" s="563" t="s">
        <v>2452</v>
      </c>
      <c r="Q75" s="564"/>
      <c r="R75" s="564"/>
      <c r="S75" s="566"/>
      <c r="T75" s="566"/>
      <c r="U75" s="566"/>
      <c r="V75" s="519"/>
      <c r="W75" s="571"/>
      <c r="Z75" s="568"/>
    </row>
    <row r="76" customFormat="false" ht="81" hidden="false" customHeight="true" outlineLevel="0" collapsed="false">
      <c r="B76" s="557"/>
      <c r="C76" s="558" t="n">
        <v>3</v>
      </c>
      <c r="D76" s="559" t="s">
        <v>183</v>
      </c>
      <c r="E76" s="560" t="n">
        <v>14719686537</v>
      </c>
      <c r="F76" s="561"/>
      <c r="G76" s="59"/>
      <c r="H76" s="562"/>
      <c r="I76" s="59" t="n">
        <v>605574110</v>
      </c>
      <c r="J76" s="561"/>
      <c r="K76" s="560" t="n">
        <v>14114112505</v>
      </c>
      <c r="L76" s="561"/>
      <c r="M76" s="560" t="n">
        <v>11171705926</v>
      </c>
      <c r="N76" s="561"/>
      <c r="O76" s="560" t="n">
        <v>2942406579</v>
      </c>
      <c r="P76" s="563" t="n">
        <v>0.263380239194456</v>
      </c>
      <c r="Q76" s="564"/>
      <c r="R76" s="565" t="s">
        <v>2454</v>
      </c>
      <c r="S76" s="567" t="s">
        <v>2480</v>
      </c>
      <c r="T76" s="566"/>
      <c r="U76" s="567" t="s">
        <v>2481</v>
      </c>
      <c r="V76" s="519"/>
      <c r="W76" s="571"/>
      <c r="Z76" s="568"/>
    </row>
    <row r="77" customFormat="false" ht="16.5" hidden="false" customHeight="false" outlineLevel="0" collapsed="false">
      <c r="B77" s="557"/>
      <c r="C77" s="558" t="n">
        <v>4</v>
      </c>
      <c r="D77" s="559" t="s">
        <v>186</v>
      </c>
      <c r="E77" s="560" t="n">
        <v>2737532</v>
      </c>
      <c r="F77" s="561"/>
      <c r="G77" s="59"/>
      <c r="H77" s="562"/>
      <c r="I77" s="59"/>
      <c r="J77" s="561"/>
      <c r="K77" s="560" t="n">
        <v>2737532</v>
      </c>
      <c r="L77" s="561"/>
      <c r="M77" s="560" t="n">
        <v>13647651</v>
      </c>
      <c r="N77" s="561"/>
      <c r="O77" s="560" t="n">
        <v>-10910119</v>
      </c>
      <c r="P77" s="563" t="n">
        <v>-0.799413686648347</v>
      </c>
      <c r="Q77" s="564"/>
      <c r="R77" s="565" t="s">
        <v>2437</v>
      </c>
      <c r="S77" s="566"/>
      <c r="T77" s="566"/>
      <c r="U77" s="566"/>
      <c r="V77" s="519"/>
      <c r="W77" s="571"/>
      <c r="Z77" s="568"/>
    </row>
    <row r="78" customFormat="false" ht="27" hidden="false" customHeight="true" outlineLevel="0" collapsed="false">
      <c r="B78" s="557"/>
      <c r="C78" s="558" t="n">
        <v>5</v>
      </c>
      <c r="D78" s="559" t="s">
        <v>188</v>
      </c>
      <c r="E78" s="560" t="n">
        <v>1217627633</v>
      </c>
      <c r="F78" s="561"/>
      <c r="G78" s="59"/>
      <c r="H78" s="562"/>
      <c r="I78" s="59"/>
      <c r="J78" s="561"/>
      <c r="K78" s="560" t="n">
        <v>1217627633</v>
      </c>
      <c r="L78" s="561"/>
      <c r="M78" s="560" t="n">
        <v>1167577946</v>
      </c>
      <c r="N78" s="561"/>
      <c r="O78" s="560" t="n">
        <v>50049687</v>
      </c>
      <c r="P78" s="563" t="n">
        <v>0.0428662490341352</v>
      </c>
      <c r="Q78" s="564"/>
      <c r="R78" s="565" t="s">
        <v>2437</v>
      </c>
      <c r="S78" s="566"/>
      <c r="T78" s="566"/>
      <c r="U78" s="567" t="s">
        <v>2482</v>
      </c>
      <c r="V78" s="519"/>
      <c r="W78" s="571"/>
      <c r="Z78" s="568"/>
    </row>
    <row r="79" customFormat="false" ht="108" hidden="false" customHeight="true" outlineLevel="0" collapsed="false">
      <c r="B79" s="557"/>
      <c r="C79" s="558" t="n">
        <v>6</v>
      </c>
      <c r="D79" s="559" t="s">
        <v>191</v>
      </c>
      <c r="E79" s="560" t="n">
        <v>101523263897</v>
      </c>
      <c r="F79" s="561"/>
      <c r="G79" s="59" t="n">
        <v>-1036048562</v>
      </c>
      <c r="H79" s="562"/>
      <c r="I79" s="59" t="n">
        <v>7192440524</v>
      </c>
      <c r="J79" s="561" t="n">
        <v>-605574110</v>
      </c>
      <c r="K79" s="560" t="n">
        <v>93900348921</v>
      </c>
      <c r="L79" s="561"/>
      <c r="M79" s="560" t="n">
        <v>69921870021</v>
      </c>
      <c r="N79" s="561"/>
      <c r="O79" s="560" t="n">
        <v>23978478900</v>
      </c>
      <c r="P79" s="563" t="n">
        <v>0.342932460084354</v>
      </c>
      <c r="Q79" s="564" t="s">
        <v>2436</v>
      </c>
      <c r="R79" s="565" t="s">
        <v>2437</v>
      </c>
      <c r="S79" s="567" t="s">
        <v>2483</v>
      </c>
      <c r="T79" s="566"/>
      <c r="U79" s="567" t="s">
        <v>2484</v>
      </c>
      <c r="V79" s="519"/>
      <c r="W79" s="571"/>
      <c r="Z79" s="568"/>
    </row>
    <row r="80" customFormat="false" ht="16.5" hidden="false" customHeight="false" outlineLevel="0" collapsed="false">
      <c r="B80" s="557"/>
      <c r="C80" s="558" t="n">
        <v>7</v>
      </c>
      <c r="D80" s="559" t="s">
        <v>194</v>
      </c>
      <c r="E80" s="560" t="n">
        <v>4357240097</v>
      </c>
      <c r="F80" s="561"/>
      <c r="G80" s="59"/>
      <c r="H80" s="562"/>
      <c r="I80" s="59" t="n">
        <v>9</v>
      </c>
      <c r="J80" s="561"/>
      <c r="K80" s="560" t="n">
        <v>4357240088</v>
      </c>
      <c r="L80" s="561"/>
      <c r="M80" s="560" t="n">
        <v>2191517225</v>
      </c>
      <c r="N80" s="561"/>
      <c r="O80" s="560" t="n">
        <v>2165722863</v>
      </c>
      <c r="P80" s="563" t="n">
        <v>0.988229906794367</v>
      </c>
      <c r="Q80" s="564"/>
      <c r="R80" s="565" t="s">
        <v>2437</v>
      </c>
      <c r="S80" s="567" t="s">
        <v>2485</v>
      </c>
      <c r="T80" s="566"/>
      <c r="U80" s="566"/>
      <c r="V80" s="519"/>
      <c r="W80" s="571"/>
      <c r="Z80" s="568"/>
    </row>
    <row r="81" customFormat="false" ht="16.5" hidden="false" customHeight="false" outlineLevel="0" collapsed="false">
      <c r="B81" s="557"/>
      <c r="C81" s="558" t="n">
        <v>8</v>
      </c>
      <c r="D81" s="559" t="s">
        <v>197</v>
      </c>
      <c r="E81" s="560" t="n">
        <v>11006749505</v>
      </c>
      <c r="F81" s="561"/>
      <c r="G81" s="59" t="n">
        <v>-1917549368</v>
      </c>
      <c r="H81" s="562"/>
      <c r="I81" s="59" t="n">
        <v>2456569024</v>
      </c>
      <c r="J81" s="561"/>
      <c r="K81" s="560" t="n">
        <v>6632631113</v>
      </c>
      <c r="L81" s="561"/>
      <c r="M81" s="560" t="n">
        <v>5287930869</v>
      </c>
      <c r="N81" s="561"/>
      <c r="O81" s="560" t="n">
        <v>1344700244</v>
      </c>
      <c r="P81" s="563" t="n">
        <v>0.254296108877516</v>
      </c>
      <c r="Q81" s="564"/>
      <c r="R81" s="565" t="s">
        <v>2453</v>
      </c>
      <c r="S81" s="572"/>
      <c r="T81" s="566"/>
      <c r="U81" s="566"/>
      <c r="V81" s="519"/>
      <c r="W81" s="571"/>
      <c r="Z81" s="568"/>
    </row>
    <row r="82" customFormat="false" ht="16.5" hidden="false" customHeight="false" outlineLevel="0" collapsed="false">
      <c r="B82" s="557"/>
      <c r="C82" s="558" t="n">
        <v>9</v>
      </c>
      <c r="D82" s="559" t="s">
        <v>200</v>
      </c>
      <c r="E82" s="560" t="n">
        <v>0</v>
      </c>
      <c r="F82" s="561"/>
      <c r="G82" s="59"/>
      <c r="H82" s="562"/>
      <c r="I82" s="59"/>
      <c r="J82" s="561"/>
      <c r="K82" s="560" t="n">
        <v>0</v>
      </c>
      <c r="L82" s="561"/>
      <c r="M82" s="560" t="n">
        <v>0</v>
      </c>
      <c r="N82" s="561"/>
      <c r="O82" s="560" t="n">
        <v>0</v>
      </c>
      <c r="P82" s="563" t="s">
        <v>2452</v>
      </c>
      <c r="Q82" s="564"/>
      <c r="R82" s="564"/>
      <c r="S82" s="566"/>
      <c r="T82" s="566"/>
      <c r="U82" s="566"/>
      <c r="V82" s="519"/>
      <c r="W82" s="571"/>
      <c r="Z82" s="568"/>
    </row>
    <row r="83" customFormat="false" ht="16.5" hidden="false" customHeight="false" outlineLevel="0" collapsed="false">
      <c r="B83" s="557"/>
      <c r="C83" s="558" t="n">
        <v>10</v>
      </c>
      <c r="D83" s="559" t="s">
        <v>202</v>
      </c>
      <c r="E83" s="560" t="n">
        <v>0</v>
      </c>
      <c r="F83" s="561" t="s">
        <v>2348</v>
      </c>
      <c r="G83" s="59"/>
      <c r="H83" s="562"/>
      <c r="I83" s="59"/>
      <c r="J83" s="561"/>
      <c r="K83" s="560" t="n">
        <v>0</v>
      </c>
      <c r="L83" s="561" t="s">
        <v>2348</v>
      </c>
      <c r="M83" s="560" t="n">
        <v>0</v>
      </c>
      <c r="N83" s="561" t="s">
        <v>2348</v>
      </c>
      <c r="O83" s="560" t="n">
        <v>0</v>
      </c>
      <c r="P83" s="563" t="s">
        <v>2452</v>
      </c>
      <c r="Q83" s="564"/>
      <c r="R83" s="564"/>
      <c r="S83" s="566"/>
      <c r="T83" s="566"/>
      <c r="U83" s="566"/>
      <c r="V83" s="519"/>
      <c r="W83" s="571"/>
      <c r="Z83" s="568"/>
    </row>
    <row r="84" customFormat="false" ht="16.5" hidden="false" customHeight="false" outlineLevel="0" collapsed="false">
      <c r="B84" s="557"/>
      <c r="C84" s="558" t="n">
        <v>11</v>
      </c>
      <c r="D84" s="559" t="s">
        <v>204</v>
      </c>
      <c r="E84" s="560" t="n">
        <v>0</v>
      </c>
      <c r="F84" s="561"/>
      <c r="G84" s="59"/>
      <c r="H84" s="562"/>
      <c r="I84" s="59"/>
      <c r="J84" s="561"/>
      <c r="K84" s="560" t="n">
        <v>0</v>
      </c>
      <c r="L84" s="561"/>
      <c r="M84" s="560" t="n">
        <v>1529212</v>
      </c>
      <c r="N84" s="561"/>
      <c r="O84" s="560" t="n">
        <v>-1529212</v>
      </c>
      <c r="P84" s="563" t="n">
        <v>-1</v>
      </c>
      <c r="Q84" s="564"/>
      <c r="R84" s="565" t="s">
        <v>2437</v>
      </c>
      <c r="S84" s="566"/>
      <c r="T84" s="566"/>
      <c r="U84" s="566"/>
      <c r="V84" s="519"/>
      <c r="W84" s="571"/>
      <c r="Z84" s="568"/>
    </row>
    <row r="85" customFormat="false" ht="81" hidden="false" customHeight="true" outlineLevel="0" collapsed="false">
      <c r="B85" s="595" t="s">
        <v>2359</v>
      </c>
      <c r="C85" s="558" t="n">
        <v>12</v>
      </c>
      <c r="D85" s="63" t="s">
        <v>206</v>
      </c>
      <c r="E85" s="560" t="n">
        <v>7662339101</v>
      </c>
      <c r="F85" s="561"/>
      <c r="G85" s="59"/>
      <c r="H85" s="562"/>
      <c r="I85" s="59" t="n">
        <v>779863000</v>
      </c>
      <c r="J85" s="561"/>
      <c r="K85" s="560" t="n">
        <v>6882476101</v>
      </c>
      <c r="L85" s="561"/>
      <c r="M85" s="560" t="n">
        <v>3412803385</v>
      </c>
      <c r="N85" s="561"/>
      <c r="O85" s="560" t="n">
        <v>3469672716</v>
      </c>
      <c r="P85" s="563" t="n">
        <v>1.01666352396682</v>
      </c>
      <c r="Q85" s="564"/>
      <c r="R85" s="565" t="s">
        <v>2440</v>
      </c>
      <c r="S85" s="567" t="s">
        <v>2486</v>
      </c>
      <c r="T85" s="567" t="s">
        <v>2487</v>
      </c>
      <c r="U85" s="567" t="s">
        <v>2488</v>
      </c>
      <c r="V85" s="519"/>
      <c r="W85" s="571"/>
      <c r="Z85" s="568"/>
    </row>
    <row r="86" customFormat="false" ht="16.5" hidden="false" customHeight="false" outlineLevel="0" collapsed="false">
      <c r="B86" s="544" t="s">
        <v>2350</v>
      </c>
      <c r="C86" s="545" t="s">
        <v>2360</v>
      </c>
      <c r="D86" s="556"/>
      <c r="E86" s="547"/>
      <c r="F86" s="548" t="n">
        <v>874799543</v>
      </c>
      <c r="G86" s="549"/>
      <c r="H86" s="550"/>
      <c r="I86" s="549"/>
      <c r="J86" s="548"/>
      <c r="K86" s="547" t="n">
        <v>0</v>
      </c>
      <c r="L86" s="548" t="n">
        <v>1681126243</v>
      </c>
      <c r="M86" s="547"/>
      <c r="N86" s="548" t="n">
        <v>11002482397</v>
      </c>
      <c r="O86" s="547" t="n">
        <v>-9321356154</v>
      </c>
      <c r="P86" s="554" t="n">
        <v>-0.847204823208044</v>
      </c>
      <c r="Q86" s="575"/>
      <c r="R86" s="575"/>
      <c r="S86" s="552"/>
      <c r="T86" s="552"/>
      <c r="U86" s="552"/>
      <c r="V86" s="519"/>
      <c r="W86" s="571"/>
      <c r="Z86" s="568"/>
    </row>
    <row r="87" customFormat="false" ht="16.5" hidden="false" customHeight="false" outlineLevel="0" collapsed="false">
      <c r="B87" s="557"/>
      <c r="C87" s="558" t="n">
        <v>1</v>
      </c>
      <c r="D87" s="559" t="s">
        <v>211</v>
      </c>
      <c r="E87" s="560" t="n">
        <v>0</v>
      </c>
      <c r="F87" s="561"/>
      <c r="G87" s="59"/>
      <c r="H87" s="562"/>
      <c r="I87" s="59"/>
      <c r="J87" s="561"/>
      <c r="K87" s="560" t="n">
        <v>0</v>
      </c>
      <c r="L87" s="561"/>
      <c r="M87" s="560" t="n">
        <v>0</v>
      </c>
      <c r="N87" s="561"/>
      <c r="O87" s="560" t="n">
        <v>0</v>
      </c>
      <c r="P87" s="563" t="s">
        <v>2452</v>
      </c>
      <c r="Q87" s="564"/>
      <c r="R87" s="564"/>
      <c r="S87" s="566"/>
      <c r="T87" s="566"/>
      <c r="U87" s="566"/>
      <c r="V87" s="519"/>
      <c r="W87" s="571"/>
      <c r="Z87" s="568"/>
    </row>
    <row r="88" customFormat="false" ht="16.5" hidden="false" customHeight="false" outlineLevel="0" collapsed="false">
      <c r="B88" s="557"/>
      <c r="C88" s="558" t="n">
        <v>2</v>
      </c>
      <c r="D88" s="559" t="s">
        <v>213</v>
      </c>
      <c r="E88" s="560" t="n">
        <v>0</v>
      </c>
      <c r="F88" s="561"/>
      <c r="G88" s="59"/>
      <c r="H88" s="562"/>
      <c r="I88" s="59"/>
      <c r="J88" s="561"/>
      <c r="K88" s="560" t="n">
        <v>0</v>
      </c>
      <c r="L88" s="561"/>
      <c r="M88" s="560" t="n">
        <v>0</v>
      </c>
      <c r="N88" s="561"/>
      <c r="O88" s="560" t="n">
        <v>0</v>
      </c>
      <c r="P88" s="563" t="s">
        <v>2452</v>
      </c>
      <c r="Q88" s="564"/>
      <c r="R88" s="564"/>
      <c r="S88" s="566"/>
      <c r="T88" s="566"/>
      <c r="U88" s="566"/>
      <c r="V88" s="519"/>
      <c r="W88" s="571"/>
      <c r="Z88" s="568"/>
    </row>
    <row r="89" customFormat="false" ht="16.5" hidden="false" customHeight="false" outlineLevel="0" collapsed="false">
      <c r="B89" s="557"/>
      <c r="C89" s="558" t="n">
        <v>3</v>
      </c>
      <c r="D89" s="559" t="s">
        <v>215</v>
      </c>
      <c r="E89" s="560" t="n">
        <v>-26463700</v>
      </c>
      <c r="F89" s="561"/>
      <c r="G89" s="59"/>
      <c r="H89" s="562"/>
      <c r="I89" s="59"/>
      <c r="J89" s="561" t="n">
        <v>-26463700</v>
      </c>
      <c r="K89" s="560" t="n">
        <v>0</v>
      </c>
      <c r="L89" s="561"/>
      <c r="M89" s="560" t="n">
        <v>0</v>
      </c>
      <c r="N89" s="561"/>
      <c r="O89" s="560" t="n">
        <v>0</v>
      </c>
      <c r="P89" s="563" t="s">
        <v>2452</v>
      </c>
      <c r="Q89" s="564"/>
      <c r="R89" s="564"/>
      <c r="S89" s="566"/>
      <c r="T89" s="566"/>
      <c r="U89" s="566"/>
      <c r="V89" s="519"/>
      <c r="W89" s="571"/>
      <c r="Z89" s="568"/>
    </row>
    <row r="90" customFormat="false" ht="25.5" hidden="false" customHeight="true" outlineLevel="0" collapsed="false">
      <c r="B90" s="595" t="s">
        <v>2361</v>
      </c>
      <c r="C90" s="558" t="n">
        <v>4</v>
      </c>
      <c r="D90" s="559" t="s">
        <v>217</v>
      </c>
      <c r="E90" s="560" t="n">
        <v>0</v>
      </c>
      <c r="F90" s="561"/>
      <c r="G90" s="59"/>
      <c r="H90" s="562"/>
      <c r="I90" s="59"/>
      <c r="J90" s="561" t="n">
        <v>-779863000</v>
      </c>
      <c r="K90" s="560" t="n">
        <v>779863000</v>
      </c>
      <c r="L90" s="561"/>
      <c r="M90" s="560" t="n">
        <v>942103739</v>
      </c>
      <c r="N90" s="561"/>
      <c r="O90" s="560" t="n">
        <v>-162240739</v>
      </c>
      <c r="P90" s="563" t="n">
        <v>-0.172211118886134</v>
      </c>
      <c r="Q90" s="564"/>
      <c r="R90" s="565" t="s">
        <v>2440</v>
      </c>
      <c r="S90" s="567" t="s">
        <v>2489</v>
      </c>
      <c r="T90" s="567" t="s">
        <v>2489</v>
      </c>
      <c r="U90" s="566"/>
      <c r="V90" s="569"/>
      <c r="W90" s="571"/>
      <c r="Z90" s="568"/>
    </row>
    <row r="91" customFormat="false" ht="16.5" hidden="false" customHeight="false" outlineLevel="0" collapsed="false">
      <c r="B91" s="557"/>
      <c r="C91" s="558"/>
      <c r="D91" s="559" t="s">
        <v>219</v>
      </c>
      <c r="E91" s="560" t="n">
        <v>901263243</v>
      </c>
      <c r="F91" s="561"/>
      <c r="G91" s="59"/>
      <c r="H91" s="562"/>
      <c r="I91" s="59"/>
      <c r="J91" s="561"/>
      <c r="K91" s="560" t="n">
        <v>901263243</v>
      </c>
      <c r="L91" s="561"/>
      <c r="M91" s="560" t="n">
        <v>886612996</v>
      </c>
      <c r="N91" s="561"/>
      <c r="O91" s="560" t="n">
        <v>14650247</v>
      </c>
      <c r="P91" s="563" t="n">
        <v>0.0165238351638148</v>
      </c>
      <c r="Q91" s="564"/>
      <c r="R91" s="565" t="s">
        <v>2437</v>
      </c>
      <c r="S91" s="566"/>
      <c r="T91" s="566"/>
      <c r="U91" s="566"/>
      <c r="V91" s="519"/>
      <c r="W91" s="571"/>
      <c r="Z91" s="568"/>
    </row>
    <row r="92" customFormat="false" ht="16.5" hidden="false" customHeight="false" outlineLevel="0" collapsed="false">
      <c r="B92" s="557"/>
      <c r="C92" s="558"/>
      <c r="D92" s="559" t="s">
        <v>221</v>
      </c>
      <c r="E92" s="560" t="n">
        <v>0</v>
      </c>
      <c r="F92" s="561"/>
      <c r="G92" s="59"/>
      <c r="H92" s="562"/>
      <c r="I92" s="59"/>
      <c r="J92" s="561"/>
      <c r="K92" s="560" t="n">
        <v>0</v>
      </c>
      <c r="L92" s="561"/>
      <c r="M92" s="560" t="n">
        <v>0</v>
      </c>
      <c r="N92" s="561"/>
      <c r="O92" s="560" t="n">
        <v>0</v>
      </c>
      <c r="P92" s="563" t="s">
        <v>2452</v>
      </c>
      <c r="Q92" s="564"/>
      <c r="R92" s="564"/>
      <c r="S92" s="566"/>
      <c r="T92" s="566"/>
      <c r="U92" s="566"/>
      <c r="V92" s="519"/>
      <c r="W92" s="571"/>
      <c r="Z92" s="568"/>
    </row>
    <row r="93" customFormat="false" ht="54" hidden="false" customHeight="true" outlineLevel="0" collapsed="false">
      <c r="B93" s="557"/>
      <c r="C93" s="558" t="n">
        <v>5</v>
      </c>
      <c r="D93" s="559" t="s">
        <v>222</v>
      </c>
      <c r="E93" s="560" t="n">
        <v>0</v>
      </c>
      <c r="F93" s="561"/>
      <c r="G93" s="59"/>
      <c r="H93" s="562"/>
      <c r="I93" s="59"/>
      <c r="J93" s="561"/>
      <c r="K93" s="560" t="n">
        <v>0</v>
      </c>
      <c r="L93" s="561"/>
      <c r="M93" s="560" t="n">
        <v>9173765662</v>
      </c>
      <c r="N93" s="561"/>
      <c r="O93" s="560" t="n">
        <v>-9173765662</v>
      </c>
      <c r="P93" s="563" t="n">
        <v>-1</v>
      </c>
      <c r="Q93" s="564" t="s">
        <v>2436</v>
      </c>
      <c r="R93" s="565" t="s">
        <v>2437</v>
      </c>
      <c r="S93" s="567" t="s">
        <v>2490</v>
      </c>
      <c r="T93" s="567" t="s">
        <v>2490</v>
      </c>
      <c r="U93" s="567" t="s">
        <v>2491</v>
      </c>
      <c r="V93" s="569"/>
      <c r="W93" s="571"/>
      <c r="Z93" s="568"/>
    </row>
    <row r="94" customFormat="false" ht="16.5" hidden="false" customHeight="false" outlineLevel="0" collapsed="false">
      <c r="B94" s="544"/>
      <c r="C94" s="545" t="s">
        <v>2362</v>
      </c>
      <c r="D94" s="556"/>
      <c r="E94" s="547"/>
      <c r="F94" s="548" t="n">
        <v>154894425944</v>
      </c>
      <c r="G94" s="549"/>
      <c r="H94" s="550"/>
      <c r="I94" s="549"/>
      <c r="J94" s="548"/>
      <c r="K94" s="547"/>
      <c r="L94" s="548" t="n">
        <v>142472987716</v>
      </c>
      <c r="M94" s="547"/>
      <c r="N94" s="548" t="n">
        <v>176900483657</v>
      </c>
      <c r="O94" s="547" t="n">
        <v>-34427495941</v>
      </c>
      <c r="P94" s="554" t="n">
        <v>-0.194615046998701</v>
      </c>
      <c r="Q94" s="575"/>
      <c r="R94" s="575"/>
      <c r="S94" s="552"/>
      <c r="T94" s="552"/>
      <c r="U94" s="552"/>
      <c r="V94" s="519"/>
      <c r="W94" s="571"/>
      <c r="Z94" s="568"/>
    </row>
    <row r="95" customFormat="false" ht="16.5" hidden="false" customHeight="false" outlineLevel="0" collapsed="false">
      <c r="B95" s="544"/>
      <c r="C95" s="545" t="s">
        <v>2363</v>
      </c>
      <c r="D95" s="556"/>
      <c r="E95" s="547"/>
      <c r="F95" s="548"/>
      <c r="G95" s="549"/>
      <c r="H95" s="550"/>
      <c r="I95" s="549"/>
      <c r="J95" s="548"/>
      <c r="K95" s="547"/>
      <c r="L95" s="548"/>
      <c r="M95" s="547"/>
      <c r="N95" s="548"/>
      <c r="O95" s="547"/>
      <c r="P95" s="554"/>
      <c r="Q95" s="575"/>
      <c r="R95" s="575"/>
      <c r="S95" s="552"/>
      <c r="T95" s="552"/>
      <c r="U95" s="552"/>
      <c r="V95" s="519"/>
      <c r="W95" s="571"/>
      <c r="Z95" s="568"/>
    </row>
    <row r="96" customFormat="false" ht="16.5" hidden="false" customHeight="false" outlineLevel="0" collapsed="false">
      <c r="B96" s="544" t="s">
        <v>2345</v>
      </c>
      <c r="C96" s="545" t="s">
        <v>2364</v>
      </c>
      <c r="D96" s="556"/>
      <c r="E96" s="547"/>
      <c r="F96" s="548" t="n">
        <v>105693414847</v>
      </c>
      <c r="G96" s="549"/>
      <c r="H96" s="550"/>
      <c r="I96" s="549"/>
      <c r="J96" s="548"/>
      <c r="K96" s="547"/>
      <c r="L96" s="548" t="n">
        <v>138868021795</v>
      </c>
      <c r="M96" s="547"/>
      <c r="N96" s="548" t="n">
        <v>138868021795</v>
      </c>
      <c r="O96" s="547" t="n">
        <v>0</v>
      </c>
      <c r="P96" s="554" t="n">
        <v>0</v>
      </c>
      <c r="Q96" s="575"/>
      <c r="R96" s="575"/>
      <c r="S96" s="552"/>
      <c r="T96" s="552"/>
      <c r="U96" s="552"/>
      <c r="V96" s="519"/>
      <c r="W96" s="571"/>
      <c r="Z96" s="568"/>
    </row>
    <row r="97" customFormat="false" ht="16.5" hidden="false" customHeight="false" outlineLevel="0" collapsed="false">
      <c r="B97" s="557"/>
      <c r="C97" s="558" t="n">
        <v>1</v>
      </c>
      <c r="D97" s="559" t="s">
        <v>231</v>
      </c>
      <c r="E97" s="560" t="n">
        <v>4287180000</v>
      </c>
      <c r="F97" s="561" t="s">
        <v>2348</v>
      </c>
      <c r="G97" s="59"/>
      <c r="H97" s="562"/>
      <c r="I97" s="59"/>
      <c r="J97" s="561"/>
      <c r="K97" s="560" t="n">
        <v>4287180000</v>
      </c>
      <c r="L97" s="561" t="s">
        <v>2348</v>
      </c>
      <c r="M97" s="560" t="n">
        <v>4287180000</v>
      </c>
      <c r="N97" s="561" t="s">
        <v>2348</v>
      </c>
      <c r="O97" s="560" t="n">
        <v>0</v>
      </c>
      <c r="P97" s="563" t="n">
        <v>0</v>
      </c>
      <c r="Q97" s="564"/>
      <c r="R97" s="564"/>
      <c r="S97" s="566"/>
      <c r="T97" s="566"/>
      <c r="U97" s="566" t="s">
        <v>2492</v>
      </c>
      <c r="V97" s="519"/>
      <c r="W97" s="571"/>
      <c r="Z97" s="568"/>
    </row>
    <row r="98" customFormat="false" ht="16.5" hidden="false" customHeight="false" outlineLevel="0" collapsed="false">
      <c r="B98" s="557"/>
      <c r="C98" s="558" t="n">
        <v>2</v>
      </c>
      <c r="D98" s="559" t="s">
        <v>1693</v>
      </c>
      <c r="E98" s="560" t="n">
        <v>101406234847</v>
      </c>
      <c r="F98" s="561"/>
      <c r="G98" s="59"/>
      <c r="H98" s="562"/>
      <c r="I98" s="59"/>
      <c r="J98" s="561"/>
      <c r="K98" s="560" t="n">
        <v>134580841795</v>
      </c>
      <c r="L98" s="561"/>
      <c r="M98" s="560" t="n">
        <v>134580841795</v>
      </c>
      <c r="N98" s="561"/>
      <c r="O98" s="560" t="n">
        <v>0</v>
      </c>
      <c r="P98" s="563" t="n">
        <v>0</v>
      </c>
      <c r="Q98" s="564"/>
      <c r="R98" s="564"/>
      <c r="S98" s="566"/>
      <c r="T98" s="566"/>
      <c r="U98" s="566"/>
      <c r="V98" s="519"/>
      <c r="W98" s="571"/>
      <c r="Z98" s="568"/>
    </row>
    <row r="99" customFormat="false" ht="16.5" hidden="false" customHeight="false" outlineLevel="0" collapsed="false">
      <c r="B99" s="557"/>
      <c r="C99" s="558"/>
      <c r="D99" s="63" t="s">
        <v>235</v>
      </c>
      <c r="E99" s="560" t="n">
        <v>122441812567</v>
      </c>
      <c r="F99" s="561"/>
      <c r="G99" s="59" t="n">
        <v>30019790582</v>
      </c>
      <c r="H99" s="562"/>
      <c r="I99" s="59"/>
      <c r="J99" s="561"/>
      <c r="K99" s="560" t="n">
        <v>152461603149</v>
      </c>
      <c r="L99" s="561"/>
      <c r="M99" s="560" t="n">
        <v>152461603149</v>
      </c>
      <c r="N99" s="561"/>
      <c r="O99" s="560" t="n">
        <v>0</v>
      </c>
      <c r="P99" s="563" t="n">
        <v>0</v>
      </c>
      <c r="Q99" s="564"/>
      <c r="R99" s="564"/>
      <c r="S99" s="566"/>
      <c r="T99" s="566"/>
      <c r="U99" s="566" t="s">
        <v>2492</v>
      </c>
      <c r="V99" s="519"/>
      <c r="W99" s="571"/>
      <c r="Z99" s="568"/>
    </row>
    <row r="100" customFormat="false" ht="16.5" hidden="false" customHeight="false" outlineLevel="0" collapsed="false">
      <c r="B100" s="557"/>
      <c r="C100" s="558"/>
      <c r="D100" s="63" t="s">
        <v>237</v>
      </c>
      <c r="E100" s="560" t="n">
        <v>-21035577720</v>
      </c>
      <c r="F100" s="561"/>
      <c r="G100" s="59" t="n">
        <v>3154816366</v>
      </c>
      <c r="H100" s="562"/>
      <c r="I100" s="59"/>
      <c r="J100" s="561"/>
      <c r="K100" s="560" t="n">
        <v>-17880761354</v>
      </c>
      <c r="L100" s="561"/>
      <c r="M100" s="560" t="n">
        <v>-17880761354</v>
      </c>
      <c r="N100" s="561"/>
      <c r="O100" s="560" t="n">
        <v>0</v>
      </c>
      <c r="P100" s="563" t="n">
        <v>0</v>
      </c>
      <c r="Q100" s="564"/>
      <c r="R100" s="564"/>
      <c r="S100" s="566"/>
      <c r="T100" s="566"/>
      <c r="U100" s="566" t="s">
        <v>2493</v>
      </c>
      <c r="V100" s="519"/>
      <c r="W100" s="571"/>
      <c r="Z100" s="568"/>
    </row>
    <row r="101" customFormat="false" ht="16.5" hidden="false" customHeight="false" outlineLevel="0" collapsed="false">
      <c r="B101" s="544" t="s">
        <v>2350</v>
      </c>
      <c r="C101" s="545" t="s">
        <v>2365</v>
      </c>
      <c r="D101" s="556"/>
      <c r="E101" s="547"/>
      <c r="F101" s="548" t="n">
        <v>151850248399</v>
      </c>
      <c r="G101" s="549"/>
      <c r="H101" s="550"/>
      <c r="I101" s="549"/>
      <c r="J101" s="548"/>
      <c r="K101" s="547"/>
      <c r="L101" s="548" t="n">
        <v>120830361205</v>
      </c>
      <c r="M101" s="547"/>
      <c r="N101" s="548" t="n">
        <v>89323522867</v>
      </c>
      <c r="O101" s="547" t="n">
        <v>31506838338</v>
      </c>
      <c r="P101" s="554" t="n">
        <v>0.352727224886917</v>
      </c>
      <c r="Q101" s="575"/>
      <c r="R101" s="575"/>
      <c r="S101" s="552"/>
      <c r="T101" s="552"/>
      <c r="U101" s="552"/>
      <c r="V101" s="519"/>
      <c r="W101" s="571"/>
      <c r="Z101" s="568"/>
    </row>
    <row r="102" customFormat="false" ht="16.5" hidden="false" customHeight="false" outlineLevel="0" collapsed="false">
      <c r="B102" s="557"/>
      <c r="C102" s="558" t="n">
        <v>1</v>
      </c>
      <c r="D102" s="559" t="s">
        <v>243</v>
      </c>
      <c r="E102" s="560" t="n">
        <v>1886200000</v>
      </c>
      <c r="F102" s="561" t="s">
        <v>2348</v>
      </c>
      <c r="G102" s="59" t="n">
        <v>-25000000</v>
      </c>
      <c r="H102" s="562"/>
      <c r="I102" s="59"/>
      <c r="J102" s="561"/>
      <c r="K102" s="560" t="n">
        <v>1861200000</v>
      </c>
      <c r="L102" s="561" t="s">
        <v>2348</v>
      </c>
      <c r="M102" s="560" t="n">
        <v>1861200000</v>
      </c>
      <c r="N102" s="561" t="s">
        <v>2348</v>
      </c>
      <c r="O102" s="560" t="n">
        <v>0</v>
      </c>
      <c r="P102" s="563" t="n">
        <v>0</v>
      </c>
      <c r="Q102" s="564"/>
      <c r="R102" s="564"/>
      <c r="S102" s="566"/>
      <c r="T102" s="566"/>
      <c r="U102" s="566"/>
      <c r="V102" s="519"/>
      <c r="W102" s="571"/>
      <c r="Z102" s="568"/>
    </row>
    <row r="103" customFormat="false" ht="16.5" hidden="false" customHeight="false" outlineLevel="0" collapsed="false">
      <c r="B103" s="557"/>
      <c r="C103" s="558" t="n">
        <v>2</v>
      </c>
      <c r="D103" s="559" t="s">
        <v>246</v>
      </c>
      <c r="E103" s="560" t="n">
        <v>118969161205</v>
      </c>
      <c r="F103" s="561"/>
      <c r="G103" s="59"/>
      <c r="H103" s="562"/>
      <c r="I103" s="59"/>
      <c r="J103" s="561"/>
      <c r="K103" s="560" t="n">
        <v>118969161205</v>
      </c>
      <c r="L103" s="561"/>
      <c r="M103" s="560" t="n">
        <v>87462322867</v>
      </c>
      <c r="N103" s="561"/>
      <c r="O103" s="560" t="n">
        <v>31506838338</v>
      </c>
      <c r="P103" s="563" t="n">
        <v>0.360233267368293</v>
      </c>
      <c r="Q103" s="564"/>
      <c r="R103" s="564"/>
      <c r="S103" s="566"/>
      <c r="T103" s="566"/>
      <c r="U103" s="566"/>
      <c r="V103" s="519"/>
      <c r="W103" s="571"/>
      <c r="Z103" s="568"/>
    </row>
    <row r="104" customFormat="false" ht="40.5" hidden="false" customHeight="true" outlineLevel="0" collapsed="false">
      <c r="B104" s="557"/>
      <c r="C104" s="558"/>
      <c r="D104" s="559" t="s">
        <v>248</v>
      </c>
      <c r="E104" s="560" t="n">
        <v>81009322867</v>
      </c>
      <c r="F104" s="561" t="s">
        <v>2348</v>
      </c>
      <c r="G104" s="59"/>
      <c r="H104" s="562"/>
      <c r="I104" s="59"/>
      <c r="J104" s="561"/>
      <c r="K104" s="560" t="n">
        <v>81009322867</v>
      </c>
      <c r="L104" s="561" t="s">
        <v>2348</v>
      </c>
      <c r="M104" s="560" t="n">
        <v>65994559868</v>
      </c>
      <c r="N104" s="561" t="s">
        <v>2348</v>
      </c>
      <c r="O104" s="560" t="n">
        <v>15014762999</v>
      </c>
      <c r="P104" s="563" t="n">
        <v>0.22751516229568</v>
      </c>
      <c r="Q104" s="564" t="s">
        <v>2436</v>
      </c>
      <c r="R104" s="565" t="s">
        <v>2453</v>
      </c>
      <c r="S104" s="567" t="s">
        <v>2494</v>
      </c>
      <c r="T104" s="567" t="s">
        <v>2495</v>
      </c>
      <c r="U104" s="566"/>
      <c r="V104" s="519"/>
      <c r="W104" s="571"/>
      <c r="X104" s="596"/>
      <c r="Z104" s="568"/>
    </row>
    <row r="105" customFormat="false" ht="16.5" hidden="false" customHeight="false" outlineLevel="0" collapsed="false">
      <c r="B105" s="557"/>
      <c r="C105" s="558"/>
      <c r="D105" s="63" t="s">
        <v>251</v>
      </c>
      <c r="E105" s="560" t="n">
        <v>37959838338</v>
      </c>
      <c r="F105" s="561"/>
      <c r="G105" s="59"/>
      <c r="H105" s="562"/>
      <c r="I105" s="59"/>
      <c r="J105" s="561"/>
      <c r="K105" s="560" t="n">
        <v>37959838338</v>
      </c>
      <c r="L105" s="561"/>
      <c r="M105" s="560" t="n">
        <v>21467762999</v>
      </c>
      <c r="N105" s="561"/>
      <c r="O105" s="560" t="n">
        <v>16492075339</v>
      </c>
      <c r="P105" s="563" t="n">
        <v>0.768225144826139</v>
      </c>
      <c r="Q105" s="564" t="s">
        <v>2436</v>
      </c>
      <c r="R105" s="565" t="s">
        <v>2453</v>
      </c>
      <c r="S105" s="566" t="s">
        <v>2496</v>
      </c>
      <c r="T105" s="566"/>
      <c r="U105" s="566"/>
      <c r="V105" s="519"/>
      <c r="W105" s="571"/>
      <c r="Z105" s="568"/>
    </row>
    <row r="106" customFormat="false" ht="16.5" hidden="false" customHeight="false" outlineLevel="0" collapsed="false">
      <c r="B106" s="544"/>
      <c r="C106" s="545" t="s">
        <v>2366</v>
      </c>
      <c r="D106" s="556"/>
      <c r="E106" s="547"/>
      <c r="F106" s="548" t="n">
        <v>257543663246</v>
      </c>
      <c r="G106" s="59"/>
      <c r="H106" s="562"/>
      <c r="I106" s="59"/>
      <c r="J106" s="548"/>
      <c r="K106" s="547"/>
      <c r="L106" s="548" t="n">
        <v>259698383000</v>
      </c>
      <c r="M106" s="547"/>
      <c r="N106" s="548" t="n">
        <v>228191544662</v>
      </c>
      <c r="O106" s="547" t="n">
        <v>31506838338</v>
      </c>
      <c r="P106" s="554" t="n">
        <v>0.138071892123209</v>
      </c>
      <c r="Q106" s="575"/>
      <c r="R106" s="575"/>
      <c r="S106" s="552"/>
      <c r="T106" s="552"/>
      <c r="U106" s="552"/>
      <c r="V106" s="519"/>
      <c r="W106" s="571"/>
      <c r="X106" s="571"/>
      <c r="Z106" s="568"/>
    </row>
    <row r="107" customFormat="false" ht="16.5" hidden="false" customHeight="false" outlineLevel="0" collapsed="false">
      <c r="B107" s="597"/>
      <c r="C107" s="598" t="s">
        <v>2367</v>
      </c>
      <c r="D107" s="599"/>
      <c r="E107" s="600"/>
      <c r="F107" s="601" t="n">
        <v>412438089190</v>
      </c>
      <c r="G107" s="602"/>
      <c r="H107" s="603"/>
      <c r="I107" s="604"/>
      <c r="J107" s="601"/>
      <c r="K107" s="600"/>
      <c r="L107" s="601" t="n">
        <v>402171370716</v>
      </c>
      <c r="M107" s="600"/>
      <c r="N107" s="601" t="n">
        <v>405092028319</v>
      </c>
      <c r="O107" s="600" t="n">
        <v>-2920657603</v>
      </c>
      <c r="P107" s="605" t="n">
        <v>-0.00720986195438053</v>
      </c>
      <c r="Q107" s="606"/>
      <c r="R107" s="606"/>
      <c r="S107" s="607"/>
      <c r="T107" s="607"/>
      <c r="U107" s="607"/>
      <c r="V107" s="519"/>
      <c r="W107" s="571"/>
      <c r="Z107" s="568"/>
    </row>
    <row r="108" customFormat="false" ht="16.5" hidden="false" customHeight="false" outlineLevel="0" collapsed="false">
      <c r="F108" s="514" t="n">
        <v>-3</v>
      </c>
      <c r="L108" s="59" t="n">
        <v>0</v>
      </c>
      <c r="M108" s="59"/>
      <c r="N108" s="514" t="n">
        <v>0</v>
      </c>
      <c r="T108" s="522"/>
      <c r="U108" s="522"/>
      <c r="W108" s="596"/>
    </row>
    <row r="109" customFormat="false" ht="16.5" hidden="false" customHeight="false" outlineLevel="0" collapsed="false">
      <c r="D109" s="608"/>
      <c r="E109" s="514" t="s">
        <v>2369</v>
      </c>
      <c r="F109" s="609" t="n">
        <v>412438089193</v>
      </c>
      <c r="G109" s="609"/>
      <c r="H109" s="609"/>
      <c r="L109" s="609" t="n">
        <v>412438089193</v>
      </c>
      <c r="M109" s="514" t="s">
        <v>2369</v>
      </c>
      <c r="N109" s="514" t="n">
        <v>405092028319</v>
      </c>
      <c r="T109" s="522"/>
      <c r="U109" s="522"/>
      <c r="W109" s="596"/>
    </row>
    <row r="110" customFormat="false" ht="16.5" hidden="false" customHeight="false" outlineLevel="0" collapsed="false">
      <c r="D110" s="608"/>
      <c r="F110" s="514" t="n">
        <v>-3</v>
      </c>
      <c r="I110" s="521"/>
      <c r="J110" s="514"/>
      <c r="L110" s="514" t="n">
        <v>-10266718477</v>
      </c>
      <c r="N110" s="514" t="n">
        <v>0</v>
      </c>
      <c r="T110" s="522"/>
      <c r="U110" s="522"/>
      <c r="W110" s="596"/>
    </row>
    <row r="111" customFormat="false" ht="16.5" hidden="false" customHeight="false" outlineLevel="0" collapsed="false">
      <c r="K111" s="514" t="n">
        <v>15014762999</v>
      </c>
      <c r="T111" s="522"/>
      <c r="W111" s="596"/>
    </row>
    <row r="112" customFormat="false" ht="16.5" hidden="false" customHeight="false" outlineLevel="0" collapsed="false">
      <c r="T112" s="522"/>
      <c r="W112" s="596"/>
    </row>
    <row r="113" customFormat="false" ht="16.5" hidden="false" customHeight="false" outlineLevel="0" collapsed="false">
      <c r="B113" s="610" t="s">
        <v>2497</v>
      </c>
      <c r="C113" s="524"/>
      <c r="D113" s="573"/>
      <c r="E113" s="514"/>
      <c r="F113" s="514"/>
      <c r="G113" s="514"/>
      <c r="H113" s="514"/>
      <c r="I113" s="514"/>
      <c r="J113" s="514"/>
      <c r="K113" s="514"/>
      <c r="L113" s="514"/>
      <c r="M113" s="514"/>
      <c r="N113" s="514"/>
      <c r="O113" s="520"/>
      <c r="P113" s="520"/>
      <c r="Q113" s="521"/>
      <c r="R113" s="521"/>
      <c r="S113" s="522"/>
      <c r="T113" s="522"/>
      <c r="U113" s="520"/>
      <c r="V113" s="514"/>
      <c r="W113" s="596"/>
    </row>
    <row r="114" customFormat="false" ht="16.5" hidden="false" customHeight="false" outlineLevel="0" collapsed="false">
      <c r="B114" s="524" t="s">
        <v>2498</v>
      </c>
      <c r="E114" s="514"/>
      <c r="M114" s="514"/>
      <c r="T114" s="522"/>
      <c r="W114" s="596"/>
    </row>
    <row r="115" customFormat="false" ht="16.5" hidden="false" customHeight="false" outlineLevel="0" collapsed="false">
      <c r="W115" s="596"/>
    </row>
    <row r="116" customFormat="false" ht="16.5" hidden="false" customHeight="false" outlineLevel="0" collapsed="false">
      <c r="W116" s="596"/>
    </row>
    <row r="117" customFormat="false" ht="16.5" hidden="false" customHeight="false" outlineLevel="0" collapsed="false">
      <c r="F117" s="514"/>
      <c r="G117" s="514"/>
      <c r="H117" s="514"/>
      <c r="I117" s="514"/>
      <c r="J117" s="514"/>
      <c r="L117" s="514"/>
      <c r="N117" s="514"/>
      <c r="O117" s="520"/>
      <c r="P117" s="520"/>
      <c r="Q117" s="521"/>
      <c r="R117" s="521"/>
      <c r="S117" s="522"/>
      <c r="T117" s="520"/>
      <c r="U117" s="520"/>
      <c r="W117" s="596"/>
    </row>
    <row r="118" customFormat="false" ht="16.5" hidden="false" customHeight="false" outlineLevel="0" collapsed="false">
      <c r="W118" s="596"/>
    </row>
    <row r="119" customFormat="false" ht="16.5" hidden="false" customHeight="false" outlineLevel="0" collapsed="false">
      <c r="W119" s="596"/>
    </row>
    <row r="121" customFormat="false" ht="16.5" hidden="false" customHeight="false" outlineLevel="0" collapsed="false">
      <c r="E121" s="514"/>
    </row>
  </sheetData>
  <mergeCells count="13">
    <mergeCell ref="I5:J5"/>
    <mergeCell ref="B6:D7"/>
    <mergeCell ref="E6:F7"/>
    <mergeCell ref="I6:J6"/>
    <mergeCell ref="K6:L7"/>
    <mergeCell ref="M6:N7"/>
    <mergeCell ref="O6:P6"/>
    <mergeCell ref="Q6:Q7"/>
    <mergeCell ref="R6:R7"/>
    <mergeCell ref="S6:S7"/>
    <mergeCell ref="T6:T7"/>
    <mergeCell ref="U6:U7"/>
    <mergeCell ref="I7:J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AY115"/>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selection pane="topLeft" activeCell="AK4" activeCellId="0" sqref="AK4"/>
    </sheetView>
  </sheetViews>
  <sheetFormatPr defaultColWidth="16.62890625" defaultRowHeight="16.5" zeroHeight="false" outlineLevelRow="0" outlineLevelCol="0"/>
  <cols>
    <col collapsed="false" customWidth="true" hidden="false" outlineLevel="0" max="2" min="1" style="172" width="2.63"/>
    <col collapsed="false" customWidth="true" hidden="false" outlineLevel="0" max="3" min="3" style="172" width="4.63"/>
    <col collapsed="false" customWidth="false" hidden="false" outlineLevel="0" max="5" min="4" style="172" width="16.63"/>
    <col collapsed="false" customWidth="true" hidden="true" outlineLevel="0" max="34" min="7" style="334" width="9.01"/>
    <col collapsed="false" customWidth="false" hidden="false" outlineLevel="0" max="36" min="35" style="172" width="16.63"/>
    <col collapsed="false" customWidth="false" hidden="false" outlineLevel="0" max="41" min="41" style="172" width="16.63"/>
    <col collapsed="false" customWidth="true" hidden="false" outlineLevel="0" max="43" min="43" style="172" width="60.63"/>
    <col collapsed="false" customWidth="true" hidden="false" outlineLevel="0" max="45" min="44" style="334" width="60.63"/>
    <col collapsed="false" customWidth="false" hidden="false" outlineLevel="0" max="46" min="46" style="172" width="16.63"/>
  </cols>
  <sheetData>
    <row r="1" customFormat="false" ht="16.5" hidden="false" customHeight="false" outlineLevel="0" collapsed="false">
      <c r="A1" s="513" t="s">
        <v>2425</v>
      </c>
      <c r="AU1" s="611"/>
    </row>
    <row r="2" customFormat="false" ht="16.5" hidden="false" customHeight="false" outlineLevel="0" collapsed="false">
      <c r="A2" s="612"/>
      <c r="B2" s="515" t="s">
        <v>2388</v>
      </c>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3" t="s">
        <v>2</v>
      </c>
      <c r="AJ2" s="614" t="n">
        <v>0.01</v>
      </c>
      <c r="AK2" s="615" t="n">
        <v>6457544606.71</v>
      </c>
      <c r="AL2" s="612"/>
      <c r="AM2" s="616"/>
      <c r="AN2" s="616"/>
      <c r="AO2" s="617"/>
      <c r="AP2" s="617"/>
      <c r="AQ2" s="616"/>
      <c r="AR2" s="616"/>
      <c r="AS2" s="616"/>
      <c r="AU2" s="611"/>
    </row>
    <row r="3" customFormat="false" ht="16.5" hidden="false" customHeight="false" outlineLevel="0" collapsed="false">
      <c r="A3" s="612"/>
      <c r="B3" s="524" t="s">
        <v>2499</v>
      </c>
      <c r="C3" s="524"/>
      <c r="D3" s="618"/>
      <c r="E3" s="618"/>
      <c r="F3" s="618"/>
      <c r="G3" s="618"/>
      <c r="H3" s="618"/>
      <c r="I3" s="618"/>
      <c r="J3" s="618"/>
      <c r="K3" s="618"/>
      <c r="L3" s="618"/>
      <c r="M3" s="618"/>
      <c r="N3" s="618"/>
      <c r="O3" s="618"/>
      <c r="P3" s="618"/>
      <c r="Q3" s="618"/>
      <c r="R3" s="618"/>
      <c r="S3" s="618"/>
      <c r="T3" s="618"/>
      <c r="U3" s="618"/>
      <c r="V3" s="618"/>
      <c r="W3" s="618"/>
      <c r="X3" s="618"/>
      <c r="Y3" s="618"/>
      <c r="Z3" s="618"/>
      <c r="AA3" s="618"/>
      <c r="AB3" s="618"/>
      <c r="AC3" s="618"/>
      <c r="AD3" s="618"/>
      <c r="AE3" s="618"/>
      <c r="AF3" s="618"/>
      <c r="AG3" s="618"/>
      <c r="AH3" s="618"/>
      <c r="AI3" s="619" t="s">
        <v>4</v>
      </c>
      <c r="AJ3" s="620" t="n">
        <v>0.8</v>
      </c>
      <c r="AK3" s="621" t="n">
        <v>5166035685.368</v>
      </c>
      <c r="AL3" s="618"/>
      <c r="AM3" s="612"/>
      <c r="AN3" s="616"/>
      <c r="AO3" s="617"/>
      <c r="AP3" s="617"/>
      <c r="AQ3" s="616"/>
      <c r="AR3" s="616"/>
      <c r="AS3" s="616"/>
      <c r="AU3" s="611"/>
    </row>
    <row r="4" customFormat="false" ht="16.5" hidden="false" customHeight="false" outlineLevel="0" collapsed="false">
      <c r="A4" s="612"/>
      <c r="B4" s="524" t="s">
        <v>2500</v>
      </c>
      <c r="C4" s="524"/>
      <c r="D4" s="618"/>
      <c r="E4" s="618"/>
      <c r="F4" s="618"/>
      <c r="G4" s="618"/>
      <c r="H4" s="618"/>
      <c r="I4" s="618"/>
      <c r="J4" s="618"/>
      <c r="K4" s="618"/>
      <c r="L4" s="618"/>
      <c r="M4" s="618"/>
      <c r="N4" s="618"/>
      <c r="O4" s="618"/>
      <c r="P4" s="618"/>
      <c r="Q4" s="618"/>
      <c r="R4" s="618"/>
      <c r="S4" s="618"/>
      <c r="T4" s="618"/>
      <c r="U4" s="618"/>
      <c r="V4" s="618"/>
      <c r="W4" s="618"/>
      <c r="X4" s="618"/>
      <c r="Y4" s="618"/>
      <c r="Z4" s="618"/>
      <c r="AA4" s="618"/>
      <c r="AB4" s="618"/>
      <c r="AC4" s="618"/>
      <c r="AD4" s="618"/>
      <c r="AE4" s="618"/>
      <c r="AF4" s="618"/>
      <c r="AG4" s="618"/>
      <c r="AH4" s="618"/>
      <c r="AI4" s="622" t="s">
        <v>5</v>
      </c>
      <c r="AJ4" s="623" t="n">
        <v>0.03</v>
      </c>
      <c r="AK4" s="624" t="n">
        <v>193726338.2013</v>
      </c>
      <c r="AL4" s="618"/>
      <c r="AM4" s="616"/>
      <c r="AN4" s="616"/>
      <c r="AO4" s="617"/>
      <c r="AP4" s="617"/>
      <c r="AQ4" s="616"/>
      <c r="AR4" s="616"/>
      <c r="AS4" s="616"/>
      <c r="AU4" s="611"/>
    </row>
    <row r="5" customFormat="false" ht="25.35" hidden="false" customHeight="true" outlineLevel="0" collapsed="false">
      <c r="A5" s="612"/>
      <c r="D5" s="612"/>
      <c r="E5" s="616"/>
      <c r="F5" s="616"/>
      <c r="G5" s="616"/>
      <c r="H5" s="616"/>
      <c r="I5" s="616"/>
      <c r="J5" s="616"/>
      <c r="K5" s="616"/>
      <c r="L5" s="616"/>
      <c r="M5" s="616"/>
      <c r="N5" s="616"/>
      <c r="O5" s="616"/>
      <c r="P5" s="616"/>
      <c r="Q5" s="616"/>
      <c r="R5" s="616"/>
      <c r="S5" s="616"/>
      <c r="T5" s="616"/>
      <c r="U5" s="616"/>
      <c r="V5" s="616"/>
      <c r="W5" s="616"/>
      <c r="X5" s="616"/>
      <c r="Y5" s="616"/>
      <c r="Z5" s="616"/>
      <c r="AA5" s="616"/>
      <c r="AB5" s="616"/>
      <c r="AC5" s="616"/>
      <c r="AD5" s="616"/>
      <c r="AE5" s="625" t="s">
        <v>1437</v>
      </c>
      <c r="AF5" s="625"/>
      <c r="AG5" s="625" t="s">
        <v>2501</v>
      </c>
      <c r="AH5" s="625"/>
      <c r="AI5" s="616"/>
      <c r="AJ5" s="616"/>
      <c r="AK5" s="616"/>
      <c r="AL5" s="616"/>
      <c r="AM5" s="616"/>
      <c r="AN5" s="616"/>
      <c r="AO5" s="617"/>
      <c r="AP5" s="617"/>
      <c r="AQ5" s="616"/>
      <c r="AR5" s="616"/>
      <c r="AS5" s="616"/>
      <c r="AU5" s="611"/>
    </row>
    <row r="6" customFormat="false" ht="25.35" hidden="false" customHeight="true" outlineLevel="0" collapsed="false">
      <c r="A6" s="612"/>
      <c r="B6" s="626" t="s">
        <v>2338</v>
      </c>
      <c r="C6" s="626"/>
      <c r="D6" s="626"/>
      <c r="E6" s="533" t="s">
        <v>2427</v>
      </c>
      <c r="F6" s="533"/>
      <c r="G6" s="535" t="s">
        <v>2502</v>
      </c>
      <c r="H6" s="535"/>
      <c r="I6" s="535" t="s">
        <v>2502</v>
      </c>
      <c r="J6" s="535"/>
      <c r="K6" s="535" t="s">
        <v>2502</v>
      </c>
      <c r="L6" s="535"/>
      <c r="M6" s="535" t="s">
        <v>2502</v>
      </c>
      <c r="N6" s="535"/>
      <c r="O6" s="535" t="s">
        <v>2502</v>
      </c>
      <c r="P6" s="535"/>
      <c r="Q6" s="535" t="s">
        <v>2502</v>
      </c>
      <c r="R6" s="535"/>
      <c r="S6" s="535" t="s">
        <v>2502</v>
      </c>
      <c r="T6" s="535"/>
      <c r="U6" s="535" t="s">
        <v>2502</v>
      </c>
      <c r="V6" s="535"/>
      <c r="W6" s="535" t="s">
        <v>2502</v>
      </c>
      <c r="X6" s="535"/>
      <c r="Y6" s="535" t="s">
        <v>2502</v>
      </c>
      <c r="Z6" s="535"/>
      <c r="AA6" s="535" t="s">
        <v>2502</v>
      </c>
      <c r="AB6" s="535"/>
      <c r="AC6" s="535" t="s">
        <v>2502</v>
      </c>
      <c r="AD6" s="535"/>
      <c r="AE6" s="535" t="s">
        <v>2341</v>
      </c>
      <c r="AF6" s="535"/>
      <c r="AG6" s="535" t="s">
        <v>2341</v>
      </c>
      <c r="AH6" s="535"/>
      <c r="AI6" s="533" t="s">
        <v>2427</v>
      </c>
      <c r="AJ6" s="533"/>
      <c r="AK6" s="533" t="s">
        <v>2428</v>
      </c>
      <c r="AL6" s="533"/>
      <c r="AM6" s="537" t="s">
        <v>2429</v>
      </c>
      <c r="AN6" s="537"/>
      <c r="AO6" s="533" t="s">
        <v>2430</v>
      </c>
      <c r="AP6" s="538" t="s">
        <v>2431</v>
      </c>
      <c r="AQ6" s="533" t="s">
        <v>2432</v>
      </c>
      <c r="AR6" s="533" t="s">
        <v>2433</v>
      </c>
      <c r="AS6" s="533" t="s">
        <v>2434</v>
      </c>
      <c r="AU6" s="611"/>
    </row>
    <row r="7" customFormat="false" ht="25.35" hidden="false" customHeight="true" outlineLevel="0" collapsed="false">
      <c r="B7" s="626"/>
      <c r="C7" s="626"/>
      <c r="D7" s="626"/>
      <c r="E7" s="533"/>
      <c r="F7" s="533"/>
      <c r="G7" s="540" t="s">
        <v>2503</v>
      </c>
      <c r="H7" s="540"/>
      <c r="I7" s="540" t="s">
        <v>2504</v>
      </c>
      <c r="J7" s="540"/>
      <c r="K7" s="540" t="s">
        <v>2505</v>
      </c>
      <c r="L7" s="540"/>
      <c r="M7" s="540" t="s">
        <v>2506</v>
      </c>
      <c r="N7" s="540"/>
      <c r="O7" s="540" t="s">
        <v>2507</v>
      </c>
      <c r="P7" s="540"/>
      <c r="Q7" s="540" t="s">
        <v>2508</v>
      </c>
      <c r="R7" s="540"/>
      <c r="S7" s="540" t="s">
        <v>2509</v>
      </c>
      <c r="T7" s="540"/>
      <c r="U7" s="540" t="s">
        <v>2510</v>
      </c>
      <c r="V7" s="540"/>
      <c r="W7" s="540" t="s">
        <v>2511</v>
      </c>
      <c r="X7" s="540"/>
      <c r="Y7" s="540" t="s">
        <v>2512</v>
      </c>
      <c r="Z7" s="540"/>
      <c r="AA7" s="540" t="s">
        <v>2513</v>
      </c>
      <c r="AB7" s="540"/>
      <c r="AC7" s="540" t="s">
        <v>2514</v>
      </c>
      <c r="AD7" s="540"/>
      <c r="AE7" s="540" t="s">
        <v>2208</v>
      </c>
      <c r="AF7" s="540"/>
      <c r="AG7" s="540" t="s">
        <v>2343</v>
      </c>
      <c r="AH7" s="540"/>
      <c r="AI7" s="533"/>
      <c r="AJ7" s="533"/>
      <c r="AK7" s="533"/>
      <c r="AL7" s="533"/>
      <c r="AM7" s="542" t="s">
        <v>11</v>
      </c>
      <c r="AN7" s="543" t="s">
        <v>2435</v>
      </c>
      <c r="AO7" s="533"/>
      <c r="AP7" s="533"/>
      <c r="AQ7" s="533"/>
      <c r="AR7" s="533"/>
      <c r="AS7" s="533"/>
      <c r="AU7" s="611"/>
    </row>
    <row r="8" customFormat="false" ht="25.35" hidden="false" customHeight="false" outlineLevel="0" collapsed="false">
      <c r="A8" s="612"/>
      <c r="B8" s="544" t="s">
        <v>2345</v>
      </c>
      <c r="C8" s="545" t="s">
        <v>264</v>
      </c>
      <c r="D8" s="627"/>
      <c r="E8" s="628"/>
      <c r="F8" s="629" t="n">
        <v>645754460671</v>
      </c>
      <c r="G8" s="628"/>
      <c r="H8" s="629" t="n">
        <v>46020477220</v>
      </c>
      <c r="I8" s="628"/>
      <c r="J8" s="629" t="n">
        <v>45356581997</v>
      </c>
      <c r="K8" s="628"/>
      <c r="L8" s="629" t="n">
        <v>55316289641</v>
      </c>
      <c r="M8" s="628"/>
      <c r="N8" s="629" t="n">
        <v>94738385986</v>
      </c>
      <c r="O8" s="628"/>
      <c r="P8" s="629" t="n">
        <v>54210001008</v>
      </c>
      <c r="Q8" s="628"/>
      <c r="R8" s="629" t="n">
        <v>50122666020</v>
      </c>
      <c r="S8" s="630"/>
      <c r="T8" s="629" t="n">
        <v>52202159534</v>
      </c>
      <c r="U8" s="628"/>
      <c r="V8" s="629" t="n">
        <v>46835371660</v>
      </c>
      <c r="W8" s="628"/>
      <c r="X8" s="629" t="n">
        <v>49803839930</v>
      </c>
      <c r="Y8" s="628"/>
      <c r="Z8" s="629" t="n">
        <v>52505980349</v>
      </c>
      <c r="AA8" s="628"/>
      <c r="AB8" s="629" t="n">
        <v>51060645625</v>
      </c>
      <c r="AC8" s="628"/>
      <c r="AD8" s="629" t="n">
        <v>47582061701</v>
      </c>
      <c r="AE8" s="628"/>
      <c r="AF8" s="629"/>
      <c r="AG8" s="628"/>
      <c r="AH8" s="628"/>
      <c r="AI8" s="630"/>
      <c r="AJ8" s="629" t="n">
        <v>645754460671</v>
      </c>
      <c r="AK8" s="630"/>
      <c r="AL8" s="629" t="n">
        <v>592621609815</v>
      </c>
      <c r="AM8" s="630" t="n">
        <v>53132850856</v>
      </c>
      <c r="AN8" s="631" t="n">
        <v>0.0896572956099029</v>
      </c>
      <c r="AO8" s="564"/>
      <c r="AP8" s="632"/>
      <c r="AQ8" s="552"/>
      <c r="AR8" s="552"/>
      <c r="AS8" s="552"/>
      <c r="AT8" s="571"/>
      <c r="AU8" s="611"/>
      <c r="AV8" s="611"/>
      <c r="AX8" s="611"/>
    </row>
    <row r="9" customFormat="false" ht="349.5" hidden="false" customHeight="true" outlineLevel="0" collapsed="false">
      <c r="B9" s="557"/>
      <c r="C9" s="558" t="n">
        <v>1</v>
      </c>
      <c r="D9" s="633" t="s">
        <v>264</v>
      </c>
      <c r="E9" s="634" t="n">
        <v>645754460671</v>
      </c>
      <c r="F9" s="635"/>
      <c r="G9" s="634" t="n">
        <v>46020477220</v>
      </c>
      <c r="H9" s="635"/>
      <c r="I9" s="634" t="n">
        <v>45356581997</v>
      </c>
      <c r="J9" s="635"/>
      <c r="K9" s="634" t="n">
        <v>55316289641</v>
      </c>
      <c r="L9" s="635"/>
      <c r="M9" s="634" t="n">
        <v>94738385986</v>
      </c>
      <c r="N9" s="635"/>
      <c r="O9" s="634" t="n">
        <v>54210001008</v>
      </c>
      <c r="P9" s="635"/>
      <c r="Q9" s="634" t="n">
        <v>50122666020</v>
      </c>
      <c r="R9" s="635"/>
      <c r="S9" s="634" t="n">
        <v>52202159534</v>
      </c>
      <c r="T9" s="635"/>
      <c r="U9" s="634" t="n">
        <v>46835371660</v>
      </c>
      <c r="V9" s="635"/>
      <c r="W9" s="634" t="n">
        <v>49803839930</v>
      </c>
      <c r="X9" s="635"/>
      <c r="Y9" s="634" t="n">
        <v>52505980349</v>
      </c>
      <c r="Z9" s="635"/>
      <c r="AA9" s="634" t="n">
        <v>51060645625</v>
      </c>
      <c r="AB9" s="635"/>
      <c r="AC9" s="634" t="n">
        <v>47582061701</v>
      </c>
      <c r="AD9" s="635"/>
      <c r="AE9" s="628"/>
      <c r="AF9" s="635"/>
      <c r="AG9" s="634"/>
      <c r="AH9" s="634"/>
      <c r="AI9" s="636" t="n">
        <v>645754460671</v>
      </c>
      <c r="AJ9" s="635"/>
      <c r="AK9" s="636" t="n">
        <v>592313731639</v>
      </c>
      <c r="AL9" s="635"/>
      <c r="AM9" s="636" t="n">
        <v>53440729032</v>
      </c>
      <c r="AN9" s="637" t="n">
        <v>0.090223687511217</v>
      </c>
      <c r="AO9" s="564" t="s">
        <v>2436</v>
      </c>
      <c r="AP9" s="638" t="s">
        <v>2440</v>
      </c>
      <c r="AQ9" s="566" t="s">
        <v>2515</v>
      </c>
      <c r="AR9" s="566" t="s">
        <v>2516</v>
      </c>
      <c r="AS9" s="566" t="s">
        <v>2517</v>
      </c>
      <c r="AT9" s="571"/>
      <c r="AU9" s="571"/>
      <c r="AV9" s="571"/>
      <c r="AX9" s="571"/>
      <c r="AY9" s="571"/>
    </row>
    <row r="10" customFormat="false" ht="39.75" hidden="false" customHeight="true" outlineLevel="0" collapsed="false">
      <c r="B10" s="557"/>
      <c r="C10" s="558" t="n">
        <v>2</v>
      </c>
      <c r="D10" s="633" t="s">
        <v>266</v>
      </c>
      <c r="E10" s="634" t="n">
        <v>0</v>
      </c>
      <c r="F10" s="635"/>
      <c r="G10" s="634" t="n">
        <v>0</v>
      </c>
      <c r="H10" s="635"/>
      <c r="I10" s="634" t="n">
        <v>0</v>
      </c>
      <c r="J10" s="635"/>
      <c r="K10" s="634" t="n">
        <v>0</v>
      </c>
      <c r="L10" s="635"/>
      <c r="M10" s="634" t="n">
        <v>0</v>
      </c>
      <c r="N10" s="635"/>
      <c r="O10" s="634" t="n">
        <v>0</v>
      </c>
      <c r="P10" s="635"/>
      <c r="Q10" s="634" t="n">
        <v>0</v>
      </c>
      <c r="R10" s="635"/>
      <c r="S10" s="634" t="n">
        <v>0</v>
      </c>
      <c r="T10" s="635"/>
      <c r="U10" s="634" t="n">
        <v>0</v>
      </c>
      <c r="V10" s="635"/>
      <c r="W10" s="634" t="n">
        <v>0</v>
      </c>
      <c r="X10" s="635"/>
      <c r="Y10" s="634" t="n">
        <v>0</v>
      </c>
      <c r="Z10" s="635"/>
      <c r="AA10" s="634" t="n">
        <v>0</v>
      </c>
      <c r="AB10" s="635"/>
      <c r="AC10" s="634" t="n">
        <v>0</v>
      </c>
      <c r="AD10" s="635"/>
      <c r="AE10" s="634"/>
      <c r="AF10" s="635"/>
      <c r="AG10" s="634"/>
      <c r="AH10" s="634"/>
      <c r="AI10" s="636" t="n">
        <v>0</v>
      </c>
      <c r="AJ10" s="635"/>
      <c r="AK10" s="636" t="n">
        <v>307878176</v>
      </c>
      <c r="AL10" s="635"/>
      <c r="AM10" s="636" t="n">
        <v>-307878176</v>
      </c>
      <c r="AN10" s="637" t="n">
        <v>-1</v>
      </c>
      <c r="AO10" s="564"/>
      <c r="AP10" s="638" t="s">
        <v>2440</v>
      </c>
      <c r="AQ10" s="567" t="s">
        <v>2518</v>
      </c>
      <c r="AR10" s="567" t="s">
        <v>2518</v>
      </c>
      <c r="AS10" s="566" t="s">
        <v>2519</v>
      </c>
      <c r="AT10" s="571"/>
      <c r="AU10" s="571"/>
      <c r="AV10" s="571"/>
      <c r="AW10" s="571"/>
      <c r="AX10" s="571"/>
      <c r="AY10" s="571"/>
    </row>
    <row r="11" customFormat="false" ht="25.35" hidden="false" customHeight="false" outlineLevel="0" collapsed="false">
      <c r="A11" s="612"/>
      <c r="B11" s="544" t="s">
        <v>2350</v>
      </c>
      <c r="C11" s="545" t="s">
        <v>824</v>
      </c>
      <c r="D11" s="627"/>
      <c r="E11" s="628"/>
      <c r="F11" s="629" t="n">
        <v>501285401826</v>
      </c>
      <c r="G11" s="634" t="n">
        <v>0</v>
      </c>
      <c r="H11" s="629" t="n">
        <v>39209925542</v>
      </c>
      <c r="I11" s="634" t="n">
        <v>0</v>
      </c>
      <c r="J11" s="629" t="n">
        <v>39050757693</v>
      </c>
      <c r="K11" s="634" t="n">
        <v>0</v>
      </c>
      <c r="L11" s="629" t="n">
        <v>48226160467</v>
      </c>
      <c r="M11" s="634" t="n">
        <v>0</v>
      </c>
      <c r="N11" s="629" t="n">
        <v>75616025107</v>
      </c>
      <c r="O11" s="634" t="n">
        <v>0</v>
      </c>
      <c r="P11" s="629" t="n">
        <v>40435168688</v>
      </c>
      <c r="Q11" s="628"/>
      <c r="R11" s="629" t="n">
        <v>37063746549</v>
      </c>
      <c r="S11" s="630"/>
      <c r="T11" s="629" t="n">
        <v>37315345845</v>
      </c>
      <c r="U11" s="628"/>
      <c r="V11" s="629" t="n">
        <v>35567126606</v>
      </c>
      <c r="W11" s="628"/>
      <c r="X11" s="629" t="n">
        <v>37695594665</v>
      </c>
      <c r="Y11" s="628"/>
      <c r="Z11" s="629" t="n">
        <v>37293912036</v>
      </c>
      <c r="AA11" s="634" t="n">
        <v>0</v>
      </c>
      <c r="AB11" s="629" t="n">
        <v>37290725789</v>
      </c>
      <c r="AC11" s="628"/>
      <c r="AD11" s="629" t="n">
        <v>36520912839</v>
      </c>
      <c r="AE11" s="628" t="n">
        <v>8817720</v>
      </c>
      <c r="AF11" s="629"/>
      <c r="AG11" s="628"/>
      <c r="AH11" s="628"/>
      <c r="AI11" s="630"/>
      <c r="AJ11" s="629" t="n">
        <v>501702262547</v>
      </c>
      <c r="AK11" s="630"/>
      <c r="AL11" s="629" t="n">
        <v>451824849209</v>
      </c>
      <c r="AM11" s="630" t="n">
        <v>49877413338</v>
      </c>
      <c r="AN11" s="631" t="n">
        <v>0.110391036317102</v>
      </c>
      <c r="AO11" s="564"/>
      <c r="AP11" s="632"/>
      <c r="AQ11" s="552"/>
      <c r="AR11" s="552"/>
      <c r="AS11" s="552"/>
      <c r="AT11" s="571"/>
      <c r="AU11" s="571"/>
      <c r="AV11" s="571"/>
      <c r="AW11" s="571"/>
      <c r="AX11" s="571"/>
      <c r="AY11" s="571"/>
    </row>
    <row r="12" customFormat="false" ht="121.5" hidden="false" customHeight="true" outlineLevel="0" collapsed="false">
      <c r="A12" s="612"/>
      <c r="B12" s="544"/>
      <c r="C12" s="574" t="n">
        <v>1</v>
      </c>
      <c r="D12" s="639" t="s">
        <v>269</v>
      </c>
      <c r="E12" s="628" t="n">
        <v>501285401826</v>
      </c>
      <c r="F12" s="629"/>
      <c r="G12" s="628" t="n">
        <v>39209925542</v>
      </c>
      <c r="H12" s="629"/>
      <c r="I12" s="628" t="n">
        <v>39050757693</v>
      </c>
      <c r="J12" s="629"/>
      <c r="K12" s="628" t="n">
        <v>48226160467</v>
      </c>
      <c r="L12" s="629"/>
      <c r="M12" s="628" t="n">
        <v>75616025107</v>
      </c>
      <c r="N12" s="629"/>
      <c r="O12" s="628" t="n">
        <v>40435168688</v>
      </c>
      <c r="P12" s="629"/>
      <c r="Q12" s="628" t="n">
        <v>37063746549</v>
      </c>
      <c r="R12" s="629"/>
      <c r="S12" s="628" t="n">
        <v>37315345845</v>
      </c>
      <c r="T12" s="629"/>
      <c r="U12" s="628" t="n">
        <v>35567126606</v>
      </c>
      <c r="V12" s="629"/>
      <c r="W12" s="628" t="n">
        <v>37695594665</v>
      </c>
      <c r="X12" s="629"/>
      <c r="Y12" s="628" t="n">
        <v>37293912036</v>
      </c>
      <c r="Z12" s="629"/>
      <c r="AA12" s="628" t="n">
        <v>37290725789</v>
      </c>
      <c r="AB12" s="629"/>
      <c r="AC12" s="628" t="n">
        <v>36520912839</v>
      </c>
      <c r="AD12" s="629"/>
      <c r="AE12" s="628"/>
      <c r="AF12" s="629"/>
      <c r="AG12" s="628"/>
      <c r="AH12" s="628"/>
      <c r="AI12" s="630" t="n">
        <v>501702262547</v>
      </c>
      <c r="AJ12" s="629"/>
      <c r="AK12" s="630" t="n">
        <v>451824849209</v>
      </c>
      <c r="AL12" s="629"/>
      <c r="AM12" s="630" t="n">
        <v>49877413338</v>
      </c>
      <c r="AN12" s="631" t="n">
        <v>0.110391036317102</v>
      </c>
      <c r="AO12" s="632" t="s">
        <v>2436</v>
      </c>
      <c r="AP12" s="640" t="s">
        <v>2454</v>
      </c>
      <c r="AQ12" s="552"/>
      <c r="AR12" s="552" t="s">
        <v>2520</v>
      </c>
      <c r="AS12" s="552"/>
      <c r="AT12" s="571"/>
      <c r="AU12" s="571"/>
      <c r="AV12" s="571"/>
      <c r="AW12" s="571"/>
      <c r="AX12" s="571"/>
      <c r="AY12" s="571"/>
    </row>
    <row r="13" customFormat="false" ht="16.5" hidden="false" customHeight="false" outlineLevel="0" collapsed="false">
      <c r="B13" s="557"/>
      <c r="C13" s="558"/>
      <c r="D13" s="633" t="s">
        <v>272</v>
      </c>
      <c r="E13" s="634" t="n">
        <v>0</v>
      </c>
      <c r="F13" s="635"/>
      <c r="G13" s="634" t="n">
        <v>0</v>
      </c>
      <c r="H13" s="635"/>
      <c r="I13" s="634" t="n">
        <v>0</v>
      </c>
      <c r="J13" s="635"/>
      <c r="K13" s="634" t="n">
        <v>0</v>
      </c>
      <c r="L13" s="635"/>
      <c r="M13" s="634" t="n">
        <v>0</v>
      </c>
      <c r="N13" s="635"/>
      <c r="O13" s="634" t="n">
        <v>0</v>
      </c>
      <c r="P13" s="635"/>
      <c r="Q13" s="634" t="n">
        <v>0</v>
      </c>
      <c r="R13" s="635"/>
      <c r="S13" s="634" t="n">
        <v>0</v>
      </c>
      <c r="T13" s="635"/>
      <c r="U13" s="634" t="n">
        <v>0</v>
      </c>
      <c r="V13" s="635"/>
      <c r="W13" s="634" t="n">
        <v>0</v>
      </c>
      <c r="X13" s="635"/>
      <c r="Y13" s="634" t="n">
        <v>0</v>
      </c>
      <c r="Z13" s="635"/>
      <c r="AA13" s="634" t="n">
        <v>0</v>
      </c>
      <c r="AB13" s="635"/>
      <c r="AC13" s="634" t="n">
        <v>0</v>
      </c>
      <c r="AD13" s="635"/>
      <c r="AE13" s="634"/>
      <c r="AF13" s="635"/>
      <c r="AG13" s="634"/>
      <c r="AH13" s="634"/>
      <c r="AI13" s="636" t="n">
        <v>160701424589</v>
      </c>
      <c r="AJ13" s="635"/>
      <c r="AK13" s="636" t="n">
        <v>99371496025</v>
      </c>
      <c r="AL13" s="635"/>
      <c r="AM13" s="636" t="n">
        <v>61329928564</v>
      </c>
      <c r="AN13" s="637" t="n">
        <v>0.617178275635204</v>
      </c>
      <c r="AO13" s="638"/>
      <c r="AP13" s="638" t="s">
        <v>2454</v>
      </c>
      <c r="AQ13" s="566"/>
      <c r="AR13" s="566"/>
      <c r="AS13" s="566"/>
      <c r="AT13" s="571"/>
      <c r="AU13" s="571"/>
      <c r="AV13" s="571"/>
      <c r="AW13" s="571"/>
      <c r="AX13" s="571"/>
      <c r="AY13" s="571"/>
    </row>
    <row r="14" customFormat="false" ht="27" hidden="false" customHeight="true" outlineLevel="0" collapsed="false">
      <c r="B14" s="557"/>
      <c r="C14" s="558"/>
      <c r="D14" s="633" t="s">
        <v>277</v>
      </c>
      <c r="E14" s="634" t="n">
        <v>0</v>
      </c>
      <c r="F14" s="635"/>
      <c r="G14" s="634" t="n">
        <v>0</v>
      </c>
      <c r="H14" s="635"/>
      <c r="I14" s="634" t="n">
        <v>0</v>
      </c>
      <c r="J14" s="635"/>
      <c r="K14" s="634" t="n">
        <v>0</v>
      </c>
      <c r="L14" s="635"/>
      <c r="M14" s="634" t="n">
        <v>0</v>
      </c>
      <c r="N14" s="635"/>
      <c r="O14" s="634" t="n">
        <v>0</v>
      </c>
      <c r="P14" s="635"/>
      <c r="Q14" s="634" t="n">
        <v>0</v>
      </c>
      <c r="R14" s="635"/>
      <c r="S14" s="634" t="n">
        <v>0</v>
      </c>
      <c r="T14" s="635"/>
      <c r="U14" s="634" t="n">
        <v>0</v>
      </c>
      <c r="V14" s="635"/>
      <c r="W14" s="634" t="n">
        <v>0</v>
      </c>
      <c r="X14" s="635"/>
      <c r="Y14" s="634" t="n">
        <v>0</v>
      </c>
      <c r="Z14" s="635"/>
      <c r="AA14" s="634" t="n">
        <v>0</v>
      </c>
      <c r="AB14" s="635"/>
      <c r="AC14" s="634" t="n">
        <v>0</v>
      </c>
      <c r="AD14" s="635"/>
      <c r="AE14" s="628"/>
      <c r="AF14" s="635"/>
      <c r="AG14" s="634" t="n">
        <v>408043000</v>
      </c>
      <c r="AH14" s="634"/>
      <c r="AI14" s="636" t="n">
        <v>497042768857</v>
      </c>
      <c r="AJ14" s="635"/>
      <c r="AK14" s="636" t="n">
        <v>513216181813</v>
      </c>
      <c r="AL14" s="635"/>
      <c r="AM14" s="636" t="n">
        <v>-16173412956</v>
      </c>
      <c r="AN14" s="637" t="n">
        <v>-0.0315138406175452</v>
      </c>
      <c r="AO14" s="638"/>
      <c r="AP14" s="638" t="s">
        <v>2454</v>
      </c>
      <c r="AQ14" s="566"/>
      <c r="AR14" s="566"/>
      <c r="AS14" s="567" t="s">
        <v>2521</v>
      </c>
      <c r="AT14" s="571"/>
      <c r="AU14" s="571"/>
      <c r="AV14" s="571"/>
      <c r="AW14" s="571"/>
      <c r="AX14" s="571"/>
      <c r="AY14" s="571"/>
    </row>
    <row r="15" customFormat="false" ht="16.5" hidden="false" customHeight="false" outlineLevel="0" collapsed="false">
      <c r="B15" s="557"/>
      <c r="C15" s="558"/>
      <c r="D15" s="633" t="s">
        <v>288</v>
      </c>
      <c r="E15" s="634" t="n">
        <v>0</v>
      </c>
      <c r="F15" s="635"/>
      <c r="G15" s="634" t="n">
        <v>0</v>
      </c>
      <c r="H15" s="635"/>
      <c r="I15" s="634" t="n">
        <v>0</v>
      </c>
      <c r="J15" s="635"/>
      <c r="K15" s="634" t="n">
        <v>0</v>
      </c>
      <c r="L15" s="635"/>
      <c r="M15" s="634" t="n">
        <v>0</v>
      </c>
      <c r="N15" s="635"/>
      <c r="O15" s="634" t="n">
        <v>0</v>
      </c>
      <c r="P15" s="635"/>
      <c r="Q15" s="634" t="n">
        <v>0</v>
      </c>
      <c r="R15" s="635"/>
      <c r="S15" s="634" t="n">
        <v>0</v>
      </c>
      <c r="T15" s="635"/>
      <c r="U15" s="634" t="n">
        <v>0</v>
      </c>
      <c r="V15" s="635"/>
      <c r="W15" s="634" t="n">
        <v>0</v>
      </c>
      <c r="X15" s="635"/>
      <c r="Y15" s="634" t="n">
        <v>0</v>
      </c>
      <c r="Z15" s="635"/>
      <c r="AA15" s="634" t="n">
        <v>0</v>
      </c>
      <c r="AB15" s="635"/>
      <c r="AC15" s="634" t="n">
        <v>0</v>
      </c>
      <c r="AD15" s="635"/>
      <c r="AE15" s="628"/>
      <c r="AF15" s="635"/>
      <c r="AG15" s="634"/>
      <c r="AH15" s="634"/>
      <c r="AI15" s="636" t="n">
        <v>-297789393</v>
      </c>
      <c r="AJ15" s="635"/>
      <c r="AK15" s="636" t="n">
        <v>-355654745</v>
      </c>
      <c r="AL15" s="635"/>
      <c r="AM15" s="636" t="n">
        <v>57865352</v>
      </c>
      <c r="AN15" s="637" t="n">
        <v>-0.16270091377524</v>
      </c>
      <c r="AO15" s="638"/>
      <c r="AP15" s="638" t="s">
        <v>2454</v>
      </c>
      <c r="AQ15" s="566"/>
      <c r="AR15" s="566"/>
      <c r="AS15" s="566"/>
      <c r="AT15" s="571"/>
      <c r="AU15" s="571"/>
      <c r="AV15" s="571"/>
      <c r="AW15" s="571"/>
      <c r="AX15" s="571"/>
      <c r="AY15" s="571"/>
    </row>
    <row r="16" customFormat="false" ht="54" hidden="false" customHeight="true" outlineLevel="0" collapsed="false">
      <c r="B16" s="557"/>
      <c r="C16" s="558"/>
      <c r="D16" s="633" t="s">
        <v>291</v>
      </c>
      <c r="E16" s="634" t="n">
        <v>0</v>
      </c>
      <c r="F16" s="635"/>
      <c r="G16" s="634" t="n">
        <v>0</v>
      </c>
      <c r="H16" s="635"/>
      <c r="I16" s="634" t="n">
        <v>0</v>
      </c>
      <c r="J16" s="635"/>
      <c r="K16" s="634" t="n">
        <v>0</v>
      </c>
      <c r="L16" s="635"/>
      <c r="M16" s="634" t="n">
        <v>0</v>
      </c>
      <c r="N16" s="635"/>
      <c r="O16" s="634" t="n">
        <v>0</v>
      </c>
      <c r="P16" s="635"/>
      <c r="Q16" s="634" t="n">
        <v>0</v>
      </c>
      <c r="R16" s="635"/>
      <c r="S16" s="634" t="n">
        <v>0</v>
      </c>
      <c r="T16" s="635"/>
      <c r="U16" s="634" t="n">
        <v>0</v>
      </c>
      <c r="V16" s="635"/>
      <c r="W16" s="634" t="n">
        <v>0</v>
      </c>
      <c r="X16" s="635"/>
      <c r="Y16" s="634" t="n">
        <v>0</v>
      </c>
      <c r="Z16" s="635"/>
      <c r="AA16" s="634" t="n">
        <v>0</v>
      </c>
      <c r="AB16" s="635"/>
      <c r="AC16" s="634" t="n">
        <v>0</v>
      </c>
      <c r="AD16" s="635"/>
      <c r="AE16" s="628"/>
      <c r="AF16" s="635"/>
      <c r="AG16" s="634"/>
      <c r="AH16" s="634"/>
      <c r="AI16" s="636" t="n">
        <v>-155744141506</v>
      </c>
      <c r="AJ16" s="635"/>
      <c r="AK16" s="636" t="n">
        <v>-160701424589</v>
      </c>
      <c r="AL16" s="635"/>
      <c r="AM16" s="636" t="n">
        <v>4957283083</v>
      </c>
      <c r="AN16" s="637" t="n">
        <v>-0.0308477855481272</v>
      </c>
      <c r="AO16" s="638"/>
      <c r="AP16" s="638" t="s">
        <v>2454</v>
      </c>
      <c r="AQ16" s="566"/>
      <c r="AR16" s="567" t="s">
        <v>2522</v>
      </c>
      <c r="AS16" s="566"/>
      <c r="AT16" s="571"/>
      <c r="AU16" s="571"/>
      <c r="AV16" s="571"/>
      <c r="AW16" s="571"/>
      <c r="AX16" s="571"/>
      <c r="AY16" s="571"/>
    </row>
    <row r="17" customFormat="false" ht="27" hidden="false" customHeight="true" outlineLevel="0" collapsed="false">
      <c r="A17" s="612"/>
      <c r="B17" s="544" t="s">
        <v>2404</v>
      </c>
      <c r="C17" s="545" t="s">
        <v>305</v>
      </c>
      <c r="D17" s="639"/>
      <c r="E17" s="628" t="n">
        <v>0</v>
      </c>
      <c r="F17" s="629"/>
      <c r="G17" s="628" t="n">
        <v>0</v>
      </c>
      <c r="H17" s="629"/>
      <c r="I17" s="628" t="n">
        <v>0</v>
      </c>
      <c r="J17" s="629"/>
      <c r="K17" s="628" t="n">
        <v>0</v>
      </c>
      <c r="L17" s="629"/>
      <c r="M17" s="628" t="n">
        <v>0</v>
      </c>
      <c r="N17" s="629"/>
      <c r="O17" s="628" t="n">
        <v>0</v>
      </c>
      <c r="P17" s="629"/>
      <c r="Q17" s="628" t="n">
        <v>0</v>
      </c>
      <c r="R17" s="629"/>
      <c r="S17" s="628" t="n">
        <v>0</v>
      </c>
      <c r="T17" s="629"/>
      <c r="U17" s="628" t="n">
        <v>0</v>
      </c>
      <c r="V17" s="629"/>
      <c r="W17" s="628" t="n">
        <v>0</v>
      </c>
      <c r="X17" s="629"/>
      <c r="Y17" s="628" t="n">
        <v>0</v>
      </c>
      <c r="Z17" s="629"/>
      <c r="AA17" s="628" t="n">
        <v>0</v>
      </c>
      <c r="AB17" s="629"/>
      <c r="AC17" s="628"/>
      <c r="AD17" s="629"/>
      <c r="AE17" s="628"/>
      <c r="AF17" s="629"/>
      <c r="AG17" s="628"/>
      <c r="AH17" s="628"/>
      <c r="AI17" s="630" t="n">
        <v>0</v>
      </c>
      <c r="AJ17" s="629"/>
      <c r="AK17" s="630" t="n">
        <v>294250705</v>
      </c>
      <c r="AL17" s="629"/>
      <c r="AM17" s="630" t="n">
        <v>-294250705</v>
      </c>
      <c r="AN17" s="631" t="n">
        <v>-1</v>
      </c>
      <c r="AO17" s="640"/>
      <c r="AP17" s="640" t="s">
        <v>2454</v>
      </c>
      <c r="AQ17" s="641" t="s">
        <v>2523</v>
      </c>
      <c r="AR17" s="641" t="s">
        <v>2523</v>
      </c>
      <c r="AS17" s="641" t="s">
        <v>2524</v>
      </c>
      <c r="AT17" s="571"/>
      <c r="AU17" s="571"/>
      <c r="AV17" s="571"/>
      <c r="AW17" s="571"/>
      <c r="AX17" s="571"/>
      <c r="AY17" s="571"/>
    </row>
    <row r="18" customFormat="false" ht="25.35" hidden="false" customHeight="false" outlineLevel="0" collapsed="false">
      <c r="A18" s="612"/>
      <c r="B18" s="544" t="s">
        <v>2405</v>
      </c>
      <c r="C18" s="545" t="s">
        <v>2406</v>
      </c>
      <c r="D18" s="639"/>
      <c r="E18" s="628"/>
      <c r="F18" s="629" t="n">
        <v>144469058845</v>
      </c>
      <c r="G18" s="634" t="n">
        <v>0</v>
      </c>
      <c r="H18" s="629" t="n">
        <v>6810551678</v>
      </c>
      <c r="I18" s="634" t="n">
        <v>0</v>
      </c>
      <c r="J18" s="629" t="n">
        <v>6305824304</v>
      </c>
      <c r="K18" s="634" t="n">
        <v>0</v>
      </c>
      <c r="L18" s="629" t="n">
        <v>7090129174</v>
      </c>
      <c r="M18" s="634" t="n">
        <v>0</v>
      </c>
      <c r="N18" s="629" t="n">
        <v>19122360879</v>
      </c>
      <c r="O18" s="634" t="n">
        <v>0</v>
      </c>
      <c r="P18" s="629" t="n">
        <v>13774832320</v>
      </c>
      <c r="Q18" s="634" t="n">
        <v>0</v>
      </c>
      <c r="R18" s="629" t="n">
        <v>13058919471</v>
      </c>
      <c r="S18" s="634" t="n">
        <v>0</v>
      </c>
      <c r="T18" s="629" t="n">
        <v>14886813689</v>
      </c>
      <c r="U18" s="634" t="n">
        <v>0</v>
      </c>
      <c r="V18" s="629" t="n">
        <v>11268245054</v>
      </c>
      <c r="W18" s="634" t="n">
        <v>0</v>
      </c>
      <c r="X18" s="629" t="n">
        <v>12108245265</v>
      </c>
      <c r="Y18" s="634" t="n">
        <v>0</v>
      </c>
      <c r="Z18" s="629" t="n">
        <v>15212068313</v>
      </c>
      <c r="AA18" s="634" t="n">
        <v>0</v>
      </c>
      <c r="AB18" s="629" t="n">
        <v>13769919836</v>
      </c>
      <c r="AC18" s="628"/>
      <c r="AD18" s="629" t="n">
        <v>11061148862</v>
      </c>
      <c r="AE18" s="628"/>
      <c r="AF18" s="629"/>
      <c r="AG18" s="628"/>
      <c r="AH18" s="628"/>
      <c r="AI18" s="636"/>
      <c r="AJ18" s="629" t="n">
        <v>144052198124</v>
      </c>
      <c r="AK18" s="630"/>
      <c r="AL18" s="629" t="n">
        <v>140796760606</v>
      </c>
      <c r="AM18" s="630" t="n">
        <v>3255437518</v>
      </c>
      <c r="AN18" s="631" t="n">
        <v>0.0231215370580143</v>
      </c>
      <c r="AO18" s="640"/>
      <c r="AP18" s="640"/>
      <c r="AQ18" s="641"/>
      <c r="AR18" s="641"/>
      <c r="AS18" s="641"/>
      <c r="AT18" s="571"/>
      <c r="AU18" s="571"/>
      <c r="AV18" s="571"/>
      <c r="AW18" s="571"/>
      <c r="AX18" s="571"/>
      <c r="AY18" s="571"/>
    </row>
    <row r="19" customFormat="false" ht="25.35" hidden="false" customHeight="false" outlineLevel="0" collapsed="false">
      <c r="A19" s="612"/>
      <c r="B19" s="544" t="s">
        <v>2405</v>
      </c>
      <c r="C19" s="545" t="s">
        <v>2407</v>
      </c>
      <c r="D19" s="639"/>
      <c r="E19" s="628"/>
      <c r="F19" s="629" t="n">
        <v>136739838813</v>
      </c>
      <c r="G19" s="634" t="n">
        <v>0</v>
      </c>
      <c r="H19" s="629" t="n">
        <v>9162171794</v>
      </c>
      <c r="I19" s="634" t="n">
        <v>0</v>
      </c>
      <c r="J19" s="629" t="n">
        <v>24797543432</v>
      </c>
      <c r="K19" s="634" t="n">
        <v>0</v>
      </c>
      <c r="L19" s="629" t="n">
        <v>7523371170</v>
      </c>
      <c r="M19" s="634" t="n">
        <v>0</v>
      </c>
      <c r="N19" s="629" t="n">
        <v>9493454864</v>
      </c>
      <c r="O19" s="634" t="n">
        <v>0</v>
      </c>
      <c r="P19" s="629" t="n">
        <v>8977881807</v>
      </c>
      <c r="Q19" s="634" t="n">
        <v>0</v>
      </c>
      <c r="R19" s="629" t="n">
        <v>7537067539</v>
      </c>
      <c r="S19" s="634" t="n">
        <v>0</v>
      </c>
      <c r="T19" s="629" t="n">
        <v>9859708833</v>
      </c>
      <c r="U19" s="634" t="n">
        <v>0</v>
      </c>
      <c r="V19" s="629" t="n">
        <v>8530452986</v>
      </c>
      <c r="W19" s="634" t="n">
        <v>0</v>
      </c>
      <c r="X19" s="629" t="n">
        <v>8345742743</v>
      </c>
      <c r="Y19" s="634" t="n">
        <v>0</v>
      </c>
      <c r="Z19" s="629" t="n">
        <v>11435742384</v>
      </c>
      <c r="AA19" s="634" t="n">
        <v>0</v>
      </c>
      <c r="AB19" s="629" t="n">
        <v>6471235284</v>
      </c>
      <c r="AC19" s="628"/>
      <c r="AD19" s="629" t="n">
        <v>6463864299</v>
      </c>
      <c r="AE19" s="628"/>
      <c r="AF19" s="629"/>
      <c r="AG19" s="628"/>
      <c r="AH19" s="628"/>
      <c r="AI19" s="636"/>
      <c r="AJ19" s="629" t="n">
        <v>114570413852</v>
      </c>
      <c r="AK19" s="630"/>
      <c r="AL19" s="629" t="n">
        <v>115796295849</v>
      </c>
      <c r="AM19" s="630" t="n">
        <v>-1225881997</v>
      </c>
      <c r="AN19" s="631" t="n">
        <v>-0.0105865389562941</v>
      </c>
      <c r="AO19" s="640"/>
      <c r="AP19" s="640"/>
      <c r="AQ19" s="641"/>
      <c r="AR19" s="641"/>
      <c r="AS19" s="641"/>
      <c r="AT19" s="571"/>
      <c r="AU19" s="571"/>
      <c r="AV19" s="571"/>
      <c r="AW19" s="571"/>
      <c r="AX19" s="571"/>
      <c r="AY19" s="571"/>
    </row>
    <row r="20" customFormat="false" ht="16.5" hidden="false" customHeight="false" outlineLevel="0" collapsed="false">
      <c r="A20" s="612"/>
      <c r="B20" s="642" t="s">
        <v>2408</v>
      </c>
      <c r="C20" s="545" t="s">
        <v>1961</v>
      </c>
      <c r="D20" s="639"/>
      <c r="E20" s="634"/>
      <c r="F20" s="629" t="n">
        <v>24691207712</v>
      </c>
      <c r="G20" s="634" t="n">
        <v>0</v>
      </c>
      <c r="H20" s="629"/>
      <c r="I20" s="634" t="n">
        <v>0</v>
      </c>
      <c r="J20" s="629"/>
      <c r="K20" s="634" t="n">
        <v>0</v>
      </c>
      <c r="L20" s="629"/>
      <c r="M20" s="634" t="n">
        <v>0</v>
      </c>
      <c r="N20" s="629"/>
      <c r="O20" s="634" t="n">
        <v>0</v>
      </c>
      <c r="P20" s="629"/>
      <c r="Q20" s="634" t="n">
        <v>0</v>
      </c>
      <c r="R20" s="629"/>
      <c r="S20" s="634" t="n">
        <v>0</v>
      </c>
      <c r="T20" s="629"/>
      <c r="U20" s="634" t="n">
        <v>0</v>
      </c>
      <c r="V20" s="629"/>
      <c r="W20" s="634" t="n">
        <v>0</v>
      </c>
      <c r="X20" s="629"/>
      <c r="Y20" s="634" t="n">
        <v>0</v>
      </c>
      <c r="Z20" s="629"/>
      <c r="AA20" s="634" t="n">
        <v>0</v>
      </c>
      <c r="AB20" s="629"/>
      <c r="AC20" s="628"/>
      <c r="AD20" s="629"/>
      <c r="AE20" s="628"/>
      <c r="AF20" s="629"/>
      <c r="AG20" s="628"/>
      <c r="AH20" s="628"/>
      <c r="AI20" s="636"/>
      <c r="AJ20" s="629" t="n">
        <v>24336799235</v>
      </c>
      <c r="AK20" s="636"/>
      <c r="AL20" s="629" t="n">
        <v>17965951062</v>
      </c>
      <c r="AM20" s="630" t="n">
        <v>6370848173</v>
      </c>
      <c r="AN20" s="631" t="n">
        <v>0.354606786527158</v>
      </c>
      <c r="AO20" s="632" t="s">
        <v>2436</v>
      </c>
      <c r="AP20" s="638"/>
      <c r="AQ20" s="566"/>
      <c r="AR20" s="566"/>
      <c r="AS20" s="566"/>
      <c r="AT20" s="571"/>
      <c r="AU20" s="571"/>
      <c r="AV20" s="571"/>
      <c r="AW20" s="571"/>
      <c r="AX20" s="571"/>
      <c r="AY20" s="571"/>
    </row>
    <row r="21" customFormat="false" ht="27" hidden="false" customHeight="true" outlineLevel="0" collapsed="false">
      <c r="B21" s="557"/>
      <c r="C21" s="558" t="n">
        <v>1</v>
      </c>
      <c r="D21" s="633" t="s">
        <v>309</v>
      </c>
      <c r="E21" s="634" t="n">
        <v>4150097232</v>
      </c>
      <c r="F21" s="635"/>
      <c r="G21" s="634" t="n">
        <v>317701536</v>
      </c>
      <c r="H21" s="635"/>
      <c r="I21" s="634" t="n">
        <v>317701546</v>
      </c>
      <c r="J21" s="635"/>
      <c r="K21" s="634" t="n">
        <v>278673256</v>
      </c>
      <c r="L21" s="635"/>
      <c r="M21" s="634" t="n">
        <v>322038013</v>
      </c>
      <c r="N21" s="635"/>
      <c r="O21" s="634" t="n">
        <v>322038013</v>
      </c>
      <c r="P21" s="635"/>
      <c r="Q21" s="634" t="n">
        <v>322038013</v>
      </c>
      <c r="R21" s="635"/>
      <c r="S21" s="634" t="n">
        <v>322038014</v>
      </c>
      <c r="T21" s="635"/>
      <c r="U21" s="634" t="n">
        <v>365498533</v>
      </c>
      <c r="V21" s="635"/>
      <c r="W21" s="634" t="n">
        <v>318795226</v>
      </c>
      <c r="X21" s="635"/>
      <c r="Y21" s="634" t="n">
        <v>649560878</v>
      </c>
      <c r="Z21" s="635"/>
      <c r="AA21" s="634" t="n">
        <v>248882102</v>
      </c>
      <c r="AB21" s="635"/>
      <c r="AC21" s="634" t="n">
        <v>365132102</v>
      </c>
      <c r="AD21" s="635"/>
      <c r="AE21" s="634"/>
      <c r="AF21" s="635"/>
      <c r="AG21" s="634"/>
      <c r="AH21" s="634"/>
      <c r="AI21" s="636" t="n">
        <v>4150097232</v>
      </c>
      <c r="AJ21" s="635"/>
      <c r="AK21" s="636" t="n">
        <v>1897442310</v>
      </c>
      <c r="AL21" s="635"/>
      <c r="AM21" s="636" t="n">
        <v>2252654922</v>
      </c>
      <c r="AN21" s="637" t="n">
        <v>1.18720601418443</v>
      </c>
      <c r="AO21" s="638"/>
      <c r="AP21" s="638" t="s">
        <v>2453</v>
      </c>
      <c r="AQ21" s="566" t="s">
        <v>2525</v>
      </c>
      <c r="AR21" s="566" t="s">
        <v>2525</v>
      </c>
      <c r="AS21" s="566" t="s">
        <v>2526</v>
      </c>
      <c r="AT21" s="571"/>
      <c r="AU21" s="571"/>
      <c r="AV21" s="571"/>
      <c r="AW21" s="571"/>
      <c r="AX21" s="571"/>
      <c r="AY21" s="571"/>
    </row>
    <row r="22" customFormat="false" ht="16.5" hidden="false" customHeight="false" outlineLevel="0" collapsed="false">
      <c r="B22" s="557"/>
      <c r="C22" s="558" t="n">
        <v>2</v>
      </c>
      <c r="D22" s="633" t="s">
        <v>311</v>
      </c>
      <c r="E22" s="634" t="n">
        <v>0</v>
      </c>
      <c r="F22" s="635"/>
      <c r="G22" s="634" t="n">
        <v>0</v>
      </c>
      <c r="H22" s="635"/>
      <c r="I22" s="634" t="n">
        <v>0</v>
      </c>
      <c r="J22" s="635"/>
      <c r="K22" s="634" t="n">
        <v>0</v>
      </c>
      <c r="L22" s="635"/>
      <c r="M22" s="634" t="n">
        <v>0</v>
      </c>
      <c r="N22" s="635"/>
      <c r="O22" s="634" t="n">
        <v>0</v>
      </c>
      <c r="P22" s="635"/>
      <c r="Q22" s="634" t="n">
        <v>0</v>
      </c>
      <c r="R22" s="635"/>
      <c r="S22" s="634" t="n">
        <v>0</v>
      </c>
      <c r="T22" s="635"/>
      <c r="U22" s="634" t="n">
        <v>0</v>
      </c>
      <c r="V22" s="635"/>
      <c r="W22" s="634" t="n">
        <v>0</v>
      </c>
      <c r="X22" s="635"/>
      <c r="Y22" s="634" t="n">
        <v>0</v>
      </c>
      <c r="Z22" s="635"/>
      <c r="AA22" s="634" t="n">
        <v>0</v>
      </c>
      <c r="AB22" s="635"/>
      <c r="AC22" s="634" t="n">
        <v>0</v>
      </c>
      <c r="AD22" s="635"/>
      <c r="AE22" s="634"/>
      <c r="AF22" s="635"/>
      <c r="AG22" s="634"/>
      <c r="AH22" s="634"/>
      <c r="AI22" s="636" t="n">
        <v>0</v>
      </c>
      <c r="AJ22" s="635"/>
      <c r="AK22" s="636" t="n">
        <v>0</v>
      </c>
      <c r="AL22" s="635"/>
      <c r="AM22" s="636" t="n">
        <v>0</v>
      </c>
      <c r="AN22" s="637" t="n">
        <v>0</v>
      </c>
      <c r="AO22" s="638"/>
      <c r="AP22" s="638"/>
      <c r="AQ22" s="566"/>
      <c r="AR22" s="566"/>
      <c r="AS22" s="566"/>
      <c r="AT22" s="571"/>
      <c r="AU22" s="571"/>
      <c r="AV22" s="571"/>
      <c r="AW22" s="571"/>
      <c r="AX22" s="571"/>
      <c r="AY22" s="571"/>
    </row>
    <row r="23" customFormat="false" ht="27" hidden="false" customHeight="true" outlineLevel="0" collapsed="false">
      <c r="B23" s="557"/>
      <c r="C23" s="558" t="n">
        <v>3</v>
      </c>
      <c r="D23" s="633" t="s">
        <v>312</v>
      </c>
      <c r="E23" s="634" t="n">
        <v>3050158464</v>
      </c>
      <c r="F23" s="635"/>
      <c r="G23" s="634" t="n">
        <v>177524544</v>
      </c>
      <c r="H23" s="635"/>
      <c r="I23" s="634" t="n">
        <v>387213880</v>
      </c>
      <c r="J23" s="635"/>
      <c r="K23" s="634" t="n">
        <v>614993963</v>
      </c>
      <c r="L23" s="635"/>
      <c r="M23" s="634" t="n">
        <v>166524431</v>
      </c>
      <c r="N23" s="635"/>
      <c r="O23" s="634" t="n">
        <v>185415175</v>
      </c>
      <c r="P23" s="635"/>
      <c r="Q23" s="634" t="n">
        <v>173385354</v>
      </c>
      <c r="R23" s="635"/>
      <c r="S23" s="634" t="n">
        <v>188579749</v>
      </c>
      <c r="T23" s="635"/>
      <c r="U23" s="634" t="n">
        <v>128196777</v>
      </c>
      <c r="V23" s="635"/>
      <c r="W23" s="634" t="n">
        <v>162121227</v>
      </c>
      <c r="X23" s="635"/>
      <c r="Y23" s="634" t="n">
        <v>159216320</v>
      </c>
      <c r="Z23" s="635"/>
      <c r="AA23" s="634" t="n">
        <v>164996288</v>
      </c>
      <c r="AB23" s="635"/>
      <c r="AC23" s="634" t="n">
        <v>541990756</v>
      </c>
      <c r="AD23" s="635"/>
      <c r="AE23" s="634"/>
      <c r="AF23" s="635" t="n">
        <v>-348460250</v>
      </c>
      <c r="AG23" s="634"/>
      <c r="AH23" s="634"/>
      <c r="AI23" s="636" t="n">
        <v>2701698214</v>
      </c>
      <c r="AJ23" s="635"/>
      <c r="AK23" s="636" t="n">
        <v>1564765825</v>
      </c>
      <c r="AL23" s="635"/>
      <c r="AM23" s="636" t="n">
        <v>1136932389</v>
      </c>
      <c r="AN23" s="637" t="n">
        <v>0.726583090476174</v>
      </c>
      <c r="AO23" s="638"/>
      <c r="AP23" s="638" t="s">
        <v>2453</v>
      </c>
      <c r="AQ23" s="567" t="s">
        <v>2527</v>
      </c>
      <c r="AR23" s="566"/>
      <c r="AS23" s="566"/>
      <c r="AT23" s="571"/>
      <c r="AU23" s="571"/>
      <c r="AV23" s="571"/>
      <c r="AW23" s="571"/>
      <c r="AX23" s="571"/>
      <c r="AY23" s="571"/>
    </row>
    <row r="24" customFormat="false" ht="16.5" hidden="false" customHeight="false" outlineLevel="0" collapsed="false">
      <c r="B24" s="557"/>
      <c r="C24" s="558" t="n">
        <v>4</v>
      </c>
      <c r="D24" s="633" t="s">
        <v>314</v>
      </c>
      <c r="E24" s="634" t="n">
        <v>0</v>
      </c>
      <c r="F24" s="635"/>
      <c r="G24" s="634" t="n">
        <v>0</v>
      </c>
      <c r="H24" s="635"/>
      <c r="I24" s="634" t="n">
        <v>0</v>
      </c>
      <c r="J24" s="635"/>
      <c r="K24" s="634" t="n">
        <v>0</v>
      </c>
      <c r="L24" s="635"/>
      <c r="M24" s="634" t="n">
        <v>0</v>
      </c>
      <c r="N24" s="635"/>
      <c r="O24" s="634" t="n">
        <v>0</v>
      </c>
      <c r="P24" s="635"/>
      <c r="Q24" s="634" t="n">
        <v>0</v>
      </c>
      <c r="R24" s="635"/>
      <c r="S24" s="634" t="n">
        <v>0</v>
      </c>
      <c r="T24" s="635"/>
      <c r="U24" s="634" t="n">
        <v>0</v>
      </c>
      <c r="V24" s="635"/>
      <c r="W24" s="634" t="n">
        <v>0</v>
      </c>
      <c r="X24" s="635"/>
      <c r="Y24" s="634" t="n">
        <v>0</v>
      </c>
      <c r="Z24" s="635"/>
      <c r="AA24" s="634" t="n">
        <v>0</v>
      </c>
      <c r="AB24" s="635"/>
      <c r="AC24" s="634" t="n">
        <v>0</v>
      </c>
      <c r="AD24" s="635"/>
      <c r="AE24" s="634"/>
      <c r="AF24" s="635"/>
      <c r="AG24" s="634"/>
      <c r="AH24" s="634"/>
      <c r="AI24" s="636" t="n">
        <v>0</v>
      </c>
      <c r="AJ24" s="635"/>
      <c r="AK24" s="636" t="n">
        <v>0</v>
      </c>
      <c r="AL24" s="635"/>
      <c r="AM24" s="636" t="n">
        <v>0</v>
      </c>
      <c r="AN24" s="637" t="n">
        <v>0</v>
      </c>
      <c r="AO24" s="638"/>
      <c r="AP24" s="638"/>
      <c r="AQ24" s="566"/>
      <c r="AR24" s="566"/>
      <c r="AS24" s="566"/>
      <c r="AT24" s="571"/>
      <c r="AU24" s="571"/>
      <c r="AV24" s="571"/>
      <c r="AW24" s="571"/>
      <c r="AX24" s="571"/>
      <c r="AY24" s="571"/>
    </row>
    <row r="25" customFormat="false" ht="54" hidden="false" customHeight="true" outlineLevel="0" collapsed="false">
      <c r="B25" s="557"/>
      <c r="C25" s="558" t="n">
        <v>5</v>
      </c>
      <c r="D25" s="633" t="s">
        <v>315</v>
      </c>
      <c r="E25" s="634" t="n">
        <v>17490952016</v>
      </c>
      <c r="F25" s="635"/>
      <c r="G25" s="634" t="n">
        <v>2046547645</v>
      </c>
      <c r="H25" s="635"/>
      <c r="I25" s="634" t="n">
        <v>2022525964</v>
      </c>
      <c r="J25" s="635"/>
      <c r="K25" s="634" t="n">
        <v>1244620337</v>
      </c>
      <c r="L25" s="635"/>
      <c r="M25" s="634" t="n">
        <v>2733216950</v>
      </c>
      <c r="N25" s="635"/>
      <c r="O25" s="634" t="n">
        <v>1375158747</v>
      </c>
      <c r="P25" s="635"/>
      <c r="Q25" s="634" t="n">
        <v>458395064</v>
      </c>
      <c r="R25" s="635"/>
      <c r="S25" s="634" t="n">
        <v>2185817243</v>
      </c>
      <c r="T25" s="635"/>
      <c r="U25" s="634" t="n">
        <v>1253263866</v>
      </c>
      <c r="V25" s="635"/>
      <c r="W25" s="634" t="n">
        <v>1547673754</v>
      </c>
      <c r="X25" s="635"/>
      <c r="Y25" s="634" t="n">
        <v>1777154492</v>
      </c>
      <c r="Z25" s="635"/>
      <c r="AA25" s="634" t="n">
        <v>583966836</v>
      </c>
      <c r="AB25" s="635"/>
      <c r="AC25" s="634" t="n">
        <v>262611118</v>
      </c>
      <c r="AD25" s="635"/>
      <c r="AE25" s="634"/>
      <c r="AF25" s="635"/>
      <c r="AG25" s="634"/>
      <c r="AH25" s="634" t="n">
        <v>-5948227</v>
      </c>
      <c r="AI25" s="636" t="n">
        <v>17485003789</v>
      </c>
      <c r="AJ25" s="635"/>
      <c r="AK25" s="636" t="n">
        <v>14503742927</v>
      </c>
      <c r="AL25" s="635"/>
      <c r="AM25" s="636" t="n">
        <v>2981260862</v>
      </c>
      <c r="AN25" s="637" t="n">
        <v>0.205551137868703</v>
      </c>
      <c r="AO25" s="638"/>
      <c r="AP25" s="638" t="s">
        <v>2453</v>
      </c>
      <c r="AQ25" s="566" t="s">
        <v>2528</v>
      </c>
      <c r="AR25" s="566"/>
      <c r="AS25" s="566"/>
      <c r="AT25" s="571"/>
    </row>
    <row r="26" customFormat="false" ht="16.5" hidden="false" customHeight="false" outlineLevel="0" collapsed="false">
      <c r="A26" s="612"/>
      <c r="B26" s="642" t="s">
        <v>2410</v>
      </c>
      <c r="C26" s="643" t="s">
        <v>2411</v>
      </c>
      <c r="D26" s="639"/>
      <c r="E26" s="628"/>
      <c r="F26" s="629" t="n">
        <v>64999629837</v>
      </c>
      <c r="G26" s="628" t="n">
        <v>0</v>
      </c>
      <c r="H26" s="629"/>
      <c r="I26" s="628" t="n">
        <v>0</v>
      </c>
      <c r="J26" s="629"/>
      <c r="K26" s="628" t="n">
        <v>0</v>
      </c>
      <c r="L26" s="629"/>
      <c r="M26" s="628" t="n">
        <v>0</v>
      </c>
      <c r="N26" s="629"/>
      <c r="O26" s="628" t="n">
        <v>0</v>
      </c>
      <c r="P26" s="629"/>
      <c r="Q26" s="628" t="n">
        <v>0</v>
      </c>
      <c r="R26" s="629"/>
      <c r="S26" s="628" t="n">
        <v>0</v>
      </c>
      <c r="T26" s="629"/>
      <c r="U26" s="628" t="n">
        <v>0</v>
      </c>
      <c r="V26" s="629"/>
      <c r="W26" s="628" t="n">
        <v>0</v>
      </c>
      <c r="X26" s="629"/>
      <c r="Y26" s="628" t="n">
        <v>0</v>
      </c>
      <c r="Z26" s="629"/>
      <c r="AA26" s="628" t="n">
        <v>0</v>
      </c>
      <c r="AB26" s="629"/>
      <c r="AC26" s="628" t="n">
        <v>0</v>
      </c>
      <c r="AD26" s="629"/>
      <c r="AE26" s="628"/>
      <c r="AF26" s="629"/>
      <c r="AG26" s="628"/>
      <c r="AH26" s="628"/>
      <c r="AI26" s="630"/>
      <c r="AJ26" s="629" t="n">
        <v>59889099005</v>
      </c>
      <c r="AK26" s="630"/>
      <c r="AL26" s="629" t="n">
        <v>65373770262</v>
      </c>
      <c r="AM26" s="630" t="n">
        <v>-5484671257</v>
      </c>
      <c r="AN26" s="631" t="n">
        <v>-0.0838971231889939</v>
      </c>
      <c r="AO26" s="632" t="s">
        <v>2436</v>
      </c>
      <c r="AP26" s="640"/>
      <c r="AQ26" s="641"/>
      <c r="AR26" s="644" t="n">
        <v>0.97</v>
      </c>
      <c r="AS26" s="641"/>
      <c r="AT26" s="571"/>
    </row>
    <row r="27" customFormat="false" ht="16.5" hidden="false" customHeight="false" outlineLevel="0" collapsed="false">
      <c r="B27" s="557"/>
      <c r="C27" s="558" t="n">
        <v>6</v>
      </c>
      <c r="D27" s="633" t="s">
        <v>318</v>
      </c>
      <c r="E27" s="634" t="n">
        <v>0</v>
      </c>
      <c r="F27" s="635"/>
      <c r="G27" s="634" t="n">
        <v>0</v>
      </c>
      <c r="H27" s="635"/>
      <c r="I27" s="634" t="n">
        <v>0</v>
      </c>
      <c r="J27" s="635"/>
      <c r="K27" s="634" t="n">
        <v>0</v>
      </c>
      <c r="L27" s="635"/>
      <c r="M27" s="634" t="n">
        <v>0</v>
      </c>
      <c r="N27" s="635"/>
      <c r="O27" s="634" t="n">
        <v>0</v>
      </c>
      <c r="P27" s="635"/>
      <c r="Q27" s="634" t="n">
        <v>0</v>
      </c>
      <c r="R27" s="635"/>
      <c r="S27" s="634" t="n">
        <v>0</v>
      </c>
      <c r="T27" s="635"/>
      <c r="U27" s="634" t="n">
        <v>0</v>
      </c>
      <c r="V27" s="635"/>
      <c r="W27" s="634" t="n">
        <v>0</v>
      </c>
      <c r="X27" s="635"/>
      <c r="Y27" s="634" t="n">
        <v>0</v>
      </c>
      <c r="Z27" s="635"/>
      <c r="AA27" s="634" t="n">
        <v>0</v>
      </c>
      <c r="AB27" s="635"/>
      <c r="AC27" s="634" t="n">
        <v>0</v>
      </c>
      <c r="AD27" s="635"/>
      <c r="AE27" s="634"/>
      <c r="AF27" s="635"/>
      <c r="AG27" s="634"/>
      <c r="AH27" s="634"/>
      <c r="AI27" s="636" t="n">
        <v>0</v>
      </c>
      <c r="AJ27" s="635"/>
      <c r="AK27" s="636" t="n">
        <v>0</v>
      </c>
      <c r="AL27" s="635"/>
      <c r="AM27" s="636" t="n">
        <v>0</v>
      </c>
      <c r="AN27" s="637" t="n">
        <v>0</v>
      </c>
      <c r="AO27" s="638"/>
      <c r="AP27" s="638"/>
      <c r="AQ27" s="566"/>
      <c r="AR27" s="566"/>
      <c r="AS27" s="566"/>
      <c r="AT27" s="571"/>
    </row>
    <row r="28" customFormat="false" ht="53.25" hidden="false" customHeight="true" outlineLevel="0" collapsed="false">
      <c r="B28" s="557"/>
      <c r="C28" s="558" t="n">
        <v>7</v>
      </c>
      <c r="D28" s="633" t="s">
        <v>319</v>
      </c>
      <c r="E28" s="634" t="n">
        <v>55159077244</v>
      </c>
      <c r="F28" s="635"/>
      <c r="G28" s="634" t="n">
        <v>3053932843</v>
      </c>
      <c r="H28" s="635"/>
      <c r="I28" s="634" t="n">
        <v>19280891610</v>
      </c>
      <c r="J28" s="635"/>
      <c r="K28" s="634" t="n">
        <v>2810301819</v>
      </c>
      <c r="L28" s="635"/>
      <c r="M28" s="634" t="n">
        <v>3688868147</v>
      </c>
      <c r="N28" s="635"/>
      <c r="O28" s="634" t="n">
        <v>3081105776</v>
      </c>
      <c r="P28" s="635"/>
      <c r="Q28" s="634" t="n">
        <v>3229670620</v>
      </c>
      <c r="R28" s="635"/>
      <c r="S28" s="634" t="n">
        <v>4080609596</v>
      </c>
      <c r="T28" s="635"/>
      <c r="U28" s="634" t="n">
        <v>3617955954</v>
      </c>
      <c r="V28" s="635"/>
      <c r="W28" s="634" t="n">
        <v>2819930296</v>
      </c>
      <c r="X28" s="635"/>
      <c r="Y28" s="634" t="n">
        <v>3313223716</v>
      </c>
      <c r="Z28" s="635"/>
      <c r="AA28" s="634" t="n">
        <v>3111500351</v>
      </c>
      <c r="AB28" s="635"/>
      <c r="AC28" s="634" t="n">
        <v>3071086516</v>
      </c>
      <c r="AD28" s="635"/>
      <c r="AE28" s="634" t="n">
        <v>433482852</v>
      </c>
      <c r="AF28" s="635"/>
      <c r="AG28" s="634"/>
      <c r="AH28" s="634" t="n">
        <v>-4235418069</v>
      </c>
      <c r="AI28" s="636" t="n">
        <v>51357142027</v>
      </c>
      <c r="AJ28" s="635"/>
      <c r="AK28" s="636" t="n">
        <v>53622546005</v>
      </c>
      <c r="AL28" s="635"/>
      <c r="AM28" s="636" t="n">
        <v>-2265403978</v>
      </c>
      <c r="AN28" s="637" t="n">
        <v>-0.0422472289508365</v>
      </c>
      <c r="AO28" s="638"/>
      <c r="AP28" s="638" t="s">
        <v>2437</v>
      </c>
      <c r="AQ28" s="567" t="s">
        <v>2529</v>
      </c>
      <c r="AR28" s="567" t="s">
        <v>2530</v>
      </c>
      <c r="AS28" s="567" t="s">
        <v>2531</v>
      </c>
      <c r="AT28" s="523"/>
    </row>
    <row r="29" customFormat="false" ht="25.35" hidden="false" customHeight="false" outlineLevel="0" collapsed="false">
      <c r="B29" s="557"/>
      <c r="C29" s="558" t="n">
        <v>8</v>
      </c>
      <c r="D29" s="633" t="s">
        <v>321</v>
      </c>
      <c r="E29" s="634" t="n">
        <v>3105838674</v>
      </c>
      <c r="F29" s="635"/>
      <c r="G29" s="634" t="n">
        <v>-117936156</v>
      </c>
      <c r="H29" s="635"/>
      <c r="I29" s="634" t="n">
        <v>225812206</v>
      </c>
      <c r="J29" s="635"/>
      <c r="K29" s="634" t="n">
        <v>193878193</v>
      </c>
      <c r="L29" s="635"/>
      <c r="M29" s="634" t="n">
        <v>357994910</v>
      </c>
      <c r="N29" s="635"/>
      <c r="O29" s="634" t="n">
        <v>308606688</v>
      </c>
      <c r="P29" s="635"/>
      <c r="Q29" s="634" t="n">
        <v>359478283</v>
      </c>
      <c r="R29" s="635"/>
      <c r="S29" s="634" t="n">
        <v>317815364</v>
      </c>
      <c r="T29" s="635"/>
      <c r="U29" s="634" t="n">
        <v>238533679</v>
      </c>
      <c r="V29" s="635"/>
      <c r="W29" s="634" t="n">
        <v>265400881</v>
      </c>
      <c r="X29" s="635"/>
      <c r="Y29" s="634" t="n">
        <v>284835234</v>
      </c>
      <c r="Z29" s="635"/>
      <c r="AA29" s="634" t="n">
        <v>388310988</v>
      </c>
      <c r="AB29" s="635"/>
      <c r="AC29" s="634" t="n">
        <v>283108404</v>
      </c>
      <c r="AD29" s="635"/>
      <c r="AE29" s="634"/>
      <c r="AF29" s="635"/>
      <c r="AG29" s="634"/>
      <c r="AH29" s="634"/>
      <c r="AI29" s="636" t="n">
        <v>3105838674</v>
      </c>
      <c r="AJ29" s="635"/>
      <c r="AK29" s="636" t="n">
        <v>3059105019</v>
      </c>
      <c r="AL29" s="635"/>
      <c r="AM29" s="636" t="n">
        <v>46733655</v>
      </c>
      <c r="AN29" s="637" t="n">
        <v>0.0152769044245748</v>
      </c>
      <c r="AO29" s="638"/>
      <c r="AP29" s="638" t="s">
        <v>2437</v>
      </c>
      <c r="AQ29" s="566"/>
      <c r="AR29" s="566"/>
      <c r="AS29" s="566"/>
      <c r="AT29" s="523"/>
    </row>
    <row r="30" customFormat="false" ht="40.5" hidden="false" customHeight="true" outlineLevel="0" collapsed="false">
      <c r="B30" s="557"/>
      <c r="C30" s="558" t="n">
        <v>9</v>
      </c>
      <c r="D30" s="633" t="s">
        <v>323</v>
      </c>
      <c r="E30" s="634" t="n">
        <v>925510319</v>
      </c>
      <c r="F30" s="635"/>
      <c r="G30" s="634" t="n">
        <v>181852907</v>
      </c>
      <c r="H30" s="635"/>
      <c r="I30" s="634" t="n">
        <v>-247347967</v>
      </c>
      <c r="J30" s="635"/>
      <c r="K30" s="634" t="n">
        <v>62850000</v>
      </c>
      <c r="L30" s="635"/>
      <c r="M30" s="634" t="n">
        <v>-273092918</v>
      </c>
      <c r="N30" s="635"/>
      <c r="O30" s="634" t="n">
        <v>116395000</v>
      </c>
      <c r="P30" s="635"/>
      <c r="Q30" s="634" t="n">
        <v>151115131</v>
      </c>
      <c r="R30" s="635"/>
      <c r="S30" s="634" t="n">
        <v>104350000</v>
      </c>
      <c r="T30" s="635"/>
      <c r="U30" s="634" t="n">
        <v>196002217</v>
      </c>
      <c r="V30" s="635"/>
      <c r="W30" s="634" t="n">
        <v>293988090</v>
      </c>
      <c r="X30" s="635"/>
      <c r="Y30" s="634" t="n">
        <v>114647859</v>
      </c>
      <c r="Z30" s="635"/>
      <c r="AA30" s="634" t="n">
        <v>168875000</v>
      </c>
      <c r="AB30" s="635"/>
      <c r="AC30" s="634" t="n">
        <v>55875000</v>
      </c>
      <c r="AD30" s="635"/>
      <c r="AE30" s="634"/>
      <c r="AF30" s="635"/>
      <c r="AG30" s="634"/>
      <c r="AH30" s="634" t="n">
        <v>-686753728</v>
      </c>
      <c r="AI30" s="636" t="n">
        <v>238756591</v>
      </c>
      <c r="AJ30" s="635"/>
      <c r="AK30" s="636" t="n">
        <v>3492344581</v>
      </c>
      <c r="AL30" s="635"/>
      <c r="AM30" s="636" t="n">
        <v>-3253587990</v>
      </c>
      <c r="AN30" s="637" t="n">
        <v>-0.931634297400392</v>
      </c>
      <c r="AO30" s="638"/>
      <c r="AP30" s="638" t="s">
        <v>2437</v>
      </c>
      <c r="AQ30" s="567" t="s">
        <v>2532</v>
      </c>
      <c r="AR30" s="567" t="s">
        <v>2532</v>
      </c>
      <c r="AS30" s="566" t="s">
        <v>2533</v>
      </c>
      <c r="AT30" s="523"/>
    </row>
    <row r="31" customFormat="false" ht="25.35" hidden="false" customHeight="false" outlineLevel="0" collapsed="false">
      <c r="B31" s="557"/>
      <c r="C31" s="558" t="n">
        <v>10</v>
      </c>
      <c r="D31" s="633" t="s">
        <v>325</v>
      </c>
      <c r="E31" s="634" t="n">
        <v>5809203600</v>
      </c>
      <c r="F31" s="635"/>
      <c r="G31" s="634" t="n">
        <v>560209251</v>
      </c>
      <c r="H31" s="635"/>
      <c r="I31" s="634" t="n">
        <v>422730498</v>
      </c>
      <c r="J31" s="635"/>
      <c r="K31" s="634" t="n">
        <v>-332263311</v>
      </c>
      <c r="L31" s="635"/>
      <c r="M31" s="634" t="n">
        <v>644455723</v>
      </c>
      <c r="N31" s="635"/>
      <c r="O31" s="634" t="n">
        <v>737833381</v>
      </c>
      <c r="P31" s="635"/>
      <c r="Q31" s="634" t="n">
        <v>641837448</v>
      </c>
      <c r="R31" s="635"/>
      <c r="S31" s="634" t="n">
        <v>409734045</v>
      </c>
      <c r="T31" s="635"/>
      <c r="U31" s="634" t="n">
        <v>424093088</v>
      </c>
      <c r="V31" s="635"/>
      <c r="W31" s="634" t="n">
        <v>470253236</v>
      </c>
      <c r="X31" s="635"/>
      <c r="Y31" s="634" t="n">
        <v>910784210</v>
      </c>
      <c r="Z31" s="635"/>
      <c r="AA31" s="634" t="n">
        <v>377381750</v>
      </c>
      <c r="AB31" s="635"/>
      <c r="AC31" s="634" t="n">
        <v>542154281</v>
      </c>
      <c r="AD31" s="635"/>
      <c r="AE31" s="634"/>
      <c r="AF31" s="635"/>
      <c r="AG31" s="634"/>
      <c r="AH31" s="634" t="n">
        <v>-621841887</v>
      </c>
      <c r="AI31" s="636" t="n">
        <v>5187361713</v>
      </c>
      <c r="AJ31" s="635"/>
      <c r="AK31" s="636" t="n">
        <v>5199774657</v>
      </c>
      <c r="AL31" s="635"/>
      <c r="AM31" s="636" t="n">
        <v>-12412944</v>
      </c>
      <c r="AN31" s="637" t="n">
        <v>-0.00238720806550521</v>
      </c>
      <c r="AO31" s="638"/>
      <c r="AP31" s="638" t="s">
        <v>2437</v>
      </c>
      <c r="AQ31" s="566"/>
      <c r="AR31" s="566"/>
      <c r="AS31" s="566"/>
      <c r="AT31" s="523"/>
    </row>
    <row r="32" customFormat="false" ht="16.5" hidden="false" customHeight="false" outlineLevel="0" collapsed="false">
      <c r="B32" s="557"/>
      <c r="C32" s="558" t="n">
        <v>11</v>
      </c>
      <c r="D32" s="633" t="s">
        <v>327</v>
      </c>
      <c r="E32" s="634" t="n">
        <v>0</v>
      </c>
      <c r="F32" s="635"/>
      <c r="G32" s="634" t="n">
        <v>0</v>
      </c>
      <c r="H32" s="635"/>
      <c r="I32" s="634" t="n">
        <v>0</v>
      </c>
      <c r="J32" s="635"/>
      <c r="K32" s="634" t="n">
        <v>0</v>
      </c>
      <c r="L32" s="635"/>
      <c r="M32" s="634" t="n">
        <v>0</v>
      </c>
      <c r="N32" s="635"/>
      <c r="O32" s="634" t="n">
        <v>0</v>
      </c>
      <c r="P32" s="635"/>
      <c r="Q32" s="634" t="n">
        <v>0</v>
      </c>
      <c r="R32" s="635"/>
      <c r="S32" s="634" t="n">
        <v>0</v>
      </c>
      <c r="T32" s="635"/>
      <c r="U32" s="634" t="n">
        <v>0</v>
      </c>
      <c r="V32" s="635"/>
      <c r="W32" s="634" t="n">
        <v>0</v>
      </c>
      <c r="X32" s="635"/>
      <c r="Y32" s="634" t="n">
        <v>0</v>
      </c>
      <c r="Z32" s="635"/>
      <c r="AA32" s="634" t="n">
        <v>0</v>
      </c>
      <c r="AB32" s="635"/>
      <c r="AC32" s="634" t="n">
        <v>0</v>
      </c>
      <c r="AD32" s="635"/>
      <c r="AE32" s="634"/>
      <c r="AF32" s="635"/>
      <c r="AG32" s="634"/>
      <c r="AH32" s="634"/>
      <c r="AI32" s="636" t="n">
        <v>0</v>
      </c>
      <c r="AJ32" s="635"/>
      <c r="AK32" s="636" t="n">
        <v>0</v>
      </c>
      <c r="AL32" s="635"/>
      <c r="AM32" s="636" t="n">
        <v>0</v>
      </c>
      <c r="AN32" s="637" t="n">
        <v>0</v>
      </c>
      <c r="AO32" s="638"/>
      <c r="AP32" s="638"/>
      <c r="AQ32" s="566"/>
      <c r="AR32" s="566"/>
      <c r="AS32" s="566"/>
      <c r="AT32" s="571"/>
    </row>
    <row r="33" customFormat="false" ht="16.5" hidden="false" customHeight="false" outlineLevel="0" collapsed="false">
      <c r="B33" s="557"/>
      <c r="C33" s="558" t="n">
        <v>12</v>
      </c>
      <c r="D33" s="633" t="s">
        <v>328</v>
      </c>
      <c r="E33" s="634" t="n">
        <v>0</v>
      </c>
      <c r="F33" s="635"/>
      <c r="G33" s="634" t="n">
        <v>0</v>
      </c>
      <c r="H33" s="635"/>
      <c r="I33" s="634" t="n">
        <v>0</v>
      </c>
      <c r="J33" s="635"/>
      <c r="K33" s="634" t="n">
        <v>0</v>
      </c>
      <c r="L33" s="635"/>
      <c r="M33" s="634" t="n">
        <v>0</v>
      </c>
      <c r="N33" s="635"/>
      <c r="O33" s="634" t="n">
        <v>0</v>
      </c>
      <c r="P33" s="635"/>
      <c r="Q33" s="634" t="n">
        <v>0</v>
      </c>
      <c r="R33" s="635"/>
      <c r="S33" s="634" t="n">
        <v>0</v>
      </c>
      <c r="T33" s="635"/>
      <c r="U33" s="634" t="n">
        <v>0</v>
      </c>
      <c r="V33" s="635"/>
      <c r="W33" s="634" t="n">
        <v>0</v>
      </c>
      <c r="X33" s="635"/>
      <c r="Y33" s="634" t="n">
        <v>0</v>
      </c>
      <c r="Z33" s="635"/>
      <c r="AA33" s="634" t="n">
        <v>0</v>
      </c>
      <c r="AB33" s="635"/>
      <c r="AC33" s="634" t="n">
        <v>0</v>
      </c>
      <c r="AD33" s="635"/>
      <c r="AE33" s="634"/>
      <c r="AF33" s="635"/>
      <c r="AG33" s="634"/>
      <c r="AH33" s="634"/>
      <c r="AI33" s="636" t="n">
        <v>0</v>
      </c>
      <c r="AJ33" s="635"/>
      <c r="AK33" s="636" t="n">
        <v>0</v>
      </c>
      <c r="AL33" s="635"/>
      <c r="AM33" s="636" t="n">
        <v>0</v>
      </c>
      <c r="AN33" s="637" t="n">
        <v>0</v>
      </c>
      <c r="AO33" s="638"/>
      <c r="AP33" s="638"/>
      <c r="AQ33" s="566"/>
      <c r="AR33" s="566"/>
      <c r="AS33" s="566"/>
      <c r="AT33" s="571"/>
    </row>
    <row r="34" customFormat="false" ht="16.5" hidden="false" customHeight="false" outlineLevel="0" collapsed="false">
      <c r="A34" s="612"/>
      <c r="B34" s="642" t="s">
        <v>2412</v>
      </c>
      <c r="C34" s="643" t="s">
        <v>2413</v>
      </c>
      <c r="D34" s="639"/>
      <c r="E34" s="628"/>
      <c r="F34" s="629" t="n">
        <v>47049001264</v>
      </c>
      <c r="G34" s="628" t="n">
        <v>0</v>
      </c>
      <c r="H34" s="629"/>
      <c r="I34" s="628" t="n">
        <v>0</v>
      </c>
      <c r="J34" s="629"/>
      <c r="K34" s="628" t="n">
        <v>0</v>
      </c>
      <c r="L34" s="629"/>
      <c r="M34" s="628" t="n">
        <v>0</v>
      </c>
      <c r="N34" s="629"/>
      <c r="O34" s="628" t="n">
        <v>0</v>
      </c>
      <c r="P34" s="629"/>
      <c r="Q34" s="628" t="n">
        <v>0</v>
      </c>
      <c r="R34" s="629"/>
      <c r="S34" s="628" t="n">
        <v>0</v>
      </c>
      <c r="T34" s="629"/>
      <c r="U34" s="628" t="n">
        <v>0</v>
      </c>
      <c r="V34" s="629"/>
      <c r="W34" s="628" t="n">
        <v>0</v>
      </c>
      <c r="X34" s="629"/>
      <c r="Y34" s="628" t="n">
        <v>0</v>
      </c>
      <c r="Z34" s="629"/>
      <c r="AA34" s="628" t="n">
        <v>0</v>
      </c>
      <c r="AB34" s="629"/>
      <c r="AC34" s="628" t="n">
        <v>0</v>
      </c>
      <c r="AD34" s="629"/>
      <c r="AE34" s="628"/>
      <c r="AF34" s="629"/>
      <c r="AG34" s="628"/>
      <c r="AH34" s="628"/>
      <c r="AI34" s="630"/>
      <c r="AJ34" s="629" t="n">
        <v>30344515612</v>
      </c>
      <c r="AK34" s="630"/>
      <c r="AL34" s="629" t="n">
        <v>32456574525</v>
      </c>
      <c r="AM34" s="630" t="n">
        <v>-2112058913</v>
      </c>
      <c r="AN34" s="631" t="n">
        <v>-0.0650733770864564</v>
      </c>
      <c r="AO34" s="640"/>
      <c r="AP34" s="640"/>
      <c r="AQ34" s="641"/>
      <c r="AR34" s="641"/>
      <c r="AS34" s="641"/>
      <c r="AT34" s="571"/>
    </row>
    <row r="35" customFormat="false" ht="25.35" hidden="false" customHeight="false" outlineLevel="0" collapsed="false">
      <c r="B35" s="557"/>
      <c r="C35" s="558" t="n">
        <v>13</v>
      </c>
      <c r="D35" s="633" t="s">
        <v>330</v>
      </c>
      <c r="E35" s="634" t="n">
        <v>3755056372</v>
      </c>
      <c r="F35" s="635"/>
      <c r="G35" s="634" t="n">
        <v>439579224</v>
      </c>
      <c r="H35" s="635"/>
      <c r="I35" s="634" t="n">
        <v>300811325</v>
      </c>
      <c r="J35" s="635"/>
      <c r="K35" s="634" t="n">
        <v>238008989</v>
      </c>
      <c r="L35" s="635"/>
      <c r="M35" s="634" t="n">
        <v>351705456</v>
      </c>
      <c r="N35" s="635"/>
      <c r="O35" s="634" t="n">
        <v>217193663</v>
      </c>
      <c r="P35" s="635"/>
      <c r="Q35" s="634" t="n">
        <v>113907921</v>
      </c>
      <c r="R35" s="635"/>
      <c r="S35" s="634" t="n">
        <v>302171375</v>
      </c>
      <c r="T35" s="635"/>
      <c r="U35" s="634" t="n">
        <v>135175993</v>
      </c>
      <c r="V35" s="635"/>
      <c r="W35" s="634" t="n">
        <v>422612687</v>
      </c>
      <c r="X35" s="635"/>
      <c r="Y35" s="634" t="n">
        <v>590394871</v>
      </c>
      <c r="Z35" s="635"/>
      <c r="AA35" s="634" t="n">
        <v>281994828</v>
      </c>
      <c r="AB35" s="635"/>
      <c r="AC35" s="634" t="n">
        <v>361500040</v>
      </c>
      <c r="AD35" s="635"/>
      <c r="AE35" s="634"/>
      <c r="AF35" s="635"/>
      <c r="AG35" s="634"/>
      <c r="AH35" s="634" t="n">
        <v>-305640856</v>
      </c>
      <c r="AI35" s="636" t="n">
        <v>3449415516</v>
      </c>
      <c r="AJ35" s="635"/>
      <c r="AK35" s="636" t="n">
        <v>3517295861</v>
      </c>
      <c r="AL35" s="635"/>
      <c r="AM35" s="636" t="n">
        <v>-67880345</v>
      </c>
      <c r="AN35" s="637" t="n">
        <v>-0.0192990148348513</v>
      </c>
      <c r="AO35" s="638"/>
      <c r="AP35" s="638" t="s">
        <v>2453</v>
      </c>
      <c r="AQ35" s="566"/>
      <c r="AR35" s="566"/>
      <c r="AS35" s="566"/>
      <c r="AT35" s="571"/>
    </row>
    <row r="36" customFormat="false" ht="25.35" hidden="false" customHeight="false" outlineLevel="0" collapsed="false">
      <c r="B36" s="557"/>
      <c r="C36" s="558" t="n">
        <v>14</v>
      </c>
      <c r="D36" s="633" t="s">
        <v>332</v>
      </c>
      <c r="E36" s="634" t="n">
        <v>4971147841</v>
      </c>
      <c r="F36" s="635"/>
      <c r="G36" s="634" t="n">
        <v>754889035</v>
      </c>
      <c r="H36" s="635"/>
      <c r="I36" s="634" t="n">
        <v>355372105</v>
      </c>
      <c r="J36" s="635"/>
      <c r="K36" s="634" t="n">
        <v>348007037</v>
      </c>
      <c r="L36" s="635"/>
      <c r="M36" s="634" t="n">
        <v>471978636</v>
      </c>
      <c r="N36" s="635"/>
      <c r="O36" s="634" t="n">
        <v>389316218</v>
      </c>
      <c r="P36" s="635"/>
      <c r="Q36" s="634" t="n">
        <v>343738394</v>
      </c>
      <c r="R36" s="635"/>
      <c r="S36" s="634" t="n">
        <v>433370800</v>
      </c>
      <c r="T36" s="635"/>
      <c r="U36" s="634" t="n">
        <v>383515215</v>
      </c>
      <c r="V36" s="635"/>
      <c r="W36" s="634" t="n">
        <v>547551201</v>
      </c>
      <c r="X36" s="635"/>
      <c r="Y36" s="634" t="n">
        <v>366190305</v>
      </c>
      <c r="Z36" s="635"/>
      <c r="AA36" s="634" t="n">
        <v>466244947</v>
      </c>
      <c r="AB36" s="635"/>
      <c r="AC36" s="634" t="n">
        <v>110973948</v>
      </c>
      <c r="AD36" s="635"/>
      <c r="AE36" s="634"/>
      <c r="AF36" s="635"/>
      <c r="AG36" s="634"/>
      <c r="AH36" s="634" t="n">
        <v>-90649211</v>
      </c>
      <c r="AI36" s="636" t="n">
        <v>4880498630</v>
      </c>
      <c r="AJ36" s="635"/>
      <c r="AK36" s="636" t="n">
        <v>4270752256</v>
      </c>
      <c r="AL36" s="635"/>
      <c r="AM36" s="636" t="n">
        <v>609746374</v>
      </c>
      <c r="AN36" s="637" t="n">
        <v>0.142772593082018</v>
      </c>
      <c r="AO36" s="638"/>
      <c r="AP36" s="638" t="s">
        <v>2453</v>
      </c>
      <c r="AQ36" s="567" t="s">
        <v>2534</v>
      </c>
      <c r="AR36" s="566"/>
      <c r="AS36" s="566"/>
      <c r="AT36" s="571"/>
    </row>
    <row r="37" customFormat="false" ht="25.35" hidden="false" customHeight="false" outlineLevel="0" collapsed="false">
      <c r="B37" s="557"/>
      <c r="C37" s="558" t="n">
        <v>15</v>
      </c>
      <c r="D37" s="633" t="s">
        <v>334</v>
      </c>
      <c r="E37" s="634" t="n">
        <v>404907362</v>
      </c>
      <c r="F37" s="635"/>
      <c r="G37" s="634" t="n">
        <v>42135715</v>
      </c>
      <c r="H37" s="635"/>
      <c r="I37" s="634" t="n">
        <v>34821576</v>
      </c>
      <c r="J37" s="635"/>
      <c r="K37" s="634" t="n">
        <v>32965228</v>
      </c>
      <c r="L37" s="635"/>
      <c r="M37" s="634" t="n">
        <v>33873863</v>
      </c>
      <c r="N37" s="635"/>
      <c r="O37" s="634" t="n">
        <v>32907924</v>
      </c>
      <c r="P37" s="635"/>
      <c r="Q37" s="634" t="n">
        <v>34617304</v>
      </c>
      <c r="R37" s="635"/>
      <c r="S37" s="634" t="n">
        <v>33806912</v>
      </c>
      <c r="T37" s="635"/>
      <c r="U37" s="634" t="n">
        <v>34372104</v>
      </c>
      <c r="V37" s="635"/>
      <c r="W37" s="634" t="n">
        <v>32915691</v>
      </c>
      <c r="X37" s="635"/>
      <c r="Y37" s="634" t="n">
        <v>38341096</v>
      </c>
      <c r="Z37" s="635"/>
      <c r="AA37" s="634" t="n">
        <v>42431712</v>
      </c>
      <c r="AB37" s="635"/>
      <c r="AC37" s="634" t="n">
        <v>11718237</v>
      </c>
      <c r="AD37" s="635"/>
      <c r="AE37" s="634"/>
      <c r="AF37" s="635"/>
      <c r="AG37" s="634"/>
      <c r="AH37" s="634" t="n">
        <v>-28826829</v>
      </c>
      <c r="AI37" s="636" t="n">
        <v>376080533</v>
      </c>
      <c r="AJ37" s="635"/>
      <c r="AK37" s="636" t="n">
        <v>453946365</v>
      </c>
      <c r="AL37" s="635"/>
      <c r="AM37" s="636" t="n">
        <v>-77865832</v>
      </c>
      <c r="AN37" s="637" t="n">
        <v>-0.171530907621653</v>
      </c>
      <c r="AO37" s="638"/>
      <c r="AP37" s="638" t="s">
        <v>2453</v>
      </c>
      <c r="AQ37" s="566"/>
      <c r="AR37" s="566"/>
      <c r="AS37" s="566"/>
      <c r="AT37" s="571"/>
    </row>
    <row r="38" customFormat="false" ht="16.5" hidden="false" customHeight="false" outlineLevel="0" collapsed="false">
      <c r="B38" s="557"/>
      <c r="C38" s="558" t="n">
        <v>16</v>
      </c>
      <c r="D38" s="633" t="s">
        <v>335</v>
      </c>
      <c r="E38" s="634" t="n">
        <v>137917999</v>
      </c>
      <c r="F38" s="635"/>
      <c r="G38" s="634" t="n">
        <v>15452338</v>
      </c>
      <c r="H38" s="635"/>
      <c r="I38" s="634" t="n">
        <v>26389192</v>
      </c>
      <c r="J38" s="635"/>
      <c r="K38" s="634" t="n">
        <v>3912682</v>
      </c>
      <c r="L38" s="635"/>
      <c r="M38" s="634" t="n">
        <v>16358570</v>
      </c>
      <c r="N38" s="635"/>
      <c r="O38" s="634" t="n">
        <v>11255014</v>
      </c>
      <c r="P38" s="635"/>
      <c r="Q38" s="634" t="n">
        <v>-2437452</v>
      </c>
      <c r="R38" s="635"/>
      <c r="S38" s="634" t="n">
        <v>17370549</v>
      </c>
      <c r="T38" s="635"/>
      <c r="U38" s="634" t="n">
        <v>3178678</v>
      </c>
      <c r="V38" s="635"/>
      <c r="W38" s="634" t="n">
        <v>10931288</v>
      </c>
      <c r="X38" s="635"/>
      <c r="Y38" s="634" t="n">
        <v>23417564</v>
      </c>
      <c r="Z38" s="635"/>
      <c r="AA38" s="634" t="n">
        <v>6592796</v>
      </c>
      <c r="AB38" s="635"/>
      <c r="AC38" s="634" t="n">
        <v>5496780</v>
      </c>
      <c r="AD38" s="635"/>
      <c r="AE38" s="634"/>
      <c r="AF38" s="635"/>
      <c r="AG38" s="634"/>
      <c r="AH38" s="634" t="n">
        <v>-49112035</v>
      </c>
      <c r="AI38" s="636" t="n">
        <v>88805964</v>
      </c>
      <c r="AJ38" s="635"/>
      <c r="AK38" s="636" t="n">
        <v>278624152</v>
      </c>
      <c r="AL38" s="635"/>
      <c r="AM38" s="636" t="n">
        <v>-189818188</v>
      </c>
      <c r="AN38" s="637" t="n">
        <v>-0.681269684043758</v>
      </c>
      <c r="AO38" s="638"/>
      <c r="AP38" s="638" t="s">
        <v>2453</v>
      </c>
      <c r="AQ38" s="566"/>
      <c r="AR38" s="566"/>
      <c r="AS38" s="566"/>
      <c r="AT38" s="571"/>
    </row>
    <row r="39" customFormat="false" ht="16.5" hidden="false" customHeight="false" outlineLevel="0" collapsed="false">
      <c r="B39" s="557"/>
      <c r="C39" s="558" t="n">
        <v>17</v>
      </c>
      <c r="D39" s="633" t="s">
        <v>336</v>
      </c>
      <c r="E39" s="634" t="n">
        <v>327354962</v>
      </c>
      <c r="F39" s="635"/>
      <c r="G39" s="634" t="n">
        <v>32703597</v>
      </c>
      <c r="H39" s="635"/>
      <c r="I39" s="634" t="n">
        <v>16835778</v>
      </c>
      <c r="J39" s="635"/>
      <c r="K39" s="634" t="n">
        <v>20881191</v>
      </c>
      <c r="L39" s="635"/>
      <c r="M39" s="634" t="n">
        <v>27164260</v>
      </c>
      <c r="N39" s="635"/>
      <c r="O39" s="634" t="n">
        <v>23592167</v>
      </c>
      <c r="P39" s="635"/>
      <c r="Q39" s="634" t="n">
        <v>37795249</v>
      </c>
      <c r="R39" s="635"/>
      <c r="S39" s="634" t="n">
        <v>39205344</v>
      </c>
      <c r="T39" s="635"/>
      <c r="U39" s="634" t="n">
        <v>16994311</v>
      </c>
      <c r="V39" s="635"/>
      <c r="W39" s="634" t="n">
        <v>52632792</v>
      </c>
      <c r="X39" s="635"/>
      <c r="Y39" s="634" t="n">
        <v>25903177</v>
      </c>
      <c r="Z39" s="635"/>
      <c r="AA39" s="634" t="n">
        <v>23671308</v>
      </c>
      <c r="AB39" s="635"/>
      <c r="AC39" s="634" t="n">
        <v>9975788</v>
      </c>
      <c r="AD39" s="635"/>
      <c r="AE39" s="634"/>
      <c r="AF39" s="635"/>
      <c r="AG39" s="634"/>
      <c r="AH39" s="634" t="n">
        <v>-100000</v>
      </c>
      <c r="AI39" s="636" t="n">
        <v>327254962</v>
      </c>
      <c r="AJ39" s="635"/>
      <c r="AK39" s="636" t="n">
        <v>221418960</v>
      </c>
      <c r="AL39" s="635"/>
      <c r="AM39" s="636" t="n">
        <v>105836002</v>
      </c>
      <c r="AN39" s="637" t="n">
        <v>0.477989789130976</v>
      </c>
      <c r="AO39" s="638"/>
      <c r="AP39" s="638" t="s">
        <v>2453</v>
      </c>
      <c r="AQ39" s="566"/>
      <c r="AR39" s="566"/>
      <c r="AS39" s="566"/>
      <c r="AT39" s="571"/>
    </row>
    <row r="40" customFormat="false" ht="40.5" hidden="false" customHeight="true" outlineLevel="0" collapsed="false">
      <c r="B40" s="557"/>
      <c r="C40" s="558" t="n">
        <v>18</v>
      </c>
      <c r="D40" s="633" t="s">
        <v>338</v>
      </c>
      <c r="E40" s="634" t="n">
        <v>337409570</v>
      </c>
      <c r="F40" s="635"/>
      <c r="G40" s="634" t="n">
        <v>-112689402</v>
      </c>
      <c r="H40" s="635"/>
      <c r="I40" s="634" t="n">
        <v>209092138</v>
      </c>
      <c r="J40" s="635"/>
      <c r="K40" s="634" t="n">
        <v>48201368</v>
      </c>
      <c r="L40" s="635"/>
      <c r="M40" s="634" t="n">
        <v>48201368</v>
      </c>
      <c r="N40" s="635"/>
      <c r="O40" s="634" t="n">
        <v>48201368</v>
      </c>
      <c r="P40" s="635"/>
      <c r="Q40" s="634" t="n">
        <v>48201368</v>
      </c>
      <c r="R40" s="635"/>
      <c r="S40" s="634" t="n">
        <v>48201368</v>
      </c>
      <c r="T40" s="635"/>
      <c r="U40" s="634" t="n">
        <v>-2</v>
      </c>
      <c r="V40" s="635"/>
      <c r="W40" s="634" t="n">
        <v>-2</v>
      </c>
      <c r="X40" s="635"/>
      <c r="Y40" s="634" t="n">
        <v>0</v>
      </c>
      <c r="Z40" s="635"/>
      <c r="AA40" s="634" t="n">
        <v>0</v>
      </c>
      <c r="AB40" s="635"/>
      <c r="AC40" s="634" t="n">
        <v>-2</v>
      </c>
      <c r="AD40" s="635"/>
      <c r="AE40" s="634" t="n">
        <v>1126894020</v>
      </c>
      <c r="AF40" s="635"/>
      <c r="AG40" s="634"/>
      <c r="AH40" s="634"/>
      <c r="AI40" s="636" t="n">
        <v>1464303590</v>
      </c>
      <c r="AJ40" s="635"/>
      <c r="AK40" s="636" t="n">
        <v>919488259</v>
      </c>
      <c r="AL40" s="635"/>
      <c r="AM40" s="636" t="n">
        <v>544815331</v>
      </c>
      <c r="AN40" s="637" t="n">
        <v>0.592520160716919</v>
      </c>
      <c r="AO40" s="638"/>
      <c r="AP40" s="638" t="s">
        <v>2453</v>
      </c>
      <c r="AQ40" s="567" t="s">
        <v>2535</v>
      </c>
      <c r="AR40" s="567" t="s">
        <v>2535</v>
      </c>
      <c r="AS40" s="567" t="s">
        <v>2536</v>
      </c>
      <c r="AT40" s="571"/>
    </row>
    <row r="41" customFormat="false" ht="16.5" hidden="false" customHeight="false" outlineLevel="0" collapsed="false">
      <c r="B41" s="557"/>
      <c r="C41" s="558" t="n">
        <v>19</v>
      </c>
      <c r="D41" s="633" t="s">
        <v>340</v>
      </c>
      <c r="E41" s="634" t="n">
        <v>0</v>
      </c>
      <c r="F41" s="635"/>
      <c r="G41" s="634" t="n">
        <v>0</v>
      </c>
      <c r="H41" s="635"/>
      <c r="I41" s="634" t="n">
        <v>0</v>
      </c>
      <c r="J41" s="635"/>
      <c r="K41" s="634" t="n">
        <v>0</v>
      </c>
      <c r="L41" s="635"/>
      <c r="M41" s="634" t="n">
        <v>0</v>
      </c>
      <c r="N41" s="635"/>
      <c r="O41" s="634" t="n">
        <v>0</v>
      </c>
      <c r="P41" s="635"/>
      <c r="Q41" s="634" t="n">
        <v>0</v>
      </c>
      <c r="R41" s="635"/>
      <c r="S41" s="634" t="n">
        <v>0</v>
      </c>
      <c r="T41" s="635"/>
      <c r="U41" s="634" t="n">
        <v>0</v>
      </c>
      <c r="V41" s="635"/>
      <c r="W41" s="634" t="n">
        <v>0</v>
      </c>
      <c r="X41" s="635"/>
      <c r="Y41" s="634" t="n">
        <v>0</v>
      </c>
      <c r="Z41" s="635"/>
      <c r="AA41" s="634" t="n">
        <v>0</v>
      </c>
      <c r="AB41" s="635"/>
      <c r="AC41" s="634" t="n">
        <v>0</v>
      </c>
      <c r="AD41" s="635"/>
      <c r="AE41" s="634"/>
      <c r="AF41" s="635"/>
      <c r="AG41" s="634"/>
      <c r="AH41" s="634"/>
      <c r="AI41" s="636" t="n">
        <v>0</v>
      </c>
      <c r="AJ41" s="635"/>
      <c r="AK41" s="636" t="n">
        <v>0</v>
      </c>
      <c r="AL41" s="635"/>
      <c r="AM41" s="636" t="n">
        <v>0</v>
      </c>
      <c r="AN41" s="637" t="n">
        <v>0</v>
      </c>
      <c r="AO41" s="638"/>
      <c r="AP41" s="638"/>
      <c r="AQ41" s="566"/>
      <c r="AR41" s="566"/>
      <c r="AS41" s="566"/>
      <c r="AT41" s="571"/>
    </row>
    <row r="42" customFormat="false" ht="16.5" hidden="false" customHeight="false" outlineLevel="0" collapsed="false">
      <c r="B42" s="557"/>
      <c r="C42" s="558" t="n">
        <v>20</v>
      </c>
      <c r="D42" s="633" t="s">
        <v>341</v>
      </c>
      <c r="E42" s="634" t="n">
        <v>96139930</v>
      </c>
      <c r="F42" s="635"/>
      <c r="G42" s="634" t="n">
        <v>6730000</v>
      </c>
      <c r="H42" s="635"/>
      <c r="I42" s="634" t="n">
        <v>15457311</v>
      </c>
      <c r="J42" s="635"/>
      <c r="K42" s="634" t="n">
        <v>3863335</v>
      </c>
      <c r="L42" s="635"/>
      <c r="M42" s="634" t="n">
        <v>14560000</v>
      </c>
      <c r="N42" s="635"/>
      <c r="O42" s="634" t="n">
        <v>1100000</v>
      </c>
      <c r="P42" s="635"/>
      <c r="Q42" s="634" t="n">
        <v>10428122</v>
      </c>
      <c r="R42" s="635"/>
      <c r="S42" s="634" t="n">
        <v>2200000</v>
      </c>
      <c r="T42" s="635"/>
      <c r="U42" s="634" t="n">
        <v>17060000</v>
      </c>
      <c r="V42" s="635"/>
      <c r="W42" s="634" t="n">
        <v>8336798</v>
      </c>
      <c r="X42" s="635"/>
      <c r="Y42" s="634" t="n">
        <v>10593335</v>
      </c>
      <c r="Z42" s="635"/>
      <c r="AA42" s="634" t="n">
        <v>7830000</v>
      </c>
      <c r="AB42" s="635"/>
      <c r="AC42" s="634" t="n">
        <v>-2018971</v>
      </c>
      <c r="AD42" s="635"/>
      <c r="AE42" s="634"/>
      <c r="AF42" s="635"/>
      <c r="AG42" s="634"/>
      <c r="AH42" s="634"/>
      <c r="AI42" s="636" t="n">
        <v>96139930</v>
      </c>
      <c r="AJ42" s="635"/>
      <c r="AK42" s="636" t="n">
        <v>178110388</v>
      </c>
      <c r="AL42" s="635"/>
      <c r="AM42" s="636" t="n">
        <v>-81970458</v>
      </c>
      <c r="AN42" s="637" t="n">
        <v>-0.460222780492736</v>
      </c>
      <c r="AO42" s="638"/>
      <c r="AP42" s="638" t="s">
        <v>2453</v>
      </c>
      <c r="AQ42" s="566"/>
      <c r="AR42" s="566"/>
      <c r="AS42" s="566"/>
      <c r="AT42" s="571"/>
    </row>
    <row r="43" customFormat="false" ht="16.5" hidden="false" customHeight="false" outlineLevel="0" collapsed="false">
      <c r="B43" s="557"/>
      <c r="C43" s="558" t="n">
        <v>21</v>
      </c>
      <c r="D43" s="633" t="s">
        <v>342</v>
      </c>
      <c r="E43" s="634" t="n">
        <v>26593320</v>
      </c>
      <c r="F43" s="635"/>
      <c r="G43" s="634" t="n">
        <v>1776290</v>
      </c>
      <c r="H43" s="635"/>
      <c r="I43" s="634" t="n">
        <v>1803100</v>
      </c>
      <c r="J43" s="635"/>
      <c r="K43" s="634" t="n">
        <v>1655220</v>
      </c>
      <c r="L43" s="635"/>
      <c r="M43" s="634" t="n">
        <v>2316440</v>
      </c>
      <c r="N43" s="635"/>
      <c r="O43" s="634" t="n">
        <v>3507690</v>
      </c>
      <c r="P43" s="635"/>
      <c r="Q43" s="634" t="n">
        <v>1736858</v>
      </c>
      <c r="R43" s="635"/>
      <c r="S43" s="634" t="n">
        <v>1700970</v>
      </c>
      <c r="T43" s="635"/>
      <c r="U43" s="634" t="n">
        <v>1563890</v>
      </c>
      <c r="V43" s="635"/>
      <c r="W43" s="634" t="n">
        <v>8148360</v>
      </c>
      <c r="X43" s="635"/>
      <c r="Y43" s="634" t="n">
        <v>857572</v>
      </c>
      <c r="Z43" s="635"/>
      <c r="AA43" s="634" t="n">
        <v>686040</v>
      </c>
      <c r="AB43" s="635"/>
      <c r="AC43" s="634" t="n">
        <v>840890</v>
      </c>
      <c r="AD43" s="635"/>
      <c r="AE43" s="634"/>
      <c r="AF43" s="635"/>
      <c r="AG43" s="634"/>
      <c r="AH43" s="634"/>
      <c r="AI43" s="636" t="n">
        <v>26593320</v>
      </c>
      <c r="AJ43" s="635"/>
      <c r="AK43" s="636" t="n">
        <v>26975857</v>
      </c>
      <c r="AL43" s="635"/>
      <c r="AM43" s="636" t="n">
        <v>-382537</v>
      </c>
      <c r="AN43" s="637" t="n">
        <v>-0.0141807172242943</v>
      </c>
      <c r="AO43" s="638"/>
      <c r="AP43" s="638" t="s">
        <v>2453</v>
      </c>
      <c r="AQ43" s="566"/>
      <c r="AR43" s="566"/>
      <c r="AS43" s="566"/>
      <c r="AT43" s="571"/>
    </row>
    <row r="44" customFormat="false" ht="16.5" hidden="false" customHeight="false" outlineLevel="0" collapsed="false">
      <c r="B44" s="557"/>
      <c r="C44" s="558" t="n">
        <v>22</v>
      </c>
      <c r="D44" s="633" t="s">
        <v>343</v>
      </c>
      <c r="E44" s="634" t="n">
        <v>0</v>
      </c>
      <c r="F44" s="635"/>
      <c r="G44" s="634" t="n">
        <v>0</v>
      </c>
      <c r="H44" s="635"/>
      <c r="I44" s="634" t="n">
        <v>0</v>
      </c>
      <c r="J44" s="635"/>
      <c r="K44" s="634" t="n">
        <v>0</v>
      </c>
      <c r="L44" s="635"/>
      <c r="M44" s="634" t="n">
        <v>0</v>
      </c>
      <c r="N44" s="635"/>
      <c r="O44" s="634" t="n">
        <v>0</v>
      </c>
      <c r="P44" s="635"/>
      <c r="Q44" s="634" t="n">
        <v>0</v>
      </c>
      <c r="R44" s="635"/>
      <c r="S44" s="634" t="n">
        <v>0</v>
      </c>
      <c r="T44" s="635"/>
      <c r="U44" s="634" t="n">
        <v>0</v>
      </c>
      <c r="V44" s="635"/>
      <c r="W44" s="634" t="n">
        <v>0</v>
      </c>
      <c r="X44" s="635"/>
      <c r="Y44" s="634" t="n">
        <v>0</v>
      </c>
      <c r="Z44" s="635"/>
      <c r="AA44" s="634" t="n">
        <v>0</v>
      </c>
      <c r="AB44" s="635"/>
      <c r="AC44" s="634" t="n">
        <v>0</v>
      </c>
      <c r="AD44" s="635"/>
      <c r="AE44" s="634"/>
      <c r="AF44" s="635"/>
      <c r="AG44" s="634"/>
      <c r="AH44" s="634"/>
      <c r="AI44" s="636" t="n">
        <v>0</v>
      </c>
      <c r="AJ44" s="635"/>
      <c r="AK44" s="636" t="n">
        <v>0</v>
      </c>
      <c r="AL44" s="635"/>
      <c r="AM44" s="636" t="n">
        <v>0</v>
      </c>
      <c r="AN44" s="637" t="n">
        <v>0</v>
      </c>
      <c r="AO44" s="638"/>
      <c r="AP44" s="638"/>
      <c r="AQ44" s="566"/>
      <c r="AR44" s="566"/>
      <c r="AS44" s="566"/>
      <c r="AT44" s="571"/>
    </row>
    <row r="45" customFormat="false" ht="54" hidden="false" customHeight="true" outlineLevel="0" collapsed="false">
      <c r="B45" s="557"/>
      <c r="C45" s="558" t="n">
        <v>23</v>
      </c>
      <c r="D45" s="633" t="s">
        <v>344</v>
      </c>
      <c r="E45" s="634" t="n">
        <v>18850872230</v>
      </c>
      <c r="F45" s="635"/>
      <c r="G45" s="634" t="n">
        <v>1761762427</v>
      </c>
      <c r="H45" s="635"/>
      <c r="I45" s="634" t="n">
        <v>1427433170</v>
      </c>
      <c r="J45" s="635"/>
      <c r="K45" s="634" t="n">
        <v>1952821863</v>
      </c>
      <c r="L45" s="635"/>
      <c r="M45" s="634" t="n">
        <v>887291015</v>
      </c>
      <c r="N45" s="635"/>
      <c r="O45" s="634" t="n">
        <v>2124254983</v>
      </c>
      <c r="P45" s="635"/>
      <c r="Q45" s="634" t="n">
        <v>1613159862</v>
      </c>
      <c r="R45" s="635"/>
      <c r="S45" s="634" t="n">
        <v>1372737504</v>
      </c>
      <c r="T45" s="635"/>
      <c r="U45" s="634" t="n">
        <v>1715048683</v>
      </c>
      <c r="V45" s="635"/>
      <c r="W45" s="634" t="n">
        <v>1384451218</v>
      </c>
      <c r="X45" s="635"/>
      <c r="Y45" s="634" t="n">
        <v>3170621755</v>
      </c>
      <c r="Z45" s="635"/>
      <c r="AA45" s="634" t="n">
        <v>597870338</v>
      </c>
      <c r="AB45" s="635"/>
      <c r="AC45" s="634" t="n">
        <v>843419412</v>
      </c>
      <c r="AD45" s="635"/>
      <c r="AE45" s="634"/>
      <c r="AF45" s="635"/>
      <c r="AG45" s="634"/>
      <c r="AH45" s="634" t="n">
        <v>-7967102221</v>
      </c>
      <c r="AI45" s="636" t="n">
        <v>10883770009</v>
      </c>
      <c r="AJ45" s="635"/>
      <c r="AK45" s="636" t="n">
        <v>13862303125</v>
      </c>
      <c r="AL45" s="635"/>
      <c r="AM45" s="636" t="n">
        <v>-2978533116</v>
      </c>
      <c r="AN45" s="637" t="n">
        <v>-0.214865674855166</v>
      </c>
      <c r="AO45" s="638"/>
      <c r="AP45" s="638" t="s">
        <v>2453</v>
      </c>
      <c r="AQ45" s="566" t="s">
        <v>2537</v>
      </c>
      <c r="AR45" s="566"/>
      <c r="AS45" s="567" t="s">
        <v>2538</v>
      </c>
      <c r="AT45" s="523"/>
    </row>
    <row r="46" customFormat="false" ht="27" hidden="false" customHeight="true" outlineLevel="0" collapsed="false">
      <c r="B46" s="557"/>
      <c r="C46" s="558" t="n">
        <v>23</v>
      </c>
      <c r="D46" s="633" t="s">
        <v>346</v>
      </c>
      <c r="E46" s="634" t="n">
        <v>2776269144</v>
      </c>
      <c r="F46" s="635"/>
      <c r="G46" s="634" t="n">
        <v>167139456</v>
      </c>
      <c r="H46" s="635"/>
      <c r="I46" s="634" t="n">
        <v>54876330</v>
      </c>
      <c r="J46" s="635"/>
      <c r="K46" s="634" t="n">
        <v>937153045</v>
      </c>
      <c r="L46" s="635"/>
      <c r="M46" s="634" t="n">
        <v>176443230</v>
      </c>
      <c r="N46" s="635"/>
      <c r="O46" s="634" t="n">
        <v>167642347</v>
      </c>
      <c r="P46" s="635"/>
      <c r="Q46" s="634" t="n">
        <v>190459451</v>
      </c>
      <c r="R46" s="635"/>
      <c r="S46" s="634" t="n">
        <v>167004720</v>
      </c>
      <c r="T46" s="635"/>
      <c r="U46" s="634" t="n">
        <v>173912801</v>
      </c>
      <c r="V46" s="635"/>
      <c r="W46" s="634" t="n">
        <v>224151570</v>
      </c>
      <c r="X46" s="635"/>
      <c r="Y46" s="634" t="n">
        <v>205066871</v>
      </c>
      <c r="Z46" s="635"/>
      <c r="AA46" s="634" t="n">
        <v>149611634</v>
      </c>
      <c r="AB46" s="635"/>
      <c r="AC46" s="634" t="n">
        <v>162807689</v>
      </c>
      <c r="AD46" s="635"/>
      <c r="AE46" s="634"/>
      <c r="AF46" s="635"/>
      <c r="AG46" s="634"/>
      <c r="AH46" s="634"/>
      <c r="AI46" s="636" t="n">
        <v>2776269144</v>
      </c>
      <c r="AJ46" s="635"/>
      <c r="AK46" s="636" t="n">
        <v>2130702898</v>
      </c>
      <c r="AL46" s="635"/>
      <c r="AM46" s="636" t="n">
        <v>645566246</v>
      </c>
      <c r="AN46" s="637" t="n">
        <v>0.30298276057444</v>
      </c>
      <c r="AO46" s="638"/>
      <c r="AP46" s="638" t="s">
        <v>2453</v>
      </c>
      <c r="AQ46" s="567" t="s">
        <v>2539</v>
      </c>
      <c r="AR46" s="566"/>
      <c r="AS46" s="566"/>
      <c r="AT46" s="523"/>
    </row>
    <row r="47" customFormat="false" ht="16.5" hidden="false" customHeight="false" outlineLevel="0" collapsed="false">
      <c r="B47" s="557"/>
      <c r="C47" s="558" t="n">
        <v>23</v>
      </c>
      <c r="D47" s="633" t="s">
        <v>348</v>
      </c>
      <c r="E47" s="634" t="n">
        <v>808759233</v>
      </c>
      <c r="F47" s="635"/>
      <c r="G47" s="634" t="n">
        <v>61291790</v>
      </c>
      <c r="H47" s="635"/>
      <c r="I47" s="634" t="n">
        <v>112394188</v>
      </c>
      <c r="J47" s="635"/>
      <c r="K47" s="634" t="n">
        <v>59741360</v>
      </c>
      <c r="L47" s="635"/>
      <c r="M47" s="634" t="n">
        <v>68761813</v>
      </c>
      <c r="N47" s="635"/>
      <c r="O47" s="634" t="n">
        <v>112445637</v>
      </c>
      <c r="P47" s="635"/>
      <c r="Q47" s="634" t="n">
        <v>61109540</v>
      </c>
      <c r="R47" s="635"/>
      <c r="S47" s="634" t="n">
        <v>53743804</v>
      </c>
      <c r="T47" s="635"/>
      <c r="U47" s="634" t="n">
        <v>74642301</v>
      </c>
      <c r="V47" s="635"/>
      <c r="W47" s="634" t="n">
        <v>55031401</v>
      </c>
      <c r="X47" s="635"/>
      <c r="Y47" s="634" t="n">
        <v>67121664</v>
      </c>
      <c r="Z47" s="635"/>
      <c r="AA47" s="634" t="n">
        <v>45012815</v>
      </c>
      <c r="AB47" s="635"/>
      <c r="AC47" s="634" t="n">
        <v>37462920</v>
      </c>
      <c r="AD47" s="635"/>
      <c r="AE47" s="634"/>
      <c r="AF47" s="635"/>
      <c r="AG47" s="634"/>
      <c r="AH47" s="634" t="n">
        <v>-9051500</v>
      </c>
      <c r="AI47" s="636" t="n">
        <v>799707733</v>
      </c>
      <c r="AJ47" s="635"/>
      <c r="AK47" s="636" t="n">
        <v>614567548</v>
      </c>
      <c r="AL47" s="635"/>
      <c r="AM47" s="636" t="n">
        <v>185140185</v>
      </c>
      <c r="AN47" s="637" t="n">
        <v>0.301252784339989</v>
      </c>
      <c r="AO47" s="638"/>
      <c r="AP47" s="638" t="s">
        <v>2453</v>
      </c>
      <c r="AQ47" s="566"/>
      <c r="AR47" s="566"/>
      <c r="AS47" s="566"/>
      <c r="AT47" s="523"/>
    </row>
    <row r="48" customFormat="false" ht="16.5" hidden="false" customHeight="false" outlineLevel="0" collapsed="false">
      <c r="B48" s="557"/>
      <c r="C48" s="558" t="n">
        <v>23</v>
      </c>
      <c r="D48" s="633" t="s">
        <v>351</v>
      </c>
      <c r="E48" s="634" t="n">
        <v>0</v>
      </c>
      <c r="F48" s="635"/>
      <c r="G48" s="634" t="n">
        <v>0</v>
      </c>
      <c r="H48" s="635"/>
      <c r="I48" s="634" t="n">
        <v>0</v>
      </c>
      <c r="J48" s="635"/>
      <c r="K48" s="634" t="n">
        <v>0</v>
      </c>
      <c r="L48" s="635"/>
      <c r="M48" s="634" t="n">
        <v>0</v>
      </c>
      <c r="N48" s="635"/>
      <c r="O48" s="634" t="n">
        <v>0</v>
      </c>
      <c r="P48" s="635"/>
      <c r="Q48" s="634" t="n">
        <v>0</v>
      </c>
      <c r="R48" s="635"/>
      <c r="S48" s="634" t="n">
        <v>0</v>
      </c>
      <c r="T48" s="635"/>
      <c r="U48" s="634" t="n">
        <v>0</v>
      </c>
      <c r="V48" s="635"/>
      <c r="W48" s="634" t="n">
        <v>0</v>
      </c>
      <c r="X48" s="635"/>
      <c r="Y48" s="634" t="n">
        <v>0</v>
      </c>
      <c r="Z48" s="635"/>
      <c r="AA48" s="634" t="n">
        <v>0</v>
      </c>
      <c r="AB48" s="635"/>
      <c r="AC48" s="634" t="n">
        <v>0</v>
      </c>
      <c r="AD48" s="635"/>
      <c r="AE48" s="634"/>
      <c r="AF48" s="635"/>
      <c r="AG48" s="634"/>
      <c r="AH48" s="634"/>
      <c r="AI48" s="636" t="n">
        <v>0</v>
      </c>
      <c r="AJ48" s="635"/>
      <c r="AK48" s="636" t="n">
        <v>0</v>
      </c>
      <c r="AL48" s="635"/>
      <c r="AM48" s="636" t="n">
        <v>0</v>
      </c>
      <c r="AN48" s="637" t="n">
        <v>0</v>
      </c>
      <c r="AO48" s="638"/>
      <c r="AP48" s="638"/>
      <c r="AQ48" s="566"/>
      <c r="AR48" s="566"/>
      <c r="AS48" s="566"/>
      <c r="AT48" s="523"/>
    </row>
    <row r="49" customFormat="false" ht="16.5" hidden="false" customHeight="false" outlineLevel="0" collapsed="false">
      <c r="B49" s="557"/>
      <c r="C49" s="558" t="n">
        <v>23</v>
      </c>
      <c r="D49" s="633" t="s">
        <v>353</v>
      </c>
      <c r="E49" s="634" t="n">
        <v>1991992</v>
      </c>
      <c r="F49" s="635"/>
      <c r="G49" s="634" t="n">
        <v>261870</v>
      </c>
      <c r="H49" s="635"/>
      <c r="I49" s="634" t="n">
        <v>481563</v>
      </c>
      <c r="J49" s="635"/>
      <c r="K49" s="634" t="n">
        <v>273871</v>
      </c>
      <c r="L49" s="635"/>
      <c r="M49" s="634" t="n">
        <v>-1081967</v>
      </c>
      <c r="N49" s="635"/>
      <c r="O49" s="634" t="n">
        <v>243578</v>
      </c>
      <c r="P49" s="635"/>
      <c r="Q49" s="634" t="n">
        <v>664846</v>
      </c>
      <c r="R49" s="635"/>
      <c r="S49" s="634" t="n">
        <v>188808</v>
      </c>
      <c r="T49" s="635"/>
      <c r="U49" s="634" t="n">
        <v>317417</v>
      </c>
      <c r="V49" s="635"/>
      <c r="W49" s="634" t="n">
        <v>184931</v>
      </c>
      <c r="X49" s="635"/>
      <c r="Y49" s="634" t="n">
        <v>99537</v>
      </c>
      <c r="Z49" s="635"/>
      <c r="AA49" s="634" t="n">
        <v>204000</v>
      </c>
      <c r="AB49" s="635"/>
      <c r="AC49" s="634" t="n">
        <v>153538</v>
      </c>
      <c r="AD49" s="635"/>
      <c r="AE49" s="634"/>
      <c r="AF49" s="635"/>
      <c r="AG49" s="634"/>
      <c r="AH49" s="634"/>
      <c r="AI49" s="636" t="n">
        <v>1991992</v>
      </c>
      <c r="AJ49" s="635"/>
      <c r="AK49" s="636" t="n">
        <v>1482605</v>
      </c>
      <c r="AL49" s="635"/>
      <c r="AM49" s="636" t="n">
        <v>509387</v>
      </c>
      <c r="AN49" s="637" t="n">
        <v>0.343575665804446</v>
      </c>
      <c r="AO49" s="638"/>
      <c r="AP49" s="638" t="s">
        <v>2453</v>
      </c>
      <c r="AQ49" s="566"/>
      <c r="AR49" s="566"/>
      <c r="AS49" s="566"/>
      <c r="AT49" s="523"/>
    </row>
    <row r="50" customFormat="false" ht="67.5" hidden="false" customHeight="true" outlineLevel="0" collapsed="false">
      <c r="B50" s="557"/>
      <c r="C50" s="558" t="n">
        <v>23</v>
      </c>
      <c r="D50" s="633" t="s">
        <v>355</v>
      </c>
      <c r="E50" s="634" t="n">
        <v>10244831411</v>
      </c>
      <c r="F50" s="635"/>
      <c r="G50" s="634" t="n">
        <v>1798325900</v>
      </c>
      <c r="H50" s="635"/>
      <c r="I50" s="634" t="n">
        <v>988172222</v>
      </c>
      <c r="J50" s="635"/>
      <c r="K50" s="634" t="n">
        <v>2319868517</v>
      </c>
      <c r="L50" s="635"/>
      <c r="M50" s="634" t="n">
        <v>735070829</v>
      </c>
      <c r="N50" s="635"/>
      <c r="O50" s="634" t="n">
        <v>772119467</v>
      </c>
      <c r="P50" s="635"/>
      <c r="Q50" s="634" t="n">
        <v>804789861</v>
      </c>
      <c r="R50" s="635"/>
      <c r="S50" s="634" t="n">
        <v>2159322133</v>
      </c>
      <c r="T50" s="635"/>
      <c r="U50" s="634" t="n">
        <v>1673391088</v>
      </c>
      <c r="V50" s="635"/>
      <c r="W50" s="634" t="n">
        <v>1269425056</v>
      </c>
      <c r="X50" s="635"/>
      <c r="Y50" s="634" t="n">
        <v>394330015</v>
      </c>
      <c r="Z50" s="635"/>
      <c r="AA50" s="634" t="n">
        <v>-2897733343</v>
      </c>
      <c r="AB50" s="635"/>
      <c r="AC50" s="634" t="n">
        <v>227749666</v>
      </c>
      <c r="AD50" s="635"/>
      <c r="AE50" s="634"/>
      <c r="AF50" s="635"/>
      <c r="AG50" s="634"/>
      <c r="AH50" s="634" t="n">
        <v>-7892337930</v>
      </c>
      <c r="AI50" s="636" t="n">
        <v>2352493481</v>
      </c>
      <c r="AJ50" s="635"/>
      <c r="AK50" s="636" t="n">
        <v>4186227987</v>
      </c>
      <c r="AL50" s="635"/>
      <c r="AM50" s="636" t="n">
        <v>-1833734506</v>
      </c>
      <c r="AN50" s="637" t="n">
        <v>-0.438039808556657</v>
      </c>
      <c r="AO50" s="638"/>
      <c r="AP50" s="638" t="s">
        <v>2453</v>
      </c>
      <c r="AQ50" s="566"/>
      <c r="AR50" s="567" t="s">
        <v>2540</v>
      </c>
      <c r="AS50" s="567" t="s">
        <v>2541</v>
      </c>
      <c r="AT50" s="523"/>
    </row>
    <row r="51" customFormat="false" ht="54" hidden="false" customHeight="true" outlineLevel="0" collapsed="false">
      <c r="B51" s="557"/>
      <c r="C51" s="558" t="n">
        <v>23</v>
      </c>
      <c r="D51" s="633" t="s">
        <v>358</v>
      </c>
      <c r="E51" s="634" t="n">
        <v>2249661323</v>
      </c>
      <c r="F51" s="635"/>
      <c r="G51" s="634" t="n">
        <v>186167282</v>
      </c>
      <c r="H51" s="635"/>
      <c r="I51" s="634" t="n">
        <v>186167266</v>
      </c>
      <c r="J51" s="635"/>
      <c r="K51" s="634" t="n">
        <v>182440881</v>
      </c>
      <c r="L51" s="635"/>
      <c r="M51" s="634" t="n">
        <v>186663305</v>
      </c>
      <c r="N51" s="635"/>
      <c r="O51" s="634" t="n">
        <v>189173730</v>
      </c>
      <c r="P51" s="635"/>
      <c r="Q51" s="634" t="n">
        <v>190033427</v>
      </c>
      <c r="R51" s="635"/>
      <c r="S51" s="634" t="n">
        <v>189750957</v>
      </c>
      <c r="T51" s="635"/>
      <c r="U51" s="634" t="n">
        <v>315028281</v>
      </c>
      <c r="V51" s="635"/>
      <c r="W51" s="634" t="n">
        <v>156297109</v>
      </c>
      <c r="X51" s="635"/>
      <c r="Y51" s="634" t="n">
        <v>157249345</v>
      </c>
      <c r="Z51" s="635"/>
      <c r="AA51" s="634" t="n">
        <v>155344882</v>
      </c>
      <c r="AB51" s="635"/>
      <c r="AC51" s="634" t="n">
        <v>155344858</v>
      </c>
      <c r="AD51" s="635"/>
      <c r="AE51" s="634"/>
      <c r="AF51" s="635" t="n">
        <v>-1131258360</v>
      </c>
      <c r="AG51" s="634"/>
      <c r="AH51" s="634"/>
      <c r="AI51" s="636" t="n">
        <v>1118402963</v>
      </c>
      <c r="AJ51" s="635"/>
      <c r="AK51" s="636" t="n">
        <v>711145446</v>
      </c>
      <c r="AL51" s="635"/>
      <c r="AM51" s="636" t="n">
        <v>407257517</v>
      </c>
      <c r="AN51" s="637" t="n">
        <v>0.572678232407608</v>
      </c>
      <c r="AO51" s="638"/>
      <c r="AP51" s="638" t="s">
        <v>2437</v>
      </c>
      <c r="AQ51" s="567" t="s">
        <v>2542</v>
      </c>
      <c r="AR51" s="566"/>
      <c r="AS51" s="566"/>
      <c r="AT51" s="571"/>
    </row>
    <row r="52" customFormat="false" ht="25.35" hidden="false" customHeight="false" outlineLevel="0" collapsed="false">
      <c r="B52" s="557"/>
      <c r="C52" s="558" t="n">
        <v>23</v>
      </c>
      <c r="D52" s="633" t="s">
        <v>361</v>
      </c>
      <c r="E52" s="634" t="n">
        <v>1744874153</v>
      </c>
      <c r="F52" s="635"/>
      <c r="G52" s="634" t="n">
        <v>130776772</v>
      </c>
      <c r="H52" s="635"/>
      <c r="I52" s="634" t="n">
        <v>130684768</v>
      </c>
      <c r="J52" s="635"/>
      <c r="K52" s="634" t="n">
        <v>126997808</v>
      </c>
      <c r="L52" s="635"/>
      <c r="M52" s="634" t="n">
        <v>131177109</v>
      </c>
      <c r="N52" s="635"/>
      <c r="O52" s="634" t="n">
        <v>245916447</v>
      </c>
      <c r="P52" s="635"/>
      <c r="Q52" s="634" t="n">
        <v>131866183</v>
      </c>
      <c r="R52" s="635"/>
      <c r="S52" s="634" t="n">
        <v>129206150</v>
      </c>
      <c r="T52" s="635"/>
      <c r="U52" s="634" t="n">
        <v>135419533</v>
      </c>
      <c r="V52" s="635"/>
      <c r="W52" s="634" t="n">
        <v>283100093</v>
      </c>
      <c r="X52" s="635"/>
      <c r="Y52" s="634" t="n">
        <v>102288760</v>
      </c>
      <c r="Z52" s="635"/>
      <c r="AA52" s="634" t="n">
        <v>98131200</v>
      </c>
      <c r="AB52" s="635"/>
      <c r="AC52" s="634" t="n">
        <v>99309330</v>
      </c>
      <c r="AD52" s="635"/>
      <c r="AE52" s="634"/>
      <c r="AF52" s="635"/>
      <c r="AG52" s="634"/>
      <c r="AH52" s="634" t="n">
        <v>-332551762</v>
      </c>
      <c r="AI52" s="636" t="n">
        <v>1412322391</v>
      </c>
      <c r="AJ52" s="635"/>
      <c r="AK52" s="636" t="n">
        <v>886016844</v>
      </c>
      <c r="AL52" s="635"/>
      <c r="AM52" s="636" t="n">
        <v>526305547</v>
      </c>
      <c r="AN52" s="637" t="n">
        <v>0.594013026461154</v>
      </c>
      <c r="AO52" s="638"/>
      <c r="AP52" s="638" t="s">
        <v>2453</v>
      </c>
      <c r="AQ52" s="566"/>
      <c r="AR52" s="566"/>
      <c r="AS52" s="566"/>
      <c r="AT52" s="571"/>
    </row>
    <row r="53" customFormat="false" ht="25.35" hidden="false" customHeight="false" outlineLevel="0" collapsed="false">
      <c r="B53" s="557"/>
      <c r="C53" s="558" t="n">
        <v>23</v>
      </c>
      <c r="D53" s="633" t="s">
        <v>364</v>
      </c>
      <c r="E53" s="634" t="n">
        <v>254083705</v>
      </c>
      <c r="F53" s="635"/>
      <c r="G53" s="634" t="n">
        <v>29950896</v>
      </c>
      <c r="H53" s="635"/>
      <c r="I53" s="634" t="n">
        <v>30139965</v>
      </c>
      <c r="J53" s="635"/>
      <c r="K53" s="634" t="n">
        <v>17318718</v>
      </c>
      <c r="L53" s="635"/>
      <c r="M53" s="634" t="n">
        <v>19901610</v>
      </c>
      <c r="N53" s="635"/>
      <c r="O53" s="634" t="n">
        <v>16918676</v>
      </c>
      <c r="P53" s="635"/>
      <c r="Q53" s="634" t="n">
        <v>20188130</v>
      </c>
      <c r="R53" s="635"/>
      <c r="S53" s="634" t="n">
        <v>25873302</v>
      </c>
      <c r="T53" s="635"/>
      <c r="U53" s="634" t="n">
        <v>25685888</v>
      </c>
      <c r="V53" s="635"/>
      <c r="W53" s="634" t="n">
        <v>19278987</v>
      </c>
      <c r="X53" s="635"/>
      <c r="Y53" s="634" t="n">
        <v>20242719</v>
      </c>
      <c r="Z53" s="635"/>
      <c r="AA53" s="634" t="n">
        <v>17779252</v>
      </c>
      <c r="AB53" s="635"/>
      <c r="AC53" s="634" t="n">
        <v>10805562</v>
      </c>
      <c r="AD53" s="635"/>
      <c r="AE53" s="634"/>
      <c r="AF53" s="635"/>
      <c r="AG53" s="634"/>
      <c r="AH53" s="634" t="n">
        <v>-24748968</v>
      </c>
      <c r="AI53" s="636" t="n">
        <v>229334737</v>
      </c>
      <c r="AJ53" s="635"/>
      <c r="AK53" s="636" t="n">
        <v>194615562</v>
      </c>
      <c r="AL53" s="635"/>
      <c r="AM53" s="636" t="n">
        <v>34719175</v>
      </c>
      <c r="AN53" s="637" t="n">
        <v>0.17839876032113</v>
      </c>
      <c r="AO53" s="638"/>
      <c r="AP53" s="638" t="s">
        <v>2453</v>
      </c>
      <c r="AQ53" s="566"/>
      <c r="AR53" s="566"/>
      <c r="AS53" s="566"/>
      <c r="AT53" s="571"/>
    </row>
    <row r="54" customFormat="false" ht="16.5" hidden="false" customHeight="false" outlineLevel="0" collapsed="false">
      <c r="B54" s="557"/>
      <c r="C54" s="558" t="n">
        <v>23</v>
      </c>
      <c r="D54" s="633" t="s">
        <v>366</v>
      </c>
      <c r="E54" s="634" t="n">
        <v>0</v>
      </c>
      <c r="F54" s="635"/>
      <c r="G54" s="634" t="n">
        <v>0</v>
      </c>
      <c r="H54" s="635"/>
      <c r="I54" s="634" t="n">
        <v>0</v>
      </c>
      <c r="J54" s="635"/>
      <c r="K54" s="634" t="n">
        <v>0</v>
      </c>
      <c r="L54" s="635"/>
      <c r="M54" s="634" t="n">
        <v>0</v>
      </c>
      <c r="N54" s="635"/>
      <c r="O54" s="634" t="n">
        <v>0</v>
      </c>
      <c r="P54" s="635"/>
      <c r="Q54" s="634" t="n">
        <v>0</v>
      </c>
      <c r="R54" s="635"/>
      <c r="S54" s="634" t="n">
        <v>0</v>
      </c>
      <c r="T54" s="635"/>
      <c r="U54" s="634" t="n">
        <v>0</v>
      </c>
      <c r="V54" s="635"/>
      <c r="W54" s="634" t="n">
        <v>0</v>
      </c>
      <c r="X54" s="635"/>
      <c r="Y54" s="634" t="n">
        <v>0</v>
      </c>
      <c r="Z54" s="635"/>
      <c r="AA54" s="634" t="n">
        <v>0</v>
      </c>
      <c r="AB54" s="635"/>
      <c r="AC54" s="634" t="n">
        <v>0</v>
      </c>
      <c r="AD54" s="635"/>
      <c r="AE54" s="634"/>
      <c r="AF54" s="635"/>
      <c r="AG54" s="634"/>
      <c r="AH54" s="634"/>
      <c r="AI54" s="636" t="n">
        <v>0</v>
      </c>
      <c r="AJ54" s="635"/>
      <c r="AK54" s="636" t="n">
        <v>0</v>
      </c>
      <c r="AL54" s="635"/>
      <c r="AM54" s="636" t="n">
        <v>0</v>
      </c>
      <c r="AN54" s="637" t="n">
        <v>0</v>
      </c>
      <c r="AO54" s="638"/>
      <c r="AP54" s="638"/>
      <c r="AQ54" s="566"/>
      <c r="AR54" s="566"/>
      <c r="AS54" s="566"/>
      <c r="AT54" s="571"/>
    </row>
    <row r="55" customFormat="false" ht="16.5" hidden="false" customHeight="false" outlineLevel="0" collapsed="false">
      <c r="B55" s="557"/>
      <c r="C55" s="558" t="n">
        <v>23</v>
      </c>
      <c r="D55" s="633" t="s">
        <v>368</v>
      </c>
      <c r="E55" s="634" t="n">
        <v>0</v>
      </c>
      <c r="F55" s="635"/>
      <c r="G55" s="634" t="n">
        <v>0</v>
      </c>
      <c r="H55" s="635"/>
      <c r="I55" s="634" t="n">
        <v>0</v>
      </c>
      <c r="J55" s="635"/>
      <c r="K55" s="634" t="n">
        <v>0</v>
      </c>
      <c r="L55" s="635"/>
      <c r="M55" s="634" t="n">
        <v>0</v>
      </c>
      <c r="N55" s="635"/>
      <c r="O55" s="634" t="n">
        <v>0</v>
      </c>
      <c r="P55" s="635"/>
      <c r="Q55" s="634" t="n">
        <v>0</v>
      </c>
      <c r="R55" s="635"/>
      <c r="S55" s="634" t="n">
        <v>0</v>
      </c>
      <c r="T55" s="635"/>
      <c r="U55" s="634" t="n">
        <v>0</v>
      </c>
      <c r="V55" s="635"/>
      <c r="W55" s="634" t="n">
        <v>0</v>
      </c>
      <c r="X55" s="635"/>
      <c r="Y55" s="634" t="n">
        <v>0</v>
      </c>
      <c r="Z55" s="635"/>
      <c r="AA55" s="634" t="n">
        <v>0</v>
      </c>
      <c r="AB55" s="635"/>
      <c r="AC55" s="634" t="n">
        <v>0</v>
      </c>
      <c r="AD55" s="635"/>
      <c r="AE55" s="634"/>
      <c r="AF55" s="635"/>
      <c r="AG55" s="634"/>
      <c r="AH55" s="634"/>
      <c r="AI55" s="636" t="n">
        <v>0</v>
      </c>
      <c r="AJ55" s="635"/>
      <c r="AK55" s="636" t="n">
        <v>0</v>
      </c>
      <c r="AL55" s="635"/>
      <c r="AM55" s="636" t="n">
        <v>0</v>
      </c>
      <c r="AN55" s="637" t="n">
        <v>0</v>
      </c>
      <c r="AO55" s="638"/>
      <c r="AP55" s="638"/>
      <c r="AQ55" s="566"/>
      <c r="AR55" s="566"/>
      <c r="AS55" s="566"/>
      <c r="AT55" s="571"/>
    </row>
    <row r="56" customFormat="false" ht="16.5" hidden="false" customHeight="false" outlineLevel="0" collapsed="false">
      <c r="B56" s="557"/>
      <c r="C56" s="558" t="n">
        <v>23</v>
      </c>
      <c r="D56" s="633" t="s">
        <v>370</v>
      </c>
      <c r="E56" s="634" t="n">
        <v>0</v>
      </c>
      <c r="F56" s="635"/>
      <c r="G56" s="634" t="n">
        <v>0</v>
      </c>
      <c r="H56" s="635"/>
      <c r="I56" s="634" t="n">
        <v>0</v>
      </c>
      <c r="J56" s="635"/>
      <c r="K56" s="634" t="n">
        <v>0</v>
      </c>
      <c r="L56" s="635"/>
      <c r="M56" s="634" t="n">
        <v>0</v>
      </c>
      <c r="N56" s="635"/>
      <c r="O56" s="634" t="n">
        <v>0</v>
      </c>
      <c r="P56" s="635"/>
      <c r="Q56" s="634" t="n">
        <v>0</v>
      </c>
      <c r="R56" s="635"/>
      <c r="S56" s="634" t="n">
        <v>0</v>
      </c>
      <c r="T56" s="635"/>
      <c r="U56" s="634" t="n">
        <v>0</v>
      </c>
      <c r="V56" s="635"/>
      <c r="W56" s="634" t="n">
        <v>0</v>
      </c>
      <c r="X56" s="635"/>
      <c r="Y56" s="634" t="n">
        <v>0</v>
      </c>
      <c r="Z56" s="635"/>
      <c r="AA56" s="634" t="n">
        <v>0</v>
      </c>
      <c r="AB56" s="635"/>
      <c r="AC56" s="634" t="n">
        <v>0</v>
      </c>
      <c r="AD56" s="635"/>
      <c r="AE56" s="634"/>
      <c r="AF56" s="635"/>
      <c r="AG56" s="634"/>
      <c r="AH56" s="634"/>
      <c r="AI56" s="636" t="n">
        <v>0</v>
      </c>
      <c r="AJ56" s="635"/>
      <c r="AK56" s="636" t="n">
        <v>0</v>
      </c>
      <c r="AL56" s="635"/>
      <c r="AM56" s="636" t="n">
        <v>0</v>
      </c>
      <c r="AN56" s="637" t="n">
        <v>0</v>
      </c>
      <c r="AO56" s="638"/>
      <c r="AP56" s="638"/>
      <c r="AQ56" s="566"/>
      <c r="AR56" s="566"/>
      <c r="AS56" s="566"/>
      <c r="AT56" s="571"/>
    </row>
    <row r="57" customFormat="false" ht="16.5" hidden="false" customHeight="false" outlineLevel="0" collapsed="false">
      <c r="B57" s="557"/>
      <c r="C57" s="558" t="n">
        <v>23</v>
      </c>
      <c r="D57" s="633" t="s">
        <v>372</v>
      </c>
      <c r="E57" s="634" t="n">
        <v>0</v>
      </c>
      <c r="F57" s="635"/>
      <c r="G57" s="634" t="n">
        <v>0</v>
      </c>
      <c r="H57" s="635"/>
      <c r="I57" s="634" t="n">
        <v>0</v>
      </c>
      <c r="J57" s="635"/>
      <c r="K57" s="634" t="n">
        <v>0</v>
      </c>
      <c r="L57" s="635"/>
      <c r="M57" s="634" t="n">
        <v>0</v>
      </c>
      <c r="N57" s="635"/>
      <c r="O57" s="634" t="n">
        <v>0</v>
      </c>
      <c r="P57" s="635"/>
      <c r="Q57" s="634" t="n">
        <v>0</v>
      </c>
      <c r="R57" s="635"/>
      <c r="S57" s="634" t="n">
        <v>0</v>
      </c>
      <c r="T57" s="635"/>
      <c r="U57" s="634" t="n">
        <v>0</v>
      </c>
      <c r="V57" s="635"/>
      <c r="W57" s="634" t="n">
        <v>0</v>
      </c>
      <c r="X57" s="635"/>
      <c r="Y57" s="634" t="n">
        <v>0</v>
      </c>
      <c r="Z57" s="635"/>
      <c r="AA57" s="634" t="n">
        <v>0</v>
      </c>
      <c r="AB57" s="635"/>
      <c r="AC57" s="634" t="n">
        <v>0</v>
      </c>
      <c r="AD57" s="635"/>
      <c r="AE57" s="634"/>
      <c r="AF57" s="635"/>
      <c r="AG57" s="634"/>
      <c r="AH57" s="634"/>
      <c r="AI57" s="636" t="n">
        <v>0</v>
      </c>
      <c r="AJ57" s="635"/>
      <c r="AK57" s="636" t="n">
        <v>0</v>
      </c>
      <c r="AL57" s="635"/>
      <c r="AM57" s="636" t="n">
        <v>0</v>
      </c>
      <c r="AN57" s="637" t="n">
        <v>0</v>
      </c>
      <c r="AO57" s="638"/>
      <c r="AP57" s="638"/>
      <c r="AQ57" s="566"/>
      <c r="AR57" s="566"/>
      <c r="AS57" s="566"/>
      <c r="AT57" s="571"/>
    </row>
    <row r="58" customFormat="false" ht="16.5" hidden="false" customHeight="false" outlineLevel="0" collapsed="false">
      <c r="B58" s="557"/>
      <c r="C58" s="558" t="n">
        <v>23</v>
      </c>
      <c r="D58" s="633" t="s">
        <v>374</v>
      </c>
      <c r="E58" s="634" t="n">
        <v>61130717</v>
      </c>
      <c r="F58" s="635"/>
      <c r="G58" s="634" t="n">
        <v>14595736</v>
      </c>
      <c r="H58" s="635"/>
      <c r="I58" s="634" t="n">
        <v>4612240</v>
      </c>
      <c r="J58" s="635"/>
      <c r="K58" s="634" t="n">
        <v>0</v>
      </c>
      <c r="L58" s="635"/>
      <c r="M58" s="634" t="n">
        <v>34734923</v>
      </c>
      <c r="N58" s="635"/>
      <c r="O58" s="634" t="n">
        <v>0</v>
      </c>
      <c r="P58" s="635"/>
      <c r="Q58" s="634" t="n">
        <v>0</v>
      </c>
      <c r="R58" s="635"/>
      <c r="S58" s="634" t="n">
        <v>7510518</v>
      </c>
      <c r="T58" s="635"/>
      <c r="U58" s="634" t="n">
        <v>0</v>
      </c>
      <c r="V58" s="635"/>
      <c r="W58" s="634" t="n">
        <v>0</v>
      </c>
      <c r="X58" s="635"/>
      <c r="Y58" s="634" t="n">
        <v>-322700</v>
      </c>
      <c r="Z58" s="635"/>
      <c r="AA58" s="634" t="n">
        <v>0</v>
      </c>
      <c r="AB58" s="635"/>
      <c r="AC58" s="634" t="n">
        <v>0</v>
      </c>
      <c r="AD58" s="635"/>
      <c r="AE58" s="634"/>
      <c r="AF58" s="635"/>
      <c r="AG58" s="634"/>
      <c r="AH58" s="634"/>
      <c r="AI58" s="636" t="n">
        <v>61130717</v>
      </c>
      <c r="AJ58" s="635"/>
      <c r="AK58" s="636" t="n">
        <v>2900412</v>
      </c>
      <c r="AL58" s="635"/>
      <c r="AM58" s="636" t="n">
        <v>58230305</v>
      </c>
      <c r="AN58" s="637" t="n">
        <v>20.0765632606678</v>
      </c>
      <c r="AO58" s="638"/>
      <c r="AP58" s="638" t="s">
        <v>2440</v>
      </c>
      <c r="AQ58" s="566"/>
      <c r="AR58" s="566"/>
      <c r="AS58" s="566"/>
      <c r="AT58" s="571"/>
    </row>
    <row r="59" customFormat="false" ht="16.5" hidden="false" customHeight="false" outlineLevel="0" collapsed="false">
      <c r="B59" s="557"/>
      <c r="C59" s="558" t="n">
        <v>23</v>
      </c>
      <c r="D59" s="633" t="s">
        <v>377</v>
      </c>
      <c r="E59" s="634" t="n">
        <v>0</v>
      </c>
      <c r="F59" s="635"/>
      <c r="G59" s="634" t="n">
        <v>0</v>
      </c>
      <c r="H59" s="635"/>
      <c r="I59" s="634" t="n">
        <v>0</v>
      </c>
      <c r="J59" s="635"/>
      <c r="K59" s="634" t="n">
        <v>0</v>
      </c>
      <c r="L59" s="635"/>
      <c r="M59" s="634" t="n">
        <v>0</v>
      </c>
      <c r="N59" s="635"/>
      <c r="O59" s="634" t="n">
        <v>0</v>
      </c>
      <c r="P59" s="635"/>
      <c r="Q59" s="634" t="n">
        <v>0</v>
      </c>
      <c r="R59" s="635"/>
      <c r="S59" s="634" t="n">
        <v>0</v>
      </c>
      <c r="T59" s="635"/>
      <c r="U59" s="634" t="n">
        <v>0</v>
      </c>
      <c r="V59" s="635"/>
      <c r="W59" s="634" t="n">
        <v>0</v>
      </c>
      <c r="X59" s="635"/>
      <c r="Y59" s="634" t="n">
        <v>0</v>
      </c>
      <c r="Z59" s="635"/>
      <c r="AA59" s="634" t="n">
        <v>0</v>
      </c>
      <c r="AB59" s="635"/>
      <c r="AC59" s="634" t="n">
        <v>0</v>
      </c>
      <c r="AD59" s="635"/>
      <c r="AE59" s="634"/>
      <c r="AF59" s="635"/>
      <c r="AG59" s="634"/>
      <c r="AH59" s="634"/>
      <c r="AI59" s="636" t="n">
        <v>0</v>
      </c>
      <c r="AJ59" s="635"/>
      <c r="AK59" s="636" t="n">
        <v>0</v>
      </c>
      <c r="AL59" s="635"/>
      <c r="AM59" s="636" t="n">
        <v>0</v>
      </c>
      <c r="AN59" s="637" t="n">
        <v>0</v>
      </c>
      <c r="AO59" s="638"/>
      <c r="AP59" s="638"/>
      <c r="AQ59" s="566"/>
      <c r="AR59" s="566"/>
      <c r="AS59" s="566"/>
      <c r="AT59" s="571"/>
    </row>
    <row r="60" customFormat="false" ht="16.5" hidden="false" customHeight="false" outlineLevel="0" collapsed="false">
      <c r="A60" s="612"/>
      <c r="B60" s="642" t="s">
        <v>2414</v>
      </c>
      <c r="C60" s="643" t="s">
        <v>2415</v>
      </c>
      <c r="D60" s="639"/>
      <c r="E60" s="628" t="n">
        <v>0</v>
      </c>
      <c r="F60" s="629"/>
      <c r="G60" s="628" t="n">
        <v>0</v>
      </c>
      <c r="H60" s="629"/>
      <c r="I60" s="628" t="n">
        <v>0</v>
      </c>
      <c r="J60" s="629"/>
      <c r="K60" s="628" t="n">
        <v>0</v>
      </c>
      <c r="L60" s="629"/>
      <c r="M60" s="628" t="n">
        <v>0</v>
      </c>
      <c r="N60" s="629"/>
      <c r="O60" s="628" t="n">
        <v>0</v>
      </c>
      <c r="P60" s="629"/>
      <c r="Q60" s="628" t="n">
        <v>0</v>
      </c>
      <c r="R60" s="629"/>
      <c r="S60" s="628" t="n">
        <v>0</v>
      </c>
      <c r="T60" s="629"/>
      <c r="U60" s="628" t="n">
        <v>0</v>
      </c>
      <c r="V60" s="629"/>
      <c r="W60" s="628" t="n">
        <v>0</v>
      </c>
      <c r="X60" s="629"/>
      <c r="Y60" s="628" t="n">
        <v>0</v>
      </c>
      <c r="Z60" s="629"/>
      <c r="AA60" s="628" t="n">
        <v>0</v>
      </c>
      <c r="AB60" s="629"/>
      <c r="AC60" s="628" t="n">
        <v>0</v>
      </c>
      <c r="AD60" s="629"/>
      <c r="AE60" s="628"/>
      <c r="AF60" s="629"/>
      <c r="AG60" s="628"/>
      <c r="AH60" s="628"/>
      <c r="AI60" s="630" t="n">
        <v>0</v>
      </c>
      <c r="AJ60" s="629"/>
      <c r="AK60" s="630" t="n">
        <v>0</v>
      </c>
      <c r="AL60" s="629"/>
      <c r="AM60" s="636" t="n">
        <v>0</v>
      </c>
      <c r="AN60" s="637" t="n">
        <v>0</v>
      </c>
      <c r="AO60" s="638"/>
      <c r="AP60" s="638"/>
      <c r="AQ60" s="566"/>
      <c r="AR60" s="566"/>
      <c r="AS60" s="566"/>
      <c r="AT60" s="571"/>
    </row>
    <row r="61" customFormat="false" ht="25.35" hidden="false" customHeight="false" outlineLevel="0" collapsed="false">
      <c r="A61" s="612"/>
      <c r="B61" s="544" t="s">
        <v>2416</v>
      </c>
      <c r="C61" s="545" t="s">
        <v>2417</v>
      </c>
      <c r="D61" s="639"/>
      <c r="E61" s="628"/>
      <c r="F61" s="629" t="n">
        <v>7729220032</v>
      </c>
      <c r="G61" s="628" t="n">
        <v>0</v>
      </c>
      <c r="H61" s="629" t="n">
        <v>-2351620116</v>
      </c>
      <c r="I61" s="628" t="n">
        <v>0</v>
      </c>
      <c r="J61" s="629" t="n">
        <v>-18491719128</v>
      </c>
      <c r="K61" s="628" t="n">
        <v>0</v>
      </c>
      <c r="L61" s="629" t="n">
        <v>-433241996</v>
      </c>
      <c r="M61" s="628" t="n">
        <v>0</v>
      </c>
      <c r="N61" s="629" t="n">
        <v>9628906015</v>
      </c>
      <c r="O61" s="628" t="n">
        <v>0</v>
      </c>
      <c r="P61" s="629" t="n">
        <v>4796950513</v>
      </c>
      <c r="Q61" s="628" t="n">
        <v>0</v>
      </c>
      <c r="R61" s="629" t="n">
        <v>5521851932</v>
      </c>
      <c r="S61" s="628" t="n">
        <v>0</v>
      </c>
      <c r="T61" s="629" t="n">
        <v>5027104856</v>
      </c>
      <c r="U61" s="628" t="n">
        <v>0</v>
      </c>
      <c r="V61" s="629" t="n">
        <v>2737792068</v>
      </c>
      <c r="W61" s="628" t="n">
        <v>0</v>
      </c>
      <c r="X61" s="629" t="n">
        <v>3762502522</v>
      </c>
      <c r="Y61" s="628" t="n">
        <v>0</v>
      </c>
      <c r="Z61" s="629" t="n">
        <v>3776325929</v>
      </c>
      <c r="AA61" s="628" t="n">
        <v>0</v>
      </c>
      <c r="AB61" s="629" t="n">
        <v>7298684552</v>
      </c>
      <c r="AC61" s="628" t="n">
        <v>0</v>
      </c>
      <c r="AD61" s="629" t="n">
        <v>4597284563</v>
      </c>
      <c r="AE61" s="628"/>
      <c r="AF61" s="629"/>
      <c r="AG61" s="628"/>
      <c r="AH61" s="628"/>
      <c r="AI61" s="630"/>
      <c r="AJ61" s="629" t="n">
        <v>29481784272</v>
      </c>
      <c r="AK61" s="630"/>
      <c r="AL61" s="629" t="n">
        <v>25000464757</v>
      </c>
      <c r="AM61" s="630" t="n">
        <v>4481319515</v>
      </c>
      <c r="AN61" s="631" t="n">
        <v>0.179249448302566</v>
      </c>
      <c r="AO61" s="640"/>
      <c r="AP61" s="640"/>
      <c r="AQ61" s="641"/>
      <c r="AR61" s="641"/>
      <c r="AS61" s="641"/>
      <c r="AT61" s="571"/>
    </row>
    <row r="62" customFormat="false" ht="25.35" hidden="false" customHeight="false" outlineLevel="0" collapsed="false">
      <c r="A62" s="612"/>
      <c r="B62" s="544" t="s">
        <v>2418</v>
      </c>
      <c r="C62" s="545" t="s">
        <v>870</v>
      </c>
      <c r="D62" s="639"/>
      <c r="E62" s="628"/>
      <c r="F62" s="629" t="n">
        <v>39181622831</v>
      </c>
      <c r="G62" s="628" t="n">
        <v>0</v>
      </c>
      <c r="H62" s="629" t="n">
        <v>7651797605</v>
      </c>
      <c r="I62" s="628" t="n">
        <v>0</v>
      </c>
      <c r="J62" s="629" t="n">
        <v>122627132</v>
      </c>
      <c r="K62" s="628" t="n">
        <v>0</v>
      </c>
      <c r="L62" s="629" t="n">
        <v>83185869</v>
      </c>
      <c r="M62" s="628" t="n">
        <v>0</v>
      </c>
      <c r="N62" s="629" t="n">
        <v>9861345946</v>
      </c>
      <c r="O62" s="628" t="n">
        <v>0</v>
      </c>
      <c r="P62" s="629" t="n">
        <v>93642910</v>
      </c>
      <c r="Q62" s="628" t="n">
        <v>0</v>
      </c>
      <c r="R62" s="629" t="n">
        <v>73577106</v>
      </c>
      <c r="S62" s="628" t="n">
        <v>0</v>
      </c>
      <c r="T62" s="629" t="n">
        <v>249827169</v>
      </c>
      <c r="U62" s="628" t="n">
        <v>0</v>
      </c>
      <c r="V62" s="629" t="n">
        <v>87408972</v>
      </c>
      <c r="W62" s="628" t="n">
        <v>0</v>
      </c>
      <c r="X62" s="629" t="n">
        <v>15628387049</v>
      </c>
      <c r="Y62" s="628" t="n">
        <v>0</v>
      </c>
      <c r="Z62" s="629" t="n">
        <v>5146858855</v>
      </c>
      <c r="AA62" s="628" t="n">
        <v>0</v>
      </c>
      <c r="AB62" s="629" t="n">
        <v>212552757</v>
      </c>
      <c r="AC62" s="628" t="n">
        <v>0</v>
      </c>
      <c r="AD62" s="629" t="n">
        <v>-29588539</v>
      </c>
      <c r="AE62" s="628"/>
      <c r="AF62" s="629"/>
      <c r="AG62" s="628"/>
      <c r="AH62" s="628"/>
      <c r="AI62" s="630"/>
      <c r="AJ62" s="629" t="n">
        <v>19209610002</v>
      </c>
      <c r="AK62" s="630"/>
      <c r="AL62" s="629" t="n">
        <v>11485958558</v>
      </c>
      <c r="AM62" s="630" t="n">
        <v>7723651444</v>
      </c>
      <c r="AN62" s="631" t="n">
        <v>0.67244291410232</v>
      </c>
      <c r="AO62" s="640"/>
      <c r="AP62" s="640"/>
      <c r="AQ62" s="641"/>
      <c r="AR62" s="641"/>
      <c r="AS62" s="641"/>
      <c r="AT62" s="571"/>
    </row>
    <row r="63" customFormat="false" ht="27" hidden="false" customHeight="true" outlineLevel="0" collapsed="false">
      <c r="B63" s="557"/>
      <c r="C63" s="558" t="n">
        <v>1</v>
      </c>
      <c r="D63" s="633" t="s">
        <v>382</v>
      </c>
      <c r="E63" s="634" t="n">
        <v>238441022</v>
      </c>
      <c r="F63" s="635"/>
      <c r="G63" s="634" t="n">
        <v>13628215</v>
      </c>
      <c r="H63" s="635"/>
      <c r="I63" s="634" t="n">
        <v>28613637</v>
      </c>
      <c r="J63" s="635"/>
      <c r="K63" s="634" t="n">
        <v>16744135</v>
      </c>
      <c r="L63" s="635"/>
      <c r="M63" s="634" t="n">
        <v>8218215</v>
      </c>
      <c r="N63" s="635"/>
      <c r="O63" s="634" t="n">
        <v>20113474</v>
      </c>
      <c r="P63" s="635"/>
      <c r="Q63" s="634" t="n">
        <v>12822588</v>
      </c>
      <c r="R63" s="635"/>
      <c r="S63" s="634" t="n">
        <v>19602607</v>
      </c>
      <c r="T63" s="635"/>
      <c r="U63" s="634" t="n">
        <v>22599388</v>
      </c>
      <c r="V63" s="635"/>
      <c r="W63" s="634" t="n">
        <v>81311459</v>
      </c>
      <c r="X63" s="635"/>
      <c r="Y63" s="634" t="n">
        <v>14787259</v>
      </c>
      <c r="Z63" s="635"/>
      <c r="AA63" s="634" t="n">
        <v>18</v>
      </c>
      <c r="AB63" s="635"/>
      <c r="AC63" s="634" t="n">
        <v>27</v>
      </c>
      <c r="AD63" s="635"/>
      <c r="AE63" s="634"/>
      <c r="AF63" s="635"/>
      <c r="AG63" s="634"/>
      <c r="AH63" s="634"/>
      <c r="AI63" s="636" t="n">
        <v>238441022</v>
      </c>
      <c r="AJ63" s="635"/>
      <c r="AK63" s="636" t="n">
        <v>50239170</v>
      </c>
      <c r="AL63" s="635"/>
      <c r="AM63" s="636" t="n">
        <v>188201852</v>
      </c>
      <c r="AN63" s="637" t="n">
        <v>3.74611785982929</v>
      </c>
      <c r="AO63" s="638"/>
      <c r="AP63" s="638" t="s">
        <v>2437</v>
      </c>
      <c r="AQ63" s="567" t="s">
        <v>2543</v>
      </c>
      <c r="AR63" s="566"/>
      <c r="AS63" s="566"/>
      <c r="AT63" s="571"/>
    </row>
    <row r="64" customFormat="false" ht="27" hidden="false" customHeight="true" outlineLevel="0" collapsed="false">
      <c r="B64" s="557"/>
      <c r="C64" s="558" t="n">
        <v>2</v>
      </c>
      <c r="D64" s="633" t="s">
        <v>383</v>
      </c>
      <c r="E64" s="634" t="n">
        <v>0</v>
      </c>
      <c r="F64" s="635"/>
      <c r="G64" s="634" t="n">
        <v>0</v>
      </c>
      <c r="H64" s="635"/>
      <c r="I64" s="634" t="n">
        <v>0</v>
      </c>
      <c r="J64" s="635"/>
      <c r="K64" s="634" t="n">
        <v>0</v>
      </c>
      <c r="L64" s="635"/>
      <c r="M64" s="634" t="n">
        <v>0</v>
      </c>
      <c r="N64" s="635"/>
      <c r="O64" s="634" t="n">
        <v>0</v>
      </c>
      <c r="P64" s="635"/>
      <c r="Q64" s="634" t="n">
        <v>0</v>
      </c>
      <c r="R64" s="635"/>
      <c r="S64" s="634" t="n">
        <v>0</v>
      </c>
      <c r="T64" s="635"/>
      <c r="U64" s="634" t="n">
        <v>0</v>
      </c>
      <c r="V64" s="635"/>
      <c r="W64" s="634" t="n">
        <v>0</v>
      </c>
      <c r="X64" s="635"/>
      <c r="Y64" s="634" t="n">
        <v>0</v>
      </c>
      <c r="Z64" s="635"/>
      <c r="AA64" s="634" t="n">
        <v>0</v>
      </c>
      <c r="AB64" s="635"/>
      <c r="AC64" s="634" t="n">
        <v>0</v>
      </c>
      <c r="AD64" s="635"/>
      <c r="AE64" s="634"/>
      <c r="AF64" s="635"/>
      <c r="AG64" s="634"/>
      <c r="AH64" s="634"/>
      <c r="AI64" s="636" t="n">
        <v>0</v>
      </c>
      <c r="AJ64" s="635"/>
      <c r="AK64" s="636" t="n">
        <v>950550566</v>
      </c>
      <c r="AL64" s="635"/>
      <c r="AM64" s="636" t="n">
        <v>-950550566</v>
      </c>
      <c r="AN64" s="637" t="n">
        <v>-1</v>
      </c>
      <c r="AO64" s="638"/>
      <c r="AP64" s="638" t="s">
        <v>2453</v>
      </c>
      <c r="AQ64" s="567" t="s">
        <v>2544</v>
      </c>
      <c r="AR64" s="567" t="s">
        <v>2544</v>
      </c>
      <c r="AS64" s="567" t="s">
        <v>2545</v>
      </c>
      <c r="AT64" s="571"/>
    </row>
    <row r="65" customFormat="false" ht="16.5" hidden="false" customHeight="false" outlineLevel="0" collapsed="false">
      <c r="B65" s="557"/>
      <c r="C65" s="558" t="n">
        <v>3</v>
      </c>
      <c r="D65" s="633" t="s">
        <v>384</v>
      </c>
      <c r="E65" s="634" t="n">
        <v>24481540</v>
      </c>
      <c r="F65" s="635"/>
      <c r="G65" s="634" t="n">
        <v>6107287</v>
      </c>
      <c r="H65" s="635"/>
      <c r="I65" s="634" t="n">
        <v>3340573</v>
      </c>
      <c r="J65" s="635"/>
      <c r="K65" s="634" t="n">
        <v>-6685528</v>
      </c>
      <c r="L65" s="635"/>
      <c r="M65" s="634" t="n">
        <v>-1547866</v>
      </c>
      <c r="N65" s="635"/>
      <c r="O65" s="634" t="n">
        <v>-4125055</v>
      </c>
      <c r="P65" s="635"/>
      <c r="Q65" s="634" t="n">
        <v>-662292</v>
      </c>
      <c r="R65" s="635"/>
      <c r="S65" s="634" t="n">
        <v>1078451</v>
      </c>
      <c r="T65" s="635"/>
      <c r="U65" s="634" t="n">
        <v>3755621</v>
      </c>
      <c r="V65" s="635"/>
      <c r="W65" s="634" t="n">
        <v>532961</v>
      </c>
      <c r="X65" s="635"/>
      <c r="Y65" s="634" t="n">
        <v>382279</v>
      </c>
      <c r="Z65" s="635"/>
      <c r="AA65" s="634" t="n">
        <v>1315033</v>
      </c>
      <c r="AB65" s="635"/>
      <c r="AC65" s="634" t="n">
        <v>20990076</v>
      </c>
      <c r="AD65" s="635"/>
      <c r="AE65" s="634"/>
      <c r="AF65" s="635"/>
      <c r="AG65" s="634"/>
      <c r="AH65" s="634"/>
      <c r="AI65" s="636" t="n">
        <v>24481540</v>
      </c>
      <c r="AJ65" s="635"/>
      <c r="AK65" s="636" t="n">
        <v>0</v>
      </c>
      <c r="AL65" s="635"/>
      <c r="AM65" s="636" t="n">
        <v>24481540</v>
      </c>
      <c r="AN65" s="637" t="n">
        <v>1</v>
      </c>
      <c r="AO65" s="638"/>
      <c r="AP65" s="638" t="s">
        <v>2453</v>
      </c>
      <c r="AQ65" s="566"/>
      <c r="AR65" s="566"/>
      <c r="AS65" s="566"/>
      <c r="AT65" s="571"/>
    </row>
    <row r="66" customFormat="false" ht="25.35" hidden="false" customHeight="false" outlineLevel="0" collapsed="false">
      <c r="A66" s="645"/>
      <c r="B66" s="557"/>
      <c r="C66" s="558" t="n">
        <v>4</v>
      </c>
      <c r="D66" s="633" t="s">
        <v>386</v>
      </c>
      <c r="E66" s="634" t="n">
        <v>7432120758</v>
      </c>
      <c r="F66" s="635"/>
      <c r="G66" s="634" t="n">
        <v>0</v>
      </c>
      <c r="H66" s="635"/>
      <c r="I66" s="634" t="n">
        <v>0</v>
      </c>
      <c r="J66" s="635"/>
      <c r="K66" s="634" t="n">
        <v>0</v>
      </c>
      <c r="L66" s="635"/>
      <c r="M66" s="634" t="n">
        <v>0</v>
      </c>
      <c r="N66" s="635"/>
      <c r="O66" s="634" t="n">
        <v>0</v>
      </c>
      <c r="P66" s="635"/>
      <c r="Q66" s="634" t="n">
        <v>0</v>
      </c>
      <c r="R66" s="635"/>
      <c r="S66" s="634" t="n">
        <v>322660601</v>
      </c>
      <c r="T66" s="635"/>
      <c r="U66" s="634" t="n">
        <v>0</v>
      </c>
      <c r="V66" s="635"/>
      <c r="W66" s="634" t="n">
        <v>7109460157</v>
      </c>
      <c r="X66" s="635"/>
      <c r="Y66" s="634" t="n">
        <v>0</v>
      </c>
      <c r="Z66" s="635"/>
      <c r="AA66" s="634" t="n">
        <v>0</v>
      </c>
      <c r="AB66" s="635"/>
      <c r="AC66" s="634" t="n">
        <v>0</v>
      </c>
      <c r="AD66" s="635"/>
      <c r="AE66" s="634"/>
      <c r="AF66" s="635"/>
      <c r="AG66" s="634" t="n">
        <v>7432120758</v>
      </c>
      <c r="AH66" s="634"/>
      <c r="AI66" s="636" t="n">
        <v>0</v>
      </c>
      <c r="AJ66" s="635"/>
      <c r="AK66" s="636" t="n">
        <v>0</v>
      </c>
      <c r="AL66" s="635"/>
      <c r="AM66" s="636" t="n">
        <v>0</v>
      </c>
      <c r="AN66" s="637" t="n">
        <v>0</v>
      </c>
      <c r="AO66" s="638"/>
      <c r="AP66" s="638" t="s">
        <v>2453</v>
      </c>
      <c r="AQ66" s="566"/>
      <c r="AR66" s="566"/>
      <c r="AS66" s="566"/>
      <c r="AT66" s="549"/>
    </row>
    <row r="67" customFormat="false" ht="16.5" hidden="false" customHeight="false" outlineLevel="0" collapsed="false">
      <c r="A67" s="645"/>
      <c r="B67" s="557"/>
      <c r="C67" s="558" t="n">
        <v>5</v>
      </c>
      <c r="D67" s="633" t="s">
        <v>387</v>
      </c>
      <c r="E67" s="634" t="n">
        <v>0</v>
      </c>
      <c r="F67" s="635"/>
      <c r="G67" s="634" t="n">
        <v>0</v>
      </c>
      <c r="H67" s="635"/>
      <c r="I67" s="634" t="n">
        <v>0</v>
      </c>
      <c r="J67" s="635"/>
      <c r="K67" s="634" t="n">
        <v>0</v>
      </c>
      <c r="L67" s="635"/>
      <c r="M67" s="634" t="n">
        <v>0</v>
      </c>
      <c r="N67" s="635"/>
      <c r="O67" s="634" t="n">
        <v>0</v>
      </c>
      <c r="P67" s="635"/>
      <c r="Q67" s="634" t="n">
        <v>0</v>
      </c>
      <c r="R67" s="635"/>
      <c r="S67" s="634" t="n">
        <v>0</v>
      </c>
      <c r="T67" s="635"/>
      <c r="U67" s="634" t="n">
        <v>0</v>
      </c>
      <c r="V67" s="635"/>
      <c r="W67" s="634" t="n">
        <v>0</v>
      </c>
      <c r="X67" s="635"/>
      <c r="Y67" s="634" t="n">
        <v>0</v>
      </c>
      <c r="Z67" s="635"/>
      <c r="AA67" s="634" t="n">
        <v>0</v>
      </c>
      <c r="AB67" s="635"/>
      <c r="AC67" s="634" t="n">
        <v>0</v>
      </c>
      <c r="AD67" s="635"/>
      <c r="AE67" s="634"/>
      <c r="AF67" s="635"/>
      <c r="AG67" s="634"/>
      <c r="AH67" s="634"/>
      <c r="AI67" s="636" t="n">
        <v>0</v>
      </c>
      <c r="AJ67" s="635"/>
      <c r="AK67" s="636" t="n">
        <v>0</v>
      </c>
      <c r="AL67" s="635"/>
      <c r="AM67" s="636" t="n">
        <v>0</v>
      </c>
      <c r="AN67" s="637" t="n">
        <v>0</v>
      </c>
      <c r="AO67" s="638"/>
      <c r="AP67" s="638"/>
      <c r="AQ67" s="566"/>
      <c r="AR67" s="566"/>
      <c r="AS67" s="566"/>
      <c r="AT67" s="646"/>
    </row>
    <row r="68" customFormat="false" ht="16.5" hidden="false" customHeight="false" outlineLevel="0" collapsed="false">
      <c r="A68" s="645"/>
      <c r="B68" s="557"/>
      <c r="C68" s="558" t="n">
        <v>6</v>
      </c>
      <c r="D68" s="633" t="s">
        <v>388</v>
      </c>
      <c r="E68" s="634" t="n">
        <v>0</v>
      </c>
      <c r="F68" s="635"/>
      <c r="G68" s="634" t="n">
        <v>0</v>
      </c>
      <c r="H68" s="635"/>
      <c r="I68" s="634" t="n">
        <v>0</v>
      </c>
      <c r="J68" s="635"/>
      <c r="K68" s="634" t="n">
        <v>0</v>
      </c>
      <c r="L68" s="635"/>
      <c r="M68" s="634" t="n">
        <v>0</v>
      </c>
      <c r="N68" s="635"/>
      <c r="O68" s="634" t="n">
        <v>0</v>
      </c>
      <c r="P68" s="635"/>
      <c r="Q68" s="634" t="n">
        <v>0</v>
      </c>
      <c r="R68" s="635"/>
      <c r="S68" s="634" t="n">
        <v>0</v>
      </c>
      <c r="T68" s="635"/>
      <c r="U68" s="634" t="n">
        <v>0</v>
      </c>
      <c r="V68" s="635"/>
      <c r="W68" s="634" t="n">
        <v>0</v>
      </c>
      <c r="X68" s="635"/>
      <c r="Y68" s="634" t="n">
        <v>0</v>
      </c>
      <c r="Z68" s="635"/>
      <c r="AA68" s="634" t="n">
        <v>0</v>
      </c>
      <c r="AB68" s="635"/>
      <c r="AC68" s="634" t="n">
        <v>0</v>
      </c>
      <c r="AD68" s="635"/>
      <c r="AE68" s="634"/>
      <c r="AF68" s="635"/>
      <c r="AG68" s="634"/>
      <c r="AH68" s="634"/>
      <c r="AI68" s="636" t="n">
        <v>0</v>
      </c>
      <c r="AJ68" s="635"/>
      <c r="AK68" s="636" t="n">
        <v>0</v>
      </c>
      <c r="AL68" s="635"/>
      <c r="AM68" s="636" t="n">
        <v>0</v>
      </c>
      <c r="AN68" s="637" t="n">
        <v>0</v>
      </c>
      <c r="AO68" s="638"/>
      <c r="AP68" s="638"/>
      <c r="AQ68" s="566"/>
      <c r="AR68" s="566"/>
      <c r="AS68" s="566"/>
      <c r="AT68" s="646"/>
    </row>
    <row r="69" customFormat="false" ht="16.5" hidden="false" customHeight="false" outlineLevel="0" collapsed="false">
      <c r="A69" s="645"/>
      <c r="B69" s="557"/>
      <c r="C69" s="558" t="n">
        <v>7</v>
      </c>
      <c r="D69" s="633" t="s">
        <v>389</v>
      </c>
      <c r="E69" s="634" t="n">
        <v>0</v>
      </c>
      <c r="F69" s="635"/>
      <c r="G69" s="634" t="n">
        <v>0</v>
      </c>
      <c r="H69" s="635"/>
      <c r="I69" s="634" t="n">
        <v>0</v>
      </c>
      <c r="J69" s="635"/>
      <c r="K69" s="634" t="n">
        <v>0</v>
      </c>
      <c r="L69" s="635"/>
      <c r="M69" s="634" t="n">
        <v>0</v>
      </c>
      <c r="N69" s="635"/>
      <c r="O69" s="634" t="n">
        <v>0</v>
      </c>
      <c r="P69" s="635"/>
      <c r="Q69" s="634" t="n">
        <v>0</v>
      </c>
      <c r="R69" s="635"/>
      <c r="S69" s="634" t="n">
        <v>0</v>
      </c>
      <c r="T69" s="635"/>
      <c r="U69" s="634" t="n">
        <v>0</v>
      </c>
      <c r="V69" s="635"/>
      <c r="W69" s="634" t="n">
        <v>0</v>
      </c>
      <c r="X69" s="635"/>
      <c r="Y69" s="634" t="n">
        <v>0</v>
      </c>
      <c r="Z69" s="635"/>
      <c r="AA69" s="634" t="n">
        <v>0</v>
      </c>
      <c r="AB69" s="635"/>
      <c r="AC69" s="634" t="n">
        <v>0</v>
      </c>
      <c r="AD69" s="635"/>
      <c r="AE69" s="634"/>
      <c r="AF69" s="635"/>
      <c r="AG69" s="634"/>
      <c r="AH69" s="634"/>
      <c r="AI69" s="636" t="n">
        <v>0</v>
      </c>
      <c r="AJ69" s="635"/>
      <c r="AK69" s="636" t="n">
        <v>0</v>
      </c>
      <c r="AL69" s="635"/>
      <c r="AM69" s="636" t="n">
        <v>0</v>
      </c>
      <c r="AN69" s="637" t="n">
        <v>0</v>
      </c>
      <c r="AO69" s="638"/>
      <c r="AP69" s="638"/>
      <c r="AQ69" s="566"/>
      <c r="AR69" s="566"/>
      <c r="AS69" s="566"/>
      <c r="AT69" s="646"/>
    </row>
    <row r="70" customFormat="false" ht="16.5" hidden="false" customHeight="false" outlineLevel="0" collapsed="false">
      <c r="A70" s="645"/>
      <c r="B70" s="557"/>
      <c r="C70" s="558" t="n">
        <v>8</v>
      </c>
      <c r="D70" s="633" t="s">
        <v>390</v>
      </c>
      <c r="E70" s="634" t="n">
        <v>0</v>
      </c>
      <c r="F70" s="635"/>
      <c r="G70" s="634" t="n">
        <v>0</v>
      </c>
      <c r="H70" s="635"/>
      <c r="I70" s="634" t="n">
        <v>0</v>
      </c>
      <c r="J70" s="635"/>
      <c r="K70" s="634" t="n">
        <v>0</v>
      </c>
      <c r="L70" s="635"/>
      <c r="M70" s="634" t="n">
        <v>0</v>
      </c>
      <c r="N70" s="635"/>
      <c r="O70" s="634" t="n">
        <v>0</v>
      </c>
      <c r="P70" s="635"/>
      <c r="Q70" s="634" t="n">
        <v>0</v>
      </c>
      <c r="R70" s="635"/>
      <c r="S70" s="634" t="n">
        <v>0</v>
      </c>
      <c r="T70" s="635"/>
      <c r="U70" s="634" t="n">
        <v>0</v>
      </c>
      <c r="V70" s="635"/>
      <c r="W70" s="634" t="n">
        <v>0</v>
      </c>
      <c r="X70" s="635"/>
      <c r="Y70" s="634" t="n">
        <v>0</v>
      </c>
      <c r="Z70" s="635"/>
      <c r="AA70" s="634" t="n">
        <v>0</v>
      </c>
      <c r="AB70" s="635"/>
      <c r="AC70" s="634" t="n">
        <v>0</v>
      </c>
      <c r="AD70" s="635"/>
      <c r="AE70" s="634"/>
      <c r="AF70" s="635"/>
      <c r="AG70" s="634"/>
      <c r="AH70" s="634"/>
      <c r="AI70" s="636" t="n">
        <v>0</v>
      </c>
      <c r="AJ70" s="635"/>
      <c r="AK70" s="636" t="n">
        <v>0</v>
      </c>
      <c r="AL70" s="635"/>
      <c r="AM70" s="636" t="n">
        <v>0</v>
      </c>
      <c r="AN70" s="637" t="n">
        <v>0</v>
      </c>
      <c r="AO70" s="638"/>
      <c r="AP70" s="638"/>
      <c r="AQ70" s="566"/>
      <c r="AR70" s="566"/>
      <c r="AS70" s="566"/>
      <c r="AT70" s="646"/>
    </row>
    <row r="71" customFormat="false" ht="16.5" hidden="false" customHeight="false" outlineLevel="0" collapsed="false">
      <c r="A71" s="645"/>
      <c r="B71" s="557"/>
      <c r="C71" s="558" t="n">
        <v>8</v>
      </c>
      <c r="D71" s="633" t="s">
        <v>391</v>
      </c>
      <c r="E71" s="634" t="n">
        <v>0</v>
      </c>
      <c r="F71" s="635"/>
      <c r="G71" s="634" t="n">
        <v>0</v>
      </c>
      <c r="H71" s="635"/>
      <c r="I71" s="634" t="n">
        <v>0</v>
      </c>
      <c r="J71" s="635"/>
      <c r="K71" s="634" t="n">
        <v>0</v>
      </c>
      <c r="L71" s="635"/>
      <c r="M71" s="634" t="n">
        <v>0</v>
      </c>
      <c r="N71" s="635"/>
      <c r="O71" s="634" t="n">
        <v>0</v>
      </c>
      <c r="P71" s="635"/>
      <c r="Q71" s="634" t="n">
        <v>0</v>
      </c>
      <c r="R71" s="635"/>
      <c r="S71" s="634" t="n">
        <v>0</v>
      </c>
      <c r="T71" s="635"/>
      <c r="U71" s="634" t="n">
        <v>0</v>
      </c>
      <c r="V71" s="635"/>
      <c r="W71" s="634" t="n">
        <v>0</v>
      </c>
      <c r="X71" s="635"/>
      <c r="Y71" s="634" t="n">
        <v>0</v>
      </c>
      <c r="Z71" s="635"/>
      <c r="AA71" s="634" t="n">
        <v>0</v>
      </c>
      <c r="AB71" s="635"/>
      <c r="AC71" s="634" t="n">
        <v>0</v>
      </c>
      <c r="AD71" s="635"/>
      <c r="AE71" s="634"/>
      <c r="AF71" s="635"/>
      <c r="AG71" s="634"/>
      <c r="AH71" s="634"/>
      <c r="AI71" s="636" t="n">
        <v>0</v>
      </c>
      <c r="AJ71" s="635"/>
      <c r="AK71" s="636" t="n">
        <v>0</v>
      </c>
      <c r="AL71" s="635"/>
      <c r="AM71" s="636" t="n">
        <v>0</v>
      </c>
      <c r="AN71" s="637" t="n">
        <v>0</v>
      </c>
      <c r="AO71" s="638"/>
      <c r="AP71" s="638"/>
      <c r="AQ71" s="566"/>
      <c r="AR71" s="566"/>
      <c r="AS71" s="566"/>
      <c r="AT71" s="646"/>
    </row>
    <row r="72" customFormat="false" ht="16.5" hidden="false" customHeight="false" outlineLevel="0" collapsed="false">
      <c r="A72" s="645"/>
      <c r="B72" s="557"/>
      <c r="C72" s="558" t="n">
        <v>8</v>
      </c>
      <c r="D72" s="633" t="s">
        <v>392</v>
      </c>
      <c r="E72" s="634" t="n">
        <v>0</v>
      </c>
      <c r="F72" s="635"/>
      <c r="G72" s="634" t="n">
        <v>0</v>
      </c>
      <c r="H72" s="635"/>
      <c r="I72" s="634" t="n">
        <v>0</v>
      </c>
      <c r="J72" s="635"/>
      <c r="K72" s="634" t="n">
        <v>0</v>
      </c>
      <c r="L72" s="635"/>
      <c r="M72" s="634" t="n">
        <v>0</v>
      </c>
      <c r="N72" s="635"/>
      <c r="O72" s="634" t="n">
        <v>0</v>
      </c>
      <c r="P72" s="635"/>
      <c r="Q72" s="634" t="n">
        <v>0</v>
      </c>
      <c r="R72" s="635"/>
      <c r="S72" s="634" t="n">
        <v>0</v>
      </c>
      <c r="T72" s="635"/>
      <c r="U72" s="634" t="n">
        <v>0</v>
      </c>
      <c r="V72" s="635"/>
      <c r="W72" s="634" t="n">
        <v>0</v>
      </c>
      <c r="X72" s="635"/>
      <c r="Y72" s="634" t="n">
        <v>0</v>
      </c>
      <c r="Z72" s="635"/>
      <c r="AA72" s="634" t="n">
        <v>0</v>
      </c>
      <c r="AB72" s="635"/>
      <c r="AC72" s="634" t="n">
        <v>0</v>
      </c>
      <c r="AD72" s="635"/>
      <c r="AE72" s="634"/>
      <c r="AF72" s="635"/>
      <c r="AG72" s="634"/>
      <c r="AH72" s="634"/>
      <c r="AI72" s="636" t="n">
        <v>0</v>
      </c>
      <c r="AJ72" s="635"/>
      <c r="AK72" s="636" t="n">
        <v>0</v>
      </c>
      <c r="AL72" s="635"/>
      <c r="AM72" s="636" t="n">
        <v>0</v>
      </c>
      <c r="AN72" s="637" t="n">
        <v>0</v>
      </c>
      <c r="AO72" s="638"/>
      <c r="AP72" s="638"/>
      <c r="AQ72" s="566"/>
      <c r="AR72" s="566"/>
      <c r="AS72" s="566"/>
      <c r="AT72" s="646"/>
    </row>
    <row r="73" customFormat="false" ht="134.25" hidden="false" customHeight="true" outlineLevel="0" collapsed="false">
      <c r="A73" s="645"/>
      <c r="B73" s="557"/>
      <c r="C73" s="558" t="n">
        <v>8</v>
      </c>
      <c r="D73" s="633" t="s">
        <v>393</v>
      </c>
      <c r="E73" s="634" t="n">
        <v>31486579511</v>
      </c>
      <c r="F73" s="635"/>
      <c r="G73" s="634" t="n">
        <v>7632062103</v>
      </c>
      <c r="H73" s="635"/>
      <c r="I73" s="634" t="n">
        <v>90672922</v>
      </c>
      <c r="J73" s="635"/>
      <c r="K73" s="634" t="n">
        <v>73127262</v>
      </c>
      <c r="L73" s="635"/>
      <c r="M73" s="634" t="n">
        <v>9854675597</v>
      </c>
      <c r="N73" s="635"/>
      <c r="O73" s="634" t="n">
        <v>77654491</v>
      </c>
      <c r="P73" s="635"/>
      <c r="Q73" s="634" t="n">
        <v>61416810</v>
      </c>
      <c r="R73" s="635"/>
      <c r="S73" s="634" t="n">
        <v>-93514490</v>
      </c>
      <c r="T73" s="635"/>
      <c r="U73" s="634" t="n">
        <v>61053963</v>
      </c>
      <c r="V73" s="635"/>
      <c r="W73" s="634" t="n">
        <v>8437082472</v>
      </c>
      <c r="X73" s="635"/>
      <c r="Y73" s="634" t="n">
        <v>5131689317</v>
      </c>
      <c r="Z73" s="635"/>
      <c r="AA73" s="634" t="n">
        <v>211237706</v>
      </c>
      <c r="AB73" s="635"/>
      <c r="AC73" s="634" t="n">
        <v>-50578642</v>
      </c>
      <c r="AD73" s="635"/>
      <c r="AE73" s="634" t="n">
        <v>232125241</v>
      </c>
      <c r="AF73" s="635"/>
      <c r="AG73" s="634" t="n">
        <v>22305851563</v>
      </c>
      <c r="AH73" s="634" t="n">
        <v>-9998084733</v>
      </c>
      <c r="AI73" s="636" t="n">
        <v>18946687440</v>
      </c>
      <c r="AJ73" s="635"/>
      <c r="AK73" s="636" t="n">
        <v>10485168822</v>
      </c>
      <c r="AL73" s="635"/>
      <c r="AM73" s="636" t="n">
        <v>8461518618</v>
      </c>
      <c r="AN73" s="637" t="n">
        <v>0.80699879626602</v>
      </c>
      <c r="AO73" s="647" t="s">
        <v>2436</v>
      </c>
      <c r="AP73" s="638" t="s">
        <v>2453</v>
      </c>
      <c r="AQ73" s="566" t="s">
        <v>2546</v>
      </c>
      <c r="AR73" s="566" t="s">
        <v>2547</v>
      </c>
      <c r="AS73" s="567" t="s">
        <v>2548</v>
      </c>
      <c r="AT73" s="646"/>
    </row>
    <row r="74" customFormat="false" ht="16.5" hidden="false" customHeight="false" outlineLevel="0" collapsed="false">
      <c r="A74" s="645"/>
      <c r="B74" s="557"/>
      <c r="C74" s="558" t="n">
        <v>8</v>
      </c>
      <c r="D74" s="633" t="s">
        <v>395</v>
      </c>
      <c r="E74" s="634" t="n">
        <v>0</v>
      </c>
      <c r="F74" s="635"/>
      <c r="G74" s="634" t="n">
        <v>0</v>
      </c>
      <c r="H74" s="635"/>
      <c r="I74" s="634" t="n">
        <v>0</v>
      </c>
      <c r="J74" s="635"/>
      <c r="K74" s="634" t="n">
        <v>0</v>
      </c>
      <c r="L74" s="635"/>
      <c r="M74" s="634" t="n">
        <v>0</v>
      </c>
      <c r="N74" s="635"/>
      <c r="O74" s="634" t="n">
        <v>0</v>
      </c>
      <c r="P74" s="635"/>
      <c r="Q74" s="634" t="n">
        <v>0</v>
      </c>
      <c r="R74" s="635"/>
      <c r="S74" s="634" t="n">
        <v>0</v>
      </c>
      <c r="T74" s="635"/>
      <c r="U74" s="634" t="n">
        <v>0</v>
      </c>
      <c r="V74" s="635"/>
      <c r="W74" s="634" t="n">
        <v>0</v>
      </c>
      <c r="X74" s="635"/>
      <c r="Y74" s="634" t="n">
        <v>0</v>
      </c>
      <c r="Z74" s="635"/>
      <c r="AA74" s="634" t="n">
        <v>0</v>
      </c>
      <c r="AB74" s="635"/>
      <c r="AC74" s="634" t="n">
        <v>0</v>
      </c>
      <c r="AD74" s="635"/>
      <c r="AE74" s="634"/>
      <c r="AF74" s="635"/>
      <c r="AG74" s="634"/>
      <c r="AH74" s="634"/>
      <c r="AI74" s="636" t="n">
        <v>0</v>
      </c>
      <c r="AJ74" s="635"/>
      <c r="AK74" s="636" t="n">
        <v>0</v>
      </c>
      <c r="AL74" s="635"/>
      <c r="AM74" s="636" t="n">
        <v>0</v>
      </c>
      <c r="AN74" s="637" t="n">
        <v>0</v>
      </c>
      <c r="AO74" s="647"/>
      <c r="AP74" s="647"/>
      <c r="AQ74" s="566" t="s">
        <v>2549</v>
      </c>
      <c r="AR74" s="566"/>
      <c r="AS74" s="566"/>
      <c r="AT74" s="646"/>
    </row>
    <row r="75" customFormat="false" ht="16.5" hidden="false" customHeight="false" outlineLevel="0" collapsed="false">
      <c r="B75" s="557"/>
      <c r="C75" s="558" t="n">
        <v>8</v>
      </c>
      <c r="D75" s="633" t="s">
        <v>396</v>
      </c>
      <c r="E75" s="634" t="n">
        <v>0</v>
      </c>
      <c r="F75" s="635"/>
      <c r="G75" s="634" t="n">
        <v>0</v>
      </c>
      <c r="H75" s="635"/>
      <c r="I75" s="634" t="n">
        <v>0</v>
      </c>
      <c r="J75" s="635"/>
      <c r="K75" s="634" t="n">
        <v>0</v>
      </c>
      <c r="L75" s="635"/>
      <c r="M75" s="634" t="n">
        <v>0</v>
      </c>
      <c r="N75" s="635"/>
      <c r="O75" s="634" t="n">
        <v>0</v>
      </c>
      <c r="P75" s="635"/>
      <c r="Q75" s="634" t="n">
        <v>0</v>
      </c>
      <c r="R75" s="635"/>
      <c r="S75" s="634" t="n">
        <v>0</v>
      </c>
      <c r="T75" s="635"/>
      <c r="U75" s="634" t="n">
        <v>0</v>
      </c>
      <c r="V75" s="635"/>
      <c r="W75" s="634" t="n">
        <v>0</v>
      </c>
      <c r="X75" s="635"/>
      <c r="Y75" s="634" t="n">
        <v>0</v>
      </c>
      <c r="Z75" s="635"/>
      <c r="AA75" s="634" t="n">
        <v>0</v>
      </c>
      <c r="AB75" s="635"/>
      <c r="AC75" s="634" t="n">
        <v>0</v>
      </c>
      <c r="AD75" s="635"/>
      <c r="AE75" s="634"/>
      <c r="AF75" s="635"/>
      <c r="AG75" s="634"/>
      <c r="AH75" s="634"/>
      <c r="AI75" s="636" t="n">
        <v>0</v>
      </c>
      <c r="AJ75" s="635"/>
      <c r="AK75" s="636" t="n">
        <v>0</v>
      </c>
      <c r="AL75" s="635"/>
      <c r="AM75" s="636" t="n">
        <v>0</v>
      </c>
      <c r="AN75" s="637" t="n">
        <v>0</v>
      </c>
      <c r="AO75" s="647"/>
      <c r="AP75" s="647"/>
      <c r="AQ75" s="566"/>
      <c r="AR75" s="566"/>
      <c r="AS75" s="566"/>
      <c r="AT75" s="571"/>
    </row>
    <row r="76" customFormat="false" ht="16.5" hidden="false" customHeight="false" outlineLevel="0" collapsed="false">
      <c r="B76" s="557"/>
      <c r="C76" s="558" t="n">
        <v>8</v>
      </c>
      <c r="D76" s="633" t="s">
        <v>398</v>
      </c>
      <c r="E76" s="634" t="n">
        <v>0</v>
      </c>
      <c r="F76" s="635"/>
      <c r="G76" s="634" t="n">
        <v>0</v>
      </c>
      <c r="H76" s="635"/>
      <c r="I76" s="634" t="n">
        <v>0</v>
      </c>
      <c r="J76" s="635"/>
      <c r="K76" s="634" t="n">
        <v>0</v>
      </c>
      <c r="L76" s="635"/>
      <c r="M76" s="634" t="n">
        <v>0</v>
      </c>
      <c r="N76" s="635"/>
      <c r="O76" s="634" t="n">
        <v>0</v>
      </c>
      <c r="P76" s="635"/>
      <c r="Q76" s="634" t="n">
        <v>0</v>
      </c>
      <c r="R76" s="635"/>
      <c r="S76" s="634" t="n">
        <v>0</v>
      </c>
      <c r="T76" s="635"/>
      <c r="U76" s="634" t="n">
        <v>0</v>
      </c>
      <c r="V76" s="635"/>
      <c r="W76" s="634" t="n">
        <v>0</v>
      </c>
      <c r="X76" s="635"/>
      <c r="Y76" s="634" t="n">
        <v>0</v>
      </c>
      <c r="Z76" s="635"/>
      <c r="AA76" s="634" t="n">
        <v>0</v>
      </c>
      <c r="AB76" s="635"/>
      <c r="AC76" s="634" t="n">
        <v>0</v>
      </c>
      <c r="AD76" s="635"/>
      <c r="AE76" s="634"/>
      <c r="AF76" s="635"/>
      <c r="AG76" s="634"/>
      <c r="AH76" s="634"/>
      <c r="AI76" s="636" t="n">
        <v>0</v>
      </c>
      <c r="AJ76" s="635"/>
      <c r="AK76" s="636" t="n">
        <v>0</v>
      </c>
      <c r="AL76" s="635"/>
      <c r="AM76" s="636" t="n">
        <v>0</v>
      </c>
      <c r="AN76" s="637" t="n">
        <v>0</v>
      </c>
      <c r="AO76" s="647"/>
      <c r="AP76" s="647"/>
      <c r="AQ76" s="566"/>
      <c r="AR76" s="566"/>
      <c r="AS76" s="566"/>
      <c r="AT76" s="571"/>
    </row>
    <row r="77" customFormat="false" ht="25.35" hidden="false" customHeight="false" outlineLevel="0" collapsed="false">
      <c r="A77" s="612"/>
      <c r="B77" s="544" t="s">
        <v>2419</v>
      </c>
      <c r="C77" s="545" t="s">
        <v>1090</v>
      </c>
      <c r="D77" s="639"/>
      <c r="E77" s="628"/>
      <c r="F77" s="629" t="n">
        <v>-1697032289</v>
      </c>
      <c r="G77" s="628" t="n">
        <v>0</v>
      </c>
      <c r="H77" s="629" t="n">
        <v>29822290</v>
      </c>
      <c r="I77" s="628" t="n">
        <v>0</v>
      </c>
      <c r="J77" s="629" t="n">
        <v>78798733</v>
      </c>
      <c r="K77" s="628" t="n">
        <v>0</v>
      </c>
      <c r="L77" s="629" t="n">
        <v>-27203859</v>
      </c>
      <c r="M77" s="628" t="n">
        <v>0</v>
      </c>
      <c r="N77" s="629" t="n">
        <v>81702645</v>
      </c>
      <c r="O77" s="628" t="n">
        <v>0</v>
      </c>
      <c r="P77" s="629" t="n">
        <v>78693702</v>
      </c>
      <c r="Q77" s="628" t="n">
        <v>0</v>
      </c>
      <c r="R77" s="629" t="n">
        <v>110598897</v>
      </c>
      <c r="S77" s="628" t="n">
        <v>0</v>
      </c>
      <c r="T77" s="629" t="n">
        <v>333150887</v>
      </c>
      <c r="U77" s="628" t="n">
        <v>0</v>
      </c>
      <c r="V77" s="629" t="n">
        <v>27787555</v>
      </c>
      <c r="W77" s="628" t="n">
        <v>0</v>
      </c>
      <c r="X77" s="629" t="n">
        <v>-297161530</v>
      </c>
      <c r="Y77" s="628" t="n">
        <v>0</v>
      </c>
      <c r="Z77" s="629" t="n">
        <v>-1173608</v>
      </c>
      <c r="AA77" s="628" t="n">
        <v>0</v>
      </c>
      <c r="AB77" s="629" t="n">
        <v>-2174614087</v>
      </c>
      <c r="AC77" s="628" t="n">
        <v>0</v>
      </c>
      <c r="AD77" s="629" t="n">
        <v>62566086</v>
      </c>
      <c r="AE77" s="628"/>
      <c r="AF77" s="629"/>
      <c r="AG77" s="628"/>
      <c r="AH77" s="628"/>
      <c r="AI77" s="630"/>
      <c r="AJ77" s="629" t="n">
        <v>483100924</v>
      </c>
      <c r="AK77" s="630"/>
      <c r="AL77" s="629" t="n">
        <v>9015920043.0746</v>
      </c>
      <c r="AM77" s="630" t="n">
        <v>-8532819119.0746</v>
      </c>
      <c r="AN77" s="631" t="n">
        <v>-0.946416902358059</v>
      </c>
      <c r="AO77" s="632" t="s">
        <v>2436</v>
      </c>
      <c r="AP77" s="640"/>
      <c r="AQ77" s="641"/>
      <c r="AR77" s="641"/>
      <c r="AS77" s="641"/>
      <c r="AT77" s="571"/>
    </row>
    <row r="78" customFormat="false" ht="26.25" hidden="false" customHeight="true" outlineLevel="0" collapsed="false">
      <c r="B78" s="557"/>
      <c r="C78" s="558" t="n">
        <v>1</v>
      </c>
      <c r="D78" s="633" t="s">
        <v>400</v>
      </c>
      <c r="E78" s="634" t="n">
        <v>120511971</v>
      </c>
      <c r="F78" s="635"/>
      <c r="G78" s="634" t="n">
        <v>26517555</v>
      </c>
      <c r="H78" s="635"/>
      <c r="I78" s="634" t="n">
        <v>14421739</v>
      </c>
      <c r="J78" s="635"/>
      <c r="K78" s="634" t="n">
        <v>-58889210</v>
      </c>
      <c r="L78" s="635"/>
      <c r="M78" s="634" t="n">
        <v>9442521</v>
      </c>
      <c r="N78" s="635"/>
      <c r="O78" s="634" t="n">
        <v>11438598</v>
      </c>
      <c r="P78" s="635"/>
      <c r="Q78" s="634" t="n">
        <v>9364111</v>
      </c>
      <c r="R78" s="635"/>
      <c r="S78" s="634" t="n">
        <v>6546210</v>
      </c>
      <c r="T78" s="635"/>
      <c r="U78" s="634" t="n">
        <v>12103503</v>
      </c>
      <c r="V78" s="635"/>
      <c r="W78" s="634" t="n">
        <v>16121477</v>
      </c>
      <c r="X78" s="635"/>
      <c r="Y78" s="634" t="n">
        <v>13921935</v>
      </c>
      <c r="Z78" s="635"/>
      <c r="AA78" s="634" t="n">
        <v>30282722</v>
      </c>
      <c r="AB78" s="635"/>
      <c r="AC78" s="634" t="n">
        <v>29240810</v>
      </c>
      <c r="AD78" s="635"/>
      <c r="AE78" s="634"/>
      <c r="AF78" s="635" t="n">
        <v>-27709972</v>
      </c>
      <c r="AG78" s="634"/>
      <c r="AH78" s="634"/>
      <c r="AI78" s="636" t="n">
        <v>92801999</v>
      </c>
      <c r="AJ78" s="635"/>
      <c r="AK78" s="636" t="n">
        <v>1020288391</v>
      </c>
      <c r="AL78" s="635"/>
      <c r="AM78" s="636" t="n">
        <v>-927486392</v>
      </c>
      <c r="AN78" s="637" t="n">
        <v>-0.9090433647794</v>
      </c>
      <c r="AO78" s="647"/>
      <c r="AP78" s="638" t="s">
        <v>2437</v>
      </c>
      <c r="AQ78" s="567" t="s">
        <v>2550</v>
      </c>
      <c r="AR78" s="566"/>
      <c r="AS78" s="567" t="s">
        <v>2551</v>
      </c>
      <c r="AT78" s="571"/>
    </row>
    <row r="79" customFormat="false" ht="16.5" hidden="false" customHeight="false" outlineLevel="0" collapsed="false">
      <c r="B79" s="557"/>
      <c r="C79" s="558" t="n">
        <v>2</v>
      </c>
      <c r="D79" s="633" t="s">
        <v>402</v>
      </c>
      <c r="E79" s="634" t="n">
        <v>0</v>
      </c>
      <c r="F79" s="635"/>
      <c r="G79" s="634" t="n">
        <v>0</v>
      </c>
      <c r="H79" s="635"/>
      <c r="I79" s="634" t="n">
        <v>0</v>
      </c>
      <c r="J79" s="635"/>
      <c r="K79" s="634" t="n">
        <v>0</v>
      </c>
      <c r="L79" s="635"/>
      <c r="M79" s="634" t="n">
        <v>0</v>
      </c>
      <c r="N79" s="635"/>
      <c r="O79" s="634" t="n">
        <v>0</v>
      </c>
      <c r="P79" s="635"/>
      <c r="Q79" s="634" t="n">
        <v>0</v>
      </c>
      <c r="R79" s="635"/>
      <c r="S79" s="634" t="n">
        <v>0</v>
      </c>
      <c r="T79" s="635"/>
      <c r="U79" s="634" t="n">
        <v>0</v>
      </c>
      <c r="V79" s="635"/>
      <c r="W79" s="634" t="n">
        <v>0</v>
      </c>
      <c r="X79" s="635"/>
      <c r="Y79" s="634" t="n">
        <v>0</v>
      </c>
      <c r="Z79" s="635"/>
      <c r="AA79" s="634" t="n">
        <v>0</v>
      </c>
      <c r="AB79" s="635"/>
      <c r="AC79" s="634" t="n">
        <v>0</v>
      </c>
      <c r="AD79" s="635"/>
      <c r="AE79" s="634"/>
      <c r="AF79" s="635"/>
      <c r="AG79" s="634"/>
      <c r="AH79" s="634"/>
      <c r="AI79" s="636" t="n">
        <v>0</v>
      </c>
      <c r="AJ79" s="635"/>
      <c r="AK79" s="636" t="n">
        <v>0</v>
      </c>
      <c r="AL79" s="635"/>
      <c r="AM79" s="636" t="n">
        <v>0</v>
      </c>
      <c r="AN79" s="637" t="n">
        <v>0</v>
      </c>
      <c r="AO79" s="647"/>
      <c r="AP79" s="647"/>
      <c r="AQ79" s="566"/>
      <c r="AR79" s="566"/>
      <c r="AS79" s="566"/>
      <c r="AT79" s="571"/>
    </row>
    <row r="80" customFormat="false" ht="25.35" hidden="false" customHeight="false" outlineLevel="0" collapsed="false">
      <c r="B80" s="557"/>
      <c r="C80" s="558" t="n">
        <v>3</v>
      </c>
      <c r="D80" s="633" t="s">
        <v>403</v>
      </c>
      <c r="E80" s="634" t="n">
        <v>33586551</v>
      </c>
      <c r="F80" s="635"/>
      <c r="G80" s="634" t="n">
        <v>5659787</v>
      </c>
      <c r="H80" s="635"/>
      <c r="I80" s="634" t="n">
        <v>15381472</v>
      </c>
      <c r="J80" s="635"/>
      <c r="K80" s="634" t="n">
        <v>828110</v>
      </c>
      <c r="L80" s="635"/>
      <c r="M80" s="634" t="n">
        <v>3260123</v>
      </c>
      <c r="N80" s="635"/>
      <c r="O80" s="634" t="n">
        <v>-2543096</v>
      </c>
      <c r="P80" s="635"/>
      <c r="Q80" s="634" t="n">
        <v>43834786</v>
      </c>
      <c r="R80" s="635"/>
      <c r="S80" s="634" t="n">
        <v>321599697</v>
      </c>
      <c r="T80" s="635"/>
      <c r="U80" s="634" t="n">
        <v>-321253</v>
      </c>
      <c r="V80" s="635"/>
      <c r="W80" s="634" t="n">
        <v>-372283007</v>
      </c>
      <c r="X80" s="635"/>
      <c r="Y80" s="634" t="n">
        <v>1904457</v>
      </c>
      <c r="Z80" s="635"/>
      <c r="AA80" s="634" t="n">
        <v>2940201</v>
      </c>
      <c r="AB80" s="635"/>
      <c r="AC80" s="634" t="n">
        <v>13325274</v>
      </c>
      <c r="AD80" s="635"/>
      <c r="AE80" s="634"/>
      <c r="AF80" s="635"/>
      <c r="AG80" s="634"/>
      <c r="AH80" s="634"/>
      <c r="AI80" s="636" t="n">
        <v>33586551</v>
      </c>
      <c r="AJ80" s="635"/>
      <c r="AK80" s="636" t="n">
        <v>0</v>
      </c>
      <c r="AL80" s="635"/>
      <c r="AM80" s="636" t="n">
        <v>33586551</v>
      </c>
      <c r="AN80" s="637" t="n">
        <v>1</v>
      </c>
      <c r="AO80" s="647"/>
      <c r="AP80" s="638" t="s">
        <v>2453</v>
      </c>
      <c r="AQ80" s="566"/>
      <c r="AR80" s="566"/>
      <c r="AS80" s="566"/>
      <c r="AT80" s="571"/>
    </row>
    <row r="81" customFormat="false" ht="16.5" hidden="false" customHeight="false" outlineLevel="0" collapsed="false">
      <c r="B81" s="557"/>
      <c r="C81" s="558" t="n">
        <v>4</v>
      </c>
      <c r="D81" s="633" t="s">
        <v>405</v>
      </c>
      <c r="E81" s="634" t="n">
        <v>0</v>
      </c>
      <c r="F81" s="635"/>
      <c r="G81" s="634" t="n">
        <v>0</v>
      </c>
      <c r="H81" s="635"/>
      <c r="I81" s="634" t="n">
        <v>0</v>
      </c>
      <c r="J81" s="635"/>
      <c r="K81" s="634" t="n">
        <v>0</v>
      </c>
      <c r="L81" s="635"/>
      <c r="M81" s="634" t="n">
        <v>0</v>
      </c>
      <c r="N81" s="635"/>
      <c r="O81" s="634" t="n">
        <v>0</v>
      </c>
      <c r="P81" s="635"/>
      <c r="Q81" s="634" t="n">
        <v>0</v>
      </c>
      <c r="R81" s="635"/>
      <c r="S81" s="634" t="n">
        <v>0</v>
      </c>
      <c r="T81" s="635"/>
      <c r="U81" s="634" t="n">
        <v>0</v>
      </c>
      <c r="V81" s="635"/>
      <c r="W81" s="634" t="n">
        <v>0</v>
      </c>
      <c r="X81" s="635"/>
      <c r="Y81" s="634" t="n">
        <v>0</v>
      </c>
      <c r="Z81" s="635"/>
      <c r="AA81" s="634" t="n">
        <v>0</v>
      </c>
      <c r="AB81" s="635"/>
      <c r="AC81" s="634" t="n">
        <v>0</v>
      </c>
      <c r="AD81" s="635"/>
      <c r="AE81" s="634"/>
      <c r="AF81" s="635"/>
      <c r="AG81" s="634"/>
      <c r="AH81" s="634"/>
      <c r="AI81" s="636" t="n">
        <v>0</v>
      </c>
      <c r="AJ81" s="635"/>
      <c r="AK81" s="636" t="n">
        <v>37837051</v>
      </c>
      <c r="AL81" s="635"/>
      <c r="AM81" s="636" t="n">
        <v>-37837051</v>
      </c>
      <c r="AN81" s="637" t="n">
        <v>-1</v>
      </c>
      <c r="AO81" s="647"/>
      <c r="AP81" s="638" t="s">
        <v>2453</v>
      </c>
      <c r="AQ81" s="566"/>
      <c r="AR81" s="566"/>
      <c r="AS81" s="566"/>
      <c r="AT81" s="571"/>
    </row>
    <row r="82" customFormat="false" ht="16.5" hidden="false" customHeight="false" outlineLevel="0" collapsed="false">
      <c r="B82" s="557"/>
      <c r="C82" s="558" t="n">
        <v>5</v>
      </c>
      <c r="D82" s="633" t="s">
        <v>406</v>
      </c>
      <c r="E82" s="634" t="n">
        <v>259053818</v>
      </c>
      <c r="F82" s="635"/>
      <c r="G82" s="634" t="n">
        <v>0</v>
      </c>
      <c r="H82" s="635"/>
      <c r="I82" s="634" t="n">
        <v>18000000</v>
      </c>
      <c r="J82" s="635"/>
      <c r="K82" s="634" t="n">
        <v>30855618</v>
      </c>
      <c r="L82" s="635"/>
      <c r="M82" s="634" t="n">
        <v>0</v>
      </c>
      <c r="N82" s="635"/>
      <c r="O82" s="634" t="n">
        <v>69798200</v>
      </c>
      <c r="P82" s="635"/>
      <c r="Q82" s="634" t="n">
        <v>57400000</v>
      </c>
      <c r="R82" s="635"/>
      <c r="S82" s="634" t="n">
        <v>5000000</v>
      </c>
      <c r="T82" s="635"/>
      <c r="U82" s="634" t="n">
        <v>16000000</v>
      </c>
      <c r="V82" s="635"/>
      <c r="W82" s="634" t="n">
        <v>59000000</v>
      </c>
      <c r="X82" s="635"/>
      <c r="Y82" s="634" t="n">
        <v>-17000000</v>
      </c>
      <c r="Z82" s="635"/>
      <c r="AA82" s="634" t="n">
        <v>0</v>
      </c>
      <c r="AB82" s="635"/>
      <c r="AC82" s="634" t="n">
        <v>20000000</v>
      </c>
      <c r="AD82" s="635"/>
      <c r="AE82" s="634"/>
      <c r="AF82" s="635"/>
      <c r="AG82" s="634"/>
      <c r="AH82" s="634"/>
      <c r="AI82" s="636" t="n">
        <v>259053818</v>
      </c>
      <c r="AJ82" s="635"/>
      <c r="AK82" s="636" t="n">
        <v>217081607</v>
      </c>
      <c r="AL82" s="635"/>
      <c r="AM82" s="636" t="n">
        <v>41972211</v>
      </c>
      <c r="AN82" s="637" t="n">
        <v>0.193347615120612</v>
      </c>
      <c r="AO82" s="647"/>
      <c r="AP82" s="638" t="s">
        <v>2453</v>
      </c>
      <c r="AQ82" s="566"/>
      <c r="AR82" s="566"/>
      <c r="AS82" s="566"/>
      <c r="AT82" s="571"/>
    </row>
    <row r="83" customFormat="false" ht="16.5" hidden="false" customHeight="false" outlineLevel="0" collapsed="false">
      <c r="B83" s="557"/>
      <c r="C83" s="558" t="n">
        <v>5</v>
      </c>
      <c r="D83" s="633" t="s">
        <v>408</v>
      </c>
      <c r="E83" s="634" t="n">
        <v>0</v>
      </c>
      <c r="F83" s="635"/>
      <c r="G83" s="634" t="n">
        <v>0</v>
      </c>
      <c r="H83" s="635"/>
      <c r="I83" s="634" t="n">
        <v>0</v>
      </c>
      <c r="J83" s="635"/>
      <c r="K83" s="634" t="n">
        <v>0</v>
      </c>
      <c r="L83" s="635"/>
      <c r="M83" s="634" t="n">
        <v>0</v>
      </c>
      <c r="N83" s="635"/>
      <c r="O83" s="634" t="n">
        <v>0</v>
      </c>
      <c r="P83" s="635"/>
      <c r="Q83" s="634" t="n">
        <v>0</v>
      </c>
      <c r="R83" s="635"/>
      <c r="S83" s="634" t="n">
        <v>0</v>
      </c>
      <c r="T83" s="635"/>
      <c r="U83" s="634" t="n">
        <v>0</v>
      </c>
      <c r="V83" s="635"/>
      <c r="W83" s="634" t="n">
        <v>0</v>
      </c>
      <c r="X83" s="635"/>
      <c r="Y83" s="634" t="n">
        <v>0</v>
      </c>
      <c r="Z83" s="635"/>
      <c r="AA83" s="634" t="n">
        <v>0</v>
      </c>
      <c r="AB83" s="635"/>
      <c r="AC83" s="634" t="n">
        <v>0</v>
      </c>
      <c r="AD83" s="635"/>
      <c r="AE83" s="634"/>
      <c r="AF83" s="635"/>
      <c r="AG83" s="634"/>
      <c r="AH83" s="634"/>
      <c r="AI83" s="636" t="n">
        <v>0</v>
      </c>
      <c r="AJ83" s="635"/>
      <c r="AK83" s="636" t="n">
        <v>0</v>
      </c>
      <c r="AL83" s="635"/>
      <c r="AM83" s="636" t="n">
        <v>0</v>
      </c>
      <c r="AN83" s="637" t="n">
        <v>0</v>
      </c>
      <c r="AO83" s="647"/>
      <c r="AP83" s="647"/>
      <c r="AQ83" s="566"/>
      <c r="AR83" s="566"/>
      <c r="AS83" s="566"/>
      <c r="AT83" s="571"/>
    </row>
    <row r="84" customFormat="false" ht="27" hidden="false" customHeight="true" outlineLevel="0" collapsed="false">
      <c r="B84" s="557"/>
      <c r="C84" s="558" t="n">
        <v>5</v>
      </c>
      <c r="D84" s="633" t="s">
        <v>409</v>
      </c>
      <c r="E84" s="634" t="n">
        <v>0</v>
      </c>
      <c r="F84" s="635"/>
      <c r="G84" s="634" t="n">
        <v>0</v>
      </c>
      <c r="H84" s="635"/>
      <c r="I84" s="634" t="n">
        <v>0</v>
      </c>
      <c r="J84" s="635"/>
      <c r="K84" s="634" t="n">
        <v>0</v>
      </c>
      <c r="L84" s="635"/>
      <c r="M84" s="634" t="n">
        <v>0</v>
      </c>
      <c r="N84" s="635"/>
      <c r="O84" s="634" t="n">
        <v>0</v>
      </c>
      <c r="P84" s="635"/>
      <c r="Q84" s="634" t="n">
        <v>0</v>
      </c>
      <c r="R84" s="635"/>
      <c r="S84" s="634" t="n">
        <v>0</v>
      </c>
      <c r="T84" s="635"/>
      <c r="U84" s="634" t="n">
        <v>0</v>
      </c>
      <c r="V84" s="635"/>
      <c r="W84" s="634" t="n">
        <v>0</v>
      </c>
      <c r="X84" s="635"/>
      <c r="Y84" s="634" t="n">
        <v>0</v>
      </c>
      <c r="Z84" s="635"/>
      <c r="AA84" s="634" t="n">
        <v>0</v>
      </c>
      <c r="AB84" s="635"/>
      <c r="AC84" s="634" t="n">
        <v>0</v>
      </c>
      <c r="AD84" s="635"/>
      <c r="AE84" s="634"/>
      <c r="AF84" s="635"/>
      <c r="AG84" s="634"/>
      <c r="AH84" s="634"/>
      <c r="AI84" s="636" t="n">
        <v>0</v>
      </c>
      <c r="AJ84" s="635"/>
      <c r="AK84" s="636" t="n">
        <v>4446129914.0746</v>
      </c>
      <c r="AL84" s="635"/>
      <c r="AM84" s="636" t="n">
        <v>-4446129914.0746</v>
      </c>
      <c r="AN84" s="637" t="n">
        <v>-1</v>
      </c>
      <c r="AO84" s="647"/>
      <c r="AP84" s="638" t="s">
        <v>2453</v>
      </c>
      <c r="AQ84" s="567" t="s">
        <v>2552</v>
      </c>
      <c r="AR84" s="566"/>
      <c r="AS84" s="567" t="s">
        <v>2553</v>
      </c>
      <c r="AT84" s="571"/>
    </row>
    <row r="85" customFormat="false" ht="16.5" hidden="false" customHeight="false" outlineLevel="0" collapsed="false">
      <c r="B85" s="557"/>
      <c r="C85" s="558" t="n">
        <v>5</v>
      </c>
      <c r="D85" s="633" t="s">
        <v>411</v>
      </c>
      <c r="E85" s="634" t="n">
        <v>0</v>
      </c>
      <c r="F85" s="635"/>
      <c r="G85" s="634" t="n">
        <v>0</v>
      </c>
      <c r="H85" s="635"/>
      <c r="I85" s="634" t="n">
        <v>0</v>
      </c>
      <c r="J85" s="635"/>
      <c r="K85" s="634" t="n">
        <v>0</v>
      </c>
      <c r="L85" s="635"/>
      <c r="M85" s="634" t="n">
        <v>0</v>
      </c>
      <c r="N85" s="635"/>
      <c r="O85" s="634" t="n">
        <v>0</v>
      </c>
      <c r="P85" s="635"/>
      <c r="Q85" s="634" t="n">
        <v>0</v>
      </c>
      <c r="R85" s="635"/>
      <c r="S85" s="634" t="n">
        <v>0</v>
      </c>
      <c r="T85" s="635"/>
      <c r="U85" s="634" t="n">
        <v>0</v>
      </c>
      <c r="V85" s="635"/>
      <c r="W85" s="634" t="n">
        <v>0</v>
      </c>
      <c r="X85" s="635"/>
      <c r="Y85" s="634" t="n">
        <v>0</v>
      </c>
      <c r="Z85" s="635"/>
      <c r="AA85" s="634" t="n">
        <v>0</v>
      </c>
      <c r="AB85" s="635"/>
      <c r="AC85" s="634" t="n">
        <v>0</v>
      </c>
      <c r="AD85" s="635"/>
      <c r="AE85" s="634"/>
      <c r="AF85" s="635"/>
      <c r="AG85" s="634"/>
      <c r="AH85" s="634"/>
      <c r="AI85" s="636" t="n">
        <v>0</v>
      </c>
      <c r="AJ85" s="635"/>
      <c r="AK85" s="636" t="n">
        <v>0</v>
      </c>
      <c r="AL85" s="635"/>
      <c r="AM85" s="636" t="n">
        <v>0</v>
      </c>
      <c r="AN85" s="637" t="n">
        <v>0</v>
      </c>
      <c r="AO85" s="647"/>
      <c r="AP85" s="647"/>
      <c r="AQ85" s="566"/>
      <c r="AR85" s="566"/>
      <c r="AS85" s="566"/>
      <c r="AT85" s="571"/>
    </row>
    <row r="86" customFormat="false" ht="16.5" hidden="false" customHeight="false" outlineLevel="0" collapsed="false">
      <c r="B86" s="557"/>
      <c r="C86" s="558" t="n">
        <v>5</v>
      </c>
      <c r="D86" s="633" t="s">
        <v>412</v>
      </c>
      <c r="E86" s="634" t="n">
        <v>0</v>
      </c>
      <c r="F86" s="635"/>
      <c r="G86" s="634" t="n">
        <v>0</v>
      </c>
      <c r="H86" s="635"/>
      <c r="I86" s="634" t="n">
        <v>0</v>
      </c>
      <c r="J86" s="635"/>
      <c r="K86" s="634" t="n">
        <v>0</v>
      </c>
      <c r="L86" s="635"/>
      <c r="M86" s="634" t="n">
        <v>0</v>
      </c>
      <c r="N86" s="635"/>
      <c r="O86" s="634" t="n">
        <v>0</v>
      </c>
      <c r="P86" s="635"/>
      <c r="Q86" s="634" t="n">
        <v>0</v>
      </c>
      <c r="R86" s="635"/>
      <c r="S86" s="634" t="n">
        <v>0</v>
      </c>
      <c r="T86" s="635"/>
      <c r="U86" s="634" t="n">
        <v>0</v>
      </c>
      <c r="V86" s="635"/>
      <c r="W86" s="634" t="n">
        <v>0</v>
      </c>
      <c r="X86" s="635"/>
      <c r="Y86" s="634" t="n">
        <v>0</v>
      </c>
      <c r="Z86" s="635"/>
      <c r="AA86" s="634" t="n">
        <v>0</v>
      </c>
      <c r="AB86" s="635"/>
      <c r="AC86" s="634" t="n">
        <v>0</v>
      </c>
      <c r="AD86" s="635"/>
      <c r="AE86" s="634"/>
      <c r="AF86" s="635"/>
      <c r="AG86" s="634"/>
      <c r="AH86" s="634"/>
      <c r="AI86" s="636" t="n">
        <v>0</v>
      </c>
      <c r="AJ86" s="635"/>
      <c r="AK86" s="636" t="n">
        <v>0</v>
      </c>
      <c r="AL86" s="635"/>
      <c r="AM86" s="636" t="n">
        <v>0</v>
      </c>
      <c r="AN86" s="637" t="n">
        <v>0</v>
      </c>
      <c r="AO86" s="647"/>
      <c r="AP86" s="647"/>
      <c r="AQ86" s="566"/>
      <c r="AR86" s="566"/>
      <c r="AS86" s="566"/>
      <c r="AT86" s="571"/>
    </row>
    <row r="87" customFormat="false" ht="16.5" hidden="false" customHeight="false" outlineLevel="0" collapsed="false">
      <c r="B87" s="557"/>
      <c r="C87" s="558" t="n">
        <v>5</v>
      </c>
      <c r="D87" s="633" t="s">
        <v>413</v>
      </c>
      <c r="E87" s="634" t="n">
        <v>0</v>
      </c>
      <c r="F87" s="635"/>
      <c r="G87" s="634" t="n">
        <v>0</v>
      </c>
      <c r="H87" s="635"/>
      <c r="I87" s="634" t="n">
        <v>0</v>
      </c>
      <c r="J87" s="635"/>
      <c r="K87" s="634" t="n">
        <v>0</v>
      </c>
      <c r="L87" s="635"/>
      <c r="M87" s="634" t="n">
        <v>0</v>
      </c>
      <c r="N87" s="635"/>
      <c r="O87" s="634" t="n">
        <v>0</v>
      </c>
      <c r="P87" s="635"/>
      <c r="Q87" s="634" t="n">
        <v>0</v>
      </c>
      <c r="R87" s="635"/>
      <c r="S87" s="634" t="n">
        <v>0</v>
      </c>
      <c r="T87" s="635"/>
      <c r="U87" s="634" t="n">
        <v>0</v>
      </c>
      <c r="V87" s="635"/>
      <c r="W87" s="634" t="n">
        <v>0</v>
      </c>
      <c r="X87" s="635"/>
      <c r="Y87" s="634" t="n">
        <v>0</v>
      </c>
      <c r="Z87" s="635"/>
      <c r="AA87" s="634" t="n">
        <v>0</v>
      </c>
      <c r="AB87" s="635"/>
      <c r="AC87" s="634" t="n">
        <v>0</v>
      </c>
      <c r="AD87" s="635"/>
      <c r="AE87" s="634"/>
      <c r="AF87" s="635"/>
      <c r="AG87" s="634"/>
      <c r="AH87" s="634"/>
      <c r="AI87" s="636" t="n">
        <v>0</v>
      </c>
      <c r="AJ87" s="635"/>
      <c r="AK87" s="636" t="n">
        <v>0</v>
      </c>
      <c r="AL87" s="635"/>
      <c r="AM87" s="636" t="n">
        <v>0</v>
      </c>
      <c r="AN87" s="637" t="n">
        <v>0</v>
      </c>
      <c r="AO87" s="647"/>
      <c r="AP87" s="647"/>
      <c r="AQ87" s="566"/>
      <c r="AR87" s="566"/>
      <c r="AS87" s="566"/>
      <c r="AT87" s="571"/>
    </row>
    <row r="88" customFormat="false" ht="54" hidden="false" customHeight="true" outlineLevel="0" collapsed="false">
      <c r="B88" s="557"/>
      <c r="C88" s="558" t="n">
        <v>5</v>
      </c>
      <c r="D88" s="633" t="s">
        <v>414</v>
      </c>
      <c r="E88" s="634" t="n">
        <v>0</v>
      </c>
      <c r="F88" s="635"/>
      <c r="G88" s="634" t="n">
        <v>0</v>
      </c>
      <c r="H88" s="635"/>
      <c r="I88" s="634" t="n">
        <v>0</v>
      </c>
      <c r="J88" s="635"/>
      <c r="K88" s="634" t="n">
        <v>0</v>
      </c>
      <c r="L88" s="635"/>
      <c r="M88" s="634" t="n">
        <v>0</v>
      </c>
      <c r="N88" s="635"/>
      <c r="O88" s="634" t="n">
        <v>0</v>
      </c>
      <c r="P88" s="635"/>
      <c r="Q88" s="634" t="n">
        <v>0</v>
      </c>
      <c r="R88" s="635"/>
      <c r="S88" s="634" t="n">
        <v>0</v>
      </c>
      <c r="T88" s="635"/>
      <c r="U88" s="634" t="n">
        <v>0</v>
      </c>
      <c r="V88" s="635"/>
      <c r="W88" s="634" t="n">
        <v>0</v>
      </c>
      <c r="X88" s="635"/>
      <c r="Y88" s="634" t="n">
        <v>0</v>
      </c>
      <c r="Z88" s="635"/>
      <c r="AA88" s="634" t="n">
        <v>0</v>
      </c>
      <c r="AB88" s="635"/>
      <c r="AC88" s="634" t="n">
        <v>0</v>
      </c>
      <c r="AD88" s="635"/>
      <c r="AE88" s="634"/>
      <c r="AF88" s="635"/>
      <c r="AG88" s="634"/>
      <c r="AH88" s="634"/>
      <c r="AI88" s="636" t="n">
        <v>0</v>
      </c>
      <c r="AJ88" s="635"/>
      <c r="AK88" s="636" t="n">
        <v>0</v>
      </c>
      <c r="AL88" s="635"/>
      <c r="AM88" s="636" t="n">
        <v>0</v>
      </c>
      <c r="AN88" s="637" t="n">
        <v>0</v>
      </c>
      <c r="AO88" s="647"/>
      <c r="AP88" s="647"/>
      <c r="AQ88" s="566"/>
      <c r="AR88" s="566" t="s">
        <v>2554</v>
      </c>
      <c r="AS88" s="566"/>
      <c r="AT88" s="571"/>
    </row>
    <row r="89" customFormat="false" ht="16.5" hidden="false" customHeight="false" outlineLevel="0" collapsed="false">
      <c r="B89" s="557"/>
      <c r="C89" s="558" t="n">
        <v>6</v>
      </c>
      <c r="D89" s="633" t="s">
        <v>415</v>
      </c>
      <c r="E89" s="634" t="n">
        <v>0</v>
      </c>
      <c r="F89" s="635"/>
      <c r="G89" s="634" t="n">
        <v>0</v>
      </c>
      <c r="H89" s="635"/>
      <c r="I89" s="634" t="n">
        <v>0</v>
      </c>
      <c r="J89" s="635"/>
      <c r="K89" s="634" t="n">
        <v>0</v>
      </c>
      <c r="L89" s="635"/>
      <c r="M89" s="634" t="n">
        <v>0</v>
      </c>
      <c r="N89" s="635"/>
      <c r="O89" s="634" t="n">
        <v>0</v>
      </c>
      <c r="P89" s="635"/>
      <c r="Q89" s="634" t="n">
        <v>0</v>
      </c>
      <c r="R89" s="635"/>
      <c r="S89" s="634" t="n">
        <v>0</v>
      </c>
      <c r="T89" s="635"/>
      <c r="U89" s="634" t="n">
        <v>0</v>
      </c>
      <c r="V89" s="635"/>
      <c r="W89" s="634" t="n">
        <v>0</v>
      </c>
      <c r="X89" s="635"/>
      <c r="Y89" s="634" t="n">
        <v>0</v>
      </c>
      <c r="Z89" s="635"/>
      <c r="AA89" s="634" t="n">
        <v>0</v>
      </c>
      <c r="AB89" s="635"/>
      <c r="AC89" s="634" t="n">
        <v>0</v>
      </c>
      <c r="AD89" s="635"/>
      <c r="AE89" s="634"/>
      <c r="AF89" s="635"/>
      <c r="AG89" s="634"/>
      <c r="AH89" s="634"/>
      <c r="AI89" s="636" t="n">
        <v>0</v>
      </c>
      <c r="AJ89" s="635"/>
      <c r="AK89" s="636" t="n">
        <v>0</v>
      </c>
      <c r="AL89" s="635"/>
      <c r="AM89" s="636" t="n">
        <v>0</v>
      </c>
      <c r="AN89" s="637" t="n">
        <v>0</v>
      </c>
      <c r="AO89" s="647"/>
      <c r="AP89" s="647"/>
      <c r="AQ89" s="566"/>
      <c r="AR89" s="566"/>
      <c r="AS89" s="566"/>
      <c r="AT89" s="571"/>
    </row>
    <row r="90" customFormat="false" ht="16.5" hidden="false" customHeight="false" outlineLevel="0" collapsed="false">
      <c r="B90" s="557"/>
      <c r="C90" s="558" t="n">
        <v>7</v>
      </c>
      <c r="D90" s="633" t="s">
        <v>416</v>
      </c>
      <c r="E90" s="634" t="n">
        <v>0</v>
      </c>
      <c r="F90" s="635"/>
      <c r="G90" s="634" t="n">
        <v>0</v>
      </c>
      <c r="H90" s="635"/>
      <c r="I90" s="634" t="n">
        <v>0</v>
      </c>
      <c r="J90" s="635"/>
      <c r="K90" s="634" t="n">
        <v>0</v>
      </c>
      <c r="L90" s="635"/>
      <c r="M90" s="634" t="n">
        <v>0</v>
      </c>
      <c r="N90" s="635"/>
      <c r="O90" s="634" t="n">
        <v>0</v>
      </c>
      <c r="P90" s="635"/>
      <c r="Q90" s="634" t="n">
        <v>0</v>
      </c>
      <c r="R90" s="635"/>
      <c r="S90" s="634" t="n">
        <v>0</v>
      </c>
      <c r="T90" s="635"/>
      <c r="U90" s="634" t="n">
        <v>0</v>
      </c>
      <c r="V90" s="635"/>
      <c r="W90" s="634" t="n">
        <v>0</v>
      </c>
      <c r="X90" s="635"/>
      <c r="Y90" s="634" t="n">
        <v>0</v>
      </c>
      <c r="Z90" s="635"/>
      <c r="AA90" s="634" t="n">
        <v>0</v>
      </c>
      <c r="AB90" s="635"/>
      <c r="AC90" s="634" t="n">
        <v>0</v>
      </c>
      <c r="AD90" s="635"/>
      <c r="AE90" s="634"/>
      <c r="AF90" s="635"/>
      <c r="AG90" s="634"/>
      <c r="AH90" s="634"/>
      <c r="AI90" s="636" t="n">
        <v>0</v>
      </c>
      <c r="AJ90" s="635"/>
      <c r="AK90" s="636" t="n">
        <v>0</v>
      </c>
      <c r="AL90" s="635"/>
      <c r="AM90" s="636" t="n">
        <v>0</v>
      </c>
      <c r="AN90" s="637" t="n">
        <v>0</v>
      </c>
      <c r="AO90" s="647"/>
      <c r="AP90" s="647"/>
      <c r="AQ90" s="566"/>
      <c r="AR90" s="566"/>
      <c r="AS90" s="566"/>
      <c r="AT90" s="571"/>
    </row>
    <row r="91" customFormat="false" ht="16.5" hidden="false" customHeight="false" outlineLevel="0" collapsed="false">
      <c r="B91" s="557"/>
      <c r="C91" s="558" t="n">
        <v>8</v>
      </c>
      <c r="D91" s="633" t="s">
        <v>417</v>
      </c>
      <c r="E91" s="634" t="n">
        <v>0</v>
      </c>
      <c r="F91" s="635"/>
      <c r="G91" s="634" t="n">
        <v>0</v>
      </c>
      <c r="H91" s="635"/>
      <c r="I91" s="634" t="n">
        <v>0</v>
      </c>
      <c r="J91" s="635"/>
      <c r="K91" s="634" t="n">
        <v>0</v>
      </c>
      <c r="L91" s="635"/>
      <c r="M91" s="634" t="n">
        <v>0</v>
      </c>
      <c r="N91" s="635"/>
      <c r="O91" s="634" t="n">
        <v>0</v>
      </c>
      <c r="P91" s="635"/>
      <c r="Q91" s="634" t="n">
        <v>0</v>
      </c>
      <c r="R91" s="635"/>
      <c r="S91" s="634" t="n">
        <v>0</v>
      </c>
      <c r="T91" s="635"/>
      <c r="U91" s="634" t="n">
        <v>0</v>
      </c>
      <c r="V91" s="635"/>
      <c r="W91" s="634" t="n">
        <v>0</v>
      </c>
      <c r="X91" s="635"/>
      <c r="Y91" s="634" t="n">
        <v>0</v>
      </c>
      <c r="Z91" s="635"/>
      <c r="AA91" s="634" t="n">
        <v>0</v>
      </c>
      <c r="AB91" s="635"/>
      <c r="AC91" s="634" t="n">
        <v>0</v>
      </c>
      <c r="AD91" s="635"/>
      <c r="AE91" s="634"/>
      <c r="AF91" s="635"/>
      <c r="AG91" s="634"/>
      <c r="AH91" s="634"/>
      <c r="AI91" s="636" t="n">
        <v>0</v>
      </c>
      <c r="AJ91" s="635"/>
      <c r="AK91" s="636" t="n">
        <v>0</v>
      </c>
      <c r="AL91" s="635"/>
      <c r="AM91" s="636" t="n">
        <v>0</v>
      </c>
      <c r="AN91" s="637" t="n">
        <v>0</v>
      </c>
      <c r="AO91" s="647"/>
      <c r="AP91" s="647"/>
      <c r="AQ91" s="566"/>
      <c r="AR91" s="566"/>
      <c r="AS91" s="566"/>
      <c r="AT91" s="571"/>
    </row>
    <row r="92" customFormat="false" ht="16.5" hidden="false" customHeight="false" outlineLevel="0" collapsed="false">
      <c r="B92" s="557"/>
      <c r="C92" s="558" t="n">
        <v>9</v>
      </c>
      <c r="D92" s="633" t="s">
        <v>418</v>
      </c>
      <c r="E92" s="634" t="n">
        <v>0</v>
      </c>
      <c r="F92" s="635"/>
      <c r="G92" s="634" t="n">
        <v>0</v>
      </c>
      <c r="H92" s="635"/>
      <c r="I92" s="634" t="n">
        <v>0</v>
      </c>
      <c r="J92" s="635"/>
      <c r="K92" s="634" t="n">
        <v>0</v>
      </c>
      <c r="L92" s="635"/>
      <c r="M92" s="634" t="n">
        <v>0</v>
      </c>
      <c r="N92" s="635"/>
      <c r="O92" s="634" t="n">
        <v>0</v>
      </c>
      <c r="P92" s="635"/>
      <c r="Q92" s="634" t="n">
        <v>0</v>
      </c>
      <c r="R92" s="635"/>
      <c r="S92" s="634" t="n">
        <v>0</v>
      </c>
      <c r="T92" s="635"/>
      <c r="U92" s="634" t="n">
        <v>0</v>
      </c>
      <c r="V92" s="635"/>
      <c r="W92" s="634" t="n">
        <v>0</v>
      </c>
      <c r="X92" s="635"/>
      <c r="Y92" s="634" t="n">
        <v>0</v>
      </c>
      <c r="Z92" s="635"/>
      <c r="AA92" s="634" t="n">
        <v>0</v>
      </c>
      <c r="AB92" s="635"/>
      <c r="AC92" s="634" t="n">
        <v>0</v>
      </c>
      <c r="AD92" s="635"/>
      <c r="AE92" s="634"/>
      <c r="AF92" s="635"/>
      <c r="AG92" s="634"/>
      <c r="AH92" s="634"/>
      <c r="AI92" s="636" t="n">
        <v>0</v>
      </c>
      <c r="AJ92" s="635"/>
      <c r="AK92" s="636" t="n">
        <v>3082601054</v>
      </c>
      <c r="AL92" s="635"/>
      <c r="AM92" s="636" t="n">
        <v>-3082601054</v>
      </c>
      <c r="AN92" s="637" t="n">
        <v>-1</v>
      </c>
      <c r="AO92" s="647"/>
      <c r="AP92" s="638" t="s">
        <v>2453</v>
      </c>
      <c r="AQ92" s="567" t="s">
        <v>2555</v>
      </c>
      <c r="AR92" s="567" t="s">
        <v>2555</v>
      </c>
      <c r="AS92" s="567" t="s">
        <v>2556</v>
      </c>
      <c r="AT92" s="571"/>
    </row>
    <row r="93" customFormat="false" ht="25.35" hidden="false" customHeight="false" outlineLevel="0" collapsed="false">
      <c r="B93" s="557"/>
      <c r="C93" s="558" t="n">
        <v>10</v>
      </c>
      <c r="D93" s="633" t="s">
        <v>419</v>
      </c>
      <c r="E93" s="634" t="n">
        <v>-2110184629</v>
      </c>
      <c r="F93" s="635"/>
      <c r="G93" s="634" t="n">
        <v>-2355052</v>
      </c>
      <c r="H93" s="635"/>
      <c r="I93" s="634" t="n">
        <v>30995522</v>
      </c>
      <c r="J93" s="635"/>
      <c r="K93" s="634" t="n">
        <v>1623</v>
      </c>
      <c r="L93" s="635"/>
      <c r="M93" s="634" t="n">
        <v>69000001</v>
      </c>
      <c r="N93" s="635"/>
      <c r="O93" s="634" t="n">
        <v>0</v>
      </c>
      <c r="P93" s="635"/>
      <c r="Q93" s="634" t="n">
        <v>0</v>
      </c>
      <c r="R93" s="635"/>
      <c r="S93" s="634" t="n">
        <v>4980</v>
      </c>
      <c r="T93" s="635"/>
      <c r="U93" s="634" t="n">
        <v>5305</v>
      </c>
      <c r="V93" s="635"/>
      <c r="W93" s="634" t="n">
        <v>0</v>
      </c>
      <c r="X93" s="635"/>
      <c r="Y93" s="634" t="n">
        <v>0</v>
      </c>
      <c r="Z93" s="635"/>
      <c r="AA93" s="634" t="n">
        <v>-2207837010</v>
      </c>
      <c r="AB93" s="635"/>
      <c r="AC93" s="634" t="n">
        <v>2</v>
      </c>
      <c r="AD93" s="635"/>
      <c r="AE93" s="634" t="n">
        <v>2207843185</v>
      </c>
      <c r="AF93" s="635"/>
      <c r="AG93" s="634"/>
      <c r="AH93" s="634"/>
      <c r="AI93" s="636" t="n">
        <v>97658556</v>
      </c>
      <c r="AJ93" s="635"/>
      <c r="AK93" s="636" t="n">
        <v>211982026</v>
      </c>
      <c r="AL93" s="635"/>
      <c r="AM93" s="636" t="n">
        <v>-2207843185</v>
      </c>
      <c r="AN93" s="637" t="n">
        <v>-10.4152376815193</v>
      </c>
      <c r="AO93" s="647"/>
      <c r="AP93" s="638" t="s">
        <v>2453</v>
      </c>
      <c r="AQ93" s="566" t="s">
        <v>2557</v>
      </c>
      <c r="AR93" s="566"/>
      <c r="AS93" s="566"/>
      <c r="AT93" s="571"/>
    </row>
    <row r="94" customFormat="false" ht="25.35" hidden="false" customHeight="false" outlineLevel="0" collapsed="false">
      <c r="A94" s="612"/>
      <c r="B94" s="544" t="s">
        <v>2420</v>
      </c>
      <c r="C94" s="545" t="s">
        <v>2421</v>
      </c>
      <c r="D94" s="639"/>
      <c r="E94" s="628"/>
      <c r="F94" s="629" t="n">
        <v>48607875152</v>
      </c>
      <c r="G94" s="628"/>
      <c r="H94" s="629" t="n">
        <v>5270355199</v>
      </c>
      <c r="I94" s="628"/>
      <c r="J94" s="629" t="n">
        <v>-18447890729</v>
      </c>
      <c r="K94" s="628"/>
      <c r="L94" s="629" t="n">
        <v>-322852268</v>
      </c>
      <c r="M94" s="628"/>
      <c r="N94" s="629" t="n">
        <v>19408549316</v>
      </c>
      <c r="O94" s="628"/>
      <c r="P94" s="629" t="n">
        <v>4811899721</v>
      </c>
      <c r="Q94" s="628"/>
      <c r="R94" s="629" t="n">
        <v>5484830141</v>
      </c>
      <c r="S94" s="628"/>
      <c r="T94" s="629" t="n">
        <v>4943781138</v>
      </c>
      <c r="U94" s="628"/>
      <c r="V94" s="629" t="n">
        <v>2797413485</v>
      </c>
      <c r="W94" s="628"/>
      <c r="X94" s="629" t="n">
        <v>19688051101</v>
      </c>
      <c r="Y94" s="628"/>
      <c r="Z94" s="629" t="n">
        <v>8924358392</v>
      </c>
      <c r="AA94" s="628"/>
      <c r="AB94" s="629" t="n">
        <v>9685851396</v>
      </c>
      <c r="AC94" s="628"/>
      <c r="AD94" s="629" t="n">
        <v>4505129938</v>
      </c>
      <c r="AE94" s="628"/>
      <c r="AF94" s="629"/>
      <c r="AG94" s="628"/>
      <c r="AH94" s="628"/>
      <c r="AI94" s="630"/>
      <c r="AJ94" s="629" t="n">
        <v>48208293350</v>
      </c>
      <c r="AK94" s="630"/>
      <c r="AL94" s="629" t="n">
        <v>27470503271.9254</v>
      </c>
      <c r="AM94" s="630" t="n">
        <v>20737790078.0746</v>
      </c>
      <c r="AN94" s="631" t="n">
        <v>0.754911181378626</v>
      </c>
      <c r="AO94" s="640"/>
      <c r="AP94" s="640"/>
      <c r="AQ94" s="641"/>
      <c r="AR94" s="641"/>
      <c r="AS94" s="641"/>
      <c r="AT94" s="571"/>
    </row>
    <row r="95" customFormat="false" ht="27" hidden="false" customHeight="true" outlineLevel="0" collapsed="false">
      <c r="A95" s="612"/>
      <c r="B95" s="544" t="s">
        <v>2422</v>
      </c>
      <c r="C95" s="545" t="s">
        <v>428</v>
      </c>
      <c r="D95" s="639"/>
      <c r="E95" s="628"/>
      <c r="F95" s="629" t="n">
        <v>8748633675</v>
      </c>
      <c r="G95" s="628"/>
      <c r="H95" s="629" t="n">
        <v>637289329</v>
      </c>
      <c r="I95" s="628"/>
      <c r="J95" s="629" t="n">
        <v>-5463651592</v>
      </c>
      <c r="K95" s="628"/>
      <c r="L95" s="629" t="n">
        <v>101804192</v>
      </c>
      <c r="M95" s="628"/>
      <c r="N95" s="629" t="n">
        <v>6256525005</v>
      </c>
      <c r="O95" s="628"/>
      <c r="P95" s="629" t="n">
        <v>0</v>
      </c>
      <c r="Q95" s="628"/>
      <c r="R95" s="629" t="n">
        <v>-31</v>
      </c>
      <c r="S95" s="628"/>
      <c r="T95" s="629" t="n">
        <v>2946048228</v>
      </c>
      <c r="U95" s="628"/>
      <c r="V95" s="629" t="n">
        <v>0</v>
      </c>
      <c r="W95" s="628"/>
      <c r="X95" s="629" t="n">
        <v>-44423023</v>
      </c>
      <c r="Y95" s="628"/>
      <c r="Z95" s="629" t="n">
        <v>4197919517</v>
      </c>
      <c r="AA95" s="628"/>
      <c r="AB95" s="629" t="n">
        <v>117122050</v>
      </c>
      <c r="AC95" s="628"/>
      <c r="AD95" s="629" t="n">
        <v>0</v>
      </c>
      <c r="AE95" s="628" t="n">
        <v>2212171783</v>
      </c>
      <c r="AF95" s="629"/>
      <c r="AG95" s="628"/>
      <c r="AH95" s="628" t="n">
        <v>-712350446</v>
      </c>
      <c r="AI95" s="630"/>
      <c r="AJ95" s="629" t="n">
        <v>10248455012</v>
      </c>
      <c r="AK95" s="630"/>
      <c r="AL95" s="629" t="n">
        <v>6002740273</v>
      </c>
      <c r="AM95" s="630" t="n">
        <v>4245714739</v>
      </c>
      <c r="AN95" s="631" t="n">
        <v>0.707296092435816</v>
      </c>
      <c r="AO95" s="640"/>
      <c r="AP95" s="640" t="s">
        <v>2453</v>
      </c>
      <c r="AQ95" s="641" t="s">
        <v>2558</v>
      </c>
      <c r="AR95" s="641" t="s">
        <v>2559</v>
      </c>
      <c r="AS95" s="641" t="s">
        <v>2560</v>
      </c>
      <c r="AT95" s="571"/>
    </row>
    <row r="96" customFormat="false" ht="25.35" hidden="false" customHeight="false" outlineLevel="0" collapsed="false">
      <c r="A96" s="612"/>
      <c r="B96" s="597" t="s">
        <v>2423</v>
      </c>
      <c r="C96" s="598" t="s">
        <v>251</v>
      </c>
      <c r="D96" s="648"/>
      <c r="E96" s="649"/>
      <c r="F96" s="650" t="n">
        <v>39859241477</v>
      </c>
      <c r="G96" s="649"/>
      <c r="H96" s="650" t="n">
        <v>4633065870</v>
      </c>
      <c r="I96" s="649"/>
      <c r="J96" s="650" t="n">
        <v>-12984239137</v>
      </c>
      <c r="K96" s="649"/>
      <c r="L96" s="650" t="n">
        <v>-424656460</v>
      </c>
      <c r="M96" s="649"/>
      <c r="N96" s="650" t="n">
        <v>13152024311</v>
      </c>
      <c r="O96" s="649"/>
      <c r="P96" s="650" t="n">
        <v>4811899721</v>
      </c>
      <c r="Q96" s="649"/>
      <c r="R96" s="650" t="n">
        <v>5484830172</v>
      </c>
      <c r="S96" s="651"/>
      <c r="T96" s="650" t="n">
        <v>1997732910</v>
      </c>
      <c r="U96" s="649"/>
      <c r="V96" s="650" t="n">
        <v>2797413485</v>
      </c>
      <c r="W96" s="649"/>
      <c r="X96" s="650" t="n">
        <v>19732474124</v>
      </c>
      <c r="Y96" s="649"/>
      <c r="Z96" s="650" t="n">
        <v>4726438875</v>
      </c>
      <c r="AA96" s="649"/>
      <c r="AB96" s="650" t="n">
        <v>9568729346</v>
      </c>
      <c r="AC96" s="649"/>
      <c r="AD96" s="650" t="n">
        <v>4505129938</v>
      </c>
      <c r="AE96" s="649"/>
      <c r="AF96" s="650"/>
      <c r="AG96" s="649"/>
      <c r="AH96" s="649"/>
      <c r="AI96" s="651"/>
      <c r="AJ96" s="650" t="n">
        <v>37959838338</v>
      </c>
      <c r="AK96" s="652"/>
      <c r="AL96" s="650" t="n">
        <v>21467762998.9254</v>
      </c>
      <c r="AM96" s="652" t="n">
        <v>16492075339.0746</v>
      </c>
      <c r="AN96" s="653" t="n">
        <v>0.768225144832283</v>
      </c>
      <c r="AO96" s="654"/>
      <c r="AP96" s="654"/>
      <c r="AQ96" s="607"/>
      <c r="AR96" s="607"/>
      <c r="AS96" s="607"/>
      <c r="AT96" s="571"/>
    </row>
    <row r="97" customFormat="false" ht="25.35" hidden="false" customHeight="false" outlineLevel="0" collapsed="false">
      <c r="F97" s="655"/>
      <c r="H97" s="655"/>
      <c r="J97" s="655"/>
      <c r="L97" s="655"/>
      <c r="N97" s="655"/>
      <c r="P97" s="655"/>
      <c r="R97" s="655"/>
      <c r="T97" s="655"/>
      <c r="V97" s="655"/>
      <c r="X97" s="655"/>
      <c r="Z97" s="655"/>
      <c r="AB97" s="655"/>
      <c r="AD97" s="655"/>
      <c r="AE97" s="655" t="n">
        <v>6221334801</v>
      </c>
      <c r="AF97" s="655" t="n">
        <v>-1507428582</v>
      </c>
      <c r="AG97" s="655" t="n">
        <v>30146015321</v>
      </c>
      <c r="AH97" s="655" t="n">
        <v>-32960518402</v>
      </c>
      <c r="AI97" s="655"/>
      <c r="AJ97" s="655"/>
      <c r="AL97" s="655"/>
      <c r="AM97" s="616"/>
      <c r="AN97" s="616"/>
      <c r="AO97" s="617"/>
      <c r="AP97" s="617"/>
      <c r="AQ97" s="616"/>
      <c r="AR97" s="616"/>
      <c r="AS97" s="616"/>
      <c r="AT97" s="571"/>
    </row>
    <row r="98" customFormat="false" ht="26.1" hidden="false" customHeight="false" outlineLevel="0" collapsed="false">
      <c r="E98" s="655" t="s">
        <v>2369</v>
      </c>
      <c r="F98" s="655" t="n">
        <v>-39859241478</v>
      </c>
      <c r="H98" s="655" t="n">
        <v>2059537574</v>
      </c>
      <c r="J98" s="655" t="n">
        <v>7610996</v>
      </c>
      <c r="L98" s="655" t="n">
        <v>1169110833</v>
      </c>
      <c r="N98" s="655" t="n">
        <v>984744097</v>
      </c>
      <c r="P98" s="655" t="n">
        <v>550933639</v>
      </c>
      <c r="R98" s="655" t="n">
        <v>116276014</v>
      </c>
      <c r="T98" s="655" t="s">
        <v>2561</v>
      </c>
      <c r="V98" s="655" t="s">
        <v>2561</v>
      </c>
      <c r="X98" s="655" t="s">
        <v>2561</v>
      </c>
      <c r="Z98" s="655" t="s">
        <v>2561</v>
      </c>
      <c r="AB98" s="655" t="s">
        <v>2561</v>
      </c>
      <c r="AD98" s="655" t="s">
        <v>2561</v>
      </c>
      <c r="AE98" s="655"/>
      <c r="AF98" s="655"/>
      <c r="AG98" s="655"/>
      <c r="AH98" s="655"/>
      <c r="AI98" s="655"/>
      <c r="AJ98" s="655" t="n">
        <v>-39859241478</v>
      </c>
      <c r="AL98" s="655" t="n">
        <v>21467762998.9254</v>
      </c>
      <c r="AM98" s="616"/>
      <c r="AN98" s="616"/>
      <c r="AO98" s="617"/>
      <c r="AP98" s="617"/>
      <c r="AQ98" s="616"/>
      <c r="AR98" s="616"/>
      <c r="AS98" s="616"/>
      <c r="AT98" s="571"/>
    </row>
    <row r="99" customFormat="false" ht="26.1" hidden="false" customHeight="false" outlineLevel="0" collapsed="false">
      <c r="A99" s="656"/>
      <c r="D99" s="656"/>
      <c r="E99" s="655" t="s">
        <v>2369</v>
      </c>
      <c r="F99" s="655" t="n">
        <v>-1</v>
      </c>
      <c r="G99" s="655"/>
      <c r="H99" s="655" t="n">
        <v>6692603444</v>
      </c>
      <c r="I99" s="655"/>
      <c r="J99" s="655" t="n">
        <v>-12976628141</v>
      </c>
      <c r="K99" s="655"/>
      <c r="L99" s="655" t="n">
        <v>744454373</v>
      </c>
      <c r="M99" s="655"/>
      <c r="N99" s="655" t="n">
        <v>14136768408</v>
      </c>
      <c r="O99" s="655"/>
      <c r="P99" s="655" t="n">
        <v>5362833360</v>
      </c>
      <c r="Q99" s="655"/>
      <c r="R99" s="655" t="n">
        <v>5601106186</v>
      </c>
      <c r="S99" s="655"/>
      <c r="T99" s="655" t="s">
        <v>2561</v>
      </c>
      <c r="U99" s="655"/>
      <c r="V99" s="655" t="s">
        <v>2561</v>
      </c>
      <c r="W99" s="655"/>
      <c r="X99" s="655" t="s">
        <v>2561</v>
      </c>
      <c r="Y99" s="655"/>
      <c r="Z99" s="655" t="s">
        <v>2561</v>
      </c>
      <c r="AA99" s="655"/>
      <c r="AB99" s="655" t="s">
        <v>2561</v>
      </c>
      <c r="AC99" s="655"/>
      <c r="AD99" s="655" t="s">
        <v>2561</v>
      </c>
      <c r="AE99" s="655" t="n">
        <v>240942961</v>
      </c>
      <c r="AF99" s="655" t="n">
        <v>-1158968332</v>
      </c>
      <c r="AG99" s="655"/>
      <c r="AH99" s="655"/>
      <c r="AI99" s="655"/>
      <c r="AJ99" s="655" t="n">
        <v>-1899403140</v>
      </c>
      <c r="AK99" s="655"/>
      <c r="AL99" s="655" t="n">
        <v>0</v>
      </c>
      <c r="AM99" s="616"/>
      <c r="AN99" s="616"/>
      <c r="AO99" s="617"/>
      <c r="AP99" s="617"/>
      <c r="AQ99" s="616"/>
      <c r="AR99" s="616"/>
      <c r="AS99" s="616"/>
      <c r="AT99" s="571"/>
    </row>
    <row r="101" customFormat="false" ht="16.5" hidden="false" customHeight="false" outlineLevel="0" collapsed="false">
      <c r="B101" s="610" t="s">
        <v>2497</v>
      </c>
    </row>
    <row r="102" customFormat="false" ht="16.5" hidden="false" customHeight="false" outlineLevel="0" collapsed="false">
      <c r="B102" s="524" t="s">
        <v>2498</v>
      </c>
    </row>
    <row r="104" customFormat="false" ht="16.5" hidden="false" customHeight="false" outlineLevel="0" collapsed="false">
      <c r="AI104" s="657" t="s">
        <v>273</v>
      </c>
      <c r="AJ104" s="658"/>
      <c r="AK104" s="659"/>
      <c r="AT104" s="514"/>
    </row>
    <row r="105" customFormat="false" ht="16.5" hidden="false" customHeight="false" outlineLevel="0" collapsed="false">
      <c r="AI105" s="660" t="s">
        <v>275</v>
      </c>
      <c r="AJ105" s="661" t="s">
        <v>2562</v>
      </c>
      <c r="AK105" s="659"/>
      <c r="AT105" s="514"/>
    </row>
    <row r="106" customFormat="false" ht="16.5" hidden="false" customHeight="false" outlineLevel="0" collapsed="false">
      <c r="AI106" s="662" t="s">
        <v>279</v>
      </c>
      <c r="AJ106" s="663" t="n">
        <v>160701424589</v>
      </c>
      <c r="AK106" s="659"/>
      <c r="AL106" s="616" t="n">
        <v>64550000</v>
      </c>
      <c r="AM106" s="664" t="s">
        <v>2389</v>
      </c>
      <c r="AN106" s="664" t="n">
        <v>-266854</v>
      </c>
      <c r="AO106" s="617"/>
      <c r="AP106" s="617"/>
      <c r="AQ106" s="664"/>
      <c r="AR106" s="664"/>
      <c r="AS106" s="664"/>
    </row>
    <row r="107" customFormat="false" ht="16.5" hidden="false" customHeight="false" outlineLevel="0" collapsed="false">
      <c r="AI107" s="662" t="s">
        <v>281</v>
      </c>
      <c r="AJ107" s="665" t="n">
        <v>496634725832</v>
      </c>
      <c r="AK107" s="659"/>
      <c r="AL107" s="664" t="n">
        <v>68231100</v>
      </c>
      <c r="AM107" s="666" t="s">
        <v>2390</v>
      </c>
      <c r="AN107" s="664" t="n">
        <v>41876887</v>
      </c>
      <c r="AO107" s="617"/>
      <c r="AP107" s="617"/>
      <c r="AQ107" s="664"/>
      <c r="AR107" s="664"/>
      <c r="AS107" s="664"/>
    </row>
    <row r="108" customFormat="false" ht="16.5" hidden="false" customHeight="false" outlineLevel="0" collapsed="false">
      <c r="AI108" s="667" t="s">
        <v>283</v>
      </c>
      <c r="AJ108" s="665" t="n">
        <v>500932927846</v>
      </c>
      <c r="AK108" s="659" t="s">
        <v>284</v>
      </c>
      <c r="AL108" s="664" t="n">
        <v>68231300</v>
      </c>
      <c r="AM108" s="664" t="s">
        <v>2389</v>
      </c>
      <c r="AN108" s="664" t="n">
        <v>256179360</v>
      </c>
      <c r="AO108" s="617"/>
      <c r="AP108" s="617"/>
      <c r="AQ108" s="664"/>
      <c r="AR108" s="664"/>
      <c r="AS108" s="664"/>
    </row>
    <row r="109" customFormat="false" ht="16.5" hidden="false" customHeight="false" outlineLevel="0" collapsed="false">
      <c r="AI109" s="667" t="s">
        <v>296</v>
      </c>
      <c r="AJ109" s="665" t="n">
        <v>-4298202014</v>
      </c>
      <c r="AK109" s="668" t="s">
        <v>2394</v>
      </c>
      <c r="AL109" s="664"/>
      <c r="AM109" s="664"/>
      <c r="AN109" s="664" t="n">
        <v>297789393</v>
      </c>
      <c r="AO109" s="617"/>
      <c r="AP109" s="617"/>
      <c r="AQ109" s="664"/>
      <c r="AR109" s="664"/>
      <c r="AS109" s="664"/>
    </row>
    <row r="110" customFormat="false" ht="16.5" hidden="false" customHeight="false" outlineLevel="0" collapsed="false">
      <c r="AI110" s="662" t="s">
        <v>290</v>
      </c>
      <c r="AJ110" s="665" t="n">
        <v>501592008939</v>
      </c>
      <c r="AK110" s="659"/>
      <c r="AL110" s="664"/>
      <c r="AM110" s="664"/>
      <c r="AN110" s="664"/>
      <c r="AO110" s="617"/>
      <c r="AP110" s="617"/>
      <c r="AQ110" s="664"/>
      <c r="AR110" s="664"/>
      <c r="AS110" s="664"/>
      <c r="AT110" s="666"/>
      <c r="AU110" s="666"/>
      <c r="AV110" s="666"/>
      <c r="AW110" s="666"/>
    </row>
    <row r="111" customFormat="false" ht="16.5" hidden="false" customHeight="false" outlineLevel="0" collapsed="false">
      <c r="AI111" s="669" t="s">
        <v>293</v>
      </c>
      <c r="AJ111" s="670" t="n">
        <v>501294219546</v>
      </c>
      <c r="AK111" s="659" t="s">
        <v>294</v>
      </c>
      <c r="AL111" s="664"/>
      <c r="AM111" s="664"/>
      <c r="AN111" s="664"/>
      <c r="AO111" s="617"/>
      <c r="AP111" s="617"/>
      <c r="AQ111" s="664"/>
      <c r="AR111" s="664"/>
      <c r="AS111" s="664"/>
      <c r="AT111" s="666"/>
      <c r="AU111" s="666"/>
      <c r="AV111" s="666"/>
      <c r="AW111" s="666"/>
    </row>
    <row r="112" customFormat="false" ht="16.5" hidden="false" customHeight="false" outlineLevel="0" collapsed="false">
      <c r="AI112" s="667" t="s">
        <v>296</v>
      </c>
      <c r="AJ112" s="665" t="n">
        <v>297789393</v>
      </c>
      <c r="AK112" s="659" t="s">
        <v>297</v>
      </c>
      <c r="AT112" s="514"/>
      <c r="AU112" s="514"/>
      <c r="AV112" s="514"/>
      <c r="AW112" s="514"/>
    </row>
    <row r="113" customFormat="false" ht="16.5" hidden="false" customHeight="false" outlineLevel="0" collapsed="false">
      <c r="AI113" s="662" t="s">
        <v>299</v>
      </c>
      <c r="AJ113" s="663" t="n">
        <v>155744141482</v>
      </c>
      <c r="AK113" s="659"/>
      <c r="AT113" s="514"/>
      <c r="AU113" s="514"/>
      <c r="AV113" s="514"/>
      <c r="AW113" s="514"/>
    </row>
    <row r="114" customFormat="false" ht="16.5" hidden="false" customHeight="false" outlineLevel="0" collapsed="false">
      <c r="AJ114" s="671" t="n">
        <v>155744141506</v>
      </c>
    </row>
    <row r="115" customFormat="false" ht="16.5" hidden="false" customHeight="false" outlineLevel="0" collapsed="false">
      <c r="AJ115" s="664" t="n">
        <v>-24</v>
      </c>
    </row>
  </sheetData>
  <mergeCells count="40">
    <mergeCell ref="AE5:AF5"/>
    <mergeCell ref="AG5:AH5"/>
    <mergeCell ref="B6:D7"/>
    <mergeCell ref="E6:F7"/>
    <mergeCell ref="G6:H6"/>
    <mergeCell ref="I6:J6"/>
    <mergeCell ref="K6:L6"/>
    <mergeCell ref="M6:N6"/>
    <mergeCell ref="O6:P6"/>
    <mergeCell ref="Q6:R6"/>
    <mergeCell ref="S6:T6"/>
    <mergeCell ref="U6:V6"/>
    <mergeCell ref="W6:X6"/>
    <mergeCell ref="Y6:Z6"/>
    <mergeCell ref="AA6:AB6"/>
    <mergeCell ref="AC6:AD6"/>
    <mergeCell ref="AE6:AF6"/>
    <mergeCell ref="AG6:AH6"/>
    <mergeCell ref="AI6:AJ7"/>
    <mergeCell ref="AK6:AL7"/>
    <mergeCell ref="AM6:AN6"/>
    <mergeCell ref="AO6:AO7"/>
    <mergeCell ref="AP6:AP7"/>
    <mergeCell ref="AQ6:AQ7"/>
    <mergeCell ref="AR6:AR7"/>
    <mergeCell ref="AS6:AS7"/>
    <mergeCell ref="G7:H7"/>
    <mergeCell ref="I7:J7"/>
    <mergeCell ref="K7:L7"/>
    <mergeCell ref="M7:N7"/>
    <mergeCell ref="O7:P7"/>
    <mergeCell ref="Q7:R7"/>
    <mergeCell ref="S7:T7"/>
    <mergeCell ref="U7:V7"/>
    <mergeCell ref="W7:X7"/>
    <mergeCell ref="Y7:Z7"/>
    <mergeCell ref="AA7:AB7"/>
    <mergeCell ref="AC7:AD7"/>
    <mergeCell ref="AE7:AF7"/>
    <mergeCell ref="AG7:AH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2017-01-09T02:09:25Z</dcterms:created>
  <dc:creator>Jeon, Eun-Sun [Finance Korea]</dc:creator>
  <dc:description/>
  <dc:language>en-US</dc:language>
  <cp:lastModifiedBy>Se-Hoon Han</cp:lastModifiedBy>
  <cp:lastPrinted>2023-01-30T01:15:53Z</cp:lastPrinted>
  <dcterms:modified xsi:type="dcterms:W3CDTF">2026-10-19T05:29:54Z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0x0101006515CF14F494B9468FE030E8897A5D25</vt:lpwstr>
  </property>
  <property fmtid="{D5CDD505-2E9C-101B-9397-08002B2CF9AE}" pid="3" name="MSIP_Label_9e3dcb88-8425-4e1d-b1a3-bd5572915bbc_ActionId">
    <vt:lpwstr>3b1f5b8e-bae9-4d5d-a643-0c7d79fa91ef</vt:lpwstr>
  </property>
  <property fmtid="{D5CDD505-2E9C-101B-9397-08002B2CF9AE}" pid="4" name="MSIP_Label_9e3dcb88-8425-4e1d-b1a3-bd5572915bbc_ContentBits">
    <vt:lpwstr>1</vt:lpwstr>
  </property>
  <property fmtid="{D5CDD505-2E9C-101B-9397-08002B2CF9AE}" pid="5" name="MSIP_Label_9e3dcb88-8425-4e1d-b1a3-bd5572915bbc_Enabled">
    <vt:lpwstr>true</vt:lpwstr>
  </property>
  <property fmtid="{D5CDD505-2E9C-101B-9397-08002B2CF9AE}" pid="6" name="MSIP_Label_9e3dcb88-8425-4e1d-b1a3-bd5572915bbc_Method">
    <vt:lpwstr>Privileged</vt:lpwstr>
  </property>
  <property fmtid="{D5CDD505-2E9C-101B-9397-08002B2CF9AE}" pid="7" name="MSIP_Label_9e3dcb88-8425-4e1d-b1a3-bd5572915bbc_Name">
    <vt:lpwstr>Internal</vt:lpwstr>
  </property>
  <property fmtid="{D5CDD505-2E9C-101B-9397-08002B2CF9AE}" pid="8" name="MSIP_Label_9e3dcb88-8425-4e1d-b1a3-bd5572915bbc_SetDate">
    <vt:lpwstr>2025-10-10T00:18:16Z</vt:lpwstr>
  </property>
  <property fmtid="{D5CDD505-2E9C-101B-9397-08002B2CF9AE}" pid="9" name="MSIP_Label_9e3dcb88-8425-4e1d-b1a3-bd5572915bbc_SiteId">
    <vt:lpwstr>aca3c8d6-aa71-4e1a-a10e-03572fc58c0b</vt:lpwstr>
  </property>
  <property fmtid="{D5CDD505-2E9C-101B-9397-08002B2CF9AE}" pid="10" name="MSIP_Label_9e3dcb88-8425-4e1d-b1a3-bd5572915bbc_Tag">
    <vt:lpwstr>10, 0, 1, 1</vt:lpwstr>
  </property>
</Properties>
</file>