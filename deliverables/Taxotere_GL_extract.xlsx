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수불부_매입원장 대사" sheetId="2" state="visible" r:id="rId4"/>
    <sheet name="분개상세" sheetId="3" state="visible" r:id="rId5"/>
  </sheets>
  <definedNames>
    <definedName function="false" hidden="true" localSheetId="2" name="_xlnm._FilterDatabase" vbProcedure="false">분개상세!$A$1:$Q$256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<sst xmlns="http://schemas.openxmlformats.org/spreadsheetml/2006/main" count="3080" uniqueCount="446">
  <si>
    <t xml:space="preserve">Taxotere(Taxus) 사업양도 관련 GL 분개 추출 (2026.01~09)</t>
  </si>
  <si>
    <t xml:space="preserve">출처: 010_General_ledger 2026.01~03 / 04~06 / 07~09. GL 금액은 원 단위 ÷100으로 추출되어 있어 ×100 환산(파일 자체의 "Loc.curr.amount (*100)" 열 기준). 금액은 차변(+)/대변(-).</t>
  </si>
  <si>
    <t xml:space="preserve">항목</t>
  </si>
  <si>
    <t xml:space="preserve">GL 추출(원)</t>
  </si>
  <si>
    <t xml:space="preserve">회사 요약/BSPL(원)</t>
  </si>
  <si>
    <t xml:space="preserve">비고</t>
  </si>
  <si>
    <t xml:space="preserve">차이</t>
  </si>
  <si>
    <t xml:space="preserve">1. APA 재고 매각 (보령)</t>
  </si>
  <si>
    <t xml:space="preserve">처분대가 77030700 (대변)</t>
  </si>
  <si>
    <t xml:space="preserve">BSPL2026 9월 잔액 / 요약 1,874,481,188</t>
  </si>
  <si>
    <t xml:space="preserve">처분 장부가 75520700 (차변)</t>
  </si>
  <si>
    <t xml:space="preserve">최초 4,769,643,900 - true-up 1,522,789,100</t>
  </si>
  <si>
    <t xml:space="preserve">처분손실 (순액)</t>
  </si>
  <si>
    <t xml:space="preserve">정산표 투자자산처분손실</t>
  </si>
  <si>
    <t xml:space="preserve">재고 20000851 순변동</t>
  </si>
  <si>
    <t xml:space="preserve">매각 시 차감 → C에서 같은 표준원가로 재인식</t>
  </si>
  <si>
    <t xml:space="preserve">매출 부가세 42920000</t>
  </si>
  <si>
    <t xml:space="preserve">최초 276,288,300, true-up 환급 88,857,600 등</t>
  </si>
  <si>
    <t xml:space="preserve">보령 채권 24000812 순변동</t>
  </si>
  <si>
    <t xml:space="preserve">5/28 수령 3,039,171,600, 7/30 환급 977,433,700</t>
  </si>
  <si>
    <t xml:space="preserve">2. TDA 재매입 (보령)</t>
  </si>
  <si>
    <t xml:space="preserve">TDA 최초 인보이스(5/29, 2100009304) 공급가</t>
  </si>
  <si>
    <t xml:space="preserve">요약 V.3 F64</t>
  </si>
  <si>
    <t xml:space="preserve">TDA 매입 부가세(최초)</t>
  </si>
  <si>
    <t xml:space="preserve">TDA true-up credit note(7/28) 공급가</t>
  </si>
  <si>
    <t xml:space="preserve">TDA true-up 부가세</t>
  </si>
  <si>
    <t xml:space="preserve">재고 원가차이 자본화 20000030 (재매입 시)</t>
  </si>
  <si>
    <t xml:space="preserve">요약은 표준원가 환산 환율 차이로 41.5백만원 큼</t>
  </si>
  <si>
    <t xml:space="preserve">재고 20000851 순변동 (재매입)</t>
  </si>
  <si>
    <t xml:space="preserve">B 차감분과 상계되어 표준원가 재고는 그대로</t>
  </si>
  <si>
    <t xml:space="preserve">매출원가 계정 순영향 (53000853+54000700+55050850)</t>
  </si>
  <si>
    <t xml:space="preserve">재매입 시점 손익 영향 0</t>
  </si>
  <si>
    <t xml:space="preserve">TDA 대금 지급(7/24) 환차익 74100000</t>
  </si>
  <si>
    <t xml:space="preserve">6,051,697,000 → 5,903,087,200 지급</t>
  </si>
  <si>
    <t xml:space="preserve">외상 매입채무 40000012 순변동</t>
  </si>
  <si>
    <t xml:space="preserve">42000007 / 42910000 재분류 순변동</t>
  </si>
  <si>
    <t xml:space="preserve">5/29 재분류, 8/4 역분개</t>
  </si>
  <si>
    <t xml:space="preserve">3. 재매입 원가차이 상각 (매출원가)</t>
  </si>
  <si>
    <t xml:space="preserve">55050850 상각 (6~9월)</t>
  </si>
  <si>
    <t xml:space="preserve">6월 146.4 / 7월 42.2 / 8월 94.3 / 9월 94.3 백만원</t>
  </si>
  <si>
    <t xml:space="preserve">20000030 Taxotere 원가차이 9월말 잔액</t>
  </si>
  <si>
    <t xml:space="preserve">4. 기타</t>
  </si>
  <si>
    <t xml:space="preserve">월별 Taxotere 비용 인보이스 54000700 (6~9월)</t>
  </si>
  <si>
    <t xml:space="preserve">보령 청구 Taxotere Cost_2026xx</t>
  </si>
  <si>
    <t xml:space="preserve">8월 인보이스 (기표 후 취소, 순액)</t>
  </si>
  <si>
    <t xml:space="preserve">공급가 1,723,159,400 2회 기표·역분개</t>
  </si>
  <si>
    <t xml:space="preserve">법인세 효과 78000103</t>
  </si>
  <si>
    <t xml:space="preserve">BSPL2026 9월 잔액</t>
  </si>
  <si>
    <t xml:space="preserve">제미글로 공동판매권 처분 75520700 (참고, 순액)</t>
  </si>
  <si>
    <t xml:space="preserve">상표권(13600000) 10억원 제거와 관련, Taxotere 무관</t>
  </si>
  <si>
    <t xml:space="preserve">5. GL 확인 결과 및 검토 포인트</t>
  </si>
  <si>
    <t xml:space="preserve">① 처분손익·법인세는 회사 요약자료 및 9월말 BSPL과 원 단위 일치 (처분대가 1,874,497,219 / 장부가 3,246,854,862 / 손실 1,372,357,643 / 법인세 332,114,429).</t>
  </si>
  <si>
    <t xml:space="preserve">② 재고는 매각(346000050) 시 표준원가로 차감 후 재매입(346000052)에서 같은 금액으로 재인식 → 20000851 순변동 0. 재매입가와 표준원가 차이는 20000030(원가차이 자본화)에 471,495,209 계상, 회사 요약(513,031,794)과 41,536,585 차이(요약은 표준원가를 EUR 환산 후 재계산).</t>
  </si>
  <si>
    <t xml:space="preserve">③ 20000030 상각(55050850)이 6월 146.4 / 7월 42.2 / 8월·9월 각 94.3백만원으로, 8·9월이 동일 금액 → 실제 판매수량 기준이 아닌 정액 상각 가능성. 9월말 잔액 94,299,041원의 근거(잔여 수량) 확인 필요.</t>
  </si>
  <si>
    <t xml:space="preserve">④ TDA 최초 대금 6,051,697,000원(부가세 포함, EUR 인보이스)은 7/24 5,903,087,200원 지급, 환차익 148,609,775원(74100000) → 정산표 외환차손(음수)의 주요 원인.</t>
  </si>
  <si>
    <t xml:space="preserve">⑤ TDA true-up credit note 1,961,511,900원(7/28)은 7/31 환급 처리. 은행 수령액(KRW 1,852,085,600원, 300228863)과 109,426,300원 차이가 있고, 환율 전표 10007166은 외환차익·차손을 같은 금액으로 계상해 순액 0 → 차이 처리 확인 필요.</t>
  </si>
  <si>
    <t xml:space="preserve">⑥ 보령 채권(24000812) 9월말 잔액 209,067원 (6/2·9/21 소액 true-up 미결제분).</t>
  </si>
  <si>
    <t xml:space="preserve">⑦ 8월 인보이스(공급가 1,723,159,400원) 2건 기표 후 모두 역분개 → 반기정산(TDA 5.3) 등 미확정 청구인지 확인 필요.</t>
  </si>
  <si>
    <t xml:space="preserve">⑧ 월별 "Taxotere Cost_2026xx" 인보이스(6~9월 공급가 합계 13,931,487원)는 보령 청구 비용으로 보이며 내역 확인 필요.</t>
  </si>
  <si>
    <t xml:space="preserve">⑨ 75520700에는 제미글로 공동판매권 처분(13600000 취득원가 10억원, 6/30) 전표도 기표되었으나 손상 환입 전표(344000000)로 순액 0 → 상표권 10억원 감소는 Taxotere가 아닌 제미글로 건.</t>
  </si>
  <si>
    <t xml:space="preserve">⑩ 3월 "Taxotere reclass"(폐기비용 988,745,600원 → 미수금 26000000)는 4월 역분개되어 순액 0. 3월 penny test 171,300원은 보령 선수금.</t>
  </si>
  <si>
    <t xml:space="preserve">Taxotere 상품수불부(Sep26) · 매입원장 대사</t>
  </si>
  <si>
    <t xml:space="preserve">출처: 02. Inventory Sep26 (Main/Movement/Inv. Valuation/Taxus), Purchase Ledger Sep26 (MB51), GL 2026.01~09. 노란 셀 = 원천자료 입력값</t>
  </si>
  <si>
    <t xml:space="preserve">1. Closing 재고 수량 대사 (5/29)</t>
  </si>
  <si>
    <t xml:space="preserve">20mg (330316)</t>
  </si>
  <si>
    <t xml:space="preserve">80mg (330317)</t>
  </si>
  <si>
    <t xml:space="preserve">합계</t>
  </si>
  <si>
    <t xml:space="preserve">1월초 재고 (Main)</t>
  </si>
  <si>
    <t xml:space="preserve">1~5월 입고 (909 GR PO)</t>
  </si>
  <si>
    <t xml:space="preserve">1~5월 판매 (601)</t>
  </si>
  <si>
    <t xml:space="preserve">1~5월 기타 (견본 331, 폐기 551/552, 반품 655)</t>
  </si>
  <si>
    <t xml:space="preserve">5월말 재고 (계산)</t>
  </si>
  <si>
    <t xml:space="preserve">APA/TDA 적용 수량 (회사 요약)</t>
  </si>
  <si>
    <t xml:space="preserve">차이 (폐기예정 Destruction zone 제외분)</t>
  </si>
  <si>
    <t xml:space="preserve">※ 수불부에는 보령 매각·재매입 입출고가 없음 → APA/TDA는 FI(20000851 상품재고액차이(결산용))로만 처리되어 실물 수량 변동 없음</t>
  </si>
  <si>
    <t xml:space="preserve">2. Closing 이후 Taxotere 입고 (6~9월)</t>
  </si>
  <si>
    <t xml:space="preserve">자재</t>
  </si>
  <si>
    <t xml:space="preserve">입고일</t>
  </si>
  <si>
    <t xml:space="preserve">수량</t>
  </si>
  <si>
    <t xml:space="preserve">GR 금액(표준원가)</t>
  </si>
  <si>
    <t xml:space="preserve">ICO 인보이스(40100000)</t>
  </si>
  <si>
    <t xml:space="preserve">단가(인보이스)</t>
  </si>
  <si>
    <t xml:space="preserve">공급처</t>
  </si>
  <si>
    <t xml:space="preserve">PO 4515038537 (GR PurOrd(ext.batch))</t>
  </si>
  <si>
    <t xml:space="preserve">Sanofi-Aventis Singapore (1252510) iSAS</t>
  </si>
  <si>
    <t xml:space="preserve">PO 4515038536 (GR PurOrd(ext.batch))</t>
  </si>
  <si>
    <t xml:space="preserve">PO 4515038542 (GR PurOrd(ext.batch))</t>
  </si>
  <si>
    <t xml:space="preserve">PO 4515038535 (GR PurOrd(ext.batch))</t>
  </si>
  <si>
    <t xml:space="preserve">PO 4515038553 (GR PurOrd(ext.batch))</t>
  </si>
  <si>
    <t xml:space="preserve">PO 4515038561 (GR PurOrd(ext.batch))</t>
  </si>
  <si>
    <t xml:space="preserve">PO 4515038539 (GR PurOrd(ext.batch))</t>
  </si>
  <si>
    <t xml:space="preserve">PO 4515038555 (GR PurOrd(ext.batch))</t>
  </si>
  <si>
    <t xml:space="preserve">PO 4515038562 (GR PurOrd(ext.batch))</t>
  </si>
  <si>
    <t xml:space="preserve">PO 4515038599 (GR PurOrd(ext.batch))</t>
  </si>
  <si>
    <t xml:space="preserve">PO 4515038659 (GR PurOrd(ext.batch))</t>
  </si>
  <si>
    <t xml:space="preserve">PO 4515038659 (GR for PO   reversal)</t>
  </si>
  <si>
    <t xml:space="preserve">입고 취소</t>
  </si>
  <si>
    <t xml:space="preserve">PO 4515038664 (GR PurOrd(ext.batch))</t>
  </si>
  <si>
    <t xml:space="preserve">PO 4515038676 (GR PurOrd(ext.batch))</t>
  </si>
  <si>
    <t xml:space="preserve">※ 공급처는 보령이 아닌 관계사(Singapore)이며, 보령에 대한 재청구(TDA 4.1.4)·재매입(TDA 3.2, 잠정가) 전표는 GL에 없음</t>
  </si>
  <si>
    <t xml:space="preserve">3. 9월말 Taxotere 재고 (배치별, ZMMSS)</t>
  </si>
  <si>
    <t xml:space="preserve">배치</t>
  </si>
  <si>
    <t xml:space="preserve">유효기간</t>
  </si>
  <si>
    <t xml:space="preserve">금액(표준원가)</t>
  </si>
  <si>
    <t xml:space="preserve">입고 시기</t>
  </si>
  <si>
    <t xml:space="preserve">Salable stock</t>
  </si>
  <si>
    <t xml:space="preserve">5F579A</t>
  </si>
  <si>
    <t xml:space="preserve">2027.10.31</t>
  </si>
  <si>
    <t xml:space="preserve">7월(Singapore)</t>
  </si>
  <si>
    <t xml:space="preserve">Before QC Release</t>
  </si>
  <si>
    <t xml:space="preserve">6F004A</t>
  </si>
  <si>
    <t xml:space="preserve">2027.12.31</t>
  </si>
  <si>
    <t xml:space="preserve">5F580A</t>
  </si>
  <si>
    <t xml:space="preserve">2028.11.30</t>
  </si>
  <si>
    <t xml:space="preserve">6F002A</t>
  </si>
  <si>
    <t xml:space="preserve">2028.12.31</t>
  </si>
  <si>
    <t xml:space="preserve">8월(Singapore)</t>
  </si>
  <si>
    <t xml:space="preserve">6F003A</t>
  </si>
  <si>
    <t xml:space="preserve">9월(Singapore)</t>
  </si>
  <si>
    <t xml:space="preserve">To be scrapped</t>
  </si>
  <si>
    <t xml:space="preserve">4F557A</t>
  </si>
  <si>
    <t xml:space="preserve">2026.07.31</t>
  </si>
  <si>
    <t xml:space="preserve">Closing 이전</t>
  </si>
  <si>
    <t xml:space="preserve">5F578A</t>
  </si>
  <si>
    <t xml:space="preserve">2028.09.30</t>
  </si>
  <si>
    <t xml:space="preserve">6F006A</t>
  </si>
  <si>
    <t xml:space="preserve">2029.01.31</t>
  </si>
  <si>
    <t xml:space="preserve">6F007A</t>
  </si>
  <si>
    <t xml:space="preserve">2029.02.28</t>
  </si>
  <si>
    <t xml:space="preserve">※ Closing 재고(5F573A·5F576A 등) 배치는 9월말 잔량 없음(폐기예정 1개 제외) → 재매입 원가차이(PPV) 잔액은 전액 매출원가 대상</t>
  </si>
  <si>
    <t xml:space="preserve">4. 계약(TDA) 기준 영향 추정 (원)</t>
  </si>
  <si>
    <t xml:space="preserve">20mg</t>
  </si>
  <si>
    <t xml:space="preserve">80mg</t>
  </si>
  <si>
    <t xml:space="preserve">평균 순매출 단가 (회사 요약 V.3)</t>
  </si>
  <si>
    <t xml:space="preserve">Accounting Flow V.3 D102/D103</t>
  </si>
  <si>
    <t xml:space="preserve">계약 매입가 = 순매출 × 92% (TDA 5.1.1)</t>
  </si>
  <si>
    <t xml:space="preserve">TDA 잠정가 (EUR 48.52 / 155.44 × 1,761.71)</t>
  </si>
  <si>
    <t xml:space="preserve">Schedule 5.2.2</t>
  </si>
  <si>
    <t xml:space="preserve">현재 장부원가 (표준원가)</t>
  </si>
  <si>
    <t xml:space="preserve">Closing 이후 판매수량 (601-602, 6~9월)</t>
  </si>
  <si>
    <t xml:space="preserve">  그중 Closing 재고분</t>
  </si>
  <si>
    <t xml:space="preserve">  그중 Singapore 입고분</t>
  </si>
  <si>
    <t xml:space="preserve">① Closing 재고분: 잠정가 정산 예상 credit (원가 과대)</t>
  </si>
  <si>
    <t xml:space="preserve">TDA 5.3 미반영 (매출원가 감소 방향)</t>
  </si>
  <si>
    <t xml:space="preserve">② Singapore 입고분: 계약 매입가 대비 원가 차이 (원가 과소)</t>
  </si>
  <si>
    <t xml:space="preserve">4.1.4/3.2 미적용 시 (매출원가 증가 방향)</t>
  </si>
  <si>
    <t xml:space="preserve">③ 재매입 PPV 잔액 (Closing 재고 전량 판매)</t>
  </si>
  <si>
    <t xml:space="preserve">매출원가 증가 방향, 20000030 잔액</t>
  </si>
  <si>
    <t xml:space="preserve">순영향 (+ 매출원가 증가)</t>
  </si>
  <si>
    <t xml:space="preserve">9월말 재고 (Singapore 입고분) 표준원가 vs 잠정가 차이</t>
  </si>
  <si>
    <t xml:space="preserve">계약상 보령 재고라면 재매입가·채무 총액 계상, 종료 시 보령이 잠정가로 재매입(13.3.2(d))</t>
  </si>
  <si>
    <t xml:space="preserve">구분</t>
  </si>
  <si>
    <t xml:space="preserve">전표번호</t>
  </si>
  <si>
    <t xml:space="preserve">기간</t>
  </si>
  <si>
    <t xml:space="preserve">전기일</t>
  </si>
  <si>
    <t xml:space="preserve">증빙일</t>
  </si>
  <si>
    <t xml:space="preserve">전표유형</t>
  </si>
  <si>
    <t xml:space="preserve">T-code</t>
  </si>
  <si>
    <t xml:space="preserve">입력자</t>
  </si>
  <si>
    <t xml:space="preserve">헤더텍스트</t>
  </si>
  <si>
    <t xml:space="preserve">역분개전표</t>
  </si>
  <si>
    <t xml:space="preserve">G/L</t>
  </si>
  <si>
    <t xml:space="preserve">계정명</t>
  </si>
  <si>
    <t xml:space="preserve">정산표 과목</t>
  </si>
  <si>
    <t xml:space="preserve">차/대</t>
  </si>
  <si>
    <t xml:space="preserve">GL 금액(원본, ÷100)</t>
  </si>
  <si>
    <t xml:space="preserve">금액(원, 차변+)</t>
  </si>
  <si>
    <t xml:space="preserve">적요</t>
  </si>
  <si>
    <t xml:space="preserve">A. 사전거래(Q1~Q2)</t>
  </si>
  <si>
    <t xml:space="preserve">140051643</t>
  </si>
  <si>
    <t xml:space="preserve">3</t>
  </si>
  <si>
    <t xml:space="preserve">DZ</t>
  </si>
  <si>
    <t xml:space="preserve">FBZ1</t>
  </si>
  <si>
    <t xml:space="preserve">U1051271</t>
  </si>
  <si>
    <t xml:space="preserve">Boryung Penny Test</t>
  </si>
  <si>
    <t xml:space="preserve">28330001</t>
  </si>
  <si>
    <t xml:space="preserve">HSBC - Automatic Payment Clearing EUR</t>
  </si>
  <si>
    <t xml:space="preserve">현금및현금등가물</t>
  </si>
  <si>
    <t xml:space="preserve">S</t>
  </si>
  <si>
    <t xml:space="preserve">24000000</t>
  </si>
  <si>
    <t xml:space="preserve">Accts Rec. Trade. S/Term.</t>
  </si>
  <si>
    <t xml:space="preserve">매출채권</t>
  </si>
  <si>
    <t xml:space="preserve">H</t>
  </si>
  <si>
    <t xml:space="preserve">Advanced Payment</t>
  </si>
  <si>
    <t xml:space="preserve">300224177</t>
  </si>
  <si>
    <t xml:space="preserve">ZR</t>
  </si>
  <si>
    <t xml:space="preserve">FB01</t>
  </si>
  <si>
    <t xml:space="preserve">U1050783</t>
  </si>
  <si>
    <t xml:space="preserve">0034642000001</t>
  </si>
  <si>
    <t xml:space="preserve">28330000</t>
  </si>
  <si>
    <t xml:space="preserve">HSBC - Main Bank Account EUR</t>
  </si>
  <si>
    <t xml:space="preserve">NONREF 1/BORYUNG CORPORATIONS+P+ &lt;REF&gt;NONREF&lt;/REF&gt;</t>
  </si>
  <si>
    <t xml:space="preserve">345000009</t>
  </si>
  <si>
    <t xml:space="preserve">SJ</t>
  </si>
  <si>
    <t xml:space="preserve">U1096412</t>
  </si>
  <si>
    <t xml:space="preserve">Taxotere reclass</t>
  </si>
  <si>
    <t xml:space="preserve">345000011</t>
  </si>
  <si>
    <t xml:space="preserve">55090002</t>
  </si>
  <si>
    <t xml:space="preserve">Destruct.Of Inventories - Merchandise</t>
  </si>
  <si>
    <t xml:space="preserve">상품매출원가</t>
  </si>
  <si>
    <t xml:space="preserve">26000000</t>
  </si>
  <si>
    <t xml:space="preserve">Other receivable</t>
  </si>
  <si>
    <t xml:space="preserve">미수금</t>
  </si>
  <si>
    <t xml:space="preserve">4</t>
  </si>
  <si>
    <t xml:space="preserve">BL_JE_WS</t>
  </si>
  <si>
    <t xml:space="preserve">345000019</t>
  </si>
  <si>
    <t xml:space="preserve">VAT Penalty for 2025 TP a</t>
  </si>
  <si>
    <t xml:space="preserve">77900001</t>
  </si>
  <si>
    <t xml:space="preserve">Indirect Tax Expense</t>
  </si>
  <si>
    <t xml:space="preserve">제세공과</t>
  </si>
  <si>
    <t xml:space="preserve">VAT penalty for 2025 TP adjustmnet</t>
  </si>
  <si>
    <t xml:space="preserve">78250000</t>
  </si>
  <si>
    <t xml:space="preserve">Other Tax Based on Income</t>
  </si>
  <si>
    <t xml:space="preserve">법인세비용</t>
  </si>
  <si>
    <t xml:space="preserve">26650854</t>
  </si>
  <si>
    <t xml:space="preserve">Local VAT Refund  asked</t>
  </si>
  <si>
    <t xml:space="preserve">부가가치세미수금</t>
  </si>
  <si>
    <t xml:space="preserve">VAT refund_rounding differ</t>
  </si>
  <si>
    <t xml:space="preserve">74260000</t>
  </si>
  <si>
    <t xml:space="preserve">Miscellaneous - Other Expenses</t>
  </si>
  <si>
    <t xml:space="preserve">잡손실</t>
  </si>
  <si>
    <t xml:space="preserve">Taxotere adjustment PO#4515037520 CN</t>
  </si>
  <si>
    <t xml:space="preserve">54000700</t>
  </si>
  <si>
    <t xml:space="preserve">PPV Price Semi Finished 3rd</t>
  </si>
  <si>
    <t xml:space="preserve">B. APA 재고 매각(보령)</t>
  </si>
  <si>
    <t xml:space="preserve">346000050</t>
  </si>
  <si>
    <t xml:space="preserve">5</t>
  </si>
  <si>
    <t xml:space="preserve">SM</t>
  </si>
  <si>
    <t xml:space="preserve">U1118858</t>
  </si>
  <si>
    <t xml:space="preserve">Taxus Divestment</t>
  </si>
  <si>
    <t xml:space="preserve">20000851</t>
  </si>
  <si>
    <t xml:space="preserve">Trading Goods -Manual</t>
  </si>
  <si>
    <t xml:space="preserve">상품</t>
  </si>
  <si>
    <t xml:space="preserve">75520700</t>
  </si>
  <si>
    <t xml:space="preserve">Net book value - Intangible Fixed Asset disposal</t>
  </si>
  <si>
    <t xml:space="preserve">투자자산처분손실</t>
  </si>
  <si>
    <t xml:space="preserve">15900002</t>
  </si>
  <si>
    <t xml:space="preserve">Clearing - inventory transfer</t>
  </si>
  <si>
    <t xml:space="preserve">180022519</t>
  </si>
  <si>
    <t xml:space="preserve">DR</t>
  </si>
  <si>
    <t xml:space="preserve">FBVB</t>
  </si>
  <si>
    <t xml:space="preserve">I0409140</t>
  </si>
  <si>
    <t xml:space="preserve">180022521</t>
  </si>
  <si>
    <t xml:space="preserve">24000812</t>
  </si>
  <si>
    <t xml:space="preserve">AR( D) Receivable on fixed assets</t>
  </si>
  <si>
    <t xml:space="preserve">Divestment of Invs per APA signed with Boryung</t>
  </si>
  <si>
    <t xml:space="preserve">77030700</t>
  </si>
  <si>
    <t xml:space="preserve">proceeds of Intangible fixed asset</t>
  </si>
  <si>
    <t xml:space="preserve">42920000</t>
  </si>
  <si>
    <t xml:space="preserve">GST/VAT Billed to Customers</t>
  </si>
  <si>
    <t xml:space="preserve">부가가치세예수금</t>
  </si>
  <si>
    <t xml:space="preserve">FB08</t>
  </si>
  <si>
    <t xml:space="preserve">E0476073</t>
  </si>
  <si>
    <t xml:space="preserve">180022520</t>
  </si>
  <si>
    <t xml:space="preserve">180022527</t>
  </si>
  <si>
    <t xml:space="preserve">6</t>
  </si>
  <si>
    <t xml:space="preserve">140051821</t>
  </si>
  <si>
    <t xml:space="preserve">Boryung Taxus Payment</t>
  </si>
  <si>
    <t xml:space="preserve">300226394</t>
  </si>
  <si>
    <t xml:space="preserve">BTCJOB</t>
  </si>
  <si>
    <t xml:space="preserve">0035556300002</t>
  </si>
  <si>
    <t xml:space="preserve">NONREF EWDSEL6148973101 SANOSELEWD261489731 VALUE</t>
  </si>
  <si>
    <t xml:space="preserve">300226467</t>
  </si>
  <si>
    <t xml:space="preserve">0035556300001</t>
  </si>
  <si>
    <t xml:space="preserve">NONREF 002325LTT6050002100SBORYUNG CORPORATION &lt;RE</t>
  </si>
  <si>
    <t xml:space="preserve">28330002</t>
  </si>
  <si>
    <t xml:space="preserve">HSBC - Automatic Receipt Clearing EUR</t>
  </si>
  <si>
    <t xml:space="preserve">10004639</t>
  </si>
  <si>
    <t xml:space="preserve">AB</t>
  </si>
  <si>
    <t xml:space="preserve">FB1S</t>
  </si>
  <si>
    <t xml:space="preserve">28330992</t>
  </si>
  <si>
    <t xml:space="preserve">Bank FX clearing</t>
  </si>
  <si>
    <t xml:space="preserve">10004641</t>
  </si>
  <si>
    <t xml:space="preserve">347000069</t>
  </si>
  <si>
    <t xml:space="preserve">SV</t>
  </si>
  <si>
    <t xml:space="preserve">E0510259</t>
  </si>
  <si>
    <t xml:space="preserve">EXC-EUR-HSBC Selling clea</t>
  </si>
  <si>
    <t xml:space="preserve">EXC-EUR-HSBC Selling clearing</t>
  </si>
  <si>
    <t xml:space="preserve">346000071</t>
  </si>
  <si>
    <t xml:space="preserve">7</t>
  </si>
  <si>
    <t xml:space="preserve">Taxus Divestment (True-Up</t>
  </si>
  <si>
    <t xml:space="preserve">Taxus Divestment (True-Up)</t>
  </si>
  <si>
    <t xml:space="preserve">160002400</t>
  </si>
  <si>
    <t xml:space="preserve">DG</t>
  </si>
  <si>
    <t xml:space="preserve">Taxus Inventory</t>
  </si>
  <si>
    <t xml:space="preserve">Inventory true up as per APA signed with Boryung</t>
  </si>
  <si>
    <t xml:space="preserve">10006842</t>
  </si>
  <si>
    <t xml:space="preserve">FB1D</t>
  </si>
  <si>
    <t xml:space="preserve">Boryung FX payment clearing</t>
  </si>
  <si>
    <t xml:space="preserve">300228645</t>
  </si>
  <si>
    <t xml:space="preserve">0036394800001</t>
  </si>
  <si>
    <t xml:space="preserve">NONREF EWDSEL6210998501 SANOSELEWD262109985 VALUE</t>
  </si>
  <si>
    <t xml:space="preserve">300228718</t>
  </si>
  <si>
    <t xml:space="preserve">0036394800002</t>
  </si>
  <si>
    <t xml:space="preserve">NONREF 054HKBA04K8E8HN4T01112147I601XJ0 주식회사보령　　　　</t>
  </si>
  <si>
    <t xml:space="preserve">180022712</t>
  </si>
  <si>
    <t xml:space="preserve">9</t>
  </si>
  <si>
    <t xml:space="preserve">C. TDA 재매입(보령)</t>
  </si>
  <si>
    <t xml:space="preserve">190567231</t>
  </si>
  <si>
    <t xml:space="preserve">KR</t>
  </si>
  <si>
    <t xml:space="preserve">FB60</t>
  </si>
  <si>
    <t xml:space="preserve">2100009304</t>
  </si>
  <si>
    <t xml:space="preserve">40000012</t>
  </si>
  <si>
    <t xml:space="preserve">AP Trade other</t>
  </si>
  <si>
    <t xml:space="preserve">미지급금</t>
  </si>
  <si>
    <t xml:space="preserve">보령탁소텔 국내 인보이스</t>
  </si>
  <si>
    <t xml:space="preserve">26530000</t>
  </si>
  <si>
    <t xml:space="preserve">GST/VAT paid to Vendors</t>
  </si>
  <si>
    <t xml:space="preserve">346000052</t>
  </si>
  <si>
    <t xml:space="preserve">53000853</t>
  </si>
  <si>
    <t xml:space="preserve">Purchase Trading Goods 3rd</t>
  </si>
  <si>
    <t xml:space="preserve">55050850</t>
  </si>
  <si>
    <t xml:space="preserve">Reval.Invent.New Std/Act.Cost-merchadise</t>
  </si>
  <si>
    <t xml:space="preserve">20000030</t>
  </si>
  <si>
    <t xml:space="preserve">Capitalisation of Variances -Trading Goods -Manual</t>
  </si>
  <si>
    <t xml:space="preserve">Taxus Divestment - Reclass for better presentation</t>
  </si>
  <si>
    <t xml:space="preserve">347000077</t>
  </si>
  <si>
    <t xml:space="preserve">347000110</t>
  </si>
  <si>
    <t xml:space="preserve">42910000</t>
  </si>
  <si>
    <t xml:space="preserve">미지급비용</t>
  </si>
  <si>
    <t xml:space="preserve">Taxus Divestment - Reclass trade to Non-trade</t>
  </si>
  <si>
    <t xml:space="preserve">42000007</t>
  </si>
  <si>
    <t xml:space="preserve">Other partners relationship – Liabilities</t>
  </si>
  <si>
    <t xml:space="preserve">매입채무</t>
  </si>
  <si>
    <t xml:space="preserve">8</t>
  </si>
  <si>
    <t xml:space="preserve">150367381</t>
  </si>
  <si>
    <t xml:space="preserve">KZ</t>
  </si>
  <si>
    <t xml:space="preserve">FBZ2</t>
  </si>
  <si>
    <t xml:space="preserve">E0460059</t>
  </si>
  <si>
    <t xml:space="preserve">FX clearing EUR Jul'26</t>
  </si>
  <si>
    <t xml:space="preserve">74100000</t>
  </si>
  <si>
    <t xml:space="preserve">FXgain opg.- set - 3rd pty rec.s &amp; pay.</t>
  </si>
  <si>
    <t xml:space="preserve">외환차손</t>
  </si>
  <si>
    <t xml:space="preserve">346000073</t>
  </si>
  <si>
    <t xml:space="preserve">170018673</t>
  </si>
  <si>
    <t xml:space="preserve">KG</t>
  </si>
  <si>
    <t xml:space="preserve">Taxus divestment project</t>
  </si>
  <si>
    <t xml:space="preserve">170018666</t>
  </si>
  <si>
    <t xml:space="preserve">170018668</t>
  </si>
  <si>
    <t xml:space="preserve">USER_WRE_WRO_170018668_2206</t>
  </si>
  <si>
    <t xml:space="preserve">KA</t>
  </si>
  <si>
    <t xml:space="preserve">USER_WRE_RE_170018666_2206</t>
  </si>
  <si>
    <t xml:space="preserve">170018667</t>
  </si>
  <si>
    <t xml:space="preserve">190567864</t>
  </si>
  <si>
    <t xml:space="preserve">Boryung, Taxus project customer</t>
  </si>
  <si>
    <t xml:space="preserve">28363992</t>
  </si>
  <si>
    <t xml:space="preserve">Bank clearing</t>
  </si>
  <si>
    <t xml:space="preserve">190567866</t>
  </si>
  <si>
    <t xml:space="preserve">10007163</t>
  </si>
  <si>
    <t xml:space="preserve">10007164</t>
  </si>
  <si>
    <t xml:space="preserve">74110000</t>
  </si>
  <si>
    <t xml:space="preserve">FXlosses opg.-set-3rd pty rec.s&amp;pay.</t>
  </si>
  <si>
    <t xml:space="preserve">10007166</t>
  </si>
  <si>
    <t xml:space="preserve">300228719</t>
  </si>
  <si>
    <t xml:space="preserve">0036419400002</t>
  </si>
  <si>
    <t xml:space="preserve">NONREF EWDSEL6212965201 SANOSELEWD262129652 VALUE</t>
  </si>
  <si>
    <t xml:space="preserve">347000092</t>
  </si>
  <si>
    <t xml:space="preserve">300228863</t>
  </si>
  <si>
    <t xml:space="preserve">0036419400001</t>
  </si>
  <si>
    <t xml:space="preserve">NONREF 020FDK81426000452001BORYUNG CORPORATION &lt;RE</t>
  </si>
  <si>
    <t xml:space="preserve">D. 재매입 원가차이(PPV) 상각</t>
  </si>
  <si>
    <t xml:space="preserve">346000061</t>
  </si>
  <si>
    <t xml:space="preserve">346000074</t>
  </si>
  <si>
    <t xml:space="preserve">Taxus Divestment - Jul'26 Amortization</t>
  </si>
  <si>
    <t xml:space="preserve">346000083</t>
  </si>
  <si>
    <t xml:space="preserve">Taxus Divestment - Aug'26 Amortization</t>
  </si>
  <si>
    <t xml:space="preserve">346000092</t>
  </si>
  <si>
    <t xml:space="preserve">Taxus Divestment - Sep'26 Amortization</t>
  </si>
  <si>
    <t xml:space="preserve">E. 월별 Taxotere 비용 인보이스</t>
  </si>
  <si>
    <t xml:space="preserve">190567473</t>
  </si>
  <si>
    <t xml:space="preserve">ZFI1_DOC_POST</t>
  </si>
  <si>
    <t xml:space="preserve">Taxotere Cost_202606</t>
  </si>
  <si>
    <t xml:space="preserve">190567871</t>
  </si>
  <si>
    <t xml:space="preserve">Taxotere Cost_202607</t>
  </si>
  <si>
    <t xml:space="preserve">190568141</t>
  </si>
  <si>
    <t xml:space="preserve">Taxotere Cost_202608</t>
  </si>
  <si>
    <t xml:space="preserve">190568386</t>
  </si>
  <si>
    <t xml:space="preserve">E0427914</t>
  </si>
  <si>
    <t xml:space="preserve">Taxotere Cost_202609</t>
  </si>
  <si>
    <t xml:space="preserve">510111489</t>
  </si>
  <si>
    <t xml:space="preserve">RE</t>
  </si>
  <si>
    <t xml:space="preserve">MIRO</t>
  </si>
  <si>
    <t xml:space="preserve">3100022866</t>
  </si>
  <si>
    <t xml:space="preserve">Taxus-문서분류작업</t>
  </si>
  <si>
    <t xml:space="preserve">40500005</t>
  </si>
  <si>
    <t xml:space="preserve">GR/IR A/C Non-Inventory</t>
  </si>
  <si>
    <t xml:space="preserve">가계정</t>
  </si>
  <si>
    <t xml:space="preserve">F. 8월 인보이스(기표 후 취소)</t>
  </si>
  <si>
    <t xml:space="preserve">170018669</t>
  </si>
  <si>
    <t xml:space="preserve">170018670</t>
  </si>
  <si>
    <t xml:space="preserve">ACCN_WVC_RE_170018669_2026</t>
  </si>
  <si>
    <t xml:space="preserve">ACCN_WVC_WRO_170018670_2026</t>
  </si>
  <si>
    <t xml:space="preserve">170018671</t>
  </si>
  <si>
    <t xml:space="preserve">170018672</t>
  </si>
  <si>
    <t xml:space="preserve">ACCN_WPD_WRO_170018672_2026</t>
  </si>
  <si>
    <t xml:space="preserve">ACCN_WPD_RE_ 170018671_2026</t>
  </si>
  <si>
    <t xml:space="preserve">G. 법인세 효과</t>
  </si>
  <si>
    <t xml:space="preserve">342000005</t>
  </si>
  <si>
    <t xml:space="preserve">SG</t>
  </si>
  <si>
    <t xml:space="preserve">U1124450</t>
  </si>
  <si>
    <t xml:space="preserve">Income tax accrual on los</t>
  </si>
  <si>
    <t xml:space="preserve">42930000</t>
  </si>
  <si>
    <t xml:space="preserve">Income Tax payable - current year (Federal)</t>
  </si>
  <si>
    <t xml:space="preserve">미지급법인세</t>
  </si>
  <si>
    <t xml:space="preserve">Income tax accrual on loss of sales Taxotere dives</t>
  </si>
  <si>
    <t xml:space="preserve">78000103</t>
  </si>
  <si>
    <t xml:space="preserve">Taxes on gain/losses on disposals of assets</t>
  </si>
  <si>
    <t xml:space="preserve">342000009</t>
  </si>
  <si>
    <t xml:space="preserve">Taxotere income tax Recla</t>
  </si>
  <si>
    <t xml:space="preserve">Taxotere income tax reclass</t>
  </si>
  <si>
    <t xml:space="preserve">342000011</t>
  </si>
  <si>
    <t xml:space="preserve">Taxotere income tax recal</t>
  </si>
  <si>
    <t xml:space="preserve">H. 환율 정리</t>
  </si>
  <si>
    <t xml:space="preserve">342000010</t>
  </si>
  <si>
    <t xml:space="preserve">202607 Forex Charge Off</t>
  </si>
  <si>
    <t xml:space="preserve">2607 Boryung sales and buyback FX charge off</t>
  </si>
  <si>
    <t xml:space="preserve">74200001</t>
  </si>
  <si>
    <t xml:space="preserve">Miscellaneous operating income</t>
  </si>
  <si>
    <t xml:space="preserve">잡이익</t>
  </si>
  <si>
    <t xml:space="preserve">I. 참고: 75520700 사용 타거래(제미글로 공동판매권 처분)</t>
  </si>
  <si>
    <t xml:space="preserve">10005540</t>
  </si>
  <si>
    <t xml:space="preserve">AA</t>
  </si>
  <si>
    <t xml:space="preserve">ABAVN</t>
  </si>
  <si>
    <t xml:space="preserve">E0558470</t>
  </si>
  <si>
    <t xml:space="preserve">Disposal of Right for Gem</t>
  </si>
  <si>
    <t xml:space="preserve">13600000</t>
  </si>
  <si>
    <t xml:space="preserve">Intang Asset Acq in CA Asset Deal-TradeN -(A) Rec</t>
  </si>
  <si>
    <t xml:space="preserve">상표권</t>
  </si>
  <si>
    <t xml:space="preserve">Disposal of Right for Gemigliptin Co-promotion</t>
  </si>
  <si>
    <t xml:space="preserve">14300000</t>
  </si>
  <si>
    <t xml:space="preserve">Amortization Intang Acq CA -Tradenames-(A) Rec</t>
  </si>
  <si>
    <t xml:space="preserve">상표권상각누계액</t>
  </si>
  <si>
    <t xml:space="preserve">10005541</t>
  </si>
  <si>
    <t xml:space="preserve">AB08</t>
  </si>
  <si>
    <t xml:space="preserve">10005542</t>
  </si>
  <si>
    <t xml:space="preserve">344000000</t>
  </si>
  <si>
    <t xml:space="preserve">SI</t>
  </si>
  <si>
    <t xml:space="preserve">Intangible Asset Disposal</t>
  </si>
  <si>
    <t xml:space="preserve">14300701</t>
  </si>
  <si>
    <t xml:space="preserve">Impair -Intangibles Acq in CA -Other -Man</t>
  </si>
  <si>
    <t xml:space="preserve">무형자산감액손실충당금</t>
  </si>
  <si>
    <t xml:space="preserve">RvsRestructuring cost for Zemiglo co-promotion rig</t>
  </si>
  <si>
    <t xml:space="preserve">14400030</t>
  </si>
  <si>
    <t xml:space="preserve">Amortization Intang Acq CA -Other -Man</t>
  </si>
  <si>
    <t xml:space="preserve">RvsCancel Zemiglo depreciation for Asset 820000</t>
  </si>
  <si>
    <t xml:space="preserve">Disposal of Right for Gemigliptin Co-promotion_Imp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</si>
</sst>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(#,##0\);\-"/>
    <numFmt numFmtId="166" formatCode="#,##0;[RED]\(#,##0\);\-"/>
    <numFmt numFmtId="167" formatCode="yyyy\-mm\-dd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맑은 고딕"/>
      <family val="0"/>
      <charset val="1"/>
    </font>
    <font>
      <b val="true"/>
      <sz val="12"/>
      <name val="맑은 고딕"/>
      <family val="3"/>
    </font>
    <font>
      <sz val="9"/>
      <name val="맑은 고딕"/>
      <family val="3"/>
      <charset val="1"/>
    </font>
    <font>
      <b val="true"/>
      <sz val="9"/>
      <name val="맑은 고딕"/>
      <family val="3"/>
      <charset val="1"/>
    </font>
    <font>
      <b val="true"/>
      <sz val="9"/>
      <name val="맑은 고딕"/>
      <family val="0"/>
      <charset val="1"/>
    </font>
    <font>
      <b val="true"/>
      <sz val="9"/>
      <name val="맑은 고딕"/>
      <family val="3"/>
    </font>
    <font>
      <sz val="9"/>
      <name val="맑은 고딕"/>
      <family val="0"/>
      <charset val="1"/>
    </font>
    <font>
      <sz val="9"/>
      <name val="맑은 고딕"/>
      <family val="3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3" min="2" style="1" width="18"/>
    <col collapsed="false" customWidth="true" hidden="false" outlineLevel="0" max="4" min="4" style="1" width="52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true" outlineLevel="0" collapsed="false">
      <c r="A5" s="6" t="s">
        <v>7</v>
      </c>
      <c r="B5" s="7"/>
      <c r="C5" s="7"/>
      <c r="D5" s="7"/>
      <c r="E5" s="7"/>
      <c r="F5" s="7"/>
    </row>
    <row r="6" customFormat="false" ht="15" hidden="false" customHeight="true" outlineLevel="0" collapsed="false">
      <c r="A6" s="3" t="s">
        <v>8</v>
      </c>
      <c r="B6" s="8" t="n">
        <f aca="false">SUMIFS(분개상세!$P$2:$P$256,분개상세!$A$2:$A$256,"B. APA 재고 매각(보령)",분개상세!$K$2:$K$256,"77030700")</f>
        <v>-1874497219</v>
      </c>
      <c r="C6" s="8" t="n">
        <v>-1874497219</v>
      </c>
      <c r="D6" s="9" t="s">
        <v>9</v>
      </c>
      <c r="E6" s="8" t="n">
        <f aca="false">B6-C6</f>
        <v>0</v>
      </c>
    </row>
    <row r="7" customFormat="false" ht="15" hidden="false" customHeight="true" outlineLevel="0" collapsed="false">
      <c r="A7" s="3" t="s">
        <v>10</v>
      </c>
      <c r="B7" s="8" t="n">
        <f aca="false">SUMIFS(분개상세!$P$2:$P$256,분개상세!$A$2:$A$256,"B. APA 재고 매각(보령)",분개상세!$K$2:$K$256,"75520700")</f>
        <v>3246854862</v>
      </c>
      <c r="C7" s="8" t="n">
        <v>3246854862</v>
      </c>
      <c r="D7" s="3" t="s">
        <v>11</v>
      </c>
      <c r="E7" s="8" t="n">
        <f aca="false">B7-C7</f>
        <v>0</v>
      </c>
    </row>
    <row r="8" customFormat="false" ht="15" hidden="false" customHeight="true" outlineLevel="0" collapsed="false">
      <c r="A8" s="3" t="s">
        <v>12</v>
      </c>
      <c r="B8" s="8" t="n">
        <f aca="false">B6+B7</f>
        <v>1372357643</v>
      </c>
      <c r="C8" s="8" t="n">
        <v>1372357643</v>
      </c>
      <c r="D8" s="3" t="s">
        <v>13</v>
      </c>
      <c r="E8" s="8" t="n">
        <f aca="false">B8-C8</f>
        <v>0</v>
      </c>
    </row>
    <row r="9" customFormat="false" ht="15" hidden="false" customHeight="true" outlineLevel="0" collapsed="false">
      <c r="A9" s="3" t="s">
        <v>14</v>
      </c>
      <c r="B9" s="8" t="n">
        <f aca="false">SUMIFS(분개상세!$P$2:$P$256,분개상세!$A$2:$A$256,"B. APA 재고 매각(보령)",분개상세!$K$2:$K$256,"20000851")</f>
        <v>-3246854862</v>
      </c>
      <c r="C9" s="8"/>
      <c r="D9" s="3" t="s">
        <v>15</v>
      </c>
    </row>
    <row r="10" customFormat="false" ht="15" hidden="false" customHeight="true" outlineLevel="0" collapsed="false">
      <c r="A10" s="3" t="s">
        <v>16</v>
      </c>
      <c r="B10" s="8" t="n">
        <f aca="false">SUMIFS(분개상세!$P$2:$P$256,분개상세!$A$2:$A$256,"B. APA 재고 매각(보령)",분개상세!$K$2:$K$256,"42920000")</f>
        <v>-187449707</v>
      </c>
      <c r="C10" s="8"/>
      <c r="D10" s="3" t="s">
        <v>17</v>
      </c>
    </row>
    <row r="11" customFormat="false" ht="15" hidden="false" customHeight="true" outlineLevel="0" collapsed="false">
      <c r="A11" s="3" t="s">
        <v>18</v>
      </c>
      <c r="B11" s="8" t="n">
        <f aca="false">SUMIFS(분개상세!$P$2:$P$256,분개상세!$A$2:$A$256,"B. APA 재고 매각(보령)",분개상세!$K$2:$K$256,"24000812")</f>
        <v>209067</v>
      </c>
      <c r="C11" s="8" t="n">
        <v>0</v>
      </c>
      <c r="D11" s="9" t="s">
        <v>19</v>
      </c>
      <c r="E11" s="8" t="n">
        <f aca="false">B11-C11</f>
        <v>209067</v>
      </c>
    </row>
    <row r="12" customFormat="false" ht="15" hidden="false" customHeight="true" outlineLevel="0" collapsed="false">
      <c r="A12" s="6" t="s">
        <v>20</v>
      </c>
      <c r="B12" s="7"/>
      <c r="C12" s="7"/>
      <c r="D12" s="7"/>
      <c r="E12" s="7"/>
      <c r="F12" s="7"/>
    </row>
    <row r="13" customFormat="false" ht="15" hidden="false" customHeight="true" outlineLevel="0" collapsed="false">
      <c r="A13" s="9" t="s">
        <v>21</v>
      </c>
      <c r="B13" s="8" t="n">
        <f aca="false">SUMIFS(분개상세!$P$2:$P$256,분개상세!$B$2:$B$256,"190567231",분개상세!$K$2:$K$256,"54000700")</f>
        <v>5501542714</v>
      </c>
      <c r="C13" s="8" t="n">
        <v>5501542714</v>
      </c>
      <c r="D13" s="3" t="s">
        <v>22</v>
      </c>
      <c r="E13" s="8" t="n">
        <f aca="false">B13-C13</f>
        <v>0</v>
      </c>
    </row>
    <row r="14" customFormat="false" ht="15" hidden="false" customHeight="true" outlineLevel="0" collapsed="false">
      <c r="A14" s="9" t="s">
        <v>23</v>
      </c>
      <c r="B14" s="8" t="n">
        <f aca="false">SUMIFS(분개상세!$P$2:$P$256,분개상세!$B$2:$B$256,"190567231",분개상세!$K$2:$K$256,"26530000")</f>
        <v>550154275</v>
      </c>
      <c r="C14" s="8" t="n">
        <v>550154271</v>
      </c>
      <c r="D14" s="3"/>
      <c r="E14" s="8" t="n">
        <f aca="false">B14-C14</f>
        <v>4</v>
      </c>
    </row>
    <row r="15" customFormat="false" ht="15" hidden="false" customHeight="true" outlineLevel="0" collapsed="false">
      <c r="A15" s="9" t="s">
        <v>24</v>
      </c>
      <c r="B15" s="8" t="n">
        <f aca="false">SUMIFS(분개상세!$P$2:$P$256,분개상세!$B$2:$B$256,"170018673",분개상세!$K$2:$K$256,"54000700")</f>
        <v>-1783192644</v>
      </c>
      <c r="C15" s="8" t="n">
        <v>-1783192842</v>
      </c>
      <c r="D15" s="3"/>
      <c r="E15" s="8" t="n">
        <f aca="false">B15-C15</f>
        <v>197.999999761581</v>
      </c>
    </row>
    <row r="16" customFormat="false" ht="15" hidden="false" customHeight="true" outlineLevel="0" collapsed="false">
      <c r="A16" s="9" t="s">
        <v>25</v>
      </c>
      <c r="B16" s="8" t="n">
        <f aca="false">SUMIFS(분개상세!$P$2:$P$256,분개상세!$B$2:$B$256,"170018673",분개상세!$K$2:$K$256,"26530000")</f>
        <v>-178319264</v>
      </c>
      <c r="C16" s="8" t="n">
        <v>-178319284</v>
      </c>
      <c r="D16" s="3"/>
      <c r="E16" s="8" t="n">
        <f aca="false">B16-C16</f>
        <v>20</v>
      </c>
    </row>
    <row r="17" customFormat="false" ht="15" hidden="false" customHeight="true" outlineLevel="0" collapsed="false">
      <c r="A17" s="3" t="s">
        <v>26</v>
      </c>
      <c r="B17" s="8" t="n">
        <f aca="false">SUMIFS(분개상세!$P$2:$P$256,분개상세!$B$2:$B$256,"346000052",분개상세!$K$2:$K$256,"20000030")+SUMIFS(분개상세!$P$2:$P$256,분개상세!$B$2:$B$256,"346000073",분개상세!$K$2:$K$256,"20000030")</f>
        <v>471495209</v>
      </c>
      <c r="C17" s="8" t="n">
        <v>513031794</v>
      </c>
      <c r="D17" s="3" t="s">
        <v>27</v>
      </c>
      <c r="E17" s="8" t="n">
        <f aca="false">B17-C17</f>
        <v>-41536585</v>
      </c>
    </row>
    <row r="18" customFormat="false" ht="15" hidden="false" customHeight="true" outlineLevel="0" collapsed="false">
      <c r="A18" s="3" t="s">
        <v>28</v>
      </c>
      <c r="B18" s="8" t="n">
        <f aca="false">SUMIFS(분개상세!$P$2:$P$256,분개상세!$A$2:$A$256,"C. TDA 재매입(보령)",분개상세!$K$2:$K$256,"20000851")</f>
        <v>3246854862</v>
      </c>
      <c r="C18" s="8"/>
      <c r="D18" s="9" t="s">
        <v>29</v>
      </c>
    </row>
    <row r="19" customFormat="false" ht="15" hidden="false" customHeight="true" outlineLevel="0" collapsed="false">
      <c r="A19" s="3" t="s">
        <v>30</v>
      </c>
      <c r="B19" s="8" t="n">
        <f aca="false">SUMIFS(분개상세!$P$2:$P$256,분개상세!$A$2:$A$256,"C. TDA 재매입(보령)",분개상세!$K$2:$K$256,"53000853")+SUMIFS(분개상세!$P$2:$P$256,분개상세!$A$2:$A$256,"C. TDA 재매입(보령)",분개상세!$K$2:$K$256,"54000700")+SUMIFS(분개상세!$P$2:$P$256,분개상세!$A$2:$A$256,"C. TDA 재매입(보령)",분개상세!$K$2:$K$256,"55050850")</f>
        <v>-1</v>
      </c>
      <c r="C19" s="8" t="n">
        <v>0</v>
      </c>
      <c r="D19" s="3" t="s">
        <v>31</v>
      </c>
      <c r="E19" s="8" t="n">
        <f aca="false">B19-C19</f>
        <v>-1</v>
      </c>
    </row>
    <row r="20" customFormat="false" ht="15" hidden="false" customHeight="true" outlineLevel="0" collapsed="false">
      <c r="A20" s="9" t="s">
        <v>32</v>
      </c>
      <c r="B20" s="8" t="n">
        <f aca="false">SUMIFS(분개상세!$P$2:$P$256,분개상세!$B$2:$B$256,"150367381",분개상세!$K$2:$K$256,"74100000")</f>
        <v>-148609775</v>
      </c>
      <c r="C20" s="8"/>
      <c r="D20" s="9" t="s">
        <v>33</v>
      </c>
    </row>
    <row r="21" customFormat="false" ht="15" hidden="false" customHeight="true" outlineLevel="0" collapsed="false">
      <c r="A21" s="3" t="s">
        <v>34</v>
      </c>
      <c r="B21" s="8" t="n">
        <f aca="false">SUMIFS(분개상세!$P$2:$P$256,분개상세!$A$2:$A$256,"C. TDA 재매입(보령)",분개상세!$K$2:$K$256,"40000012")</f>
        <v>0</v>
      </c>
      <c r="C21" s="8" t="n">
        <v>0</v>
      </c>
      <c r="D21" s="3"/>
      <c r="E21" s="8" t="n">
        <f aca="false">B21-C21</f>
        <v>0</v>
      </c>
    </row>
    <row r="22" customFormat="false" ht="15" hidden="false" customHeight="true" outlineLevel="0" collapsed="false">
      <c r="A22" s="9" t="s">
        <v>35</v>
      </c>
      <c r="B22" s="8" t="n">
        <f aca="false">SUMIFS(분개상세!$P$2:$P$256,분개상세!$A$2:$A$256,"C. TDA 재매입(보령)",분개상세!$K$2:$K$256,"42000007")+SUMIFS(분개상세!$P$2:$P$256,분개상세!$A$2:$A$256,"C. TDA 재매입(보령)",분개상세!$K$2:$K$256,"42910000")</f>
        <v>0</v>
      </c>
      <c r="C22" s="8" t="n">
        <v>0</v>
      </c>
      <c r="D22" s="9" t="s">
        <v>36</v>
      </c>
      <c r="E22" s="8" t="n">
        <f aca="false">B22-C22</f>
        <v>0</v>
      </c>
    </row>
    <row r="23" customFormat="false" ht="15" hidden="false" customHeight="true" outlineLevel="0" collapsed="false">
      <c r="A23" s="6" t="s">
        <v>37</v>
      </c>
      <c r="B23" s="7"/>
      <c r="C23" s="7"/>
      <c r="D23" s="7"/>
      <c r="E23" s="7"/>
      <c r="F23" s="7"/>
    </row>
    <row r="24" customFormat="false" ht="15" hidden="false" customHeight="true" outlineLevel="0" collapsed="false">
      <c r="A24" s="9" t="s">
        <v>38</v>
      </c>
      <c r="B24" s="8" t="n">
        <f aca="false">SUMIFS(분개상세!$P$2:$P$256,분개상세!$A$2:$A$256,"D. 재매입 원가차이(PPV) 상각",분개상세!$K$2:$K$256,"55050850")</f>
        <v>377196168</v>
      </c>
      <c r="C24" s="8"/>
      <c r="D24" s="9" t="s">
        <v>39</v>
      </c>
    </row>
    <row r="25" customFormat="false" ht="15" hidden="false" customHeight="true" outlineLevel="0" collapsed="false">
      <c r="A25" s="9" t="s">
        <v>40</v>
      </c>
      <c r="B25" s="8" t="n">
        <f aca="false">SUMIFS(분개상세!$P$2:$P$256,분개상세!$A$2:$A$256,"C. TDA 재매입(보령)",분개상세!$K$2:$K$256,"20000030")+SUMIFS(분개상세!$P$2:$P$256,분개상세!$A$2:$A$256,"D. 재매입 원가차이(PPV) 상각",분개상세!$K$2:$K$256,"20000030")</f>
        <v>94299041</v>
      </c>
      <c r="C25" s="8"/>
      <c r="D25" s="3"/>
    </row>
    <row r="26" customFormat="false" ht="15" hidden="false" customHeight="true" outlineLevel="0" collapsed="false">
      <c r="A26" s="6" t="s">
        <v>41</v>
      </c>
      <c r="B26" s="7"/>
      <c r="C26" s="7"/>
      <c r="D26" s="7"/>
      <c r="E26" s="7"/>
      <c r="F26" s="7"/>
    </row>
    <row r="27" customFormat="false" ht="15" hidden="false" customHeight="true" outlineLevel="0" collapsed="false">
      <c r="A27" s="3" t="s">
        <v>42</v>
      </c>
      <c r="B27" s="8" t="n">
        <f aca="false">SUMIFS(분개상세!$P$2:$P$256,분개상세!$A$2:$A$256,"E. 월별 Taxotere 비용 인보이스",분개상세!$K$2:$K$256,"54000700")</f>
        <v>13931487</v>
      </c>
      <c r="C27" s="8"/>
      <c r="D27" s="3" t="s">
        <v>43</v>
      </c>
    </row>
    <row r="28" customFormat="false" ht="15" hidden="false" customHeight="true" outlineLevel="0" collapsed="false">
      <c r="A28" s="9" t="s">
        <v>44</v>
      </c>
      <c r="B28" s="8" t="n">
        <f aca="false">SUMIFS(분개상세!$P$2:$P$256,분개상세!$A$2:$A$256,"F. 8월 인보이스(기표 후 취소)",분개상세!$K$2:$K$256,"54000700")</f>
        <v>0</v>
      </c>
      <c r="C28" s="8" t="n">
        <v>0</v>
      </c>
      <c r="D28" s="3" t="s">
        <v>45</v>
      </c>
      <c r="E28" s="8" t="n">
        <f aca="false">B28-C28</f>
        <v>0</v>
      </c>
    </row>
    <row r="29" customFormat="false" ht="15" hidden="false" customHeight="true" outlineLevel="0" collapsed="false">
      <c r="A29" s="3" t="s">
        <v>46</v>
      </c>
      <c r="B29" s="8" t="n">
        <f aca="false">SUMIFS(분개상세!$P$2:$P$256,분개상세!$A$2:$A$256,"G. 법인세 효과",분개상세!$K$2:$K$256,"78000103")</f>
        <v>-332114429</v>
      </c>
      <c r="C29" s="8" t="n">
        <v>-332114429</v>
      </c>
      <c r="D29" s="9" t="s">
        <v>47</v>
      </c>
      <c r="E29" s="8" t="n">
        <f aca="false">B29-C29</f>
        <v>0</v>
      </c>
    </row>
    <row r="30" customFormat="false" ht="15" hidden="false" customHeight="true" outlineLevel="0" collapsed="false">
      <c r="A30" s="3" t="s">
        <v>48</v>
      </c>
      <c r="B30" s="8" t="n">
        <f aca="false">SUMIFS(분개상세!$P$2:$P$256,분개상세!$A$2:$A$256,"I. 참고: 75520700 사용 타거래(제미글로 공동판매권 처분)",분개상세!$K$2:$K$256,"75520700")</f>
        <v>0</v>
      </c>
      <c r="C30" s="8" t="n">
        <v>0</v>
      </c>
      <c r="D30" s="3" t="s">
        <v>49</v>
      </c>
      <c r="E30" s="8" t="n">
        <f aca="false">B30-C30</f>
        <v>0</v>
      </c>
    </row>
    <row r="32" customFormat="false" ht="15" hidden="false" customHeight="true" outlineLevel="0" collapsed="false">
      <c r="A32" s="6" t="s">
        <v>50</v>
      </c>
    </row>
    <row r="33" customFormat="false" ht="30" hidden="false" customHeight="true" outlineLevel="0" collapsed="false">
      <c r="A33" s="10" t="s">
        <v>51</v>
      </c>
      <c r="B33" s="10"/>
      <c r="C33" s="10"/>
      <c r="D33" s="10"/>
      <c r="E33" s="10"/>
    </row>
    <row r="34" customFormat="false" ht="30" hidden="false" customHeight="true" outlineLevel="0" collapsed="false">
      <c r="A34" s="10" t="s">
        <v>52</v>
      </c>
      <c r="B34" s="10"/>
      <c r="C34" s="10"/>
      <c r="D34" s="10"/>
      <c r="E34" s="10"/>
    </row>
    <row r="35" customFormat="false" ht="30" hidden="false" customHeight="true" outlineLevel="0" collapsed="false">
      <c r="A35" s="11" t="s">
        <v>53</v>
      </c>
      <c r="B35" s="11"/>
      <c r="C35" s="11"/>
      <c r="D35" s="11"/>
      <c r="E35" s="11"/>
    </row>
    <row r="36" customFormat="false" ht="30" hidden="false" customHeight="true" outlineLevel="0" collapsed="false">
      <c r="A36" s="11" t="s">
        <v>54</v>
      </c>
      <c r="B36" s="11"/>
      <c r="C36" s="11"/>
      <c r="D36" s="11"/>
      <c r="E36" s="11"/>
    </row>
    <row r="37" customFormat="false" ht="30" hidden="false" customHeight="true" outlineLevel="0" collapsed="false">
      <c r="A37" s="11" t="s">
        <v>55</v>
      </c>
      <c r="B37" s="11"/>
      <c r="C37" s="11"/>
      <c r="D37" s="11"/>
      <c r="E37" s="11"/>
    </row>
    <row r="38" customFormat="false" ht="30" hidden="false" customHeight="true" outlineLevel="0" collapsed="false">
      <c r="A38" s="10" t="s">
        <v>56</v>
      </c>
      <c r="B38" s="10"/>
      <c r="C38" s="10"/>
      <c r="D38" s="10"/>
      <c r="E38" s="10"/>
    </row>
    <row r="39" customFormat="false" ht="30" hidden="false" customHeight="true" outlineLevel="0" collapsed="false">
      <c r="A39" s="11" t="s">
        <v>57</v>
      </c>
      <c r="B39" s="11"/>
      <c r="C39" s="11"/>
      <c r="D39" s="11"/>
      <c r="E39" s="11"/>
    </row>
    <row r="40" customFormat="false" ht="30" hidden="false" customHeight="true" outlineLevel="0" collapsed="false">
      <c r="A40" s="10" t="s">
        <v>58</v>
      </c>
      <c r="B40" s="10"/>
      <c r="C40" s="10"/>
      <c r="D40" s="10"/>
      <c r="E40" s="10"/>
    </row>
    <row r="41" customFormat="false" ht="30" hidden="false" customHeight="true" outlineLevel="0" collapsed="false">
      <c r="A41" s="11" t="s">
        <v>59</v>
      </c>
      <c r="B41" s="11"/>
      <c r="C41" s="11"/>
      <c r="D41" s="11"/>
      <c r="E41" s="11"/>
    </row>
    <row r="42" customFormat="false" ht="30" hidden="false" customHeight="true" outlineLevel="0" collapsed="false">
      <c r="A42" s="11" t="s">
        <v>60</v>
      </c>
      <c r="B42" s="11"/>
      <c r="C42" s="11"/>
      <c r="D42" s="11"/>
      <c r="E42" s="11"/>
    </row>
  </sheetData>
  <mergeCells count="10">
    <mergeCell ref="A33:E33"/>
    <mergeCell ref="A34:E34"/>
    <mergeCell ref="A35:E35"/>
    <mergeCell ref="A36:E36"/>
    <mergeCell ref="A37:E37"/>
    <mergeCell ref="A38:E38"/>
    <mergeCell ref="A39:E39"/>
    <mergeCell ref="A40:E40"/>
    <mergeCell ref="A41:E41"/>
    <mergeCell ref="A42:E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36"/>
  </cols>
  <sheetData>
    <row r="1" customFormat="false" ht="17.15" hidden="false" customHeight="false" outlineLevel="0" collapsed="false">
      <c r="A1" s="12" t="s">
        <v>61</v>
      </c>
    </row>
    <row r="2" customFormat="false" ht="15" hidden="false" customHeight="false" outlineLevel="0" collapsed="false">
      <c r="A2" s="13" t="s">
        <v>62</v>
      </c>
    </row>
    <row r="4" customFormat="false" ht="15" hidden="false" customHeight="false" outlineLevel="0" collapsed="false">
      <c r="A4" s="14" t="s">
        <v>63</v>
      </c>
      <c r="B4" s="14" t="s">
        <v>64</v>
      </c>
      <c r="C4" s="14" t="s">
        <v>65</v>
      </c>
      <c r="D4" s="15" t="s">
        <v>66</v>
      </c>
    </row>
    <row r="5" customFormat="false" ht="15" hidden="false" customHeight="false" outlineLevel="0" collapsed="false">
      <c r="A5" s="16" t="s">
        <v>67</v>
      </c>
      <c r="B5" s="17" t="n">
        <v>21354</v>
      </c>
      <c r="C5" s="17" t="n">
        <v>19512</v>
      </c>
      <c r="D5" s="18" t="n">
        <f aca="false">B5+C5</f>
        <v>40866</v>
      </c>
    </row>
    <row r="6" customFormat="false" ht="15" hidden="false" customHeight="false" outlineLevel="0" collapsed="false">
      <c r="A6" s="16" t="s">
        <v>68</v>
      </c>
      <c r="B6" s="17" t="n">
        <v>20328</v>
      </c>
      <c r="C6" s="17" t="n">
        <v>22673</v>
      </c>
      <c r="D6" s="18" t="n">
        <f aca="false">B6+C6</f>
        <v>43001</v>
      </c>
    </row>
    <row r="7" customFormat="false" ht="15" hidden="false" customHeight="false" outlineLevel="0" collapsed="false">
      <c r="A7" s="16" t="s">
        <v>69</v>
      </c>
      <c r="B7" s="17" t="n">
        <v>-28839</v>
      </c>
      <c r="C7" s="17" t="n">
        <v>-31169</v>
      </c>
      <c r="D7" s="18" t="n">
        <f aca="false">B7+C7</f>
        <v>-60008</v>
      </c>
    </row>
    <row r="8" customFormat="false" ht="15" hidden="false" customHeight="false" outlineLevel="0" collapsed="false">
      <c r="A8" s="16" t="s">
        <v>70</v>
      </c>
      <c r="B8" s="17" t="n">
        <v>-184</v>
      </c>
      <c r="C8" s="17" t="n">
        <v>-1057</v>
      </c>
      <c r="D8" s="18" t="n">
        <f aca="false">B8+C8</f>
        <v>-1241</v>
      </c>
    </row>
    <row r="9" customFormat="false" ht="15" hidden="false" customHeight="false" outlineLevel="0" collapsed="false">
      <c r="A9" s="19" t="s">
        <v>71</v>
      </c>
      <c r="B9" s="20" t="n">
        <f aca="false">SUM(B5:B8)</f>
        <v>12659</v>
      </c>
      <c r="C9" s="20" t="n">
        <f aca="false">SUM(C5:C8)</f>
        <v>9959</v>
      </c>
      <c r="D9" s="20" t="n">
        <f aca="false">B9+C9</f>
        <v>22618</v>
      </c>
    </row>
    <row r="10" customFormat="false" ht="15" hidden="false" customHeight="false" outlineLevel="0" collapsed="false">
      <c r="A10" s="16" t="s">
        <v>72</v>
      </c>
      <c r="B10" s="17" t="n">
        <v>12650</v>
      </c>
      <c r="C10" s="17" t="n">
        <v>9942</v>
      </c>
      <c r="D10" s="18" t="n">
        <f aca="false">B10+C10</f>
        <v>22592</v>
      </c>
    </row>
    <row r="11" customFormat="false" ht="15" hidden="false" customHeight="false" outlineLevel="0" collapsed="false">
      <c r="A11" s="13" t="s">
        <v>73</v>
      </c>
      <c r="B11" s="18" t="n">
        <f aca="false">B9-B10</f>
        <v>9</v>
      </c>
      <c r="C11" s="18" t="n">
        <f aca="false">C9-C10</f>
        <v>17</v>
      </c>
      <c r="D11" s="18" t="n">
        <f aca="false">B11+C11</f>
        <v>26</v>
      </c>
    </row>
    <row r="12" customFormat="false" ht="15" hidden="false" customHeight="false" outlineLevel="0" collapsed="false">
      <c r="A12" s="13" t="s">
        <v>74</v>
      </c>
    </row>
    <row r="14" customFormat="false" ht="15" hidden="false" customHeight="false" outlineLevel="0" collapsed="false">
      <c r="A14" s="14" t="s">
        <v>75</v>
      </c>
      <c r="B14" s="15" t="s">
        <v>76</v>
      </c>
      <c r="C14" s="15" t="s">
        <v>77</v>
      </c>
      <c r="D14" s="15" t="s">
        <v>78</v>
      </c>
      <c r="E14" s="14" t="s">
        <v>79</v>
      </c>
      <c r="F14" s="14" t="s">
        <v>80</v>
      </c>
      <c r="G14" s="15" t="s">
        <v>81</v>
      </c>
      <c r="H14" s="15" t="s">
        <v>82</v>
      </c>
    </row>
    <row r="15" customFormat="false" ht="15" hidden="false" customHeight="false" outlineLevel="0" collapsed="false">
      <c r="A15" s="16" t="s">
        <v>83</v>
      </c>
      <c r="B15" s="18" t="n">
        <v>330317</v>
      </c>
      <c r="C15" s="21" t="n">
        <v>46218</v>
      </c>
      <c r="D15" s="17" t="n">
        <v>3174</v>
      </c>
      <c r="E15" s="17" t="n">
        <v>744020514</v>
      </c>
      <c r="F15" s="17" t="n">
        <v>741081390</v>
      </c>
      <c r="G15" s="18" t="n">
        <f aca="false">IFERROR(F15/D15,0)</f>
        <v>233485</v>
      </c>
      <c r="H15" s="16" t="s">
        <v>84</v>
      </c>
    </row>
    <row r="16" customFormat="false" ht="15" hidden="false" customHeight="false" outlineLevel="0" collapsed="false">
      <c r="A16" s="16" t="s">
        <v>85</v>
      </c>
      <c r="B16" s="18" t="n">
        <v>330316</v>
      </c>
      <c r="C16" s="21" t="n">
        <v>46223</v>
      </c>
      <c r="D16" s="17" t="n">
        <v>4359</v>
      </c>
      <c r="E16" s="17" t="n">
        <v>315757242</v>
      </c>
      <c r="F16" s="17" t="n">
        <v>312727737</v>
      </c>
      <c r="G16" s="18" t="n">
        <f aca="false">IFERROR(F16/D16,0)</f>
        <v>71743</v>
      </c>
      <c r="H16" s="16" t="s">
        <v>84</v>
      </c>
    </row>
    <row r="17" customFormat="false" ht="15" hidden="false" customHeight="false" outlineLevel="0" collapsed="false">
      <c r="A17" s="16" t="s">
        <v>86</v>
      </c>
      <c r="B17" s="18" t="n">
        <v>330316</v>
      </c>
      <c r="C17" s="21" t="n">
        <v>46223</v>
      </c>
      <c r="D17" s="17" t="n">
        <v>11520</v>
      </c>
      <c r="E17" s="17" t="n">
        <v>834485760</v>
      </c>
      <c r="F17" s="17" t="n">
        <v>826479360</v>
      </c>
      <c r="G17" s="18" t="n">
        <f aca="false">IFERROR(F17/D17,0)</f>
        <v>71743</v>
      </c>
      <c r="H17" s="16" t="s">
        <v>84</v>
      </c>
    </row>
    <row r="18" customFormat="false" ht="15" hidden="false" customHeight="false" outlineLevel="0" collapsed="false">
      <c r="A18" s="16" t="s">
        <v>87</v>
      </c>
      <c r="B18" s="18" t="n">
        <v>330317</v>
      </c>
      <c r="C18" s="21" t="n">
        <v>46223</v>
      </c>
      <c r="D18" s="17" t="n">
        <v>8640</v>
      </c>
      <c r="E18" s="17" t="n">
        <v>2025311040</v>
      </c>
      <c r="F18" s="17" t="n">
        <v>2017310400</v>
      </c>
      <c r="G18" s="18" t="n">
        <f aca="false">IFERROR(F18/D18,0)</f>
        <v>233485</v>
      </c>
      <c r="H18" s="16" t="s">
        <v>84</v>
      </c>
    </row>
    <row r="19" customFormat="false" ht="15" hidden="false" customHeight="false" outlineLevel="0" collapsed="false">
      <c r="A19" s="16" t="s">
        <v>88</v>
      </c>
      <c r="B19" s="18" t="n">
        <v>330316</v>
      </c>
      <c r="C19" s="21" t="n">
        <v>46227</v>
      </c>
      <c r="D19" s="17" t="n">
        <v>11520</v>
      </c>
      <c r="E19" s="17" t="n">
        <v>834485760</v>
      </c>
      <c r="F19" s="17" t="n">
        <v>826479360</v>
      </c>
      <c r="G19" s="18" t="n">
        <f aca="false">IFERROR(F19/D19,0)</f>
        <v>71743</v>
      </c>
      <c r="H19" s="16" t="s">
        <v>84</v>
      </c>
    </row>
    <row r="20" customFormat="false" ht="15" hidden="false" customHeight="false" outlineLevel="0" collapsed="false">
      <c r="A20" s="16" t="s">
        <v>89</v>
      </c>
      <c r="B20" s="18" t="n">
        <v>330316</v>
      </c>
      <c r="C20" s="21" t="n">
        <v>46231</v>
      </c>
      <c r="D20" s="17" t="n">
        <v>6131</v>
      </c>
      <c r="E20" s="17" t="n">
        <v>444117378</v>
      </c>
      <c r="F20" s="17" t="n">
        <v>439856333</v>
      </c>
      <c r="G20" s="18" t="n">
        <f aca="false">IFERROR(F20/D20,0)</f>
        <v>71743</v>
      </c>
      <c r="H20" s="16" t="s">
        <v>84</v>
      </c>
    </row>
    <row r="21" customFormat="false" ht="15" hidden="false" customHeight="false" outlineLevel="0" collapsed="false">
      <c r="A21" s="16" t="s">
        <v>90</v>
      </c>
      <c r="B21" s="18" t="n">
        <v>330316</v>
      </c>
      <c r="C21" s="21" t="n">
        <v>46231</v>
      </c>
      <c r="D21" s="17" t="n">
        <v>14400</v>
      </c>
      <c r="E21" s="17" t="n">
        <v>1043107200</v>
      </c>
      <c r="F21" s="17" t="n">
        <v>1033099200</v>
      </c>
      <c r="G21" s="18" t="n">
        <f aca="false">IFERROR(F21/D21,0)</f>
        <v>71743</v>
      </c>
      <c r="H21" s="16" t="s">
        <v>84</v>
      </c>
    </row>
    <row r="22" customFormat="false" ht="15" hidden="false" customHeight="false" outlineLevel="0" collapsed="false">
      <c r="A22" s="16" t="s">
        <v>91</v>
      </c>
      <c r="B22" s="18" t="n">
        <v>330317</v>
      </c>
      <c r="C22" s="21" t="n">
        <v>46231</v>
      </c>
      <c r="D22" s="17" t="n">
        <v>11340</v>
      </c>
      <c r="E22" s="17" t="n">
        <v>2658220740</v>
      </c>
      <c r="F22" s="17" t="n">
        <v>2647719900</v>
      </c>
      <c r="G22" s="18" t="n">
        <f aca="false">IFERROR(F22/D22,0)</f>
        <v>233485</v>
      </c>
      <c r="H22" s="16" t="s">
        <v>84</v>
      </c>
    </row>
    <row r="23" customFormat="false" ht="15" hidden="false" customHeight="false" outlineLevel="0" collapsed="false">
      <c r="A23" s="16" t="s">
        <v>92</v>
      </c>
      <c r="B23" s="18" t="n">
        <v>330316</v>
      </c>
      <c r="C23" s="21" t="n">
        <v>46233</v>
      </c>
      <c r="D23" s="17" t="n">
        <v>14400</v>
      </c>
      <c r="E23" s="17" t="n">
        <v>1043107200</v>
      </c>
      <c r="F23" s="17" t="n">
        <v>1033099200</v>
      </c>
      <c r="G23" s="18" t="n">
        <f aca="false">IFERROR(F23/D23,0)</f>
        <v>71743</v>
      </c>
      <c r="H23" s="16" t="s">
        <v>84</v>
      </c>
    </row>
    <row r="24" customFormat="false" ht="15" hidden="false" customHeight="false" outlineLevel="0" collapsed="false">
      <c r="A24" s="16" t="s">
        <v>93</v>
      </c>
      <c r="B24" s="18" t="n">
        <v>330317</v>
      </c>
      <c r="C24" s="21" t="n">
        <v>46245</v>
      </c>
      <c r="D24" s="17" t="n">
        <v>13520</v>
      </c>
      <c r="E24" s="17" t="n">
        <v>3169236720</v>
      </c>
      <c r="F24" s="17" t="n">
        <v>3156717200</v>
      </c>
      <c r="G24" s="18" t="n">
        <f aca="false">IFERROR(F24/D24,0)</f>
        <v>233485</v>
      </c>
      <c r="H24" s="16" t="s">
        <v>84</v>
      </c>
    </row>
    <row r="25" customFormat="false" ht="15" hidden="false" customHeight="false" outlineLevel="0" collapsed="false">
      <c r="A25" s="16" t="s">
        <v>94</v>
      </c>
      <c r="B25" s="18" t="n">
        <v>330317</v>
      </c>
      <c r="C25" s="21" t="n">
        <v>46265</v>
      </c>
      <c r="D25" s="17" t="n">
        <v>8640</v>
      </c>
      <c r="E25" s="17" t="n">
        <v>2025311040</v>
      </c>
      <c r="F25" s="17" t="n">
        <v>2017310400</v>
      </c>
      <c r="G25" s="18" t="n">
        <f aca="false">IFERROR(F25/D25,0)</f>
        <v>233485</v>
      </c>
      <c r="H25" s="16" t="s">
        <v>84</v>
      </c>
    </row>
    <row r="26" customFormat="false" ht="15" hidden="false" customHeight="false" outlineLevel="0" collapsed="false">
      <c r="A26" s="16" t="s">
        <v>94</v>
      </c>
      <c r="B26" s="18" t="n">
        <v>330317</v>
      </c>
      <c r="C26" s="21" t="n">
        <v>46265</v>
      </c>
      <c r="D26" s="17" t="n">
        <v>8640</v>
      </c>
      <c r="E26" s="17" t="n">
        <v>2025311040</v>
      </c>
      <c r="F26" s="17" t="n">
        <v>0</v>
      </c>
      <c r="G26" s="18" t="n">
        <f aca="false">IFERROR(F26/D26,0)</f>
        <v>0</v>
      </c>
      <c r="H26" s="16" t="s">
        <v>84</v>
      </c>
    </row>
    <row r="27" customFormat="false" ht="15" hidden="false" customHeight="false" outlineLevel="0" collapsed="false">
      <c r="A27" s="16" t="s">
        <v>95</v>
      </c>
      <c r="B27" s="18" t="n">
        <v>330317</v>
      </c>
      <c r="C27" s="21" t="n">
        <v>46265</v>
      </c>
      <c r="D27" s="17" t="n">
        <v>-8640</v>
      </c>
      <c r="E27" s="17" t="n">
        <v>-2025311040</v>
      </c>
      <c r="F27" s="17" t="n">
        <v>0</v>
      </c>
      <c r="G27" s="16"/>
      <c r="H27" s="13" t="s">
        <v>96</v>
      </c>
    </row>
    <row r="28" customFormat="false" ht="15" hidden="false" customHeight="false" outlineLevel="0" collapsed="false">
      <c r="A28" s="16" t="s">
        <v>97</v>
      </c>
      <c r="B28" s="18" t="n">
        <v>330317</v>
      </c>
      <c r="C28" s="21" t="n">
        <v>46266</v>
      </c>
      <c r="D28" s="17" t="n">
        <v>9000</v>
      </c>
      <c r="E28" s="17" t="n">
        <v>2109699000</v>
      </c>
      <c r="F28" s="17" t="n">
        <v>2101365000</v>
      </c>
      <c r="G28" s="18" t="n">
        <f aca="false">IFERROR(F28/D28,0)</f>
        <v>233485</v>
      </c>
      <c r="H28" s="16" t="s">
        <v>84</v>
      </c>
    </row>
    <row r="29" customFormat="false" ht="15" hidden="false" customHeight="false" outlineLevel="0" collapsed="false">
      <c r="A29" s="16" t="s">
        <v>98</v>
      </c>
      <c r="B29" s="18" t="n">
        <v>330317</v>
      </c>
      <c r="C29" s="21" t="n">
        <v>46272</v>
      </c>
      <c r="D29" s="17" t="n">
        <v>10224</v>
      </c>
      <c r="E29" s="17" t="n">
        <v>2396618064</v>
      </c>
      <c r="F29" s="17" t="n">
        <v>2387150640</v>
      </c>
      <c r="G29" s="18" t="n">
        <f aca="false">IFERROR(F29/D29,0)</f>
        <v>233485</v>
      </c>
      <c r="H29" s="16" t="s">
        <v>84</v>
      </c>
    </row>
    <row r="30" customFormat="false" ht="15" hidden="false" customHeight="false" outlineLevel="0" collapsed="false">
      <c r="A30" s="22" t="s">
        <v>66</v>
      </c>
      <c r="B30" s="19"/>
      <c r="C30" s="19"/>
      <c r="D30" s="20" t="n">
        <f aca="false">SUM(D15:D29)</f>
        <v>126868</v>
      </c>
      <c r="E30" s="20" t="n">
        <f aca="false">SUM(E15:E29)</f>
        <v>19643477658</v>
      </c>
      <c r="F30" s="20" t="n">
        <f aca="false">SUM(F15:F29)</f>
        <v>19540396120</v>
      </c>
    </row>
    <row r="31" customFormat="false" ht="15" hidden="false" customHeight="false" outlineLevel="0" collapsed="false">
      <c r="A31" s="13" t="s">
        <v>99</v>
      </c>
    </row>
    <row r="33" customFormat="false" ht="15" hidden="false" customHeight="false" outlineLevel="0" collapsed="false">
      <c r="A33" s="14" t="s">
        <v>100</v>
      </c>
      <c r="B33" s="15" t="s">
        <v>76</v>
      </c>
      <c r="C33" s="15" t="s">
        <v>101</v>
      </c>
      <c r="D33" s="15" t="s">
        <v>102</v>
      </c>
      <c r="E33" s="15" t="s">
        <v>78</v>
      </c>
      <c r="F33" s="15" t="s">
        <v>103</v>
      </c>
      <c r="G33" s="15" t="s">
        <v>104</v>
      </c>
    </row>
    <row r="34" customFormat="false" ht="15" hidden="false" customHeight="false" outlineLevel="0" collapsed="false">
      <c r="A34" s="16" t="s">
        <v>105</v>
      </c>
      <c r="B34" s="18" t="n">
        <v>330316</v>
      </c>
      <c r="C34" s="16" t="s">
        <v>106</v>
      </c>
      <c r="D34" s="16" t="s">
        <v>107</v>
      </c>
      <c r="E34" s="17" t="n">
        <v>22247</v>
      </c>
      <c r="F34" s="17" t="n">
        <v>1611528186</v>
      </c>
      <c r="G34" s="16" t="s">
        <v>108</v>
      </c>
    </row>
    <row r="35" customFormat="false" ht="15" hidden="false" customHeight="false" outlineLevel="0" collapsed="false">
      <c r="A35" s="16" t="s">
        <v>109</v>
      </c>
      <c r="B35" s="18" t="n">
        <v>330316</v>
      </c>
      <c r="C35" s="16" t="s">
        <v>106</v>
      </c>
      <c r="D35" s="16" t="s">
        <v>107</v>
      </c>
      <c r="E35" s="17" t="n">
        <v>10079</v>
      </c>
      <c r="F35" s="17" t="n">
        <v>730102602</v>
      </c>
      <c r="G35" s="16" t="s">
        <v>108</v>
      </c>
    </row>
    <row r="36" customFormat="false" ht="15" hidden="false" customHeight="false" outlineLevel="0" collapsed="false">
      <c r="A36" s="16" t="s">
        <v>109</v>
      </c>
      <c r="B36" s="18" t="n">
        <v>330316</v>
      </c>
      <c r="C36" s="16" t="s">
        <v>110</v>
      </c>
      <c r="D36" s="16" t="s">
        <v>111</v>
      </c>
      <c r="E36" s="17" t="n">
        <v>20342</v>
      </c>
      <c r="F36" s="17" t="n">
        <v>1473533796</v>
      </c>
      <c r="G36" s="16" t="s">
        <v>108</v>
      </c>
    </row>
    <row r="37" customFormat="false" ht="15" hidden="false" customHeight="false" outlineLevel="0" collapsed="false">
      <c r="A37" s="16" t="s">
        <v>105</v>
      </c>
      <c r="B37" s="18" t="n">
        <v>330317</v>
      </c>
      <c r="C37" s="16" t="s">
        <v>112</v>
      </c>
      <c r="D37" s="16" t="s">
        <v>113</v>
      </c>
      <c r="E37" s="17" t="n">
        <v>9378</v>
      </c>
      <c r="F37" s="17" t="n">
        <v>2198306358</v>
      </c>
      <c r="G37" s="16" t="s">
        <v>108</v>
      </c>
    </row>
    <row r="38" customFormat="false" ht="15" hidden="false" customHeight="false" outlineLevel="0" collapsed="false">
      <c r="A38" s="16" t="s">
        <v>109</v>
      </c>
      <c r="B38" s="18" t="n">
        <v>330317</v>
      </c>
      <c r="C38" s="16" t="s">
        <v>114</v>
      </c>
      <c r="D38" s="16" t="s">
        <v>115</v>
      </c>
      <c r="E38" s="17" t="n">
        <v>8526</v>
      </c>
      <c r="F38" s="17" t="n">
        <v>1998588186</v>
      </c>
      <c r="G38" s="16" t="s">
        <v>116</v>
      </c>
    </row>
    <row r="39" customFormat="false" ht="15" hidden="false" customHeight="false" outlineLevel="0" collapsed="false">
      <c r="A39" s="16" t="s">
        <v>109</v>
      </c>
      <c r="B39" s="18" t="n">
        <v>330317</v>
      </c>
      <c r="C39" s="16" t="s">
        <v>117</v>
      </c>
      <c r="D39" s="16" t="s">
        <v>115</v>
      </c>
      <c r="E39" s="17" t="n">
        <v>10117</v>
      </c>
      <c r="F39" s="17" t="n">
        <v>2371536087</v>
      </c>
      <c r="G39" s="16" t="s">
        <v>118</v>
      </c>
    </row>
    <row r="40" customFormat="false" ht="15" hidden="false" customHeight="false" outlineLevel="0" collapsed="false">
      <c r="A40" s="16" t="s">
        <v>119</v>
      </c>
      <c r="B40" s="18" t="n">
        <v>330316</v>
      </c>
      <c r="C40" s="16" t="s">
        <v>120</v>
      </c>
      <c r="D40" s="16" t="s">
        <v>121</v>
      </c>
      <c r="E40" s="17" t="n">
        <v>1</v>
      </c>
      <c r="F40" s="17" t="n">
        <v>72438</v>
      </c>
      <c r="G40" s="16" t="s">
        <v>122</v>
      </c>
    </row>
    <row r="41" customFormat="false" ht="15" hidden="false" customHeight="false" outlineLevel="0" collapsed="false">
      <c r="A41" s="16" t="s">
        <v>119</v>
      </c>
      <c r="B41" s="18" t="n">
        <v>330316</v>
      </c>
      <c r="C41" s="16" t="s">
        <v>106</v>
      </c>
      <c r="D41" s="16" t="s">
        <v>107</v>
      </c>
      <c r="E41" s="17" t="n">
        <v>14</v>
      </c>
      <c r="F41" s="17" t="n">
        <v>1014132</v>
      </c>
      <c r="G41" s="16" t="s">
        <v>108</v>
      </c>
    </row>
    <row r="42" customFormat="false" ht="15" hidden="false" customHeight="false" outlineLevel="0" collapsed="false">
      <c r="A42" s="16" t="s">
        <v>119</v>
      </c>
      <c r="B42" s="18" t="n">
        <v>330316</v>
      </c>
      <c r="C42" s="16" t="s">
        <v>110</v>
      </c>
      <c r="D42" s="16" t="s">
        <v>111</v>
      </c>
      <c r="E42" s="17" t="n">
        <v>2</v>
      </c>
      <c r="F42" s="17" t="n">
        <v>144876</v>
      </c>
      <c r="G42" s="16" t="s">
        <v>108</v>
      </c>
    </row>
    <row r="43" customFormat="false" ht="15" hidden="false" customHeight="false" outlineLevel="0" collapsed="false">
      <c r="A43" s="16" t="s">
        <v>119</v>
      </c>
      <c r="B43" s="18" t="n">
        <v>330317</v>
      </c>
      <c r="C43" s="16" t="s">
        <v>123</v>
      </c>
      <c r="D43" s="16" t="s">
        <v>124</v>
      </c>
      <c r="E43" s="17" t="n">
        <v>5</v>
      </c>
      <c r="F43" s="17" t="n">
        <v>1172055</v>
      </c>
      <c r="G43" s="16" t="s">
        <v>108</v>
      </c>
    </row>
    <row r="44" customFormat="false" ht="15" hidden="false" customHeight="false" outlineLevel="0" collapsed="false">
      <c r="A44" s="16" t="s">
        <v>119</v>
      </c>
      <c r="B44" s="18" t="n">
        <v>330317</v>
      </c>
      <c r="C44" s="16" t="s">
        <v>112</v>
      </c>
      <c r="D44" s="16" t="s">
        <v>113</v>
      </c>
      <c r="E44" s="17" t="n">
        <v>17</v>
      </c>
      <c r="F44" s="17" t="n">
        <v>3984987</v>
      </c>
      <c r="G44" s="16" t="s">
        <v>108</v>
      </c>
    </row>
    <row r="45" customFormat="false" ht="15" hidden="false" customHeight="false" outlineLevel="0" collapsed="false">
      <c r="A45" s="16" t="s">
        <v>119</v>
      </c>
      <c r="B45" s="18" t="n">
        <v>330317</v>
      </c>
      <c r="C45" s="16" t="s">
        <v>114</v>
      </c>
      <c r="D45" s="16" t="s">
        <v>115</v>
      </c>
      <c r="E45" s="17" t="n">
        <v>7</v>
      </c>
      <c r="F45" s="17" t="n">
        <v>1640877</v>
      </c>
      <c r="G45" s="16" t="s">
        <v>116</v>
      </c>
    </row>
    <row r="46" customFormat="false" ht="15" hidden="false" customHeight="false" outlineLevel="0" collapsed="false">
      <c r="A46" s="16" t="s">
        <v>119</v>
      </c>
      <c r="B46" s="18" t="n">
        <v>330317</v>
      </c>
      <c r="C46" s="16" t="s">
        <v>125</v>
      </c>
      <c r="D46" s="16" t="s">
        <v>126</v>
      </c>
      <c r="E46" s="17" t="n">
        <v>9</v>
      </c>
      <c r="F46" s="17" t="n">
        <v>2109699</v>
      </c>
      <c r="G46" s="16" t="s">
        <v>116</v>
      </c>
    </row>
    <row r="47" customFormat="false" ht="15" hidden="false" customHeight="false" outlineLevel="0" collapsed="false">
      <c r="A47" s="16" t="s">
        <v>119</v>
      </c>
      <c r="B47" s="18" t="n">
        <v>330317</v>
      </c>
      <c r="C47" s="16" t="s">
        <v>127</v>
      </c>
      <c r="D47" s="16" t="s">
        <v>128</v>
      </c>
      <c r="E47" s="17" t="n">
        <v>2</v>
      </c>
      <c r="F47" s="17" t="n">
        <v>468822</v>
      </c>
      <c r="G47" s="16" t="s">
        <v>118</v>
      </c>
    </row>
    <row r="48" customFormat="false" ht="15" hidden="false" customHeight="false" outlineLevel="0" collapsed="false">
      <c r="A48" s="16" t="s">
        <v>105</v>
      </c>
      <c r="B48" s="18" t="n">
        <v>330317</v>
      </c>
      <c r="C48" s="16" t="s">
        <v>125</v>
      </c>
      <c r="D48" s="16" t="s">
        <v>126</v>
      </c>
      <c r="E48" s="17" t="n">
        <v>13404</v>
      </c>
      <c r="F48" s="17" t="n">
        <v>3142045044</v>
      </c>
      <c r="G48" s="16" t="s">
        <v>116</v>
      </c>
    </row>
    <row r="49" customFormat="false" ht="15" hidden="false" customHeight="false" outlineLevel="0" collapsed="false">
      <c r="A49" s="16" t="s">
        <v>109</v>
      </c>
      <c r="B49" s="18" t="n">
        <v>330317</v>
      </c>
      <c r="C49" s="16" t="s">
        <v>127</v>
      </c>
      <c r="D49" s="16" t="s">
        <v>128</v>
      </c>
      <c r="E49" s="17" t="n">
        <v>8891</v>
      </c>
      <c r="F49" s="17" t="n">
        <v>2084148201</v>
      </c>
      <c r="G49" s="16" t="s">
        <v>118</v>
      </c>
    </row>
    <row r="50" customFormat="false" ht="15" hidden="false" customHeight="false" outlineLevel="0" collapsed="false">
      <c r="A50" s="22" t="s">
        <v>66</v>
      </c>
      <c r="B50" s="19"/>
      <c r="C50" s="19"/>
      <c r="D50" s="19"/>
      <c r="E50" s="20" t="n">
        <f aca="false">SUM(E34:E49)</f>
        <v>103041</v>
      </c>
      <c r="F50" s="20" t="n">
        <f aca="false">SUM(F34:F49)</f>
        <v>15620396346</v>
      </c>
    </row>
    <row r="51" customFormat="false" ht="15" hidden="false" customHeight="false" outlineLevel="0" collapsed="false">
      <c r="A51" s="16" t="s">
        <v>129</v>
      </c>
    </row>
    <row r="53" customFormat="false" ht="15" hidden="false" customHeight="false" outlineLevel="0" collapsed="false">
      <c r="A53" s="14" t="s">
        <v>130</v>
      </c>
      <c r="B53" s="14" t="s">
        <v>131</v>
      </c>
      <c r="C53" s="14" t="s">
        <v>132</v>
      </c>
      <c r="D53" s="15" t="s">
        <v>66</v>
      </c>
      <c r="E53" s="15" t="s">
        <v>5</v>
      </c>
    </row>
    <row r="54" customFormat="false" ht="15" hidden="false" customHeight="false" outlineLevel="0" collapsed="false">
      <c r="A54" s="13" t="s">
        <v>133</v>
      </c>
      <c r="B54" s="17" t="n">
        <v>84331.85</v>
      </c>
      <c r="C54" s="17" t="n">
        <v>266990.09</v>
      </c>
      <c r="D54" s="16"/>
      <c r="E54" s="16" t="s">
        <v>134</v>
      </c>
    </row>
    <row r="55" customFormat="false" ht="15" hidden="false" customHeight="false" outlineLevel="0" collapsed="false">
      <c r="A55" s="13" t="s">
        <v>135</v>
      </c>
      <c r="B55" s="18" t="n">
        <f aca="false">B54*0.92</f>
        <v>77585.302</v>
      </c>
      <c r="C55" s="18" t="n">
        <f aca="false">C54*0.92</f>
        <v>245630.8828</v>
      </c>
    </row>
    <row r="56" customFormat="false" ht="15" hidden="false" customHeight="false" outlineLevel="0" collapsed="false">
      <c r="A56" s="16" t="s">
        <v>136</v>
      </c>
      <c r="B56" s="17" t="n">
        <v>85478.16</v>
      </c>
      <c r="C56" s="17" t="n">
        <v>273840.25</v>
      </c>
      <c r="D56" s="16"/>
      <c r="E56" s="16" t="s">
        <v>137</v>
      </c>
    </row>
    <row r="57" customFormat="false" ht="15" hidden="false" customHeight="false" outlineLevel="0" collapsed="false">
      <c r="A57" s="13" t="s">
        <v>138</v>
      </c>
      <c r="B57" s="17" t="n">
        <v>72438</v>
      </c>
      <c r="C57" s="17" t="n">
        <v>234411</v>
      </c>
    </row>
    <row r="58" customFormat="false" ht="15" hidden="false" customHeight="false" outlineLevel="0" collapsed="false">
      <c r="A58" s="16" t="s">
        <v>139</v>
      </c>
      <c r="B58" s="17" t="n">
        <v>21920</v>
      </c>
      <c r="C58" s="17" t="n">
        <v>23481</v>
      </c>
      <c r="D58" s="18" t="n">
        <f aca="false">B58+C58</f>
        <v>45401</v>
      </c>
    </row>
    <row r="59" customFormat="false" ht="15" hidden="false" customHeight="false" outlineLevel="0" collapsed="false">
      <c r="A59" s="13" t="s">
        <v>140</v>
      </c>
      <c r="B59" s="17" t="n">
        <v>12650</v>
      </c>
      <c r="C59" s="17" t="n">
        <v>9942</v>
      </c>
      <c r="D59" s="18" t="n">
        <f aca="false">B59+C59</f>
        <v>22592</v>
      </c>
    </row>
    <row r="60" customFormat="false" ht="15" hidden="false" customHeight="false" outlineLevel="0" collapsed="false">
      <c r="A60" s="13" t="s">
        <v>141</v>
      </c>
      <c r="B60" s="18" t="n">
        <f aca="false">B58-B59</f>
        <v>9270</v>
      </c>
      <c r="C60" s="18" t="n">
        <f aca="false">C58-C59</f>
        <v>13539</v>
      </c>
      <c r="D60" s="18" t="n">
        <f aca="false">B60+C60</f>
        <v>22809</v>
      </c>
    </row>
    <row r="61" customFormat="false" ht="15" hidden="false" customHeight="false" outlineLevel="0" collapsed="false">
      <c r="A61" s="16" t="s">
        <v>142</v>
      </c>
      <c r="B61" s="18" t="n">
        <f aca="false">-(B56-B55)*B59</f>
        <v>-99844653.6999999</v>
      </c>
      <c r="C61" s="18" t="n">
        <f aca="false">-(C56-C55)*C59</f>
        <v>-280457528.7024</v>
      </c>
      <c r="D61" s="18" t="n">
        <f aca="false">B61+C61</f>
        <v>-380302182.4024</v>
      </c>
      <c r="E61" s="16" t="s">
        <v>143</v>
      </c>
    </row>
    <row r="62" customFormat="false" ht="15" hidden="false" customHeight="false" outlineLevel="0" collapsed="false">
      <c r="A62" s="16" t="s">
        <v>144</v>
      </c>
      <c r="B62" s="18" t="n">
        <f aca="false">(B55-B57)*B60</f>
        <v>47715489.5400001</v>
      </c>
      <c r="C62" s="18" t="n">
        <f aca="false">(C55-C57)*C60</f>
        <v>151905993.2292</v>
      </c>
      <c r="D62" s="18" t="n">
        <f aca="false">B62+C62</f>
        <v>199621482.7692</v>
      </c>
      <c r="E62" s="16" t="s">
        <v>145</v>
      </c>
    </row>
    <row r="63" customFormat="false" ht="15" hidden="false" customHeight="false" outlineLevel="0" collapsed="false">
      <c r="A63" s="13" t="s">
        <v>146</v>
      </c>
      <c r="B63" s="16"/>
      <c r="C63" s="16"/>
      <c r="D63" s="17" t="n">
        <v>94299041</v>
      </c>
      <c r="E63" s="13" t="s">
        <v>147</v>
      </c>
    </row>
    <row r="64" customFormat="false" ht="15" hidden="false" customHeight="false" outlineLevel="0" collapsed="false">
      <c r="A64" s="22" t="s">
        <v>148</v>
      </c>
      <c r="B64" s="19"/>
      <c r="C64" s="19"/>
      <c r="D64" s="20" t="n">
        <f aca="false">D61+D62+D63</f>
        <v>-86381658.6331993</v>
      </c>
    </row>
    <row r="65" customFormat="false" ht="15" hidden="false" customHeight="false" outlineLevel="0" collapsed="false">
      <c r="A65" s="16" t="s">
        <v>149</v>
      </c>
      <c r="B65" s="18" t="n">
        <f aca="false">52685*(B56-B57)</f>
        <v>687020829.6</v>
      </c>
      <c r="C65" s="18" t="n">
        <f aca="false">50356*(C56-C57)</f>
        <v>1985499313</v>
      </c>
      <c r="D65" s="18" t="n">
        <f aca="false">B65+C65</f>
        <v>2672520142.6</v>
      </c>
      <c r="E65" s="13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5"/>
    <col collapsed="false" customWidth="true" hidden="false" outlineLevel="0" max="5" min="4" style="1" width="11"/>
    <col collapsed="false" customWidth="true" hidden="false" outlineLevel="0" max="6" min="6" style="1" width="6"/>
    <col collapsed="false" customWidth="true" hidden="false" outlineLevel="0" max="8" min="7" style="1" width="10"/>
    <col collapsed="false" customWidth="true" hidden="false" outlineLevel="0" max="9" min="9" style="1" width="22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34"/>
    <col collapsed="false" customWidth="true" hidden="false" outlineLevel="0" max="13" min="13" style="1" width="16"/>
    <col collapsed="false" customWidth="true" hidden="false" outlineLevel="0" max="14" min="14" style="1" width="5"/>
    <col collapsed="false" customWidth="true" hidden="false" outlineLevel="0" max="15" min="15" style="1" width="15"/>
    <col collapsed="false" customWidth="true" hidden="false" outlineLevel="0" max="16" min="16" style="1" width="17"/>
    <col collapsed="false" customWidth="true" hidden="false" outlineLevel="0" max="17" min="17" style="1" width="48"/>
  </cols>
  <sheetData>
    <row r="1" customFormat="false" ht="48.75" hidden="false" customHeight="true" outlineLevel="0" collapsed="false">
      <c r="A1" s="23" t="s">
        <v>151</v>
      </c>
      <c r="B1" s="23" t="s">
        <v>152</v>
      </c>
      <c r="C1" s="23" t="s">
        <v>153</v>
      </c>
      <c r="D1" s="23" t="s">
        <v>154</v>
      </c>
      <c r="E1" s="23" t="s">
        <v>155</v>
      </c>
      <c r="F1" s="23" t="s">
        <v>156</v>
      </c>
      <c r="G1" s="24" t="s">
        <v>157</v>
      </c>
      <c r="H1" s="23" t="s">
        <v>158</v>
      </c>
      <c r="I1" s="23" t="s">
        <v>159</v>
      </c>
      <c r="J1" s="23" t="s">
        <v>160</v>
      </c>
      <c r="K1" s="24" t="s">
        <v>161</v>
      </c>
      <c r="L1" s="23" t="s">
        <v>162</v>
      </c>
      <c r="M1" s="23" t="s">
        <v>163</v>
      </c>
      <c r="N1" s="23" t="s">
        <v>164</v>
      </c>
      <c r="O1" s="24" t="s">
        <v>165</v>
      </c>
      <c r="P1" s="23" t="s">
        <v>166</v>
      </c>
      <c r="Q1" s="23" t="s">
        <v>167</v>
      </c>
    </row>
    <row r="2" customFormat="false" ht="15" hidden="false" customHeight="true" outlineLevel="0" collapsed="false">
      <c r="A2" s="9" t="s">
        <v>168</v>
      </c>
      <c r="B2" s="9" t="s">
        <v>169</v>
      </c>
      <c r="C2" s="9" t="s">
        <v>170</v>
      </c>
      <c r="D2" s="25" t="n">
        <v>46098</v>
      </c>
      <c r="E2" s="25" t="n">
        <v>46098</v>
      </c>
      <c r="F2" s="9" t="s">
        <v>171</v>
      </c>
      <c r="G2" s="9" t="s">
        <v>172</v>
      </c>
      <c r="H2" s="9" t="s">
        <v>173</v>
      </c>
      <c r="I2" s="9" t="s">
        <v>174</v>
      </c>
      <c r="J2" s="3"/>
      <c r="K2" s="9" t="s">
        <v>175</v>
      </c>
      <c r="L2" s="9" t="s">
        <v>176</v>
      </c>
      <c r="M2" s="3" t="s">
        <v>177</v>
      </c>
      <c r="N2" s="9" t="s">
        <v>178</v>
      </c>
      <c r="O2" s="8" t="n">
        <v>1712.69</v>
      </c>
      <c r="P2" s="8" t="n">
        <f aca="false">IF(N2="S",1,-1)*O2*100</f>
        <v>171269</v>
      </c>
      <c r="Q2" s="3"/>
    </row>
    <row r="3" customFormat="false" ht="15" hidden="false" customHeight="true" outlineLevel="0" collapsed="false">
      <c r="A3" s="9" t="s">
        <v>168</v>
      </c>
      <c r="B3" s="9" t="s">
        <v>169</v>
      </c>
      <c r="C3" s="9" t="s">
        <v>170</v>
      </c>
      <c r="D3" s="25" t="n">
        <v>46098</v>
      </c>
      <c r="E3" s="25" t="n">
        <v>46098</v>
      </c>
      <c r="F3" s="9" t="s">
        <v>171</v>
      </c>
      <c r="G3" s="9" t="s">
        <v>172</v>
      </c>
      <c r="H3" s="9" t="s">
        <v>173</v>
      </c>
      <c r="I3" s="9" t="s">
        <v>174</v>
      </c>
      <c r="J3" s="3"/>
      <c r="K3" s="9" t="s">
        <v>179</v>
      </c>
      <c r="L3" s="9" t="s">
        <v>180</v>
      </c>
      <c r="M3" s="3" t="s">
        <v>181</v>
      </c>
      <c r="N3" s="9" t="s">
        <v>182</v>
      </c>
      <c r="O3" s="8" t="n">
        <v>1712.69</v>
      </c>
      <c r="P3" s="8" t="n">
        <f aca="false">IF(N3="S",1,-1)*O3*100</f>
        <v>-171269</v>
      </c>
      <c r="Q3" s="9" t="s">
        <v>183</v>
      </c>
    </row>
    <row r="4" customFormat="false" ht="15" hidden="false" customHeight="true" outlineLevel="0" collapsed="false">
      <c r="A4" s="9" t="s">
        <v>168</v>
      </c>
      <c r="B4" s="9" t="s">
        <v>184</v>
      </c>
      <c r="C4" s="9" t="s">
        <v>170</v>
      </c>
      <c r="D4" s="25" t="n">
        <v>46098</v>
      </c>
      <c r="E4" s="25" t="n">
        <v>46098</v>
      </c>
      <c r="F4" s="9" t="s">
        <v>185</v>
      </c>
      <c r="G4" s="9" t="s">
        <v>186</v>
      </c>
      <c r="H4" s="9" t="s">
        <v>187</v>
      </c>
      <c r="I4" s="9" t="s">
        <v>188</v>
      </c>
      <c r="J4" s="3"/>
      <c r="K4" s="9" t="s">
        <v>189</v>
      </c>
      <c r="L4" s="9" t="s">
        <v>190</v>
      </c>
      <c r="M4" s="3" t="s">
        <v>177</v>
      </c>
      <c r="N4" s="9" t="s">
        <v>178</v>
      </c>
      <c r="O4" s="8" t="n">
        <v>1712.69</v>
      </c>
      <c r="P4" s="8" t="n">
        <f aca="false">IF(N4="S",1,-1)*O4*100</f>
        <v>171269</v>
      </c>
      <c r="Q4" s="9" t="s">
        <v>191</v>
      </c>
    </row>
    <row r="5" customFormat="false" ht="15" hidden="false" customHeight="true" outlineLevel="0" collapsed="false">
      <c r="A5" s="9" t="s">
        <v>168</v>
      </c>
      <c r="B5" s="9" t="s">
        <v>184</v>
      </c>
      <c r="C5" s="9" t="s">
        <v>170</v>
      </c>
      <c r="D5" s="25" t="n">
        <v>46098</v>
      </c>
      <c r="E5" s="25" t="n">
        <v>46098</v>
      </c>
      <c r="F5" s="9" t="s">
        <v>185</v>
      </c>
      <c r="G5" s="9" t="s">
        <v>186</v>
      </c>
      <c r="H5" s="9" t="s">
        <v>187</v>
      </c>
      <c r="I5" s="9" t="s">
        <v>188</v>
      </c>
      <c r="J5" s="3"/>
      <c r="K5" s="9" t="s">
        <v>175</v>
      </c>
      <c r="L5" s="9" t="s">
        <v>176</v>
      </c>
      <c r="M5" s="3" t="s">
        <v>177</v>
      </c>
      <c r="N5" s="9" t="s">
        <v>182</v>
      </c>
      <c r="O5" s="8" t="n">
        <v>1712.69</v>
      </c>
      <c r="P5" s="8" t="n">
        <f aca="false">IF(N5="S",1,-1)*O5*100</f>
        <v>-171269</v>
      </c>
      <c r="Q5" s="9" t="s">
        <v>191</v>
      </c>
    </row>
    <row r="6" customFormat="false" ht="15" hidden="false" customHeight="true" outlineLevel="0" collapsed="false">
      <c r="A6" s="9" t="s">
        <v>168</v>
      </c>
      <c r="B6" s="9" t="s">
        <v>192</v>
      </c>
      <c r="C6" s="9" t="s">
        <v>170</v>
      </c>
      <c r="D6" s="25" t="n">
        <v>46112</v>
      </c>
      <c r="E6" s="25" t="n">
        <v>46112</v>
      </c>
      <c r="F6" s="9" t="s">
        <v>193</v>
      </c>
      <c r="G6" s="3"/>
      <c r="H6" s="9" t="s">
        <v>194</v>
      </c>
      <c r="I6" s="9" t="s">
        <v>195</v>
      </c>
      <c r="J6" s="9" t="s">
        <v>196</v>
      </c>
      <c r="K6" s="9" t="s">
        <v>197</v>
      </c>
      <c r="L6" s="9" t="s">
        <v>198</v>
      </c>
      <c r="M6" s="3" t="s">
        <v>199</v>
      </c>
      <c r="N6" s="9" t="s">
        <v>182</v>
      </c>
      <c r="O6" s="8" t="n">
        <v>9887455.98</v>
      </c>
      <c r="P6" s="8" t="n">
        <f aca="false">IF(N6="S",1,-1)*O6*100</f>
        <v>-988745598</v>
      </c>
      <c r="Q6" s="9" t="s">
        <v>195</v>
      </c>
    </row>
    <row r="7" customFormat="false" ht="15" hidden="false" customHeight="true" outlineLevel="0" collapsed="false">
      <c r="A7" s="9" t="s">
        <v>168</v>
      </c>
      <c r="B7" s="9" t="s">
        <v>192</v>
      </c>
      <c r="C7" s="9" t="s">
        <v>170</v>
      </c>
      <c r="D7" s="25" t="n">
        <v>46112</v>
      </c>
      <c r="E7" s="25" t="n">
        <v>46112</v>
      </c>
      <c r="F7" s="9" t="s">
        <v>193</v>
      </c>
      <c r="G7" s="3"/>
      <c r="H7" s="9" t="s">
        <v>194</v>
      </c>
      <c r="I7" s="9" t="s">
        <v>195</v>
      </c>
      <c r="J7" s="9" t="s">
        <v>196</v>
      </c>
      <c r="K7" s="9" t="s">
        <v>200</v>
      </c>
      <c r="L7" s="9" t="s">
        <v>201</v>
      </c>
      <c r="M7" s="3" t="s">
        <v>202</v>
      </c>
      <c r="N7" s="9" t="s">
        <v>178</v>
      </c>
      <c r="O7" s="8" t="n">
        <v>9887455.98</v>
      </c>
      <c r="P7" s="8" t="n">
        <f aca="false">IF(N7="S",1,-1)*O7*100</f>
        <v>988745598</v>
      </c>
      <c r="Q7" s="9" t="s">
        <v>195</v>
      </c>
    </row>
    <row r="8" customFormat="false" ht="15" hidden="false" customHeight="true" outlineLevel="0" collapsed="false">
      <c r="A8" s="9" t="s">
        <v>168</v>
      </c>
      <c r="B8" s="9" t="s">
        <v>196</v>
      </c>
      <c r="C8" s="9" t="s">
        <v>203</v>
      </c>
      <c r="D8" s="25" t="n">
        <v>46126</v>
      </c>
      <c r="E8" s="25" t="n">
        <v>46112</v>
      </c>
      <c r="F8" s="9" t="s">
        <v>193</v>
      </c>
      <c r="G8" s="3"/>
      <c r="H8" s="9" t="s">
        <v>204</v>
      </c>
      <c r="I8" s="9" t="s">
        <v>195</v>
      </c>
      <c r="J8" s="9" t="s">
        <v>192</v>
      </c>
      <c r="K8" s="9" t="s">
        <v>197</v>
      </c>
      <c r="L8" s="9" t="s">
        <v>198</v>
      </c>
      <c r="M8" s="3" t="s">
        <v>199</v>
      </c>
      <c r="N8" s="9" t="s">
        <v>178</v>
      </c>
      <c r="O8" s="8" t="n">
        <v>9887455.98</v>
      </c>
      <c r="P8" s="8" t="n">
        <f aca="false">IF(N8="S",1,-1)*O8*100</f>
        <v>988745598</v>
      </c>
      <c r="Q8" s="9" t="s">
        <v>195</v>
      </c>
    </row>
    <row r="9" customFormat="false" ht="15" hidden="false" customHeight="true" outlineLevel="0" collapsed="false">
      <c r="A9" s="9" t="s">
        <v>168</v>
      </c>
      <c r="B9" s="9" t="s">
        <v>196</v>
      </c>
      <c r="C9" s="9" t="s">
        <v>203</v>
      </c>
      <c r="D9" s="25" t="n">
        <v>46126</v>
      </c>
      <c r="E9" s="25" t="n">
        <v>46112</v>
      </c>
      <c r="F9" s="9" t="s">
        <v>193</v>
      </c>
      <c r="G9" s="3"/>
      <c r="H9" s="9" t="s">
        <v>204</v>
      </c>
      <c r="I9" s="9" t="s">
        <v>195</v>
      </c>
      <c r="J9" s="9" t="s">
        <v>192</v>
      </c>
      <c r="K9" s="9" t="s">
        <v>200</v>
      </c>
      <c r="L9" s="9" t="s">
        <v>201</v>
      </c>
      <c r="M9" s="3" t="s">
        <v>202</v>
      </c>
      <c r="N9" s="9" t="s">
        <v>182</v>
      </c>
      <c r="O9" s="8" t="n">
        <v>9887455.98</v>
      </c>
      <c r="P9" s="8" t="n">
        <f aca="false">IF(N9="S",1,-1)*O9*100</f>
        <v>-988745598</v>
      </c>
      <c r="Q9" s="9" t="s">
        <v>195</v>
      </c>
    </row>
    <row r="10" customFormat="false" ht="15" hidden="false" customHeight="true" outlineLevel="0" collapsed="false">
      <c r="A10" s="9" t="s">
        <v>168</v>
      </c>
      <c r="B10" s="9" t="s">
        <v>205</v>
      </c>
      <c r="C10" s="9" t="s">
        <v>203</v>
      </c>
      <c r="D10" s="25" t="n">
        <v>46135</v>
      </c>
      <c r="E10" s="25" t="n">
        <v>46135</v>
      </c>
      <c r="F10" s="9" t="s">
        <v>193</v>
      </c>
      <c r="G10" s="3"/>
      <c r="H10" s="9" t="s">
        <v>194</v>
      </c>
      <c r="I10" s="9" t="s">
        <v>206</v>
      </c>
      <c r="J10" s="3"/>
      <c r="K10" s="9" t="s">
        <v>207</v>
      </c>
      <c r="L10" s="9" t="s">
        <v>208</v>
      </c>
      <c r="M10" s="3" t="s">
        <v>209</v>
      </c>
      <c r="N10" s="9" t="s">
        <v>178</v>
      </c>
      <c r="O10" s="8" t="n">
        <v>444522.25</v>
      </c>
      <c r="P10" s="8" t="n">
        <f aca="false">IF(N10="S",1,-1)*O10*100</f>
        <v>44452225</v>
      </c>
      <c r="Q10" s="9" t="s">
        <v>210</v>
      </c>
    </row>
    <row r="11" customFormat="false" ht="15" hidden="false" customHeight="true" outlineLevel="0" collapsed="false">
      <c r="A11" s="9" t="s">
        <v>168</v>
      </c>
      <c r="B11" s="9" t="s">
        <v>205</v>
      </c>
      <c r="C11" s="9" t="s">
        <v>203</v>
      </c>
      <c r="D11" s="25" t="n">
        <v>46135</v>
      </c>
      <c r="E11" s="25" t="n">
        <v>46135</v>
      </c>
      <c r="F11" s="9" t="s">
        <v>193</v>
      </c>
      <c r="G11" s="3"/>
      <c r="H11" s="9" t="s">
        <v>194</v>
      </c>
      <c r="I11" s="9" t="s">
        <v>206</v>
      </c>
      <c r="J11" s="3"/>
      <c r="K11" s="9" t="s">
        <v>207</v>
      </c>
      <c r="L11" s="9" t="s">
        <v>208</v>
      </c>
      <c r="M11" s="3" t="s">
        <v>209</v>
      </c>
      <c r="N11" s="9" t="s">
        <v>178</v>
      </c>
      <c r="O11" s="8" t="n">
        <v>444522.25</v>
      </c>
      <c r="P11" s="8" t="n">
        <f aca="false">IF(N11="S",1,-1)*O11*100</f>
        <v>44452225</v>
      </c>
      <c r="Q11" s="9" t="s">
        <v>210</v>
      </c>
    </row>
    <row r="12" customFormat="false" ht="15" hidden="false" customHeight="true" outlineLevel="0" collapsed="false">
      <c r="A12" s="9" t="s">
        <v>168</v>
      </c>
      <c r="B12" s="9" t="s">
        <v>205</v>
      </c>
      <c r="C12" s="9" t="s">
        <v>203</v>
      </c>
      <c r="D12" s="25" t="n">
        <v>46135</v>
      </c>
      <c r="E12" s="25" t="n">
        <v>46135</v>
      </c>
      <c r="F12" s="9" t="s">
        <v>193</v>
      </c>
      <c r="G12" s="3"/>
      <c r="H12" s="9" t="s">
        <v>194</v>
      </c>
      <c r="I12" s="9" t="s">
        <v>206</v>
      </c>
      <c r="J12" s="3"/>
      <c r="K12" s="9" t="s">
        <v>207</v>
      </c>
      <c r="L12" s="9" t="s">
        <v>208</v>
      </c>
      <c r="M12" s="3" t="s">
        <v>209</v>
      </c>
      <c r="N12" s="9" t="s">
        <v>178</v>
      </c>
      <c r="O12" s="8" t="n">
        <v>670682.7</v>
      </c>
      <c r="P12" s="8" t="n">
        <f aca="false">IF(N12="S",1,-1)*O12*100</f>
        <v>67068270</v>
      </c>
      <c r="Q12" s="9" t="s">
        <v>210</v>
      </c>
    </row>
    <row r="13" customFormat="false" ht="15" hidden="false" customHeight="true" outlineLevel="0" collapsed="false">
      <c r="A13" s="9" t="s">
        <v>168</v>
      </c>
      <c r="B13" s="9" t="s">
        <v>205</v>
      </c>
      <c r="C13" s="9" t="s">
        <v>203</v>
      </c>
      <c r="D13" s="25" t="n">
        <v>46135</v>
      </c>
      <c r="E13" s="25" t="n">
        <v>46135</v>
      </c>
      <c r="F13" s="9" t="s">
        <v>193</v>
      </c>
      <c r="G13" s="3"/>
      <c r="H13" s="9" t="s">
        <v>194</v>
      </c>
      <c r="I13" s="9" t="s">
        <v>206</v>
      </c>
      <c r="J13" s="3"/>
      <c r="K13" s="9" t="s">
        <v>211</v>
      </c>
      <c r="L13" s="9" t="s">
        <v>212</v>
      </c>
      <c r="M13" s="3" t="s">
        <v>213</v>
      </c>
      <c r="N13" s="9" t="s">
        <v>182</v>
      </c>
      <c r="O13" s="8" t="n">
        <v>44472.1</v>
      </c>
      <c r="P13" s="8" t="n">
        <f aca="false">IF(N13="S",1,-1)*O13*100</f>
        <v>-4447210</v>
      </c>
      <c r="Q13" s="9" t="s">
        <v>210</v>
      </c>
    </row>
    <row r="14" customFormat="false" ht="15" hidden="false" customHeight="true" outlineLevel="0" collapsed="false">
      <c r="A14" s="9" t="s">
        <v>168</v>
      </c>
      <c r="B14" s="9" t="s">
        <v>205</v>
      </c>
      <c r="C14" s="9" t="s">
        <v>203</v>
      </c>
      <c r="D14" s="25" t="n">
        <v>46135</v>
      </c>
      <c r="E14" s="25" t="n">
        <v>46135</v>
      </c>
      <c r="F14" s="9" t="s">
        <v>193</v>
      </c>
      <c r="G14" s="3"/>
      <c r="H14" s="9" t="s">
        <v>194</v>
      </c>
      <c r="I14" s="9" t="s">
        <v>206</v>
      </c>
      <c r="J14" s="3"/>
      <c r="K14" s="9" t="s">
        <v>211</v>
      </c>
      <c r="L14" s="9" t="s">
        <v>212</v>
      </c>
      <c r="M14" s="3" t="s">
        <v>213</v>
      </c>
      <c r="N14" s="9" t="s">
        <v>182</v>
      </c>
      <c r="O14" s="8" t="n">
        <v>320687</v>
      </c>
      <c r="P14" s="8" t="n">
        <f aca="false">IF(N14="S",1,-1)*O14*100</f>
        <v>-32068700</v>
      </c>
      <c r="Q14" s="9" t="s">
        <v>210</v>
      </c>
    </row>
    <row r="15" customFormat="false" ht="15" hidden="false" customHeight="true" outlineLevel="0" collapsed="false">
      <c r="A15" s="9" t="s">
        <v>168</v>
      </c>
      <c r="B15" s="9" t="s">
        <v>205</v>
      </c>
      <c r="C15" s="9" t="s">
        <v>203</v>
      </c>
      <c r="D15" s="25" t="n">
        <v>46135</v>
      </c>
      <c r="E15" s="25" t="n">
        <v>46135</v>
      </c>
      <c r="F15" s="9" t="s">
        <v>193</v>
      </c>
      <c r="G15" s="3"/>
      <c r="H15" s="9" t="s">
        <v>194</v>
      </c>
      <c r="I15" s="9" t="s">
        <v>206</v>
      </c>
      <c r="J15" s="3"/>
      <c r="K15" s="9" t="s">
        <v>211</v>
      </c>
      <c r="L15" s="9" t="s">
        <v>212</v>
      </c>
      <c r="M15" s="3" t="s">
        <v>213</v>
      </c>
      <c r="N15" s="9" t="s">
        <v>182</v>
      </c>
      <c r="O15" s="8" t="n">
        <v>1194568.1</v>
      </c>
      <c r="P15" s="8" t="n">
        <f aca="false">IF(N15="S",1,-1)*O15*100</f>
        <v>-119456810</v>
      </c>
      <c r="Q15" s="9" t="s">
        <v>210</v>
      </c>
    </row>
    <row r="16" customFormat="false" ht="15" hidden="false" customHeight="true" outlineLevel="0" collapsed="false">
      <c r="A16" s="9" t="s">
        <v>168</v>
      </c>
      <c r="B16" s="9" t="s">
        <v>205</v>
      </c>
      <c r="C16" s="9" t="s">
        <v>203</v>
      </c>
      <c r="D16" s="25" t="n">
        <v>46135</v>
      </c>
      <c r="E16" s="25" t="n">
        <v>46135</v>
      </c>
      <c r="F16" s="9" t="s">
        <v>193</v>
      </c>
      <c r="G16" s="3"/>
      <c r="H16" s="9" t="s">
        <v>194</v>
      </c>
      <c r="I16" s="9" t="s">
        <v>206</v>
      </c>
      <c r="J16" s="3"/>
      <c r="K16" s="9" t="s">
        <v>214</v>
      </c>
      <c r="L16" s="9" t="s">
        <v>215</v>
      </c>
      <c r="M16" s="3" t="s">
        <v>216</v>
      </c>
      <c r="N16" s="9" t="s">
        <v>182</v>
      </c>
      <c r="O16" s="8" t="n">
        <v>0.09</v>
      </c>
      <c r="P16" s="8" t="n">
        <f aca="false">IF(N16="S",1,-1)*O16*100</f>
        <v>-9</v>
      </c>
      <c r="Q16" s="9" t="s">
        <v>217</v>
      </c>
    </row>
    <row r="17" customFormat="false" ht="15" hidden="false" customHeight="true" outlineLevel="0" collapsed="false">
      <c r="A17" s="9" t="s">
        <v>168</v>
      </c>
      <c r="B17" s="9" t="s">
        <v>205</v>
      </c>
      <c r="C17" s="9" t="s">
        <v>203</v>
      </c>
      <c r="D17" s="25" t="n">
        <v>46135</v>
      </c>
      <c r="E17" s="25" t="n">
        <v>46135</v>
      </c>
      <c r="F17" s="9" t="s">
        <v>193</v>
      </c>
      <c r="G17" s="3"/>
      <c r="H17" s="9" t="s">
        <v>194</v>
      </c>
      <c r="I17" s="9" t="s">
        <v>206</v>
      </c>
      <c r="J17" s="3"/>
      <c r="K17" s="9" t="s">
        <v>218</v>
      </c>
      <c r="L17" s="9" t="s">
        <v>219</v>
      </c>
      <c r="M17" s="3" t="s">
        <v>220</v>
      </c>
      <c r="N17" s="9" t="s">
        <v>178</v>
      </c>
      <c r="O17" s="8" t="n">
        <v>0.09</v>
      </c>
      <c r="P17" s="8" t="n">
        <f aca="false">IF(N17="S",1,-1)*O17*100</f>
        <v>9</v>
      </c>
      <c r="Q17" s="9" t="s">
        <v>217</v>
      </c>
    </row>
    <row r="18" customFormat="false" ht="15" hidden="false" customHeight="true" outlineLevel="0" collapsed="false">
      <c r="A18" s="9" t="s">
        <v>168</v>
      </c>
      <c r="B18" s="9" t="s">
        <v>205</v>
      </c>
      <c r="C18" s="9" t="s">
        <v>203</v>
      </c>
      <c r="D18" s="25" t="n">
        <v>46135</v>
      </c>
      <c r="E18" s="25" t="n">
        <v>46135</v>
      </c>
      <c r="F18" s="9" t="s">
        <v>193</v>
      </c>
      <c r="G18" s="3"/>
      <c r="H18" s="9" t="s">
        <v>194</v>
      </c>
      <c r="I18" s="9" t="s">
        <v>206</v>
      </c>
      <c r="J18" s="3"/>
      <c r="K18" s="9" t="s">
        <v>197</v>
      </c>
      <c r="L18" s="9" t="s">
        <v>198</v>
      </c>
      <c r="M18" s="3" t="s">
        <v>199</v>
      </c>
      <c r="N18" s="9" t="s">
        <v>178</v>
      </c>
      <c r="O18" s="8" t="n">
        <v>87023.22</v>
      </c>
      <c r="P18" s="8" t="n">
        <f aca="false">IF(N18="S",1,-1)*O18*100</f>
        <v>8702322</v>
      </c>
      <c r="Q18" s="9" t="s">
        <v>221</v>
      </c>
    </row>
    <row r="19" customFormat="false" ht="15" hidden="false" customHeight="true" outlineLevel="0" collapsed="false">
      <c r="A19" s="9" t="s">
        <v>168</v>
      </c>
      <c r="B19" s="9" t="s">
        <v>205</v>
      </c>
      <c r="C19" s="9" t="s">
        <v>203</v>
      </c>
      <c r="D19" s="25" t="n">
        <v>46135</v>
      </c>
      <c r="E19" s="25" t="n">
        <v>46135</v>
      </c>
      <c r="F19" s="9" t="s">
        <v>193</v>
      </c>
      <c r="G19" s="3"/>
      <c r="H19" s="9" t="s">
        <v>194</v>
      </c>
      <c r="I19" s="9" t="s">
        <v>206</v>
      </c>
      <c r="J19" s="3"/>
      <c r="K19" s="9" t="s">
        <v>222</v>
      </c>
      <c r="L19" s="9" t="s">
        <v>223</v>
      </c>
      <c r="M19" s="3" t="s">
        <v>199</v>
      </c>
      <c r="N19" s="9" t="s">
        <v>182</v>
      </c>
      <c r="O19" s="8" t="n">
        <v>87023.22</v>
      </c>
      <c r="P19" s="8" t="n">
        <f aca="false">IF(N19="S",1,-1)*O19*100</f>
        <v>-8702322</v>
      </c>
      <c r="Q19" s="9" t="s">
        <v>221</v>
      </c>
    </row>
    <row r="20" customFormat="false" ht="15" hidden="false" customHeight="true" outlineLevel="0" collapsed="false">
      <c r="A20" s="9" t="s">
        <v>224</v>
      </c>
      <c r="B20" s="9" t="s">
        <v>225</v>
      </c>
      <c r="C20" s="9" t="s">
        <v>226</v>
      </c>
      <c r="D20" s="25" t="n">
        <v>46163</v>
      </c>
      <c r="E20" s="25" t="n">
        <v>46163</v>
      </c>
      <c r="F20" s="9" t="s">
        <v>227</v>
      </c>
      <c r="G20" s="3"/>
      <c r="H20" s="9" t="s">
        <v>228</v>
      </c>
      <c r="I20" s="9" t="s">
        <v>229</v>
      </c>
      <c r="J20" s="3"/>
      <c r="K20" s="9" t="s">
        <v>230</v>
      </c>
      <c r="L20" s="9" t="s">
        <v>231</v>
      </c>
      <c r="M20" s="3" t="s">
        <v>232</v>
      </c>
      <c r="N20" s="9" t="s">
        <v>182</v>
      </c>
      <c r="O20" s="8" t="n">
        <v>1377770.76</v>
      </c>
      <c r="P20" s="8" t="n">
        <f aca="false">IF(N20="S",1,-1)*O20*100</f>
        <v>-137777076</v>
      </c>
      <c r="Q20" s="9" t="s">
        <v>229</v>
      </c>
    </row>
    <row r="21" customFormat="false" ht="15" hidden="false" customHeight="true" outlineLevel="0" collapsed="false">
      <c r="A21" s="9" t="s">
        <v>224</v>
      </c>
      <c r="B21" s="9" t="s">
        <v>225</v>
      </c>
      <c r="C21" s="9" t="s">
        <v>226</v>
      </c>
      <c r="D21" s="25" t="n">
        <v>46163</v>
      </c>
      <c r="E21" s="25" t="n">
        <v>46163</v>
      </c>
      <c r="F21" s="9" t="s">
        <v>227</v>
      </c>
      <c r="G21" s="3"/>
      <c r="H21" s="9" t="s">
        <v>228</v>
      </c>
      <c r="I21" s="9" t="s">
        <v>229</v>
      </c>
      <c r="J21" s="3"/>
      <c r="K21" s="9" t="s">
        <v>230</v>
      </c>
      <c r="L21" s="9" t="s">
        <v>231</v>
      </c>
      <c r="M21" s="3" t="s">
        <v>232</v>
      </c>
      <c r="N21" s="9" t="s">
        <v>182</v>
      </c>
      <c r="O21" s="8" t="n">
        <v>11393773.02</v>
      </c>
      <c r="P21" s="8" t="n">
        <f aca="false">IF(N21="S",1,-1)*O21*100</f>
        <v>-1139377302</v>
      </c>
      <c r="Q21" s="9" t="s">
        <v>229</v>
      </c>
    </row>
    <row r="22" customFormat="false" ht="15" hidden="false" customHeight="true" outlineLevel="0" collapsed="false">
      <c r="A22" s="9" t="s">
        <v>224</v>
      </c>
      <c r="B22" s="9" t="s">
        <v>225</v>
      </c>
      <c r="C22" s="9" t="s">
        <v>226</v>
      </c>
      <c r="D22" s="25" t="n">
        <v>46163</v>
      </c>
      <c r="E22" s="25" t="n">
        <v>46163</v>
      </c>
      <c r="F22" s="9" t="s">
        <v>227</v>
      </c>
      <c r="G22" s="3"/>
      <c r="H22" s="9" t="s">
        <v>228</v>
      </c>
      <c r="I22" s="9" t="s">
        <v>229</v>
      </c>
      <c r="J22" s="3"/>
      <c r="K22" s="9" t="s">
        <v>230</v>
      </c>
      <c r="L22" s="9" t="s">
        <v>231</v>
      </c>
      <c r="M22" s="3" t="s">
        <v>232</v>
      </c>
      <c r="N22" s="9" t="s">
        <v>182</v>
      </c>
      <c r="O22" s="8" t="n">
        <v>11809626.18</v>
      </c>
      <c r="P22" s="8" t="n">
        <f aca="false">IF(N22="S",1,-1)*O22*100</f>
        <v>-1180962618</v>
      </c>
      <c r="Q22" s="9" t="s">
        <v>229</v>
      </c>
    </row>
    <row r="23" customFormat="false" ht="15" hidden="false" customHeight="true" outlineLevel="0" collapsed="false">
      <c r="A23" s="9" t="s">
        <v>224</v>
      </c>
      <c r="B23" s="9" t="s">
        <v>225</v>
      </c>
      <c r="C23" s="9" t="s">
        <v>226</v>
      </c>
      <c r="D23" s="25" t="n">
        <v>46163</v>
      </c>
      <c r="E23" s="25" t="n">
        <v>46163</v>
      </c>
      <c r="F23" s="9" t="s">
        <v>227</v>
      </c>
      <c r="G23" s="3"/>
      <c r="H23" s="9" t="s">
        <v>228</v>
      </c>
      <c r="I23" s="9" t="s">
        <v>229</v>
      </c>
      <c r="J23" s="3"/>
      <c r="K23" s="9" t="s">
        <v>230</v>
      </c>
      <c r="L23" s="9" t="s">
        <v>231</v>
      </c>
      <c r="M23" s="3" t="s">
        <v>232</v>
      </c>
      <c r="N23" s="9" t="s">
        <v>182</v>
      </c>
      <c r="O23" s="8" t="n">
        <v>23115268.71</v>
      </c>
      <c r="P23" s="8" t="n">
        <f aca="false">IF(N23="S",1,-1)*O23*100</f>
        <v>-2311526871</v>
      </c>
      <c r="Q23" s="9" t="s">
        <v>229</v>
      </c>
    </row>
    <row r="24" customFormat="false" ht="15" hidden="false" customHeight="true" outlineLevel="0" collapsed="false">
      <c r="A24" s="9" t="s">
        <v>224</v>
      </c>
      <c r="B24" s="9" t="s">
        <v>225</v>
      </c>
      <c r="C24" s="9" t="s">
        <v>226</v>
      </c>
      <c r="D24" s="25" t="n">
        <v>46163</v>
      </c>
      <c r="E24" s="25" t="n">
        <v>46163</v>
      </c>
      <c r="F24" s="9" t="s">
        <v>227</v>
      </c>
      <c r="G24" s="3"/>
      <c r="H24" s="9" t="s">
        <v>228</v>
      </c>
      <c r="I24" s="9" t="s">
        <v>229</v>
      </c>
      <c r="J24" s="3"/>
      <c r="K24" s="9" t="s">
        <v>233</v>
      </c>
      <c r="L24" s="9" t="s">
        <v>234</v>
      </c>
      <c r="M24" s="3" t="s">
        <v>235</v>
      </c>
      <c r="N24" s="9" t="s">
        <v>178</v>
      </c>
      <c r="O24" s="8" t="n">
        <v>1377770.76</v>
      </c>
      <c r="P24" s="8" t="n">
        <f aca="false">IF(N24="S",1,-1)*O24*100</f>
        <v>137777076</v>
      </c>
      <c r="Q24" s="9" t="s">
        <v>229</v>
      </c>
    </row>
    <row r="25" customFormat="false" ht="15" hidden="false" customHeight="true" outlineLevel="0" collapsed="false">
      <c r="A25" s="9" t="s">
        <v>224</v>
      </c>
      <c r="B25" s="9" t="s">
        <v>225</v>
      </c>
      <c r="C25" s="9" t="s">
        <v>226</v>
      </c>
      <c r="D25" s="25" t="n">
        <v>46163</v>
      </c>
      <c r="E25" s="25" t="n">
        <v>46163</v>
      </c>
      <c r="F25" s="9" t="s">
        <v>227</v>
      </c>
      <c r="G25" s="3"/>
      <c r="H25" s="9" t="s">
        <v>228</v>
      </c>
      <c r="I25" s="9" t="s">
        <v>229</v>
      </c>
      <c r="J25" s="3"/>
      <c r="K25" s="9" t="s">
        <v>233</v>
      </c>
      <c r="L25" s="9" t="s">
        <v>234</v>
      </c>
      <c r="M25" s="3" t="s">
        <v>235</v>
      </c>
      <c r="N25" s="9" t="s">
        <v>178</v>
      </c>
      <c r="O25" s="8" t="n">
        <v>11393773.02</v>
      </c>
      <c r="P25" s="8" t="n">
        <f aca="false">IF(N25="S",1,-1)*O25*100</f>
        <v>1139377302</v>
      </c>
      <c r="Q25" s="9" t="s">
        <v>229</v>
      </c>
    </row>
    <row r="26" customFormat="false" ht="15" hidden="false" customHeight="true" outlineLevel="0" collapsed="false">
      <c r="A26" s="9" t="s">
        <v>224</v>
      </c>
      <c r="B26" s="9" t="s">
        <v>225</v>
      </c>
      <c r="C26" s="9" t="s">
        <v>226</v>
      </c>
      <c r="D26" s="25" t="n">
        <v>46163</v>
      </c>
      <c r="E26" s="25" t="n">
        <v>46163</v>
      </c>
      <c r="F26" s="9" t="s">
        <v>227</v>
      </c>
      <c r="G26" s="3"/>
      <c r="H26" s="9" t="s">
        <v>228</v>
      </c>
      <c r="I26" s="9" t="s">
        <v>229</v>
      </c>
      <c r="J26" s="3"/>
      <c r="K26" s="9" t="s">
        <v>233</v>
      </c>
      <c r="L26" s="9" t="s">
        <v>234</v>
      </c>
      <c r="M26" s="3" t="s">
        <v>235</v>
      </c>
      <c r="N26" s="9" t="s">
        <v>178</v>
      </c>
      <c r="O26" s="8" t="n">
        <v>11809626.18</v>
      </c>
      <c r="P26" s="8" t="n">
        <f aca="false">IF(N26="S",1,-1)*O26*100</f>
        <v>1180962618</v>
      </c>
      <c r="Q26" s="9" t="s">
        <v>229</v>
      </c>
    </row>
    <row r="27" customFormat="false" ht="15" hidden="false" customHeight="true" outlineLevel="0" collapsed="false">
      <c r="A27" s="9" t="s">
        <v>224</v>
      </c>
      <c r="B27" s="9" t="s">
        <v>225</v>
      </c>
      <c r="C27" s="9" t="s">
        <v>226</v>
      </c>
      <c r="D27" s="25" t="n">
        <v>46163</v>
      </c>
      <c r="E27" s="25" t="n">
        <v>46163</v>
      </c>
      <c r="F27" s="9" t="s">
        <v>227</v>
      </c>
      <c r="G27" s="3"/>
      <c r="H27" s="9" t="s">
        <v>228</v>
      </c>
      <c r="I27" s="9" t="s">
        <v>229</v>
      </c>
      <c r="J27" s="3"/>
      <c r="K27" s="9" t="s">
        <v>233</v>
      </c>
      <c r="L27" s="9" t="s">
        <v>234</v>
      </c>
      <c r="M27" s="3" t="s">
        <v>235</v>
      </c>
      <c r="N27" s="9" t="s">
        <v>178</v>
      </c>
      <c r="O27" s="8" t="n">
        <v>23115268.71</v>
      </c>
      <c r="P27" s="8" t="n">
        <f aca="false">IF(N27="S",1,-1)*O27*100</f>
        <v>2311526871</v>
      </c>
      <c r="Q27" s="9" t="s">
        <v>229</v>
      </c>
    </row>
    <row r="28" customFormat="false" ht="15" hidden="false" customHeight="true" outlineLevel="0" collapsed="false">
      <c r="A28" s="9" t="s">
        <v>224</v>
      </c>
      <c r="B28" s="9" t="s">
        <v>225</v>
      </c>
      <c r="C28" s="9" t="s">
        <v>226</v>
      </c>
      <c r="D28" s="25" t="n">
        <v>46163</v>
      </c>
      <c r="E28" s="25" t="n">
        <v>46163</v>
      </c>
      <c r="F28" s="9" t="s">
        <v>227</v>
      </c>
      <c r="G28" s="3"/>
      <c r="H28" s="9" t="s">
        <v>228</v>
      </c>
      <c r="I28" s="9" t="s">
        <v>229</v>
      </c>
      <c r="J28" s="3"/>
      <c r="K28" s="9" t="s">
        <v>236</v>
      </c>
      <c r="L28" s="9" t="s">
        <v>237</v>
      </c>
      <c r="M28" s="3"/>
      <c r="N28" s="9" t="s">
        <v>178</v>
      </c>
      <c r="O28" s="8" t="n">
        <v>1377770.76</v>
      </c>
      <c r="P28" s="8" t="n">
        <f aca="false">IF(N28="S",1,-1)*O28*100</f>
        <v>137777076</v>
      </c>
      <c r="Q28" s="9" t="s">
        <v>229</v>
      </c>
    </row>
    <row r="29" customFormat="false" ht="15" hidden="false" customHeight="true" outlineLevel="0" collapsed="false">
      <c r="A29" s="9" t="s">
        <v>224</v>
      </c>
      <c r="B29" s="9" t="s">
        <v>225</v>
      </c>
      <c r="C29" s="9" t="s">
        <v>226</v>
      </c>
      <c r="D29" s="25" t="n">
        <v>46163</v>
      </c>
      <c r="E29" s="25" t="n">
        <v>46163</v>
      </c>
      <c r="F29" s="9" t="s">
        <v>227</v>
      </c>
      <c r="G29" s="3"/>
      <c r="H29" s="9" t="s">
        <v>228</v>
      </c>
      <c r="I29" s="9" t="s">
        <v>229</v>
      </c>
      <c r="J29" s="3"/>
      <c r="K29" s="9" t="s">
        <v>236</v>
      </c>
      <c r="L29" s="9" t="s">
        <v>237</v>
      </c>
      <c r="M29" s="3"/>
      <c r="N29" s="9" t="s">
        <v>178</v>
      </c>
      <c r="O29" s="8" t="n">
        <v>11393773.02</v>
      </c>
      <c r="P29" s="8" t="n">
        <f aca="false">IF(N29="S",1,-1)*O29*100</f>
        <v>1139377302</v>
      </c>
      <c r="Q29" s="9" t="s">
        <v>229</v>
      </c>
    </row>
    <row r="30" customFormat="false" ht="15" hidden="false" customHeight="true" outlineLevel="0" collapsed="false">
      <c r="A30" s="9" t="s">
        <v>224</v>
      </c>
      <c r="B30" s="9" t="s">
        <v>225</v>
      </c>
      <c r="C30" s="9" t="s">
        <v>226</v>
      </c>
      <c r="D30" s="25" t="n">
        <v>46163</v>
      </c>
      <c r="E30" s="25" t="n">
        <v>46163</v>
      </c>
      <c r="F30" s="9" t="s">
        <v>227</v>
      </c>
      <c r="G30" s="3"/>
      <c r="H30" s="9" t="s">
        <v>228</v>
      </c>
      <c r="I30" s="9" t="s">
        <v>229</v>
      </c>
      <c r="J30" s="3"/>
      <c r="K30" s="9" t="s">
        <v>236</v>
      </c>
      <c r="L30" s="9" t="s">
        <v>237</v>
      </c>
      <c r="M30" s="3"/>
      <c r="N30" s="9" t="s">
        <v>178</v>
      </c>
      <c r="O30" s="8" t="n">
        <v>11809626.18</v>
      </c>
      <c r="P30" s="8" t="n">
        <f aca="false">IF(N30="S",1,-1)*O30*100</f>
        <v>1180962618</v>
      </c>
      <c r="Q30" s="9" t="s">
        <v>229</v>
      </c>
    </row>
    <row r="31" customFormat="false" ht="15" hidden="false" customHeight="true" outlineLevel="0" collapsed="false">
      <c r="A31" s="9" t="s">
        <v>224</v>
      </c>
      <c r="B31" s="9" t="s">
        <v>225</v>
      </c>
      <c r="C31" s="9" t="s">
        <v>226</v>
      </c>
      <c r="D31" s="25" t="n">
        <v>46163</v>
      </c>
      <c r="E31" s="25" t="n">
        <v>46163</v>
      </c>
      <c r="F31" s="9" t="s">
        <v>227</v>
      </c>
      <c r="G31" s="3"/>
      <c r="H31" s="9" t="s">
        <v>228</v>
      </c>
      <c r="I31" s="9" t="s">
        <v>229</v>
      </c>
      <c r="J31" s="3"/>
      <c r="K31" s="9" t="s">
        <v>236</v>
      </c>
      <c r="L31" s="9" t="s">
        <v>237</v>
      </c>
      <c r="M31" s="3"/>
      <c r="N31" s="9" t="s">
        <v>178</v>
      </c>
      <c r="O31" s="8" t="n">
        <v>23115268.71</v>
      </c>
      <c r="P31" s="8" t="n">
        <f aca="false">IF(N31="S",1,-1)*O31*100</f>
        <v>2311526871</v>
      </c>
      <c r="Q31" s="9" t="s">
        <v>229</v>
      </c>
    </row>
    <row r="32" customFormat="false" ht="15" hidden="false" customHeight="true" outlineLevel="0" collapsed="false">
      <c r="A32" s="9" t="s">
        <v>224</v>
      </c>
      <c r="B32" s="9" t="s">
        <v>225</v>
      </c>
      <c r="C32" s="9" t="s">
        <v>226</v>
      </c>
      <c r="D32" s="25" t="n">
        <v>46163</v>
      </c>
      <c r="E32" s="25" t="n">
        <v>46163</v>
      </c>
      <c r="F32" s="9" t="s">
        <v>227</v>
      </c>
      <c r="G32" s="3"/>
      <c r="H32" s="9" t="s">
        <v>228</v>
      </c>
      <c r="I32" s="9" t="s">
        <v>229</v>
      </c>
      <c r="J32" s="3"/>
      <c r="K32" s="9" t="s">
        <v>236</v>
      </c>
      <c r="L32" s="9" t="s">
        <v>237</v>
      </c>
      <c r="M32" s="3"/>
      <c r="N32" s="9" t="s">
        <v>182</v>
      </c>
      <c r="O32" s="8" t="n">
        <v>1377770.76</v>
      </c>
      <c r="P32" s="8" t="n">
        <f aca="false">IF(N32="S",1,-1)*O32*100</f>
        <v>-137777076</v>
      </c>
      <c r="Q32" s="9" t="s">
        <v>229</v>
      </c>
    </row>
    <row r="33" customFormat="false" ht="15" hidden="false" customHeight="true" outlineLevel="0" collapsed="false">
      <c r="A33" s="9" t="s">
        <v>224</v>
      </c>
      <c r="B33" s="9" t="s">
        <v>225</v>
      </c>
      <c r="C33" s="9" t="s">
        <v>226</v>
      </c>
      <c r="D33" s="25" t="n">
        <v>46163</v>
      </c>
      <c r="E33" s="25" t="n">
        <v>46163</v>
      </c>
      <c r="F33" s="9" t="s">
        <v>227</v>
      </c>
      <c r="G33" s="3"/>
      <c r="H33" s="9" t="s">
        <v>228</v>
      </c>
      <c r="I33" s="9" t="s">
        <v>229</v>
      </c>
      <c r="J33" s="3"/>
      <c r="K33" s="9" t="s">
        <v>236</v>
      </c>
      <c r="L33" s="9" t="s">
        <v>237</v>
      </c>
      <c r="M33" s="3"/>
      <c r="N33" s="9" t="s">
        <v>182</v>
      </c>
      <c r="O33" s="8" t="n">
        <v>11393773.02</v>
      </c>
      <c r="P33" s="8" t="n">
        <f aca="false">IF(N33="S",1,-1)*O33*100</f>
        <v>-1139377302</v>
      </c>
      <c r="Q33" s="9" t="s">
        <v>229</v>
      </c>
    </row>
    <row r="34" customFormat="false" ht="15" hidden="false" customHeight="true" outlineLevel="0" collapsed="false">
      <c r="A34" s="9" t="s">
        <v>224</v>
      </c>
      <c r="B34" s="9" t="s">
        <v>225</v>
      </c>
      <c r="C34" s="9" t="s">
        <v>226</v>
      </c>
      <c r="D34" s="25" t="n">
        <v>46163</v>
      </c>
      <c r="E34" s="25" t="n">
        <v>46163</v>
      </c>
      <c r="F34" s="9" t="s">
        <v>227</v>
      </c>
      <c r="G34" s="3"/>
      <c r="H34" s="9" t="s">
        <v>228</v>
      </c>
      <c r="I34" s="9" t="s">
        <v>229</v>
      </c>
      <c r="J34" s="3"/>
      <c r="K34" s="9" t="s">
        <v>236</v>
      </c>
      <c r="L34" s="9" t="s">
        <v>237</v>
      </c>
      <c r="M34" s="3"/>
      <c r="N34" s="9" t="s">
        <v>182</v>
      </c>
      <c r="O34" s="8" t="n">
        <v>11809626.18</v>
      </c>
      <c r="P34" s="8" t="n">
        <f aca="false">IF(N34="S",1,-1)*O34*100</f>
        <v>-1180962618</v>
      </c>
      <c r="Q34" s="9" t="s">
        <v>229</v>
      </c>
    </row>
    <row r="35" customFormat="false" ht="15" hidden="false" customHeight="true" outlineLevel="0" collapsed="false">
      <c r="A35" s="9" t="s">
        <v>224</v>
      </c>
      <c r="B35" s="9" t="s">
        <v>225</v>
      </c>
      <c r="C35" s="9" t="s">
        <v>226</v>
      </c>
      <c r="D35" s="25" t="n">
        <v>46163</v>
      </c>
      <c r="E35" s="25" t="n">
        <v>46163</v>
      </c>
      <c r="F35" s="9" t="s">
        <v>227</v>
      </c>
      <c r="G35" s="3"/>
      <c r="H35" s="9" t="s">
        <v>228</v>
      </c>
      <c r="I35" s="9" t="s">
        <v>229</v>
      </c>
      <c r="J35" s="3"/>
      <c r="K35" s="9" t="s">
        <v>236</v>
      </c>
      <c r="L35" s="9" t="s">
        <v>237</v>
      </c>
      <c r="M35" s="3"/>
      <c r="N35" s="9" t="s">
        <v>182</v>
      </c>
      <c r="O35" s="8" t="n">
        <v>23115268.71</v>
      </c>
      <c r="P35" s="8" t="n">
        <f aca="false">IF(N35="S",1,-1)*O35*100</f>
        <v>-2311526871</v>
      </c>
      <c r="Q35" s="9" t="s">
        <v>229</v>
      </c>
    </row>
    <row r="36" customFormat="false" ht="15" hidden="false" customHeight="true" outlineLevel="0" collapsed="false">
      <c r="A36" s="9" t="s">
        <v>224</v>
      </c>
      <c r="B36" s="9" t="s">
        <v>238</v>
      </c>
      <c r="C36" s="9" t="s">
        <v>226</v>
      </c>
      <c r="D36" s="25" t="n">
        <v>46168</v>
      </c>
      <c r="E36" s="25" t="n">
        <v>46168</v>
      </c>
      <c r="F36" s="9" t="s">
        <v>239</v>
      </c>
      <c r="G36" s="9" t="s">
        <v>240</v>
      </c>
      <c r="H36" s="9" t="s">
        <v>241</v>
      </c>
      <c r="I36" s="3"/>
      <c r="J36" s="9" t="s">
        <v>242</v>
      </c>
      <c r="K36" s="9" t="s">
        <v>243</v>
      </c>
      <c r="L36" s="9" t="s">
        <v>244</v>
      </c>
      <c r="M36" s="3" t="s">
        <v>181</v>
      </c>
      <c r="N36" s="9" t="s">
        <v>178</v>
      </c>
      <c r="O36" s="8" t="n">
        <v>30390082.36</v>
      </c>
      <c r="P36" s="8" t="n">
        <f aca="false">IF(N36="S",1,-1)*O36*100</f>
        <v>3039008236</v>
      </c>
      <c r="Q36" s="9" t="s">
        <v>245</v>
      </c>
    </row>
    <row r="37" customFormat="false" ht="15" hidden="false" customHeight="true" outlineLevel="0" collapsed="false">
      <c r="A37" s="9" t="s">
        <v>224</v>
      </c>
      <c r="B37" s="9" t="s">
        <v>238</v>
      </c>
      <c r="C37" s="9" t="s">
        <v>226</v>
      </c>
      <c r="D37" s="25" t="n">
        <v>46168</v>
      </c>
      <c r="E37" s="25" t="n">
        <v>46168</v>
      </c>
      <c r="F37" s="9" t="s">
        <v>239</v>
      </c>
      <c r="G37" s="9" t="s">
        <v>240</v>
      </c>
      <c r="H37" s="9" t="s">
        <v>241</v>
      </c>
      <c r="I37" s="3"/>
      <c r="J37" s="9" t="s">
        <v>242</v>
      </c>
      <c r="K37" s="9" t="s">
        <v>246</v>
      </c>
      <c r="L37" s="9" t="s">
        <v>247</v>
      </c>
      <c r="M37" s="3" t="s">
        <v>235</v>
      </c>
      <c r="N37" s="9" t="s">
        <v>182</v>
      </c>
      <c r="O37" s="8" t="n">
        <v>27627347.65</v>
      </c>
      <c r="P37" s="8" t="n">
        <f aca="false">IF(N37="S",1,-1)*O37*100</f>
        <v>-2762734765</v>
      </c>
      <c r="Q37" s="9" t="s">
        <v>245</v>
      </c>
    </row>
    <row r="38" customFormat="false" ht="15" hidden="false" customHeight="true" outlineLevel="0" collapsed="false">
      <c r="A38" s="9" t="s">
        <v>224</v>
      </c>
      <c r="B38" s="9" t="s">
        <v>238</v>
      </c>
      <c r="C38" s="9" t="s">
        <v>226</v>
      </c>
      <c r="D38" s="25" t="n">
        <v>46168</v>
      </c>
      <c r="E38" s="25" t="n">
        <v>46168</v>
      </c>
      <c r="F38" s="9" t="s">
        <v>239</v>
      </c>
      <c r="G38" s="9" t="s">
        <v>240</v>
      </c>
      <c r="H38" s="9" t="s">
        <v>241</v>
      </c>
      <c r="I38" s="3"/>
      <c r="J38" s="9" t="s">
        <v>242</v>
      </c>
      <c r="K38" s="9" t="s">
        <v>248</v>
      </c>
      <c r="L38" s="9" t="s">
        <v>249</v>
      </c>
      <c r="M38" s="3" t="s">
        <v>250</v>
      </c>
      <c r="N38" s="9" t="s">
        <v>182</v>
      </c>
      <c r="O38" s="8" t="n">
        <v>2762734.71</v>
      </c>
      <c r="P38" s="8" t="n">
        <f aca="false">IF(N38="S",1,-1)*O38*100</f>
        <v>-276273471</v>
      </c>
      <c r="Q38" s="3"/>
    </row>
    <row r="39" customFormat="false" ht="15" hidden="false" customHeight="true" outlineLevel="0" collapsed="false">
      <c r="A39" s="9" t="s">
        <v>224</v>
      </c>
      <c r="B39" s="9" t="s">
        <v>242</v>
      </c>
      <c r="C39" s="9" t="s">
        <v>226</v>
      </c>
      <c r="D39" s="25" t="n">
        <v>46168</v>
      </c>
      <c r="E39" s="25" t="n">
        <v>46168</v>
      </c>
      <c r="F39" s="9" t="s">
        <v>239</v>
      </c>
      <c r="G39" s="9" t="s">
        <v>251</v>
      </c>
      <c r="H39" s="9" t="s">
        <v>252</v>
      </c>
      <c r="I39" s="3"/>
      <c r="J39" s="9" t="s">
        <v>238</v>
      </c>
      <c r="K39" s="9" t="s">
        <v>243</v>
      </c>
      <c r="L39" s="9" t="s">
        <v>244</v>
      </c>
      <c r="M39" s="3" t="s">
        <v>181</v>
      </c>
      <c r="N39" s="9" t="s">
        <v>182</v>
      </c>
      <c r="O39" s="8" t="n">
        <v>30390082.36</v>
      </c>
      <c r="P39" s="8" t="n">
        <f aca="false">IF(N39="S",1,-1)*O39*100</f>
        <v>-3039008236</v>
      </c>
      <c r="Q39" s="9" t="s">
        <v>245</v>
      </c>
    </row>
    <row r="40" customFormat="false" ht="15" hidden="false" customHeight="true" outlineLevel="0" collapsed="false">
      <c r="A40" s="9" t="s">
        <v>224</v>
      </c>
      <c r="B40" s="9" t="s">
        <v>242</v>
      </c>
      <c r="C40" s="9" t="s">
        <v>226</v>
      </c>
      <c r="D40" s="25" t="n">
        <v>46168</v>
      </c>
      <c r="E40" s="25" t="n">
        <v>46168</v>
      </c>
      <c r="F40" s="9" t="s">
        <v>239</v>
      </c>
      <c r="G40" s="9" t="s">
        <v>251</v>
      </c>
      <c r="H40" s="9" t="s">
        <v>252</v>
      </c>
      <c r="I40" s="3"/>
      <c r="J40" s="9" t="s">
        <v>238</v>
      </c>
      <c r="K40" s="9" t="s">
        <v>246</v>
      </c>
      <c r="L40" s="9" t="s">
        <v>247</v>
      </c>
      <c r="M40" s="3" t="s">
        <v>235</v>
      </c>
      <c r="N40" s="9" t="s">
        <v>178</v>
      </c>
      <c r="O40" s="8" t="n">
        <v>27627347.65</v>
      </c>
      <c r="P40" s="8" t="n">
        <f aca="false">IF(N40="S",1,-1)*O40*100</f>
        <v>2762734765</v>
      </c>
      <c r="Q40" s="9" t="s">
        <v>245</v>
      </c>
    </row>
    <row r="41" customFormat="false" ht="15" hidden="false" customHeight="true" outlineLevel="0" collapsed="false">
      <c r="A41" s="9" t="s">
        <v>224</v>
      </c>
      <c r="B41" s="9" t="s">
        <v>242</v>
      </c>
      <c r="C41" s="9" t="s">
        <v>226</v>
      </c>
      <c r="D41" s="25" t="n">
        <v>46168</v>
      </c>
      <c r="E41" s="25" t="n">
        <v>46168</v>
      </c>
      <c r="F41" s="9" t="s">
        <v>239</v>
      </c>
      <c r="G41" s="9" t="s">
        <v>251</v>
      </c>
      <c r="H41" s="9" t="s">
        <v>252</v>
      </c>
      <c r="I41" s="3"/>
      <c r="J41" s="9" t="s">
        <v>238</v>
      </c>
      <c r="K41" s="9" t="s">
        <v>248</v>
      </c>
      <c r="L41" s="9" t="s">
        <v>249</v>
      </c>
      <c r="M41" s="3" t="s">
        <v>250</v>
      </c>
      <c r="N41" s="9" t="s">
        <v>178</v>
      </c>
      <c r="O41" s="8" t="n">
        <v>2762734.71</v>
      </c>
      <c r="P41" s="8" t="n">
        <f aca="false">IF(N41="S",1,-1)*O41*100</f>
        <v>276273471</v>
      </c>
      <c r="Q41" s="3"/>
    </row>
    <row r="42" customFormat="false" ht="15" hidden="false" customHeight="true" outlineLevel="0" collapsed="false">
      <c r="A42" s="9" t="s">
        <v>224</v>
      </c>
      <c r="B42" s="9" t="s">
        <v>253</v>
      </c>
      <c r="C42" s="9" t="s">
        <v>226</v>
      </c>
      <c r="D42" s="25" t="n">
        <v>46168</v>
      </c>
      <c r="E42" s="25" t="n">
        <v>46168</v>
      </c>
      <c r="F42" s="9" t="s">
        <v>239</v>
      </c>
      <c r="G42" s="9" t="s">
        <v>240</v>
      </c>
      <c r="H42" s="9" t="s">
        <v>241</v>
      </c>
      <c r="I42" s="3"/>
      <c r="J42" s="3"/>
      <c r="K42" s="9" t="s">
        <v>243</v>
      </c>
      <c r="L42" s="9" t="s">
        <v>244</v>
      </c>
      <c r="M42" s="3" t="s">
        <v>181</v>
      </c>
      <c r="N42" s="9" t="s">
        <v>178</v>
      </c>
      <c r="O42" s="8" t="n">
        <v>30391715.81</v>
      </c>
      <c r="P42" s="8" t="n">
        <f aca="false">IF(N42="S",1,-1)*O42*100</f>
        <v>3039171581</v>
      </c>
      <c r="Q42" s="9" t="s">
        <v>245</v>
      </c>
    </row>
    <row r="43" customFormat="false" ht="15" hidden="false" customHeight="true" outlineLevel="0" collapsed="false">
      <c r="A43" s="9" t="s">
        <v>224</v>
      </c>
      <c r="B43" s="9" t="s">
        <v>253</v>
      </c>
      <c r="C43" s="9" t="s">
        <v>226</v>
      </c>
      <c r="D43" s="25" t="n">
        <v>46168</v>
      </c>
      <c r="E43" s="25" t="n">
        <v>46168</v>
      </c>
      <c r="F43" s="9" t="s">
        <v>239</v>
      </c>
      <c r="G43" s="9" t="s">
        <v>240</v>
      </c>
      <c r="H43" s="9" t="s">
        <v>241</v>
      </c>
      <c r="I43" s="3"/>
      <c r="J43" s="3"/>
      <c r="K43" s="9" t="s">
        <v>246</v>
      </c>
      <c r="L43" s="9" t="s">
        <v>247</v>
      </c>
      <c r="M43" s="3" t="s">
        <v>235</v>
      </c>
      <c r="N43" s="9" t="s">
        <v>182</v>
      </c>
      <c r="O43" s="8" t="n">
        <v>27628832.6</v>
      </c>
      <c r="P43" s="8" t="n">
        <f aca="false">IF(N43="S",1,-1)*O43*100</f>
        <v>-2762883260</v>
      </c>
      <c r="Q43" s="9" t="s">
        <v>245</v>
      </c>
    </row>
    <row r="44" customFormat="false" ht="15" hidden="false" customHeight="true" outlineLevel="0" collapsed="false">
      <c r="A44" s="9" t="s">
        <v>224</v>
      </c>
      <c r="B44" s="9" t="s">
        <v>253</v>
      </c>
      <c r="C44" s="9" t="s">
        <v>226</v>
      </c>
      <c r="D44" s="25" t="n">
        <v>46168</v>
      </c>
      <c r="E44" s="25" t="n">
        <v>46168</v>
      </c>
      <c r="F44" s="9" t="s">
        <v>239</v>
      </c>
      <c r="G44" s="9" t="s">
        <v>240</v>
      </c>
      <c r="H44" s="9" t="s">
        <v>241</v>
      </c>
      <c r="I44" s="3"/>
      <c r="J44" s="3"/>
      <c r="K44" s="9" t="s">
        <v>248</v>
      </c>
      <c r="L44" s="9" t="s">
        <v>249</v>
      </c>
      <c r="M44" s="3" t="s">
        <v>250</v>
      </c>
      <c r="N44" s="9" t="s">
        <v>182</v>
      </c>
      <c r="O44" s="8" t="n">
        <v>2762883.21</v>
      </c>
      <c r="P44" s="8" t="n">
        <f aca="false">IF(N44="S",1,-1)*O44*100</f>
        <v>-276288321</v>
      </c>
      <c r="Q44" s="3"/>
    </row>
    <row r="45" customFormat="false" ht="15" hidden="false" customHeight="true" outlineLevel="0" collapsed="false">
      <c r="A45" s="9" t="s">
        <v>224</v>
      </c>
      <c r="B45" s="9" t="s">
        <v>254</v>
      </c>
      <c r="C45" s="9" t="s">
        <v>255</v>
      </c>
      <c r="D45" s="25" t="n">
        <v>46175</v>
      </c>
      <c r="E45" s="25" t="n">
        <v>46175</v>
      </c>
      <c r="F45" s="9" t="s">
        <v>239</v>
      </c>
      <c r="G45" s="9" t="s">
        <v>240</v>
      </c>
      <c r="H45" s="9" t="s">
        <v>252</v>
      </c>
      <c r="I45" s="3"/>
      <c r="J45" s="3"/>
      <c r="K45" s="9" t="s">
        <v>243</v>
      </c>
      <c r="L45" s="9" t="s">
        <v>244</v>
      </c>
      <c r="M45" s="3" t="s">
        <v>181</v>
      </c>
      <c r="N45" s="9" t="s">
        <v>178</v>
      </c>
      <c r="O45" s="8" t="n">
        <v>1914.5</v>
      </c>
      <c r="P45" s="8" t="n">
        <f aca="false">IF(N45="S",1,-1)*O45*100</f>
        <v>191450</v>
      </c>
      <c r="Q45" s="9" t="s">
        <v>245</v>
      </c>
    </row>
    <row r="46" customFormat="false" ht="15" hidden="false" customHeight="true" outlineLevel="0" collapsed="false">
      <c r="A46" s="9" t="s">
        <v>224</v>
      </c>
      <c r="B46" s="9" t="s">
        <v>254</v>
      </c>
      <c r="C46" s="9" t="s">
        <v>255</v>
      </c>
      <c r="D46" s="25" t="n">
        <v>46175</v>
      </c>
      <c r="E46" s="25" t="n">
        <v>46175</v>
      </c>
      <c r="F46" s="9" t="s">
        <v>239</v>
      </c>
      <c r="G46" s="9" t="s">
        <v>240</v>
      </c>
      <c r="H46" s="9" t="s">
        <v>252</v>
      </c>
      <c r="I46" s="3"/>
      <c r="J46" s="3"/>
      <c r="K46" s="9" t="s">
        <v>246</v>
      </c>
      <c r="L46" s="9" t="s">
        <v>247</v>
      </c>
      <c r="M46" s="3" t="s">
        <v>235</v>
      </c>
      <c r="N46" s="9" t="s">
        <v>182</v>
      </c>
      <c r="O46" s="8" t="n">
        <v>1740.45</v>
      </c>
      <c r="P46" s="8" t="n">
        <f aca="false">IF(N46="S",1,-1)*O46*100</f>
        <v>-174045</v>
      </c>
      <c r="Q46" s="9" t="s">
        <v>245</v>
      </c>
    </row>
    <row r="47" customFormat="false" ht="15" hidden="false" customHeight="true" outlineLevel="0" collapsed="false">
      <c r="A47" s="9" t="s">
        <v>224</v>
      </c>
      <c r="B47" s="9" t="s">
        <v>254</v>
      </c>
      <c r="C47" s="9" t="s">
        <v>255</v>
      </c>
      <c r="D47" s="25" t="n">
        <v>46175</v>
      </c>
      <c r="E47" s="25" t="n">
        <v>46175</v>
      </c>
      <c r="F47" s="9" t="s">
        <v>239</v>
      </c>
      <c r="G47" s="9" t="s">
        <v>240</v>
      </c>
      <c r="H47" s="9" t="s">
        <v>252</v>
      </c>
      <c r="I47" s="3"/>
      <c r="J47" s="3"/>
      <c r="K47" s="9" t="s">
        <v>248</v>
      </c>
      <c r="L47" s="9" t="s">
        <v>249</v>
      </c>
      <c r="M47" s="3" t="s">
        <v>250</v>
      </c>
      <c r="N47" s="9" t="s">
        <v>182</v>
      </c>
      <c r="O47" s="8" t="n">
        <v>174.05</v>
      </c>
      <c r="P47" s="8" t="n">
        <f aca="false">IF(N47="S",1,-1)*O47*100</f>
        <v>-17405</v>
      </c>
      <c r="Q47" s="3"/>
    </row>
    <row r="48" customFormat="false" ht="15" hidden="false" customHeight="true" outlineLevel="0" collapsed="false">
      <c r="A48" s="9" t="s">
        <v>224</v>
      </c>
      <c r="B48" s="9" t="s">
        <v>256</v>
      </c>
      <c r="C48" s="9" t="s">
        <v>226</v>
      </c>
      <c r="D48" s="25" t="n">
        <v>46170</v>
      </c>
      <c r="E48" s="25" t="n">
        <v>46170</v>
      </c>
      <c r="F48" s="9" t="s">
        <v>171</v>
      </c>
      <c r="G48" s="9" t="s">
        <v>172</v>
      </c>
      <c r="H48" s="9" t="s">
        <v>173</v>
      </c>
      <c r="I48" s="3"/>
      <c r="J48" s="3"/>
      <c r="K48" s="9" t="s">
        <v>175</v>
      </c>
      <c r="L48" s="9" t="s">
        <v>176</v>
      </c>
      <c r="M48" s="3" t="s">
        <v>177</v>
      </c>
      <c r="N48" s="9" t="s">
        <v>178</v>
      </c>
      <c r="O48" s="8" t="n">
        <v>30391715.81</v>
      </c>
      <c r="P48" s="8" t="n">
        <f aca="false">IF(N48="S",1,-1)*O48*100</f>
        <v>3039171581</v>
      </c>
      <c r="Q48" s="9" t="s">
        <v>257</v>
      </c>
    </row>
    <row r="49" customFormat="false" ht="15" hidden="false" customHeight="true" outlineLevel="0" collapsed="false">
      <c r="A49" s="9" t="s">
        <v>224</v>
      </c>
      <c r="B49" s="9" t="s">
        <v>256</v>
      </c>
      <c r="C49" s="9" t="s">
        <v>226</v>
      </c>
      <c r="D49" s="25" t="n">
        <v>46170</v>
      </c>
      <c r="E49" s="25" t="n">
        <v>46170</v>
      </c>
      <c r="F49" s="9" t="s">
        <v>171</v>
      </c>
      <c r="G49" s="9" t="s">
        <v>172</v>
      </c>
      <c r="H49" s="9" t="s">
        <v>173</v>
      </c>
      <c r="I49" s="3"/>
      <c r="J49" s="3"/>
      <c r="K49" s="9" t="s">
        <v>243</v>
      </c>
      <c r="L49" s="9" t="s">
        <v>244</v>
      </c>
      <c r="M49" s="3" t="s">
        <v>181</v>
      </c>
      <c r="N49" s="9" t="s">
        <v>182</v>
      </c>
      <c r="O49" s="8" t="n">
        <v>30391715.81</v>
      </c>
      <c r="P49" s="8" t="n">
        <f aca="false">IF(N49="S",1,-1)*O49*100</f>
        <v>-3039171581</v>
      </c>
      <c r="Q49" s="9" t="s">
        <v>257</v>
      </c>
    </row>
    <row r="50" customFormat="false" ht="15" hidden="false" customHeight="true" outlineLevel="0" collapsed="false">
      <c r="A50" s="9" t="s">
        <v>224</v>
      </c>
      <c r="B50" s="9" t="s">
        <v>258</v>
      </c>
      <c r="C50" s="9" t="s">
        <v>226</v>
      </c>
      <c r="D50" s="25" t="n">
        <v>46170</v>
      </c>
      <c r="E50" s="25" t="n">
        <v>46170</v>
      </c>
      <c r="F50" s="9" t="s">
        <v>185</v>
      </c>
      <c r="G50" s="9" t="s">
        <v>186</v>
      </c>
      <c r="H50" s="9" t="s">
        <v>259</v>
      </c>
      <c r="I50" s="9" t="s">
        <v>260</v>
      </c>
      <c r="J50" s="3"/>
      <c r="K50" s="9" t="s">
        <v>175</v>
      </c>
      <c r="L50" s="9" t="s">
        <v>176</v>
      </c>
      <c r="M50" s="3" t="s">
        <v>177</v>
      </c>
      <c r="N50" s="9" t="s">
        <v>178</v>
      </c>
      <c r="O50" s="8" t="n">
        <v>30391715.81</v>
      </c>
      <c r="P50" s="8" t="n">
        <f aca="false">IF(N50="S",1,-1)*O50*100</f>
        <v>3039171581</v>
      </c>
      <c r="Q50" s="9" t="s">
        <v>261</v>
      </c>
    </row>
    <row r="51" customFormat="false" ht="15" hidden="false" customHeight="true" outlineLevel="0" collapsed="false">
      <c r="A51" s="9" t="s">
        <v>224</v>
      </c>
      <c r="B51" s="9" t="s">
        <v>258</v>
      </c>
      <c r="C51" s="9" t="s">
        <v>226</v>
      </c>
      <c r="D51" s="25" t="n">
        <v>46170</v>
      </c>
      <c r="E51" s="25" t="n">
        <v>46170</v>
      </c>
      <c r="F51" s="9" t="s">
        <v>185</v>
      </c>
      <c r="G51" s="9" t="s">
        <v>186</v>
      </c>
      <c r="H51" s="9" t="s">
        <v>259</v>
      </c>
      <c r="I51" s="9" t="s">
        <v>260</v>
      </c>
      <c r="J51" s="3"/>
      <c r="K51" s="9" t="s">
        <v>189</v>
      </c>
      <c r="L51" s="9" t="s">
        <v>190</v>
      </c>
      <c r="M51" s="3" t="s">
        <v>177</v>
      </c>
      <c r="N51" s="9" t="s">
        <v>182</v>
      </c>
      <c r="O51" s="8" t="n">
        <v>30391715.81</v>
      </c>
      <c r="P51" s="8" t="n">
        <f aca="false">IF(N51="S",1,-1)*O51*100</f>
        <v>-3039171581</v>
      </c>
      <c r="Q51" s="9" t="s">
        <v>261</v>
      </c>
    </row>
    <row r="52" customFormat="false" ht="15" hidden="false" customHeight="true" outlineLevel="0" collapsed="false">
      <c r="A52" s="9" t="s">
        <v>224</v>
      </c>
      <c r="B52" s="9" t="s">
        <v>262</v>
      </c>
      <c r="C52" s="9" t="s">
        <v>226</v>
      </c>
      <c r="D52" s="25" t="n">
        <v>46170</v>
      </c>
      <c r="E52" s="25" t="n">
        <v>46170</v>
      </c>
      <c r="F52" s="9" t="s">
        <v>185</v>
      </c>
      <c r="G52" s="9" t="s">
        <v>186</v>
      </c>
      <c r="H52" s="9" t="s">
        <v>187</v>
      </c>
      <c r="I52" s="9" t="s">
        <v>263</v>
      </c>
      <c r="J52" s="3"/>
      <c r="K52" s="9" t="s">
        <v>189</v>
      </c>
      <c r="L52" s="9" t="s">
        <v>190</v>
      </c>
      <c r="M52" s="3" t="s">
        <v>177</v>
      </c>
      <c r="N52" s="9" t="s">
        <v>178</v>
      </c>
      <c r="O52" s="8" t="n">
        <v>30391715.81</v>
      </c>
      <c r="P52" s="8" t="n">
        <f aca="false">IF(N52="S",1,-1)*O52*100</f>
        <v>3039171581</v>
      </c>
      <c r="Q52" s="9" t="s">
        <v>264</v>
      </c>
    </row>
    <row r="53" customFormat="false" ht="15" hidden="false" customHeight="true" outlineLevel="0" collapsed="false">
      <c r="A53" s="9" t="s">
        <v>224</v>
      </c>
      <c r="B53" s="9" t="s">
        <v>262</v>
      </c>
      <c r="C53" s="9" t="s">
        <v>226</v>
      </c>
      <c r="D53" s="25" t="n">
        <v>46170</v>
      </c>
      <c r="E53" s="25" t="n">
        <v>46170</v>
      </c>
      <c r="F53" s="9" t="s">
        <v>185</v>
      </c>
      <c r="G53" s="9" t="s">
        <v>186</v>
      </c>
      <c r="H53" s="9" t="s">
        <v>187</v>
      </c>
      <c r="I53" s="9" t="s">
        <v>263</v>
      </c>
      <c r="J53" s="3"/>
      <c r="K53" s="9" t="s">
        <v>265</v>
      </c>
      <c r="L53" s="9" t="s">
        <v>266</v>
      </c>
      <c r="M53" s="3" t="s">
        <v>177</v>
      </c>
      <c r="N53" s="9" t="s">
        <v>182</v>
      </c>
      <c r="O53" s="8" t="n">
        <v>30391715.81</v>
      </c>
      <c r="P53" s="8" t="n">
        <f aca="false">IF(N53="S",1,-1)*O53*100</f>
        <v>-3039171581</v>
      </c>
      <c r="Q53" s="9" t="s">
        <v>264</v>
      </c>
    </row>
    <row r="54" customFormat="false" ht="15" hidden="false" customHeight="true" outlineLevel="0" collapsed="false">
      <c r="A54" s="9" t="s">
        <v>224</v>
      </c>
      <c r="B54" s="9" t="s">
        <v>267</v>
      </c>
      <c r="C54" s="9" t="s">
        <v>226</v>
      </c>
      <c r="D54" s="25" t="n">
        <v>46171</v>
      </c>
      <c r="E54" s="25" t="n">
        <v>46171</v>
      </c>
      <c r="F54" s="9" t="s">
        <v>268</v>
      </c>
      <c r="G54" s="9" t="s">
        <v>269</v>
      </c>
      <c r="H54" s="9" t="s">
        <v>187</v>
      </c>
      <c r="I54" s="3"/>
      <c r="J54" s="3"/>
      <c r="K54" s="9" t="s">
        <v>270</v>
      </c>
      <c r="L54" s="9" t="s">
        <v>271</v>
      </c>
      <c r="M54" s="3"/>
      <c r="N54" s="9" t="s">
        <v>182</v>
      </c>
      <c r="O54" s="8" t="n">
        <v>30391715.81</v>
      </c>
      <c r="P54" s="8" t="n">
        <f aca="false">IF(N54="S",1,-1)*O54*100</f>
        <v>-3039171581</v>
      </c>
      <c r="Q54" s="3"/>
    </row>
    <row r="55" customFormat="false" ht="15" hidden="false" customHeight="true" outlineLevel="0" collapsed="false">
      <c r="A55" s="9" t="s">
        <v>224</v>
      </c>
      <c r="B55" s="9" t="s">
        <v>267</v>
      </c>
      <c r="C55" s="9" t="s">
        <v>226</v>
      </c>
      <c r="D55" s="25" t="n">
        <v>46171</v>
      </c>
      <c r="E55" s="25" t="n">
        <v>46171</v>
      </c>
      <c r="F55" s="9" t="s">
        <v>268</v>
      </c>
      <c r="G55" s="9" t="s">
        <v>269</v>
      </c>
      <c r="H55" s="9" t="s">
        <v>187</v>
      </c>
      <c r="I55" s="3"/>
      <c r="J55" s="3"/>
      <c r="K55" s="9" t="s">
        <v>270</v>
      </c>
      <c r="L55" s="9" t="s">
        <v>271</v>
      </c>
      <c r="M55" s="3"/>
      <c r="N55" s="9" t="s">
        <v>178</v>
      </c>
      <c r="O55" s="8" t="n">
        <v>30391715.81</v>
      </c>
      <c r="P55" s="8" t="n">
        <f aca="false">IF(N55="S",1,-1)*O55*100</f>
        <v>3039171581</v>
      </c>
      <c r="Q55" s="3"/>
    </row>
    <row r="56" customFormat="false" ht="15" hidden="false" customHeight="true" outlineLevel="0" collapsed="false">
      <c r="A56" s="9" t="s">
        <v>224</v>
      </c>
      <c r="B56" s="9" t="s">
        <v>272</v>
      </c>
      <c r="C56" s="9" t="s">
        <v>226</v>
      </c>
      <c r="D56" s="25" t="n">
        <v>46171</v>
      </c>
      <c r="E56" s="25" t="n">
        <v>46171</v>
      </c>
      <c r="F56" s="9" t="s">
        <v>268</v>
      </c>
      <c r="G56" s="9" t="s">
        <v>269</v>
      </c>
      <c r="H56" s="9" t="s">
        <v>187</v>
      </c>
      <c r="I56" s="3"/>
      <c r="J56" s="3"/>
      <c r="K56" s="9" t="s">
        <v>175</v>
      </c>
      <c r="L56" s="9" t="s">
        <v>176</v>
      </c>
      <c r="M56" s="3" t="s">
        <v>177</v>
      </c>
      <c r="N56" s="9" t="s">
        <v>182</v>
      </c>
      <c r="O56" s="8" t="n">
        <v>30391715.81</v>
      </c>
      <c r="P56" s="8" t="n">
        <f aca="false">IF(N56="S",1,-1)*O56*100</f>
        <v>-3039171581</v>
      </c>
      <c r="Q56" s="3"/>
    </row>
    <row r="57" customFormat="false" ht="15" hidden="false" customHeight="true" outlineLevel="0" collapsed="false">
      <c r="A57" s="9" t="s">
        <v>224</v>
      </c>
      <c r="B57" s="9" t="s">
        <v>272</v>
      </c>
      <c r="C57" s="9" t="s">
        <v>226</v>
      </c>
      <c r="D57" s="25" t="n">
        <v>46171</v>
      </c>
      <c r="E57" s="25" t="n">
        <v>46171</v>
      </c>
      <c r="F57" s="9" t="s">
        <v>268</v>
      </c>
      <c r="G57" s="9" t="s">
        <v>269</v>
      </c>
      <c r="H57" s="9" t="s">
        <v>187</v>
      </c>
      <c r="I57" s="3"/>
      <c r="J57" s="3"/>
      <c r="K57" s="9" t="s">
        <v>265</v>
      </c>
      <c r="L57" s="9" t="s">
        <v>266</v>
      </c>
      <c r="M57" s="3" t="s">
        <v>177</v>
      </c>
      <c r="N57" s="9" t="s">
        <v>178</v>
      </c>
      <c r="O57" s="8" t="n">
        <v>30391715.81</v>
      </c>
      <c r="P57" s="8" t="n">
        <f aca="false">IF(N57="S",1,-1)*O57*100</f>
        <v>3039171581</v>
      </c>
      <c r="Q57" s="3"/>
    </row>
    <row r="58" customFormat="false" ht="15" hidden="false" customHeight="true" outlineLevel="0" collapsed="false">
      <c r="A58" s="9" t="s">
        <v>224</v>
      </c>
      <c r="B58" s="9" t="s">
        <v>273</v>
      </c>
      <c r="C58" s="9" t="s">
        <v>226</v>
      </c>
      <c r="D58" s="25" t="n">
        <v>46171</v>
      </c>
      <c r="E58" s="25" t="n">
        <v>46171</v>
      </c>
      <c r="F58" s="9" t="s">
        <v>274</v>
      </c>
      <c r="G58" s="3"/>
      <c r="H58" s="9" t="s">
        <v>275</v>
      </c>
      <c r="I58" s="9" t="s">
        <v>276</v>
      </c>
      <c r="J58" s="3"/>
      <c r="K58" s="9" t="s">
        <v>175</v>
      </c>
      <c r="L58" s="9" t="s">
        <v>176</v>
      </c>
      <c r="M58" s="3" t="s">
        <v>177</v>
      </c>
      <c r="N58" s="9" t="s">
        <v>182</v>
      </c>
      <c r="O58" s="8" t="n">
        <v>30391715.81</v>
      </c>
      <c r="P58" s="8" t="n">
        <f aca="false">IF(N58="S",1,-1)*O58*100</f>
        <v>-3039171581</v>
      </c>
      <c r="Q58" s="9" t="s">
        <v>277</v>
      </c>
    </row>
    <row r="59" customFormat="false" ht="15" hidden="false" customHeight="true" outlineLevel="0" collapsed="false">
      <c r="A59" s="9" t="s">
        <v>224</v>
      </c>
      <c r="B59" s="9" t="s">
        <v>273</v>
      </c>
      <c r="C59" s="9" t="s">
        <v>226</v>
      </c>
      <c r="D59" s="25" t="n">
        <v>46171</v>
      </c>
      <c r="E59" s="25" t="n">
        <v>46171</v>
      </c>
      <c r="F59" s="9" t="s">
        <v>274</v>
      </c>
      <c r="G59" s="3"/>
      <c r="H59" s="9" t="s">
        <v>275</v>
      </c>
      <c r="I59" s="9" t="s">
        <v>276</v>
      </c>
      <c r="J59" s="3"/>
      <c r="K59" s="9" t="s">
        <v>270</v>
      </c>
      <c r="L59" s="9" t="s">
        <v>271</v>
      </c>
      <c r="M59" s="3"/>
      <c r="N59" s="9" t="s">
        <v>178</v>
      </c>
      <c r="O59" s="8" t="n">
        <v>30391715.81</v>
      </c>
      <c r="P59" s="8" t="n">
        <f aca="false">IF(N59="S",1,-1)*O59*100</f>
        <v>3039171581</v>
      </c>
      <c r="Q59" s="9" t="s">
        <v>277</v>
      </c>
    </row>
    <row r="60" customFormat="false" ht="15" hidden="false" customHeight="true" outlineLevel="0" collapsed="false">
      <c r="A60" s="9" t="s">
        <v>224</v>
      </c>
      <c r="B60" s="9" t="s">
        <v>278</v>
      </c>
      <c r="C60" s="9" t="s">
        <v>279</v>
      </c>
      <c r="D60" s="25" t="n">
        <v>46234</v>
      </c>
      <c r="E60" s="25" t="n">
        <v>46234</v>
      </c>
      <c r="F60" s="9" t="s">
        <v>227</v>
      </c>
      <c r="G60" s="3"/>
      <c r="H60" s="9" t="s">
        <v>228</v>
      </c>
      <c r="I60" s="9" t="s">
        <v>280</v>
      </c>
      <c r="J60" s="3"/>
      <c r="K60" s="9" t="s">
        <v>230</v>
      </c>
      <c r="L60" s="9" t="s">
        <v>231</v>
      </c>
      <c r="M60" s="3" t="s">
        <v>232</v>
      </c>
      <c r="N60" s="9" t="s">
        <v>178</v>
      </c>
      <c r="O60" s="8" t="n">
        <v>1377770.76</v>
      </c>
      <c r="P60" s="8" t="n">
        <f aca="false">IF(N60="S",1,-1)*O60*100</f>
        <v>137777076</v>
      </c>
      <c r="Q60" s="9" t="s">
        <v>281</v>
      </c>
    </row>
    <row r="61" customFormat="false" ht="15" hidden="false" customHeight="true" outlineLevel="0" collapsed="false">
      <c r="A61" s="9" t="s">
        <v>224</v>
      </c>
      <c r="B61" s="9" t="s">
        <v>278</v>
      </c>
      <c r="C61" s="9" t="s">
        <v>279</v>
      </c>
      <c r="D61" s="25" t="n">
        <v>46234</v>
      </c>
      <c r="E61" s="25" t="n">
        <v>46234</v>
      </c>
      <c r="F61" s="9" t="s">
        <v>227</v>
      </c>
      <c r="G61" s="3"/>
      <c r="H61" s="9" t="s">
        <v>228</v>
      </c>
      <c r="I61" s="9" t="s">
        <v>280</v>
      </c>
      <c r="J61" s="3"/>
      <c r="K61" s="9" t="s">
        <v>230</v>
      </c>
      <c r="L61" s="9" t="s">
        <v>231</v>
      </c>
      <c r="M61" s="3" t="s">
        <v>232</v>
      </c>
      <c r="N61" s="9" t="s">
        <v>178</v>
      </c>
      <c r="O61" s="8" t="n">
        <v>2230366.02</v>
      </c>
      <c r="P61" s="8" t="n">
        <f aca="false">IF(N61="S",1,-1)*O61*100</f>
        <v>223036602</v>
      </c>
      <c r="Q61" s="9" t="s">
        <v>281</v>
      </c>
    </row>
    <row r="62" customFormat="false" ht="15" hidden="false" customHeight="true" outlineLevel="0" collapsed="false">
      <c r="A62" s="9" t="s">
        <v>224</v>
      </c>
      <c r="B62" s="9" t="s">
        <v>278</v>
      </c>
      <c r="C62" s="9" t="s">
        <v>279</v>
      </c>
      <c r="D62" s="25" t="n">
        <v>46234</v>
      </c>
      <c r="E62" s="25" t="n">
        <v>46234</v>
      </c>
      <c r="F62" s="9" t="s">
        <v>227</v>
      </c>
      <c r="G62" s="3"/>
      <c r="H62" s="9" t="s">
        <v>228</v>
      </c>
      <c r="I62" s="9" t="s">
        <v>280</v>
      </c>
      <c r="J62" s="3"/>
      <c r="K62" s="9" t="s">
        <v>230</v>
      </c>
      <c r="L62" s="9" t="s">
        <v>231</v>
      </c>
      <c r="M62" s="3" t="s">
        <v>232</v>
      </c>
      <c r="N62" s="9" t="s">
        <v>178</v>
      </c>
      <c r="O62" s="8" t="n">
        <v>6256429.59</v>
      </c>
      <c r="P62" s="8" t="n">
        <f aca="false">IF(N62="S",1,-1)*O62*100</f>
        <v>625642959</v>
      </c>
      <c r="Q62" s="9" t="s">
        <v>281</v>
      </c>
    </row>
    <row r="63" customFormat="false" ht="15" hidden="false" customHeight="true" outlineLevel="0" collapsed="false">
      <c r="A63" s="9" t="s">
        <v>224</v>
      </c>
      <c r="B63" s="9" t="s">
        <v>278</v>
      </c>
      <c r="C63" s="9" t="s">
        <v>279</v>
      </c>
      <c r="D63" s="25" t="n">
        <v>46234</v>
      </c>
      <c r="E63" s="25" t="n">
        <v>46234</v>
      </c>
      <c r="F63" s="9" t="s">
        <v>227</v>
      </c>
      <c r="G63" s="3"/>
      <c r="H63" s="9" t="s">
        <v>228</v>
      </c>
      <c r="I63" s="9" t="s">
        <v>280</v>
      </c>
      <c r="J63" s="3"/>
      <c r="K63" s="9" t="s">
        <v>230</v>
      </c>
      <c r="L63" s="9" t="s">
        <v>231</v>
      </c>
      <c r="M63" s="3" t="s">
        <v>232</v>
      </c>
      <c r="N63" s="9" t="s">
        <v>178</v>
      </c>
      <c r="O63" s="8" t="n">
        <v>5363323.68</v>
      </c>
      <c r="P63" s="8" t="n">
        <f aca="false">IF(N63="S",1,-1)*O63*100</f>
        <v>536332368</v>
      </c>
      <c r="Q63" s="9" t="s">
        <v>281</v>
      </c>
    </row>
    <row r="64" customFormat="false" ht="15" hidden="false" customHeight="true" outlineLevel="0" collapsed="false">
      <c r="A64" s="9" t="s">
        <v>224</v>
      </c>
      <c r="B64" s="9" t="s">
        <v>278</v>
      </c>
      <c r="C64" s="9" t="s">
        <v>279</v>
      </c>
      <c r="D64" s="25" t="n">
        <v>46234</v>
      </c>
      <c r="E64" s="25" t="n">
        <v>46234</v>
      </c>
      <c r="F64" s="9" t="s">
        <v>227</v>
      </c>
      <c r="G64" s="3"/>
      <c r="H64" s="9" t="s">
        <v>228</v>
      </c>
      <c r="I64" s="9" t="s">
        <v>280</v>
      </c>
      <c r="J64" s="3"/>
      <c r="K64" s="9" t="s">
        <v>233</v>
      </c>
      <c r="L64" s="9" t="s">
        <v>234</v>
      </c>
      <c r="M64" s="3" t="s">
        <v>235</v>
      </c>
      <c r="N64" s="9" t="s">
        <v>182</v>
      </c>
      <c r="O64" s="8" t="n">
        <v>1377770.76</v>
      </c>
      <c r="P64" s="8" t="n">
        <f aca="false">IF(N64="S",1,-1)*O64*100</f>
        <v>-137777076</v>
      </c>
      <c r="Q64" s="9" t="s">
        <v>281</v>
      </c>
    </row>
    <row r="65" customFormat="false" ht="15" hidden="false" customHeight="true" outlineLevel="0" collapsed="false">
      <c r="A65" s="9" t="s">
        <v>224</v>
      </c>
      <c r="B65" s="9" t="s">
        <v>278</v>
      </c>
      <c r="C65" s="9" t="s">
        <v>279</v>
      </c>
      <c r="D65" s="25" t="n">
        <v>46234</v>
      </c>
      <c r="E65" s="25" t="n">
        <v>46234</v>
      </c>
      <c r="F65" s="9" t="s">
        <v>227</v>
      </c>
      <c r="G65" s="3"/>
      <c r="H65" s="9" t="s">
        <v>228</v>
      </c>
      <c r="I65" s="9" t="s">
        <v>280</v>
      </c>
      <c r="J65" s="3"/>
      <c r="K65" s="9" t="s">
        <v>233</v>
      </c>
      <c r="L65" s="9" t="s">
        <v>234</v>
      </c>
      <c r="M65" s="3" t="s">
        <v>235</v>
      </c>
      <c r="N65" s="9" t="s">
        <v>182</v>
      </c>
      <c r="O65" s="8" t="n">
        <v>2230366.02</v>
      </c>
      <c r="P65" s="8" t="n">
        <f aca="false">IF(N65="S",1,-1)*O65*100</f>
        <v>-223036602</v>
      </c>
      <c r="Q65" s="9" t="s">
        <v>281</v>
      </c>
    </row>
    <row r="66" customFormat="false" ht="15" hidden="false" customHeight="true" outlineLevel="0" collapsed="false">
      <c r="A66" s="9" t="s">
        <v>224</v>
      </c>
      <c r="B66" s="9" t="s">
        <v>278</v>
      </c>
      <c r="C66" s="9" t="s">
        <v>279</v>
      </c>
      <c r="D66" s="25" t="n">
        <v>46234</v>
      </c>
      <c r="E66" s="25" t="n">
        <v>46234</v>
      </c>
      <c r="F66" s="9" t="s">
        <v>227</v>
      </c>
      <c r="G66" s="3"/>
      <c r="H66" s="9" t="s">
        <v>228</v>
      </c>
      <c r="I66" s="9" t="s">
        <v>280</v>
      </c>
      <c r="J66" s="3"/>
      <c r="K66" s="9" t="s">
        <v>233</v>
      </c>
      <c r="L66" s="9" t="s">
        <v>234</v>
      </c>
      <c r="M66" s="3" t="s">
        <v>235</v>
      </c>
      <c r="N66" s="9" t="s">
        <v>182</v>
      </c>
      <c r="O66" s="8" t="n">
        <v>6256429.59</v>
      </c>
      <c r="P66" s="8" t="n">
        <f aca="false">IF(N66="S",1,-1)*O66*100</f>
        <v>-625642959</v>
      </c>
      <c r="Q66" s="9" t="s">
        <v>281</v>
      </c>
    </row>
    <row r="67" customFormat="false" ht="15" hidden="false" customHeight="true" outlineLevel="0" collapsed="false">
      <c r="A67" s="9" t="s">
        <v>224</v>
      </c>
      <c r="B67" s="9" t="s">
        <v>278</v>
      </c>
      <c r="C67" s="9" t="s">
        <v>279</v>
      </c>
      <c r="D67" s="25" t="n">
        <v>46234</v>
      </c>
      <c r="E67" s="25" t="n">
        <v>46234</v>
      </c>
      <c r="F67" s="9" t="s">
        <v>227</v>
      </c>
      <c r="G67" s="3"/>
      <c r="H67" s="9" t="s">
        <v>228</v>
      </c>
      <c r="I67" s="9" t="s">
        <v>280</v>
      </c>
      <c r="J67" s="3"/>
      <c r="K67" s="9" t="s">
        <v>233</v>
      </c>
      <c r="L67" s="9" t="s">
        <v>234</v>
      </c>
      <c r="M67" s="3" t="s">
        <v>235</v>
      </c>
      <c r="N67" s="9" t="s">
        <v>182</v>
      </c>
      <c r="O67" s="8" t="n">
        <v>5363323.68</v>
      </c>
      <c r="P67" s="8" t="n">
        <f aca="false">IF(N67="S",1,-1)*O67*100</f>
        <v>-536332368</v>
      </c>
      <c r="Q67" s="9" t="s">
        <v>281</v>
      </c>
    </row>
    <row r="68" customFormat="false" ht="15" hidden="false" customHeight="true" outlineLevel="0" collapsed="false">
      <c r="A68" s="9" t="s">
        <v>224</v>
      </c>
      <c r="B68" s="9" t="s">
        <v>278</v>
      </c>
      <c r="C68" s="9" t="s">
        <v>279</v>
      </c>
      <c r="D68" s="25" t="n">
        <v>46234</v>
      </c>
      <c r="E68" s="25" t="n">
        <v>46234</v>
      </c>
      <c r="F68" s="9" t="s">
        <v>227</v>
      </c>
      <c r="G68" s="3"/>
      <c r="H68" s="9" t="s">
        <v>228</v>
      </c>
      <c r="I68" s="9" t="s">
        <v>280</v>
      </c>
      <c r="J68" s="3"/>
      <c r="K68" s="9" t="s">
        <v>236</v>
      </c>
      <c r="L68" s="9" t="s">
        <v>237</v>
      </c>
      <c r="M68" s="3"/>
      <c r="N68" s="9" t="s">
        <v>182</v>
      </c>
      <c r="O68" s="8" t="n">
        <v>1377770.76</v>
      </c>
      <c r="P68" s="8" t="n">
        <f aca="false">IF(N68="S",1,-1)*O68*100</f>
        <v>-137777076</v>
      </c>
      <c r="Q68" s="9" t="s">
        <v>281</v>
      </c>
    </row>
    <row r="69" customFormat="false" ht="15" hidden="false" customHeight="true" outlineLevel="0" collapsed="false">
      <c r="A69" s="9" t="s">
        <v>224</v>
      </c>
      <c r="B69" s="9" t="s">
        <v>278</v>
      </c>
      <c r="C69" s="9" t="s">
        <v>279</v>
      </c>
      <c r="D69" s="25" t="n">
        <v>46234</v>
      </c>
      <c r="E69" s="25" t="n">
        <v>46234</v>
      </c>
      <c r="F69" s="9" t="s">
        <v>227</v>
      </c>
      <c r="G69" s="3"/>
      <c r="H69" s="9" t="s">
        <v>228</v>
      </c>
      <c r="I69" s="9" t="s">
        <v>280</v>
      </c>
      <c r="J69" s="3"/>
      <c r="K69" s="9" t="s">
        <v>236</v>
      </c>
      <c r="L69" s="9" t="s">
        <v>237</v>
      </c>
      <c r="M69" s="3"/>
      <c r="N69" s="9" t="s">
        <v>182</v>
      </c>
      <c r="O69" s="8" t="n">
        <v>2230366.02</v>
      </c>
      <c r="P69" s="8" t="n">
        <f aca="false">IF(N69="S",1,-1)*O69*100</f>
        <v>-223036602</v>
      </c>
      <c r="Q69" s="9" t="s">
        <v>281</v>
      </c>
    </row>
    <row r="70" customFormat="false" ht="15" hidden="false" customHeight="true" outlineLevel="0" collapsed="false">
      <c r="A70" s="9" t="s">
        <v>224</v>
      </c>
      <c r="B70" s="9" t="s">
        <v>278</v>
      </c>
      <c r="C70" s="9" t="s">
        <v>279</v>
      </c>
      <c r="D70" s="25" t="n">
        <v>46234</v>
      </c>
      <c r="E70" s="25" t="n">
        <v>46234</v>
      </c>
      <c r="F70" s="9" t="s">
        <v>227</v>
      </c>
      <c r="G70" s="3"/>
      <c r="H70" s="9" t="s">
        <v>228</v>
      </c>
      <c r="I70" s="9" t="s">
        <v>280</v>
      </c>
      <c r="J70" s="3"/>
      <c r="K70" s="9" t="s">
        <v>236</v>
      </c>
      <c r="L70" s="9" t="s">
        <v>237</v>
      </c>
      <c r="M70" s="3"/>
      <c r="N70" s="9" t="s">
        <v>182</v>
      </c>
      <c r="O70" s="8" t="n">
        <v>6256429.59</v>
      </c>
      <c r="P70" s="8" t="n">
        <f aca="false">IF(N70="S",1,-1)*O70*100</f>
        <v>-625642959</v>
      </c>
      <c r="Q70" s="9" t="s">
        <v>281</v>
      </c>
    </row>
    <row r="71" customFormat="false" ht="15" hidden="false" customHeight="true" outlineLevel="0" collapsed="false">
      <c r="A71" s="9" t="s">
        <v>224</v>
      </c>
      <c r="B71" s="9" t="s">
        <v>278</v>
      </c>
      <c r="C71" s="9" t="s">
        <v>279</v>
      </c>
      <c r="D71" s="25" t="n">
        <v>46234</v>
      </c>
      <c r="E71" s="25" t="n">
        <v>46234</v>
      </c>
      <c r="F71" s="9" t="s">
        <v>227</v>
      </c>
      <c r="G71" s="3"/>
      <c r="H71" s="9" t="s">
        <v>228</v>
      </c>
      <c r="I71" s="9" t="s">
        <v>280</v>
      </c>
      <c r="J71" s="3"/>
      <c r="K71" s="9" t="s">
        <v>236</v>
      </c>
      <c r="L71" s="9" t="s">
        <v>237</v>
      </c>
      <c r="M71" s="3"/>
      <c r="N71" s="9" t="s">
        <v>182</v>
      </c>
      <c r="O71" s="8" t="n">
        <v>5363323.68</v>
      </c>
      <c r="P71" s="8" t="n">
        <f aca="false">IF(N71="S",1,-1)*O71*100</f>
        <v>-536332368</v>
      </c>
      <c r="Q71" s="9" t="s">
        <v>281</v>
      </c>
    </row>
    <row r="72" customFormat="false" ht="15" hidden="false" customHeight="true" outlineLevel="0" collapsed="false">
      <c r="A72" s="9" t="s">
        <v>224</v>
      </c>
      <c r="B72" s="9" t="s">
        <v>278</v>
      </c>
      <c r="C72" s="9" t="s">
        <v>279</v>
      </c>
      <c r="D72" s="25" t="n">
        <v>46234</v>
      </c>
      <c r="E72" s="25" t="n">
        <v>46234</v>
      </c>
      <c r="F72" s="9" t="s">
        <v>227</v>
      </c>
      <c r="G72" s="3"/>
      <c r="H72" s="9" t="s">
        <v>228</v>
      </c>
      <c r="I72" s="9" t="s">
        <v>280</v>
      </c>
      <c r="J72" s="3"/>
      <c r="K72" s="9" t="s">
        <v>236</v>
      </c>
      <c r="L72" s="9" t="s">
        <v>237</v>
      </c>
      <c r="M72" s="3"/>
      <c r="N72" s="9" t="s">
        <v>178</v>
      </c>
      <c r="O72" s="8" t="n">
        <v>1377770.76</v>
      </c>
      <c r="P72" s="8" t="n">
        <f aca="false">IF(N72="S",1,-1)*O72*100</f>
        <v>137777076</v>
      </c>
      <c r="Q72" s="9" t="s">
        <v>281</v>
      </c>
    </row>
    <row r="73" customFormat="false" ht="15" hidden="false" customHeight="true" outlineLevel="0" collapsed="false">
      <c r="A73" s="9" t="s">
        <v>224</v>
      </c>
      <c r="B73" s="9" t="s">
        <v>278</v>
      </c>
      <c r="C73" s="9" t="s">
        <v>279</v>
      </c>
      <c r="D73" s="25" t="n">
        <v>46234</v>
      </c>
      <c r="E73" s="25" t="n">
        <v>46234</v>
      </c>
      <c r="F73" s="9" t="s">
        <v>227</v>
      </c>
      <c r="G73" s="3"/>
      <c r="H73" s="9" t="s">
        <v>228</v>
      </c>
      <c r="I73" s="9" t="s">
        <v>280</v>
      </c>
      <c r="J73" s="3"/>
      <c r="K73" s="9" t="s">
        <v>236</v>
      </c>
      <c r="L73" s="9" t="s">
        <v>237</v>
      </c>
      <c r="M73" s="3"/>
      <c r="N73" s="9" t="s">
        <v>178</v>
      </c>
      <c r="O73" s="8" t="n">
        <v>2230366.02</v>
      </c>
      <c r="P73" s="8" t="n">
        <f aca="false">IF(N73="S",1,-1)*O73*100</f>
        <v>223036602</v>
      </c>
      <c r="Q73" s="9" t="s">
        <v>281</v>
      </c>
    </row>
    <row r="74" customFormat="false" ht="15" hidden="false" customHeight="true" outlineLevel="0" collapsed="false">
      <c r="A74" s="9" t="s">
        <v>224</v>
      </c>
      <c r="B74" s="9" t="s">
        <v>278</v>
      </c>
      <c r="C74" s="9" t="s">
        <v>279</v>
      </c>
      <c r="D74" s="25" t="n">
        <v>46234</v>
      </c>
      <c r="E74" s="25" t="n">
        <v>46234</v>
      </c>
      <c r="F74" s="9" t="s">
        <v>227</v>
      </c>
      <c r="G74" s="3"/>
      <c r="H74" s="9" t="s">
        <v>228</v>
      </c>
      <c r="I74" s="9" t="s">
        <v>280</v>
      </c>
      <c r="J74" s="3"/>
      <c r="K74" s="9" t="s">
        <v>236</v>
      </c>
      <c r="L74" s="9" t="s">
        <v>237</v>
      </c>
      <c r="M74" s="3"/>
      <c r="N74" s="9" t="s">
        <v>178</v>
      </c>
      <c r="O74" s="8" t="n">
        <v>6256429.59</v>
      </c>
      <c r="P74" s="8" t="n">
        <f aca="false">IF(N74="S",1,-1)*O74*100</f>
        <v>625642959</v>
      </c>
      <c r="Q74" s="9" t="s">
        <v>281</v>
      </c>
    </row>
    <row r="75" customFormat="false" ht="15" hidden="false" customHeight="true" outlineLevel="0" collapsed="false">
      <c r="A75" s="9" t="s">
        <v>224</v>
      </c>
      <c r="B75" s="9" t="s">
        <v>278</v>
      </c>
      <c r="C75" s="9" t="s">
        <v>279</v>
      </c>
      <c r="D75" s="25" t="n">
        <v>46234</v>
      </c>
      <c r="E75" s="25" t="n">
        <v>46234</v>
      </c>
      <c r="F75" s="9" t="s">
        <v>227</v>
      </c>
      <c r="G75" s="3"/>
      <c r="H75" s="9" t="s">
        <v>228</v>
      </c>
      <c r="I75" s="9" t="s">
        <v>280</v>
      </c>
      <c r="J75" s="3"/>
      <c r="K75" s="9" t="s">
        <v>236</v>
      </c>
      <c r="L75" s="9" t="s">
        <v>237</v>
      </c>
      <c r="M75" s="3"/>
      <c r="N75" s="9" t="s">
        <v>178</v>
      </c>
      <c r="O75" s="8" t="n">
        <v>5363323.68</v>
      </c>
      <c r="P75" s="8" t="n">
        <f aca="false">IF(N75="S",1,-1)*O75*100</f>
        <v>536332368</v>
      </c>
      <c r="Q75" s="9" t="s">
        <v>281</v>
      </c>
    </row>
    <row r="76" customFormat="false" ht="15" hidden="false" customHeight="true" outlineLevel="0" collapsed="false">
      <c r="A76" s="9" t="s">
        <v>224</v>
      </c>
      <c r="B76" s="9" t="s">
        <v>282</v>
      </c>
      <c r="C76" s="9" t="s">
        <v>279</v>
      </c>
      <c r="D76" s="25" t="n">
        <v>46226</v>
      </c>
      <c r="E76" s="25" t="n">
        <v>46226</v>
      </c>
      <c r="F76" s="9" t="s">
        <v>283</v>
      </c>
      <c r="G76" s="9" t="s">
        <v>240</v>
      </c>
      <c r="H76" s="9" t="s">
        <v>252</v>
      </c>
      <c r="I76" s="9" t="s">
        <v>284</v>
      </c>
      <c r="J76" s="3"/>
      <c r="K76" s="9" t="s">
        <v>243</v>
      </c>
      <c r="L76" s="9" t="s">
        <v>244</v>
      </c>
      <c r="M76" s="3" t="s">
        <v>181</v>
      </c>
      <c r="N76" s="9" t="s">
        <v>182</v>
      </c>
      <c r="O76" s="8" t="n">
        <v>9774337.22</v>
      </c>
      <c r="P76" s="8" t="n">
        <f aca="false">IF(N76="S",1,-1)*O76*100</f>
        <v>-977433722</v>
      </c>
      <c r="Q76" s="9" t="s">
        <v>285</v>
      </c>
    </row>
    <row r="77" customFormat="false" ht="15" hidden="false" customHeight="true" outlineLevel="0" collapsed="false">
      <c r="A77" s="9" t="s">
        <v>224</v>
      </c>
      <c r="B77" s="9" t="s">
        <v>282</v>
      </c>
      <c r="C77" s="9" t="s">
        <v>279</v>
      </c>
      <c r="D77" s="25" t="n">
        <v>46226</v>
      </c>
      <c r="E77" s="25" t="n">
        <v>46226</v>
      </c>
      <c r="F77" s="9" t="s">
        <v>283</v>
      </c>
      <c r="G77" s="9" t="s">
        <v>240</v>
      </c>
      <c r="H77" s="9" t="s">
        <v>252</v>
      </c>
      <c r="I77" s="9" t="s">
        <v>284</v>
      </c>
      <c r="J77" s="3"/>
      <c r="K77" s="9" t="s">
        <v>246</v>
      </c>
      <c r="L77" s="9" t="s">
        <v>247</v>
      </c>
      <c r="M77" s="3" t="s">
        <v>235</v>
      </c>
      <c r="N77" s="9" t="s">
        <v>178</v>
      </c>
      <c r="O77" s="8" t="n">
        <v>8885761.17</v>
      </c>
      <c r="P77" s="8" t="n">
        <f aca="false">IF(N77="S",1,-1)*O77*100</f>
        <v>888576117</v>
      </c>
      <c r="Q77" s="9" t="s">
        <v>285</v>
      </c>
    </row>
    <row r="78" customFormat="false" ht="15" hidden="false" customHeight="true" outlineLevel="0" collapsed="false">
      <c r="A78" s="9" t="s">
        <v>224</v>
      </c>
      <c r="B78" s="9" t="s">
        <v>282</v>
      </c>
      <c r="C78" s="9" t="s">
        <v>279</v>
      </c>
      <c r="D78" s="25" t="n">
        <v>46226</v>
      </c>
      <c r="E78" s="25" t="n">
        <v>46226</v>
      </c>
      <c r="F78" s="9" t="s">
        <v>283</v>
      </c>
      <c r="G78" s="9" t="s">
        <v>240</v>
      </c>
      <c r="H78" s="9" t="s">
        <v>252</v>
      </c>
      <c r="I78" s="9" t="s">
        <v>284</v>
      </c>
      <c r="J78" s="3"/>
      <c r="K78" s="9" t="s">
        <v>248</v>
      </c>
      <c r="L78" s="9" t="s">
        <v>249</v>
      </c>
      <c r="M78" s="3" t="s">
        <v>250</v>
      </c>
      <c r="N78" s="9" t="s">
        <v>178</v>
      </c>
      <c r="O78" s="8" t="n">
        <v>888576.05</v>
      </c>
      <c r="P78" s="8" t="n">
        <f aca="false">IF(N78="S",1,-1)*O78*100</f>
        <v>88857605</v>
      </c>
      <c r="Q78" s="3"/>
    </row>
    <row r="79" customFormat="false" ht="15" hidden="false" customHeight="true" outlineLevel="0" collapsed="false">
      <c r="A79" s="9" t="s">
        <v>224</v>
      </c>
      <c r="B79" s="9" t="s">
        <v>286</v>
      </c>
      <c r="C79" s="9" t="s">
        <v>279</v>
      </c>
      <c r="D79" s="25" t="n">
        <v>46233</v>
      </c>
      <c r="E79" s="25" t="n">
        <v>46233</v>
      </c>
      <c r="F79" s="9" t="s">
        <v>268</v>
      </c>
      <c r="G79" s="9" t="s">
        <v>287</v>
      </c>
      <c r="H79" s="9" t="s">
        <v>173</v>
      </c>
      <c r="I79" s="3"/>
      <c r="J79" s="3"/>
      <c r="K79" s="9" t="s">
        <v>175</v>
      </c>
      <c r="L79" s="9" t="s">
        <v>176</v>
      </c>
      <c r="M79" s="3" t="s">
        <v>177</v>
      </c>
      <c r="N79" s="9" t="s">
        <v>182</v>
      </c>
      <c r="O79" s="8" t="n">
        <v>9774337.22</v>
      </c>
      <c r="P79" s="8" t="n">
        <f aca="false">IF(N79="S",1,-1)*O79*100</f>
        <v>-977433722</v>
      </c>
      <c r="Q79" s="9" t="s">
        <v>288</v>
      </c>
    </row>
    <row r="80" customFormat="false" ht="15" hidden="false" customHeight="true" outlineLevel="0" collapsed="false">
      <c r="A80" s="9" t="s">
        <v>224</v>
      </c>
      <c r="B80" s="9" t="s">
        <v>286</v>
      </c>
      <c r="C80" s="9" t="s">
        <v>279</v>
      </c>
      <c r="D80" s="25" t="n">
        <v>46233</v>
      </c>
      <c r="E80" s="25" t="n">
        <v>46233</v>
      </c>
      <c r="F80" s="9" t="s">
        <v>268</v>
      </c>
      <c r="G80" s="9" t="s">
        <v>287</v>
      </c>
      <c r="H80" s="9" t="s">
        <v>173</v>
      </c>
      <c r="I80" s="3"/>
      <c r="J80" s="3"/>
      <c r="K80" s="9" t="s">
        <v>243</v>
      </c>
      <c r="L80" s="9" t="s">
        <v>244</v>
      </c>
      <c r="M80" s="3" t="s">
        <v>181</v>
      </c>
      <c r="N80" s="9" t="s">
        <v>178</v>
      </c>
      <c r="O80" s="8" t="n">
        <v>9774337.22</v>
      </c>
      <c r="P80" s="8" t="n">
        <f aca="false">IF(N80="S",1,-1)*O80*100</f>
        <v>977433722</v>
      </c>
      <c r="Q80" s="3"/>
    </row>
    <row r="81" customFormat="false" ht="15" hidden="false" customHeight="true" outlineLevel="0" collapsed="false">
      <c r="A81" s="9" t="s">
        <v>224</v>
      </c>
      <c r="B81" s="9" t="s">
        <v>289</v>
      </c>
      <c r="C81" s="9" t="s">
        <v>279</v>
      </c>
      <c r="D81" s="25" t="n">
        <v>46233</v>
      </c>
      <c r="E81" s="25" t="n">
        <v>46233</v>
      </c>
      <c r="F81" s="9" t="s">
        <v>185</v>
      </c>
      <c r="G81" s="9" t="s">
        <v>186</v>
      </c>
      <c r="H81" s="9" t="s">
        <v>259</v>
      </c>
      <c r="I81" s="9" t="s">
        <v>290</v>
      </c>
      <c r="J81" s="3"/>
      <c r="K81" s="9" t="s">
        <v>189</v>
      </c>
      <c r="L81" s="9" t="s">
        <v>190</v>
      </c>
      <c r="M81" s="3" t="s">
        <v>177</v>
      </c>
      <c r="N81" s="9" t="s">
        <v>178</v>
      </c>
      <c r="O81" s="8" t="n">
        <v>9774337.22</v>
      </c>
      <c r="P81" s="8" t="n">
        <f aca="false">IF(N81="S",1,-1)*O81*100</f>
        <v>977433722</v>
      </c>
      <c r="Q81" s="9" t="s">
        <v>291</v>
      </c>
    </row>
    <row r="82" customFormat="false" ht="15" hidden="false" customHeight="true" outlineLevel="0" collapsed="false">
      <c r="A82" s="9" t="s">
        <v>224</v>
      </c>
      <c r="B82" s="9" t="s">
        <v>289</v>
      </c>
      <c r="C82" s="9" t="s">
        <v>279</v>
      </c>
      <c r="D82" s="25" t="n">
        <v>46233</v>
      </c>
      <c r="E82" s="25" t="n">
        <v>46233</v>
      </c>
      <c r="F82" s="9" t="s">
        <v>185</v>
      </c>
      <c r="G82" s="9" t="s">
        <v>186</v>
      </c>
      <c r="H82" s="9" t="s">
        <v>259</v>
      </c>
      <c r="I82" s="9" t="s">
        <v>290</v>
      </c>
      <c r="J82" s="3"/>
      <c r="K82" s="9" t="s">
        <v>265</v>
      </c>
      <c r="L82" s="9" t="s">
        <v>266</v>
      </c>
      <c r="M82" s="3" t="s">
        <v>177</v>
      </c>
      <c r="N82" s="9" t="s">
        <v>182</v>
      </c>
      <c r="O82" s="8" t="n">
        <v>9774337.22</v>
      </c>
      <c r="P82" s="8" t="n">
        <f aca="false">IF(N82="S",1,-1)*O82*100</f>
        <v>-977433722</v>
      </c>
      <c r="Q82" s="9" t="s">
        <v>291</v>
      </c>
    </row>
    <row r="83" customFormat="false" ht="15" hidden="false" customHeight="true" outlineLevel="0" collapsed="false">
      <c r="A83" s="9" t="s">
        <v>224</v>
      </c>
      <c r="B83" s="9" t="s">
        <v>292</v>
      </c>
      <c r="C83" s="9" t="s">
        <v>279</v>
      </c>
      <c r="D83" s="25" t="n">
        <v>46233</v>
      </c>
      <c r="E83" s="25" t="n">
        <v>46233</v>
      </c>
      <c r="F83" s="9" t="s">
        <v>185</v>
      </c>
      <c r="G83" s="9" t="s">
        <v>186</v>
      </c>
      <c r="H83" s="9" t="s">
        <v>187</v>
      </c>
      <c r="I83" s="9" t="s">
        <v>293</v>
      </c>
      <c r="J83" s="3"/>
      <c r="K83" s="9" t="s">
        <v>175</v>
      </c>
      <c r="L83" s="9" t="s">
        <v>176</v>
      </c>
      <c r="M83" s="3" t="s">
        <v>177</v>
      </c>
      <c r="N83" s="9" t="s">
        <v>178</v>
      </c>
      <c r="O83" s="8" t="n">
        <v>9774337.22</v>
      </c>
      <c r="P83" s="8" t="n">
        <f aca="false">IF(N83="S",1,-1)*O83*100</f>
        <v>977433722</v>
      </c>
      <c r="Q83" s="9" t="s">
        <v>294</v>
      </c>
    </row>
    <row r="84" customFormat="false" ht="15" hidden="false" customHeight="true" outlineLevel="0" collapsed="false">
      <c r="A84" s="9" t="s">
        <v>224</v>
      </c>
      <c r="B84" s="9" t="s">
        <v>292</v>
      </c>
      <c r="C84" s="9" t="s">
        <v>279</v>
      </c>
      <c r="D84" s="25" t="n">
        <v>46233</v>
      </c>
      <c r="E84" s="25" t="n">
        <v>46233</v>
      </c>
      <c r="F84" s="9" t="s">
        <v>185</v>
      </c>
      <c r="G84" s="9" t="s">
        <v>186</v>
      </c>
      <c r="H84" s="9" t="s">
        <v>187</v>
      </c>
      <c r="I84" s="9" t="s">
        <v>293</v>
      </c>
      <c r="J84" s="3"/>
      <c r="K84" s="9" t="s">
        <v>189</v>
      </c>
      <c r="L84" s="9" t="s">
        <v>190</v>
      </c>
      <c r="M84" s="3" t="s">
        <v>177</v>
      </c>
      <c r="N84" s="9" t="s">
        <v>182</v>
      </c>
      <c r="O84" s="8" t="n">
        <v>9774337.22</v>
      </c>
      <c r="P84" s="8" t="n">
        <f aca="false">IF(N84="S",1,-1)*O84*100</f>
        <v>-977433722</v>
      </c>
      <c r="Q84" s="9" t="s">
        <v>294</v>
      </c>
    </row>
    <row r="85" customFormat="false" ht="15" hidden="false" customHeight="true" outlineLevel="0" collapsed="false">
      <c r="A85" s="9" t="s">
        <v>224</v>
      </c>
      <c r="B85" s="9" t="s">
        <v>295</v>
      </c>
      <c r="C85" s="9" t="s">
        <v>296</v>
      </c>
      <c r="D85" s="25" t="n">
        <v>46286</v>
      </c>
      <c r="E85" s="25" t="n">
        <v>46226</v>
      </c>
      <c r="F85" s="9" t="s">
        <v>239</v>
      </c>
      <c r="G85" s="9" t="s">
        <v>240</v>
      </c>
      <c r="H85" s="9" t="s">
        <v>252</v>
      </c>
      <c r="I85" s="9" t="s">
        <v>284</v>
      </c>
      <c r="J85" s="3"/>
      <c r="K85" s="9" t="s">
        <v>243</v>
      </c>
      <c r="L85" s="9" t="s">
        <v>244</v>
      </c>
      <c r="M85" s="3" t="s">
        <v>181</v>
      </c>
      <c r="N85" s="9" t="s">
        <v>178</v>
      </c>
      <c r="O85" s="8" t="n">
        <v>176.17</v>
      </c>
      <c r="P85" s="8" t="n">
        <f aca="false">IF(N85="S",1,-1)*O85*100</f>
        <v>17617</v>
      </c>
      <c r="Q85" s="9" t="s">
        <v>285</v>
      </c>
    </row>
    <row r="86" customFormat="false" ht="15" hidden="false" customHeight="true" outlineLevel="0" collapsed="false">
      <c r="A86" s="9" t="s">
        <v>224</v>
      </c>
      <c r="B86" s="9" t="s">
        <v>295</v>
      </c>
      <c r="C86" s="9" t="s">
        <v>296</v>
      </c>
      <c r="D86" s="25" t="n">
        <v>46286</v>
      </c>
      <c r="E86" s="25" t="n">
        <v>46226</v>
      </c>
      <c r="F86" s="9" t="s">
        <v>239</v>
      </c>
      <c r="G86" s="9" t="s">
        <v>240</v>
      </c>
      <c r="H86" s="9" t="s">
        <v>252</v>
      </c>
      <c r="I86" s="9" t="s">
        <v>284</v>
      </c>
      <c r="J86" s="3"/>
      <c r="K86" s="9" t="s">
        <v>246</v>
      </c>
      <c r="L86" s="9" t="s">
        <v>247</v>
      </c>
      <c r="M86" s="3" t="s">
        <v>235</v>
      </c>
      <c r="N86" s="9" t="s">
        <v>182</v>
      </c>
      <c r="O86" s="8" t="n">
        <v>160.31</v>
      </c>
      <c r="P86" s="8" t="n">
        <f aca="false">IF(N86="S",1,-1)*O86*100</f>
        <v>-16031</v>
      </c>
      <c r="Q86" s="9" t="s">
        <v>285</v>
      </c>
    </row>
    <row r="87" customFormat="false" ht="15" hidden="false" customHeight="true" outlineLevel="0" collapsed="false">
      <c r="A87" s="9" t="s">
        <v>224</v>
      </c>
      <c r="B87" s="9" t="s">
        <v>295</v>
      </c>
      <c r="C87" s="9" t="s">
        <v>296</v>
      </c>
      <c r="D87" s="25" t="n">
        <v>46286</v>
      </c>
      <c r="E87" s="25" t="n">
        <v>46226</v>
      </c>
      <c r="F87" s="9" t="s">
        <v>239</v>
      </c>
      <c r="G87" s="9" t="s">
        <v>240</v>
      </c>
      <c r="H87" s="9" t="s">
        <v>252</v>
      </c>
      <c r="I87" s="9" t="s">
        <v>284</v>
      </c>
      <c r="J87" s="3"/>
      <c r="K87" s="9" t="s">
        <v>248</v>
      </c>
      <c r="L87" s="9" t="s">
        <v>249</v>
      </c>
      <c r="M87" s="3" t="s">
        <v>250</v>
      </c>
      <c r="N87" s="9" t="s">
        <v>182</v>
      </c>
      <c r="O87" s="8" t="n">
        <v>15.86</v>
      </c>
      <c r="P87" s="8" t="n">
        <f aca="false">IF(N87="S",1,-1)*O87*100</f>
        <v>-1586</v>
      </c>
      <c r="Q87" s="3"/>
    </row>
    <row r="88" customFormat="false" ht="15" hidden="false" customHeight="true" outlineLevel="0" collapsed="false">
      <c r="A88" s="9" t="s">
        <v>297</v>
      </c>
      <c r="B88" s="9" t="s">
        <v>298</v>
      </c>
      <c r="C88" s="9" t="s">
        <v>226</v>
      </c>
      <c r="D88" s="25" t="n">
        <v>46171</v>
      </c>
      <c r="E88" s="25" t="n">
        <v>46171</v>
      </c>
      <c r="F88" s="9" t="s">
        <v>299</v>
      </c>
      <c r="G88" s="9" t="s">
        <v>300</v>
      </c>
      <c r="H88" s="9" t="s">
        <v>275</v>
      </c>
      <c r="I88" s="9" t="s">
        <v>301</v>
      </c>
      <c r="J88" s="3"/>
      <c r="K88" s="9" t="s">
        <v>302</v>
      </c>
      <c r="L88" s="9" t="s">
        <v>303</v>
      </c>
      <c r="M88" s="3" t="s">
        <v>304</v>
      </c>
      <c r="N88" s="9" t="s">
        <v>182</v>
      </c>
      <c r="O88" s="8" t="n">
        <v>60516969.89</v>
      </c>
      <c r="P88" s="8" t="n">
        <f aca="false">IF(N88="S",1,-1)*O88*100</f>
        <v>-6051696989</v>
      </c>
      <c r="Q88" s="3" t="s">
        <v>305</v>
      </c>
    </row>
    <row r="89" customFormat="false" ht="15" hidden="false" customHeight="true" outlineLevel="0" collapsed="false">
      <c r="A89" s="9" t="s">
        <v>297</v>
      </c>
      <c r="B89" s="9" t="s">
        <v>298</v>
      </c>
      <c r="C89" s="9" t="s">
        <v>226</v>
      </c>
      <c r="D89" s="25" t="n">
        <v>46171</v>
      </c>
      <c r="E89" s="25" t="n">
        <v>46171</v>
      </c>
      <c r="F89" s="9" t="s">
        <v>299</v>
      </c>
      <c r="G89" s="9" t="s">
        <v>300</v>
      </c>
      <c r="H89" s="9" t="s">
        <v>275</v>
      </c>
      <c r="I89" s="9" t="s">
        <v>301</v>
      </c>
      <c r="J89" s="3"/>
      <c r="K89" s="9" t="s">
        <v>222</v>
      </c>
      <c r="L89" s="9" t="s">
        <v>223</v>
      </c>
      <c r="M89" s="3" t="s">
        <v>199</v>
      </c>
      <c r="N89" s="9" t="s">
        <v>178</v>
      </c>
      <c r="O89" s="8" t="n">
        <v>55015427.14</v>
      </c>
      <c r="P89" s="8" t="n">
        <f aca="false">IF(N89="S",1,-1)*O89*100</f>
        <v>5501542714</v>
      </c>
      <c r="Q89" s="3" t="s">
        <v>305</v>
      </c>
    </row>
    <row r="90" customFormat="false" ht="15" hidden="false" customHeight="true" outlineLevel="0" collapsed="false">
      <c r="A90" s="9" t="s">
        <v>297</v>
      </c>
      <c r="B90" s="9" t="s">
        <v>298</v>
      </c>
      <c r="C90" s="9" t="s">
        <v>226</v>
      </c>
      <c r="D90" s="25" t="n">
        <v>46171</v>
      </c>
      <c r="E90" s="25" t="n">
        <v>46171</v>
      </c>
      <c r="F90" s="9" t="s">
        <v>299</v>
      </c>
      <c r="G90" s="9" t="s">
        <v>300</v>
      </c>
      <c r="H90" s="9" t="s">
        <v>275</v>
      </c>
      <c r="I90" s="9" t="s">
        <v>301</v>
      </c>
      <c r="J90" s="3"/>
      <c r="K90" s="9" t="s">
        <v>306</v>
      </c>
      <c r="L90" s="9" t="s">
        <v>307</v>
      </c>
      <c r="M90" s="3" t="s">
        <v>250</v>
      </c>
      <c r="N90" s="9" t="s">
        <v>178</v>
      </c>
      <c r="O90" s="8" t="n">
        <v>5501542.75</v>
      </c>
      <c r="P90" s="8" t="n">
        <f aca="false">IF(N90="S",1,-1)*O90*100</f>
        <v>550154275</v>
      </c>
      <c r="Q90" s="3" t="s">
        <v>305</v>
      </c>
    </row>
    <row r="91" customFormat="false" ht="15" hidden="false" customHeight="true" outlineLevel="0" collapsed="false">
      <c r="A91" s="9" t="s">
        <v>297</v>
      </c>
      <c r="B91" s="9" t="s">
        <v>308</v>
      </c>
      <c r="C91" s="9" t="s">
        <v>226</v>
      </c>
      <c r="D91" s="25" t="n">
        <v>46171</v>
      </c>
      <c r="E91" s="25" t="n">
        <v>46171</v>
      </c>
      <c r="F91" s="9" t="s">
        <v>227</v>
      </c>
      <c r="G91" s="3"/>
      <c r="H91" s="9" t="s">
        <v>228</v>
      </c>
      <c r="I91" s="9" t="s">
        <v>229</v>
      </c>
      <c r="J91" s="3"/>
      <c r="K91" s="9" t="s">
        <v>230</v>
      </c>
      <c r="L91" s="9" t="s">
        <v>231</v>
      </c>
      <c r="M91" s="3" t="s">
        <v>232</v>
      </c>
      <c r="N91" s="9" t="s">
        <v>178</v>
      </c>
      <c r="O91" s="8" t="n">
        <v>1377770.76</v>
      </c>
      <c r="P91" s="8" t="n">
        <f aca="false">IF(N91="S",1,-1)*O91*100</f>
        <v>137777076</v>
      </c>
      <c r="Q91" s="9" t="s">
        <v>229</v>
      </c>
    </row>
    <row r="92" customFormat="false" ht="15" hidden="false" customHeight="true" outlineLevel="0" collapsed="false">
      <c r="A92" s="9" t="s">
        <v>297</v>
      </c>
      <c r="B92" s="9" t="s">
        <v>308</v>
      </c>
      <c r="C92" s="9" t="s">
        <v>226</v>
      </c>
      <c r="D92" s="25" t="n">
        <v>46171</v>
      </c>
      <c r="E92" s="25" t="n">
        <v>46171</v>
      </c>
      <c r="F92" s="9" t="s">
        <v>227</v>
      </c>
      <c r="G92" s="3"/>
      <c r="H92" s="9" t="s">
        <v>228</v>
      </c>
      <c r="I92" s="9" t="s">
        <v>229</v>
      </c>
      <c r="J92" s="3"/>
      <c r="K92" s="9" t="s">
        <v>230</v>
      </c>
      <c r="L92" s="9" t="s">
        <v>231</v>
      </c>
      <c r="M92" s="3" t="s">
        <v>232</v>
      </c>
      <c r="N92" s="9" t="s">
        <v>178</v>
      </c>
      <c r="O92" s="8" t="n">
        <v>11393773.02</v>
      </c>
      <c r="P92" s="8" t="n">
        <f aca="false">IF(N92="S",1,-1)*O92*100</f>
        <v>1139377302</v>
      </c>
      <c r="Q92" s="9" t="s">
        <v>229</v>
      </c>
    </row>
    <row r="93" customFormat="false" ht="15" hidden="false" customHeight="true" outlineLevel="0" collapsed="false">
      <c r="A93" s="9" t="s">
        <v>297</v>
      </c>
      <c r="B93" s="9" t="s">
        <v>308</v>
      </c>
      <c r="C93" s="9" t="s">
        <v>226</v>
      </c>
      <c r="D93" s="25" t="n">
        <v>46171</v>
      </c>
      <c r="E93" s="25" t="n">
        <v>46171</v>
      </c>
      <c r="F93" s="9" t="s">
        <v>227</v>
      </c>
      <c r="G93" s="3"/>
      <c r="H93" s="9" t="s">
        <v>228</v>
      </c>
      <c r="I93" s="9" t="s">
        <v>229</v>
      </c>
      <c r="J93" s="3"/>
      <c r="K93" s="9" t="s">
        <v>230</v>
      </c>
      <c r="L93" s="9" t="s">
        <v>231</v>
      </c>
      <c r="M93" s="3" t="s">
        <v>232</v>
      </c>
      <c r="N93" s="9" t="s">
        <v>178</v>
      </c>
      <c r="O93" s="8" t="n">
        <v>11809626.18</v>
      </c>
      <c r="P93" s="8" t="n">
        <f aca="false">IF(N93="S",1,-1)*O93*100</f>
        <v>1180962618</v>
      </c>
      <c r="Q93" s="9" t="s">
        <v>229</v>
      </c>
    </row>
    <row r="94" customFormat="false" ht="15" hidden="false" customHeight="true" outlineLevel="0" collapsed="false">
      <c r="A94" s="9" t="s">
        <v>297</v>
      </c>
      <c r="B94" s="9" t="s">
        <v>308</v>
      </c>
      <c r="C94" s="9" t="s">
        <v>226</v>
      </c>
      <c r="D94" s="25" t="n">
        <v>46171</v>
      </c>
      <c r="E94" s="25" t="n">
        <v>46171</v>
      </c>
      <c r="F94" s="9" t="s">
        <v>227</v>
      </c>
      <c r="G94" s="3"/>
      <c r="H94" s="9" t="s">
        <v>228</v>
      </c>
      <c r="I94" s="9" t="s">
        <v>229</v>
      </c>
      <c r="J94" s="3"/>
      <c r="K94" s="9" t="s">
        <v>230</v>
      </c>
      <c r="L94" s="9" t="s">
        <v>231</v>
      </c>
      <c r="M94" s="3" t="s">
        <v>232</v>
      </c>
      <c r="N94" s="9" t="s">
        <v>178</v>
      </c>
      <c r="O94" s="8" t="n">
        <v>23115268.71</v>
      </c>
      <c r="P94" s="8" t="n">
        <f aca="false">IF(N94="S",1,-1)*O94*100</f>
        <v>2311526871</v>
      </c>
      <c r="Q94" s="9" t="s">
        <v>229</v>
      </c>
    </row>
    <row r="95" customFormat="false" ht="15" hidden="false" customHeight="true" outlineLevel="0" collapsed="false">
      <c r="A95" s="9" t="s">
        <v>297</v>
      </c>
      <c r="B95" s="9" t="s">
        <v>308</v>
      </c>
      <c r="C95" s="9" t="s">
        <v>226</v>
      </c>
      <c r="D95" s="25" t="n">
        <v>46171</v>
      </c>
      <c r="E95" s="25" t="n">
        <v>46171</v>
      </c>
      <c r="F95" s="9" t="s">
        <v>227</v>
      </c>
      <c r="G95" s="3"/>
      <c r="H95" s="9" t="s">
        <v>228</v>
      </c>
      <c r="I95" s="9" t="s">
        <v>229</v>
      </c>
      <c r="J95" s="3"/>
      <c r="K95" s="9" t="s">
        <v>309</v>
      </c>
      <c r="L95" s="9" t="s">
        <v>310</v>
      </c>
      <c r="M95" s="3" t="s">
        <v>199</v>
      </c>
      <c r="N95" s="9" t="s">
        <v>182</v>
      </c>
      <c r="O95" s="8" t="n">
        <v>1377770.76</v>
      </c>
      <c r="P95" s="8" t="n">
        <f aca="false">IF(N95="S",1,-1)*O95*100</f>
        <v>-137777076</v>
      </c>
      <c r="Q95" s="9" t="s">
        <v>229</v>
      </c>
    </row>
    <row r="96" customFormat="false" ht="15" hidden="false" customHeight="true" outlineLevel="0" collapsed="false">
      <c r="A96" s="9" t="s">
        <v>297</v>
      </c>
      <c r="B96" s="9" t="s">
        <v>308</v>
      </c>
      <c r="C96" s="9" t="s">
        <v>226</v>
      </c>
      <c r="D96" s="25" t="n">
        <v>46171</v>
      </c>
      <c r="E96" s="25" t="n">
        <v>46171</v>
      </c>
      <c r="F96" s="9" t="s">
        <v>227</v>
      </c>
      <c r="G96" s="3"/>
      <c r="H96" s="9" t="s">
        <v>228</v>
      </c>
      <c r="I96" s="9" t="s">
        <v>229</v>
      </c>
      <c r="J96" s="3"/>
      <c r="K96" s="9" t="s">
        <v>309</v>
      </c>
      <c r="L96" s="9" t="s">
        <v>310</v>
      </c>
      <c r="M96" s="3" t="s">
        <v>199</v>
      </c>
      <c r="N96" s="9" t="s">
        <v>182</v>
      </c>
      <c r="O96" s="8" t="n">
        <v>11393773.02</v>
      </c>
      <c r="P96" s="8" t="n">
        <f aca="false">IF(N96="S",1,-1)*O96*100</f>
        <v>-1139377302</v>
      </c>
      <c r="Q96" s="9" t="s">
        <v>229</v>
      </c>
    </row>
    <row r="97" customFormat="false" ht="15" hidden="false" customHeight="true" outlineLevel="0" collapsed="false">
      <c r="A97" s="9" t="s">
        <v>297</v>
      </c>
      <c r="B97" s="9" t="s">
        <v>308</v>
      </c>
      <c r="C97" s="9" t="s">
        <v>226</v>
      </c>
      <c r="D97" s="25" t="n">
        <v>46171</v>
      </c>
      <c r="E97" s="25" t="n">
        <v>46171</v>
      </c>
      <c r="F97" s="9" t="s">
        <v>227</v>
      </c>
      <c r="G97" s="3"/>
      <c r="H97" s="9" t="s">
        <v>228</v>
      </c>
      <c r="I97" s="9" t="s">
        <v>229</v>
      </c>
      <c r="J97" s="3"/>
      <c r="K97" s="9" t="s">
        <v>309</v>
      </c>
      <c r="L97" s="9" t="s">
        <v>310</v>
      </c>
      <c r="M97" s="3" t="s">
        <v>199</v>
      </c>
      <c r="N97" s="9" t="s">
        <v>182</v>
      </c>
      <c r="O97" s="8" t="n">
        <v>11809626.18</v>
      </c>
      <c r="P97" s="8" t="n">
        <f aca="false">IF(N97="S",1,-1)*O97*100</f>
        <v>-1180962618</v>
      </c>
      <c r="Q97" s="9" t="s">
        <v>229</v>
      </c>
    </row>
    <row r="98" customFormat="false" ht="15" hidden="false" customHeight="true" outlineLevel="0" collapsed="false">
      <c r="A98" s="9" t="s">
        <v>297</v>
      </c>
      <c r="B98" s="9" t="s">
        <v>308</v>
      </c>
      <c r="C98" s="9" t="s">
        <v>226</v>
      </c>
      <c r="D98" s="25" t="n">
        <v>46171</v>
      </c>
      <c r="E98" s="25" t="n">
        <v>46171</v>
      </c>
      <c r="F98" s="9" t="s">
        <v>227</v>
      </c>
      <c r="G98" s="3"/>
      <c r="H98" s="9" t="s">
        <v>228</v>
      </c>
      <c r="I98" s="9" t="s">
        <v>229</v>
      </c>
      <c r="J98" s="3"/>
      <c r="K98" s="9" t="s">
        <v>309</v>
      </c>
      <c r="L98" s="9" t="s">
        <v>310</v>
      </c>
      <c r="M98" s="3" t="s">
        <v>199</v>
      </c>
      <c r="N98" s="9" t="s">
        <v>182</v>
      </c>
      <c r="O98" s="8" t="n">
        <v>23115268.71</v>
      </c>
      <c r="P98" s="8" t="n">
        <f aca="false">IF(N98="S",1,-1)*O98*100</f>
        <v>-2311526871</v>
      </c>
      <c r="Q98" s="9" t="s">
        <v>229</v>
      </c>
    </row>
    <row r="99" customFormat="false" ht="15" hidden="false" customHeight="true" outlineLevel="0" collapsed="false">
      <c r="A99" s="9" t="s">
        <v>297</v>
      </c>
      <c r="B99" s="9" t="s">
        <v>308</v>
      </c>
      <c r="C99" s="9" t="s">
        <v>226</v>
      </c>
      <c r="D99" s="25" t="n">
        <v>46171</v>
      </c>
      <c r="E99" s="25" t="n">
        <v>46171</v>
      </c>
      <c r="F99" s="9" t="s">
        <v>227</v>
      </c>
      <c r="G99" s="3"/>
      <c r="H99" s="9" t="s">
        <v>228</v>
      </c>
      <c r="I99" s="9" t="s">
        <v>229</v>
      </c>
      <c r="J99" s="3"/>
      <c r="K99" s="9" t="s">
        <v>311</v>
      </c>
      <c r="L99" s="9" t="s">
        <v>312</v>
      </c>
      <c r="M99" s="3" t="s">
        <v>199</v>
      </c>
      <c r="N99" s="9" t="s">
        <v>182</v>
      </c>
      <c r="O99" s="8" t="n">
        <v>223153.2</v>
      </c>
      <c r="P99" s="8" t="n">
        <f aca="false">IF(N99="S",1,-1)*O99*100</f>
        <v>-22315320</v>
      </c>
      <c r="Q99" s="9" t="s">
        <v>229</v>
      </c>
    </row>
    <row r="100" customFormat="false" ht="15" hidden="false" customHeight="true" outlineLevel="0" collapsed="false">
      <c r="A100" s="9" t="s">
        <v>297</v>
      </c>
      <c r="B100" s="9" t="s">
        <v>308</v>
      </c>
      <c r="C100" s="9" t="s">
        <v>226</v>
      </c>
      <c r="D100" s="25" t="n">
        <v>46171</v>
      </c>
      <c r="E100" s="25" t="n">
        <v>46171</v>
      </c>
      <c r="F100" s="9" t="s">
        <v>227</v>
      </c>
      <c r="G100" s="3"/>
      <c r="H100" s="9" t="s">
        <v>228</v>
      </c>
      <c r="I100" s="9" t="s">
        <v>229</v>
      </c>
      <c r="J100" s="3"/>
      <c r="K100" s="9" t="s">
        <v>311</v>
      </c>
      <c r="L100" s="9" t="s">
        <v>312</v>
      </c>
      <c r="M100" s="3" t="s">
        <v>199</v>
      </c>
      <c r="N100" s="9" t="s">
        <v>182</v>
      </c>
      <c r="O100" s="8" t="n">
        <v>1845413.61</v>
      </c>
      <c r="P100" s="8" t="n">
        <f aca="false">IF(N100="S",1,-1)*O100*100</f>
        <v>-184541361</v>
      </c>
      <c r="Q100" s="9" t="s">
        <v>229</v>
      </c>
    </row>
    <row r="101" customFormat="false" ht="15" hidden="false" customHeight="true" outlineLevel="0" collapsed="false">
      <c r="A101" s="9" t="s">
        <v>297</v>
      </c>
      <c r="B101" s="9" t="s">
        <v>308</v>
      </c>
      <c r="C101" s="9" t="s">
        <v>226</v>
      </c>
      <c r="D101" s="25" t="n">
        <v>46171</v>
      </c>
      <c r="E101" s="25" t="n">
        <v>46171</v>
      </c>
      <c r="F101" s="9" t="s">
        <v>227</v>
      </c>
      <c r="G101" s="3"/>
      <c r="H101" s="9" t="s">
        <v>228</v>
      </c>
      <c r="I101" s="9" t="s">
        <v>229</v>
      </c>
      <c r="J101" s="3"/>
      <c r="K101" s="9" t="s">
        <v>311</v>
      </c>
      <c r="L101" s="9" t="s">
        <v>312</v>
      </c>
      <c r="M101" s="3" t="s">
        <v>199</v>
      </c>
      <c r="N101" s="9" t="s">
        <v>182</v>
      </c>
      <c r="O101" s="8" t="n">
        <v>1775395.96</v>
      </c>
      <c r="P101" s="8" t="n">
        <f aca="false">IF(N101="S",1,-1)*O101*100</f>
        <v>-177539596</v>
      </c>
      <c r="Q101" s="9" t="s">
        <v>229</v>
      </c>
    </row>
    <row r="102" customFormat="false" ht="15" hidden="false" customHeight="true" outlineLevel="0" collapsed="false">
      <c r="A102" s="9" t="s">
        <v>297</v>
      </c>
      <c r="B102" s="9" t="s">
        <v>308</v>
      </c>
      <c r="C102" s="9" t="s">
        <v>226</v>
      </c>
      <c r="D102" s="25" t="n">
        <v>46171</v>
      </c>
      <c r="E102" s="25" t="n">
        <v>46171</v>
      </c>
      <c r="F102" s="9" t="s">
        <v>227</v>
      </c>
      <c r="G102" s="3"/>
      <c r="H102" s="9" t="s">
        <v>228</v>
      </c>
      <c r="I102" s="9" t="s">
        <v>229</v>
      </c>
      <c r="J102" s="3"/>
      <c r="K102" s="9" t="s">
        <v>311</v>
      </c>
      <c r="L102" s="9" t="s">
        <v>312</v>
      </c>
      <c r="M102" s="3" t="s">
        <v>199</v>
      </c>
      <c r="N102" s="9" t="s">
        <v>182</v>
      </c>
      <c r="O102" s="8" t="n">
        <v>3475025.71</v>
      </c>
      <c r="P102" s="8" t="n">
        <f aca="false">IF(N102="S",1,-1)*O102*100</f>
        <v>-347502571</v>
      </c>
      <c r="Q102" s="9" t="s">
        <v>229</v>
      </c>
    </row>
    <row r="103" customFormat="false" ht="15" hidden="false" customHeight="true" outlineLevel="0" collapsed="false">
      <c r="A103" s="9" t="s">
        <v>297</v>
      </c>
      <c r="B103" s="9" t="s">
        <v>308</v>
      </c>
      <c r="C103" s="9" t="s">
        <v>226</v>
      </c>
      <c r="D103" s="25" t="n">
        <v>46171</v>
      </c>
      <c r="E103" s="25" t="n">
        <v>46171</v>
      </c>
      <c r="F103" s="9" t="s">
        <v>227</v>
      </c>
      <c r="G103" s="3"/>
      <c r="H103" s="9" t="s">
        <v>228</v>
      </c>
      <c r="I103" s="9" t="s">
        <v>229</v>
      </c>
      <c r="J103" s="3"/>
      <c r="K103" s="9" t="s">
        <v>313</v>
      </c>
      <c r="L103" s="9" t="s">
        <v>314</v>
      </c>
      <c r="M103" s="3" t="s">
        <v>232</v>
      </c>
      <c r="N103" s="9" t="s">
        <v>178</v>
      </c>
      <c r="O103" s="8" t="n">
        <v>223153.2</v>
      </c>
      <c r="P103" s="8" t="n">
        <f aca="false">IF(N103="S",1,-1)*O103*100</f>
        <v>22315320</v>
      </c>
      <c r="Q103" s="9" t="s">
        <v>229</v>
      </c>
    </row>
    <row r="104" customFormat="false" ht="15" hidden="false" customHeight="true" outlineLevel="0" collapsed="false">
      <c r="A104" s="9" t="s">
        <v>297</v>
      </c>
      <c r="B104" s="9" t="s">
        <v>308</v>
      </c>
      <c r="C104" s="9" t="s">
        <v>226</v>
      </c>
      <c r="D104" s="25" t="n">
        <v>46171</v>
      </c>
      <c r="E104" s="25" t="n">
        <v>46171</v>
      </c>
      <c r="F104" s="9" t="s">
        <v>227</v>
      </c>
      <c r="G104" s="3"/>
      <c r="H104" s="9" t="s">
        <v>228</v>
      </c>
      <c r="I104" s="9" t="s">
        <v>229</v>
      </c>
      <c r="J104" s="3"/>
      <c r="K104" s="9" t="s">
        <v>313</v>
      </c>
      <c r="L104" s="9" t="s">
        <v>314</v>
      </c>
      <c r="M104" s="3" t="s">
        <v>232</v>
      </c>
      <c r="N104" s="9" t="s">
        <v>178</v>
      </c>
      <c r="O104" s="8" t="n">
        <v>1845413.61</v>
      </c>
      <c r="P104" s="8" t="n">
        <f aca="false">IF(N104="S",1,-1)*O104*100</f>
        <v>184541361</v>
      </c>
      <c r="Q104" s="9" t="s">
        <v>229</v>
      </c>
    </row>
    <row r="105" customFormat="false" ht="15" hidden="false" customHeight="true" outlineLevel="0" collapsed="false">
      <c r="A105" s="9" t="s">
        <v>297</v>
      </c>
      <c r="B105" s="9" t="s">
        <v>308</v>
      </c>
      <c r="C105" s="9" t="s">
        <v>226</v>
      </c>
      <c r="D105" s="25" t="n">
        <v>46171</v>
      </c>
      <c r="E105" s="25" t="n">
        <v>46171</v>
      </c>
      <c r="F105" s="9" t="s">
        <v>227</v>
      </c>
      <c r="G105" s="3"/>
      <c r="H105" s="9" t="s">
        <v>228</v>
      </c>
      <c r="I105" s="9" t="s">
        <v>229</v>
      </c>
      <c r="J105" s="3"/>
      <c r="K105" s="9" t="s">
        <v>313</v>
      </c>
      <c r="L105" s="9" t="s">
        <v>314</v>
      </c>
      <c r="M105" s="3" t="s">
        <v>232</v>
      </c>
      <c r="N105" s="9" t="s">
        <v>178</v>
      </c>
      <c r="O105" s="8" t="n">
        <v>1775395.96</v>
      </c>
      <c r="P105" s="8" t="n">
        <f aca="false">IF(N105="S",1,-1)*O105*100</f>
        <v>177539596</v>
      </c>
      <c r="Q105" s="9" t="s">
        <v>229</v>
      </c>
    </row>
    <row r="106" customFormat="false" ht="15" hidden="false" customHeight="true" outlineLevel="0" collapsed="false">
      <c r="A106" s="9" t="s">
        <v>297</v>
      </c>
      <c r="B106" s="9" t="s">
        <v>308</v>
      </c>
      <c r="C106" s="9" t="s">
        <v>226</v>
      </c>
      <c r="D106" s="25" t="n">
        <v>46171</v>
      </c>
      <c r="E106" s="25" t="n">
        <v>46171</v>
      </c>
      <c r="F106" s="9" t="s">
        <v>227</v>
      </c>
      <c r="G106" s="3"/>
      <c r="H106" s="9" t="s">
        <v>228</v>
      </c>
      <c r="I106" s="9" t="s">
        <v>229</v>
      </c>
      <c r="J106" s="3"/>
      <c r="K106" s="9" t="s">
        <v>313</v>
      </c>
      <c r="L106" s="9" t="s">
        <v>314</v>
      </c>
      <c r="M106" s="3" t="s">
        <v>232</v>
      </c>
      <c r="N106" s="9" t="s">
        <v>178</v>
      </c>
      <c r="O106" s="8" t="n">
        <v>3475025.71</v>
      </c>
      <c r="P106" s="8" t="n">
        <f aca="false">IF(N106="S",1,-1)*O106*100</f>
        <v>347502571</v>
      </c>
      <c r="Q106" s="9" t="s">
        <v>229</v>
      </c>
    </row>
    <row r="107" customFormat="false" ht="15" hidden="false" customHeight="true" outlineLevel="0" collapsed="false">
      <c r="A107" s="9" t="s">
        <v>297</v>
      </c>
      <c r="B107" s="9" t="s">
        <v>308</v>
      </c>
      <c r="C107" s="9" t="s">
        <v>226</v>
      </c>
      <c r="D107" s="25" t="n">
        <v>46171</v>
      </c>
      <c r="E107" s="25" t="n">
        <v>46171</v>
      </c>
      <c r="F107" s="9" t="s">
        <v>227</v>
      </c>
      <c r="G107" s="3"/>
      <c r="H107" s="9" t="s">
        <v>228</v>
      </c>
      <c r="I107" s="9" t="s">
        <v>229</v>
      </c>
      <c r="J107" s="3"/>
      <c r="K107" s="9" t="s">
        <v>222</v>
      </c>
      <c r="L107" s="9" t="s">
        <v>223</v>
      </c>
      <c r="M107" s="3" t="s">
        <v>199</v>
      </c>
      <c r="N107" s="9" t="s">
        <v>182</v>
      </c>
      <c r="O107" s="8" t="n">
        <v>55015427.14</v>
      </c>
      <c r="P107" s="8" t="n">
        <f aca="false">IF(N107="S",1,-1)*O107*100</f>
        <v>-5501542714</v>
      </c>
      <c r="Q107" s="9" t="s">
        <v>315</v>
      </c>
    </row>
    <row r="108" customFormat="false" ht="15" hidden="false" customHeight="true" outlineLevel="0" collapsed="false">
      <c r="A108" s="9" t="s">
        <v>297</v>
      </c>
      <c r="B108" s="9" t="s">
        <v>308</v>
      </c>
      <c r="C108" s="9" t="s">
        <v>226</v>
      </c>
      <c r="D108" s="25" t="n">
        <v>46171</v>
      </c>
      <c r="E108" s="25" t="n">
        <v>46171</v>
      </c>
      <c r="F108" s="9" t="s">
        <v>227</v>
      </c>
      <c r="G108" s="3"/>
      <c r="H108" s="9" t="s">
        <v>228</v>
      </c>
      <c r="I108" s="9" t="s">
        <v>229</v>
      </c>
      <c r="J108" s="3"/>
      <c r="K108" s="9" t="s">
        <v>309</v>
      </c>
      <c r="L108" s="9" t="s">
        <v>310</v>
      </c>
      <c r="M108" s="3" t="s">
        <v>199</v>
      </c>
      <c r="N108" s="9" t="s">
        <v>178</v>
      </c>
      <c r="O108" s="8" t="n">
        <v>1600923.96</v>
      </c>
      <c r="P108" s="8" t="n">
        <f aca="false">IF(N108="S",1,-1)*O108*100</f>
        <v>160092396</v>
      </c>
      <c r="Q108" s="9" t="s">
        <v>315</v>
      </c>
    </row>
    <row r="109" customFormat="false" ht="15" hidden="false" customHeight="true" outlineLevel="0" collapsed="false">
      <c r="A109" s="9" t="s">
        <v>297</v>
      </c>
      <c r="B109" s="9" t="s">
        <v>308</v>
      </c>
      <c r="C109" s="9" t="s">
        <v>226</v>
      </c>
      <c r="D109" s="25" t="n">
        <v>46171</v>
      </c>
      <c r="E109" s="25" t="n">
        <v>46171</v>
      </c>
      <c r="F109" s="9" t="s">
        <v>227</v>
      </c>
      <c r="G109" s="3"/>
      <c r="H109" s="9" t="s">
        <v>228</v>
      </c>
      <c r="I109" s="9" t="s">
        <v>229</v>
      </c>
      <c r="J109" s="3"/>
      <c r="K109" s="9" t="s">
        <v>309</v>
      </c>
      <c r="L109" s="9" t="s">
        <v>310</v>
      </c>
      <c r="M109" s="3" t="s">
        <v>199</v>
      </c>
      <c r="N109" s="9" t="s">
        <v>178</v>
      </c>
      <c r="O109" s="8" t="n">
        <v>13239186.63</v>
      </c>
      <c r="P109" s="8" t="n">
        <f aca="false">IF(N109="S",1,-1)*O109*100</f>
        <v>1323918663</v>
      </c>
      <c r="Q109" s="9" t="s">
        <v>315</v>
      </c>
    </row>
    <row r="110" customFormat="false" ht="15" hidden="false" customHeight="true" outlineLevel="0" collapsed="false">
      <c r="A110" s="9" t="s">
        <v>297</v>
      </c>
      <c r="B110" s="9" t="s">
        <v>308</v>
      </c>
      <c r="C110" s="9" t="s">
        <v>226</v>
      </c>
      <c r="D110" s="25" t="n">
        <v>46171</v>
      </c>
      <c r="E110" s="25" t="n">
        <v>46171</v>
      </c>
      <c r="F110" s="9" t="s">
        <v>227</v>
      </c>
      <c r="G110" s="3"/>
      <c r="H110" s="9" t="s">
        <v>228</v>
      </c>
      <c r="I110" s="9" t="s">
        <v>229</v>
      </c>
      <c r="J110" s="3"/>
      <c r="K110" s="9" t="s">
        <v>309</v>
      </c>
      <c r="L110" s="9" t="s">
        <v>310</v>
      </c>
      <c r="M110" s="3" t="s">
        <v>199</v>
      </c>
      <c r="N110" s="9" t="s">
        <v>178</v>
      </c>
      <c r="O110" s="8" t="n">
        <v>13585022.14</v>
      </c>
      <c r="P110" s="8" t="n">
        <f aca="false">IF(N110="S",1,-1)*O110*100</f>
        <v>1358502214</v>
      </c>
      <c r="Q110" s="9" t="s">
        <v>315</v>
      </c>
    </row>
    <row r="111" customFormat="false" ht="15" hidden="false" customHeight="true" outlineLevel="0" collapsed="false">
      <c r="A111" s="9" t="s">
        <v>297</v>
      </c>
      <c r="B111" s="9" t="s">
        <v>308</v>
      </c>
      <c r="C111" s="9" t="s">
        <v>226</v>
      </c>
      <c r="D111" s="25" t="n">
        <v>46171</v>
      </c>
      <c r="E111" s="25" t="n">
        <v>46171</v>
      </c>
      <c r="F111" s="9" t="s">
        <v>227</v>
      </c>
      <c r="G111" s="3"/>
      <c r="H111" s="9" t="s">
        <v>228</v>
      </c>
      <c r="I111" s="9" t="s">
        <v>229</v>
      </c>
      <c r="J111" s="3"/>
      <c r="K111" s="9" t="s">
        <v>309</v>
      </c>
      <c r="L111" s="9" t="s">
        <v>310</v>
      </c>
      <c r="M111" s="3" t="s">
        <v>199</v>
      </c>
      <c r="N111" s="9" t="s">
        <v>178</v>
      </c>
      <c r="O111" s="8" t="n">
        <v>26590294.41</v>
      </c>
      <c r="P111" s="8" t="n">
        <f aca="false">IF(N111="S",1,-1)*O111*100</f>
        <v>2659029441</v>
      </c>
      <c r="Q111" s="9" t="s">
        <v>315</v>
      </c>
    </row>
    <row r="112" customFormat="false" ht="15" hidden="false" customHeight="true" outlineLevel="0" collapsed="false">
      <c r="A112" s="9" t="s">
        <v>297</v>
      </c>
      <c r="B112" s="9" t="s">
        <v>316</v>
      </c>
      <c r="C112" s="9" t="s">
        <v>226</v>
      </c>
      <c r="D112" s="25" t="n">
        <v>46171</v>
      </c>
      <c r="E112" s="25" t="n">
        <v>46171</v>
      </c>
      <c r="F112" s="9" t="s">
        <v>274</v>
      </c>
      <c r="G112" s="3"/>
      <c r="H112" s="9" t="s">
        <v>275</v>
      </c>
      <c r="I112" s="9" t="s">
        <v>229</v>
      </c>
      <c r="J112" s="9" t="s">
        <v>317</v>
      </c>
      <c r="K112" s="9" t="s">
        <v>318</v>
      </c>
      <c r="L112" s="9" t="s">
        <v>303</v>
      </c>
      <c r="M112" s="3" t="s">
        <v>319</v>
      </c>
      <c r="N112" s="9" t="s">
        <v>178</v>
      </c>
      <c r="O112" s="8" t="n">
        <v>60516969.89</v>
      </c>
      <c r="P112" s="8" t="n">
        <f aca="false">IF(N112="S",1,-1)*O112*100</f>
        <v>6051696989</v>
      </c>
      <c r="Q112" s="9" t="s">
        <v>320</v>
      </c>
    </row>
    <row r="113" customFormat="false" ht="15" hidden="false" customHeight="true" outlineLevel="0" collapsed="false">
      <c r="A113" s="9" t="s">
        <v>297</v>
      </c>
      <c r="B113" s="9" t="s">
        <v>316</v>
      </c>
      <c r="C113" s="9" t="s">
        <v>226</v>
      </c>
      <c r="D113" s="25" t="n">
        <v>46171</v>
      </c>
      <c r="E113" s="25" t="n">
        <v>46171</v>
      </c>
      <c r="F113" s="9" t="s">
        <v>274</v>
      </c>
      <c r="G113" s="3"/>
      <c r="H113" s="9" t="s">
        <v>275</v>
      </c>
      <c r="I113" s="9" t="s">
        <v>229</v>
      </c>
      <c r="J113" s="9" t="s">
        <v>317</v>
      </c>
      <c r="K113" s="9" t="s">
        <v>321</v>
      </c>
      <c r="L113" s="9" t="s">
        <v>322</v>
      </c>
      <c r="M113" s="3" t="s">
        <v>323</v>
      </c>
      <c r="N113" s="9" t="s">
        <v>182</v>
      </c>
      <c r="O113" s="8" t="n">
        <v>60516969.89</v>
      </c>
      <c r="P113" s="8" t="n">
        <f aca="false">IF(N113="S",1,-1)*O113*100</f>
        <v>-6051696989</v>
      </c>
      <c r="Q113" s="9" t="s">
        <v>320</v>
      </c>
    </row>
    <row r="114" customFormat="false" ht="15" hidden="false" customHeight="true" outlineLevel="0" collapsed="false">
      <c r="A114" s="9" t="s">
        <v>297</v>
      </c>
      <c r="B114" s="9" t="s">
        <v>317</v>
      </c>
      <c r="C114" s="9" t="s">
        <v>324</v>
      </c>
      <c r="D114" s="25" t="n">
        <v>46238</v>
      </c>
      <c r="E114" s="25" t="n">
        <v>46171</v>
      </c>
      <c r="F114" s="9" t="s">
        <v>274</v>
      </c>
      <c r="G114" s="3"/>
      <c r="H114" s="9" t="s">
        <v>204</v>
      </c>
      <c r="I114" s="9" t="s">
        <v>229</v>
      </c>
      <c r="J114" s="9" t="s">
        <v>316</v>
      </c>
      <c r="K114" s="9" t="s">
        <v>318</v>
      </c>
      <c r="L114" s="9" t="s">
        <v>303</v>
      </c>
      <c r="M114" s="3" t="s">
        <v>319</v>
      </c>
      <c r="N114" s="9" t="s">
        <v>182</v>
      </c>
      <c r="O114" s="8" t="n">
        <v>60516969.89</v>
      </c>
      <c r="P114" s="8" t="n">
        <f aca="false">IF(N114="S",1,-1)*O114*100</f>
        <v>-6051696989</v>
      </c>
      <c r="Q114" s="9" t="s">
        <v>320</v>
      </c>
    </row>
    <row r="115" customFormat="false" ht="15" hidden="false" customHeight="true" outlineLevel="0" collapsed="false">
      <c r="A115" s="9" t="s">
        <v>297</v>
      </c>
      <c r="B115" s="9" t="s">
        <v>317</v>
      </c>
      <c r="C115" s="9" t="s">
        <v>324</v>
      </c>
      <c r="D115" s="25" t="n">
        <v>46238</v>
      </c>
      <c r="E115" s="25" t="n">
        <v>46171</v>
      </c>
      <c r="F115" s="9" t="s">
        <v>274</v>
      </c>
      <c r="G115" s="3"/>
      <c r="H115" s="9" t="s">
        <v>204</v>
      </c>
      <c r="I115" s="9" t="s">
        <v>229</v>
      </c>
      <c r="J115" s="9" t="s">
        <v>316</v>
      </c>
      <c r="K115" s="9" t="s">
        <v>321</v>
      </c>
      <c r="L115" s="9" t="s">
        <v>322</v>
      </c>
      <c r="M115" s="3" t="s">
        <v>323</v>
      </c>
      <c r="N115" s="9" t="s">
        <v>178</v>
      </c>
      <c r="O115" s="8" t="n">
        <v>60516969.89</v>
      </c>
      <c r="P115" s="8" t="n">
        <f aca="false">IF(N115="S",1,-1)*O115*100</f>
        <v>6051696989</v>
      </c>
      <c r="Q115" s="9" t="s">
        <v>320</v>
      </c>
    </row>
    <row r="116" customFormat="false" ht="15" hidden="false" customHeight="true" outlineLevel="0" collapsed="false">
      <c r="A116" s="9" t="s">
        <v>297</v>
      </c>
      <c r="B116" s="9" t="s">
        <v>325</v>
      </c>
      <c r="C116" s="9" t="s">
        <v>279</v>
      </c>
      <c r="D116" s="25" t="n">
        <v>46227</v>
      </c>
      <c r="E116" s="25" t="n">
        <v>46227</v>
      </c>
      <c r="F116" s="9" t="s">
        <v>326</v>
      </c>
      <c r="G116" s="9" t="s">
        <v>327</v>
      </c>
      <c r="H116" s="9" t="s">
        <v>328</v>
      </c>
      <c r="I116" s="9" t="s">
        <v>329</v>
      </c>
      <c r="J116" s="3"/>
      <c r="K116" s="9" t="s">
        <v>175</v>
      </c>
      <c r="L116" s="9" t="s">
        <v>176</v>
      </c>
      <c r="M116" s="3" t="s">
        <v>177</v>
      </c>
      <c r="N116" s="9" t="s">
        <v>182</v>
      </c>
      <c r="O116" s="8" t="n">
        <v>59030872.14</v>
      </c>
      <c r="P116" s="8" t="n">
        <f aca="false">IF(N116="S",1,-1)*O116*100</f>
        <v>-5903087214</v>
      </c>
      <c r="Q116" s="9" t="s">
        <v>329</v>
      </c>
    </row>
    <row r="117" customFormat="false" ht="15" hidden="false" customHeight="true" outlineLevel="0" collapsed="false">
      <c r="A117" s="9" t="s">
        <v>297</v>
      </c>
      <c r="B117" s="9" t="s">
        <v>325</v>
      </c>
      <c r="C117" s="9" t="s">
        <v>279</v>
      </c>
      <c r="D117" s="25" t="n">
        <v>46227</v>
      </c>
      <c r="E117" s="25" t="n">
        <v>46227</v>
      </c>
      <c r="F117" s="9" t="s">
        <v>326</v>
      </c>
      <c r="G117" s="9" t="s">
        <v>327</v>
      </c>
      <c r="H117" s="9" t="s">
        <v>328</v>
      </c>
      <c r="I117" s="9" t="s">
        <v>329</v>
      </c>
      <c r="J117" s="3"/>
      <c r="K117" s="9" t="s">
        <v>302</v>
      </c>
      <c r="L117" s="9" t="s">
        <v>303</v>
      </c>
      <c r="M117" s="3" t="s">
        <v>304</v>
      </c>
      <c r="N117" s="9" t="s">
        <v>178</v>
      </c>
      <c r="O117" s="8" t="n">
        <v>60516969.89</v>
      </c>
      <c r="P117" s="8" t="n">
        <f aca="false">IF(N117="S",1,-1)*O117*100</f>
        <v>6051696989</v>
      </c>
      <c r="Q117" s="9" t="s">
        <v>329</v>
      </c>
    </row>
    <row r="118" customFormat="false" ht="15" hidden="false" customHeight="true" outlineLevel="0" collapsed="false">
      <c r="A118" s="9" t="s">
        <v>297</v>
      </c>
      <c r="B118" s="9" t="s">
        <v>325</v>
      </c>
      <c r="C118" s="9" t="s">
        <v>279</v>
      </c>
      <c r="D118" s="25" t="n">
        <v>46227</v>
      </c>
      <c r="E118" s="25" t="n">
        <v>46227</v>
      </c>
      <c r="F118" s="9" t="s">
        <v>326</v>
      </c>
      <c r="G118" s="9" t="s">
        <v>327</v>
      </c>
      <c r="H118" s="9" t="s">
        <v>328</v>
      </c>
      <c r="I118" s="9" t="s">
        <v>329</v>
      </c>
      <c r="J118" s="3"/>
      <c r="K118" s="9" t="s">
        <v>330</v>
      </c>
      <c r="L118" s="9" t="s">
        <v>331</v>
      </c>
      <c r="M118" s="3" t="s">
        <v>332</v>
      </c>
      <c r="N118" s="9" t="s">
        <v>182</v>
      </c>
      <c r="O118" s="8" t="n">
        <v>1486097.75</v>
      </c>
      <c r="P118" s="8" t="n">
        <f aca="false">IF(N118="S",1,-1)*O118*100</f>
        <v>-148609775</v>
      </c>
      <c r="Q118" s="3"/>
    </row>
    <row r="119" customFormat="false" ht="15" hidden="false" customHeight="true" outlineLevel="0" collapsed="false">
      <c r="A119" s="9" t="s">
        <v>297</v>
      </c>
      <c r="B119" s="9" t="s">
        <v>333</v>
      </c>
      <c r="C119" s="9" t="s">
        <v>279</v>
      </c>
      <c r="D119" s="25" t="n">
        <v>46234</v>
      </c>
      <c r="E119" s="25" t="n">
        <v>46234</v>
      </c>
      <c r="F119" s="9" t="s">
        <v>227</v>
      </c>
      <c r="G119" s="3"/>
      <c r="H119" s="9" t="s">
        <v>228</v>
      </c>
      <c r="I119" s="9" t="s">
        <v>229</v>
      </c>
      <c r="J119" s="3"/>
      <c r="K119" s="9" t="s">
        <v>230</v>
      </c>
      <c r="L119" s="9" t="s">
        <v>231</v>
      </c>
      <c r="M119" s="3" t="s">
        <v>232</v>
      </c>
      <c r="N119" s="9" t="s">
        <v>182</v>
      </c>
      <c r="O119" s="8" t="n">
        <v>1377770.76</v>
      </c>
      <c r="P119" s="8" t="n">
        <f aca="false">IF(N119="S",1,-1)*O119*100</f>
        <v>-137777076</v>
      </c>
      <c r="Q119" s="9" t="s">
        <v>281</v>
      </c>
    </row>
    <row r="120" customFormat="false" ht="15" hidden="false" customHeight="true" outlineLevel="0" collapsed="false">
      <c r="A120" s="9" t="s">
        <v>297</v>
      </c>
      <c r="B120" s="9" t="s">
        <v>333</v>
      </c>
      <c r="C120" s="9" t="s">
        <v>279</v>
      </c>
      <c r="D120" s="25" t="n">
        <v>46234</v>
      </c>
      <c r="E120" s="25" t="n">
        <v>46234</v>
      </c>
      <c r="F120" s="9" t="s">
        <v>227</v>
      </c>
      <c r="G120" s="3"/>
      <c r="H120" s="9" t="s">
        <v>228</v>
      </c>
      <c r="I120" s="9" t="s">
        <v>229</v>
      </c>
      <c r="J120" s="3"/>
      <c r="K120" s="9" t="s">
        <v>230</v>
      </c>
      <c r="L120" s="9" t="s">
        <v>231</v>
      </c>
      <c r="M120" s="3" t="s">
        <v>232</v>
      </c>
      <c r="N120" s="9" t="s">
        <v>182</v>
      </c>
      <c r="O120" s="8" t="n">
        <v>2230366.02</v>
      </c>
      <c r="P120" s="8" t="n">
        <f aca="false">IF(N120="S",1,-1)*O120*100</f>
        <v>-223036602</v>
      </c>
      <c r="Q120" s="9" t="s">
        <v>281</v>
      </c>
    </row>
    <row r="121" customFormat="false" ht="15" hidden="false" customHeight="true" outlineLevel="0" collapsed="false">
      <c r="A121" s="9" t="s">
        <v>297</v>
      </c>
      <c r="B121" s="9" t="s">
        <v>333</v>
      </c>
      <c r="C121" s="9" t="s">
        <v>279</v>
      </c>
      <c r="D121" s="25" t="n">
        <v>46234</v>
      </c>
      <c r="E121" s="25" t="n">
        <v>46234</v>
      </c>
      <c r="F121" s="9" t="s">
        <v>227</v>
      </c>
      <c r="G121" s="3"/>
      <c r="H121" s="9" t="s">
        <v>228</v>
      </c>
      <c r="I121" s="9" t="s">
        <v>229</v>
      </c>
      <c r="J121" s="3"/>
      <c r="K121" s="9" t="s">
        <v>230</v>
      </c>
      <c r="L121" s="9" t="s">
        <v>231</v>
      </c>
      <c r="M121" s="3" t="s">
        <v>232</v>
      </c>
      <c r="N121" s="9" t="s">
        <v>182</v>
      </c>
      <c r="O121" s="8" t="n">
        <v>6256429.59</v>
      </c>
      <c r="P121" s="8" t="n">
        <f aca="false">IF(N121="S",1,-1)*O121*100</f>
        <v>-625642959</v>
      </c>
      <c r="Q121" s="9" t="s">
        <v>281</v>
      </c>
    </row>
    <row r="122" customFormat="false" ht="15" hidden="false" customHeight="true" outlineLevel="0" collapsed="false">
      <c r="A122" s="9" t="s">
        <v>297</v>
      </c>
      <c r="B122" s="9" t="s">
        <v>333</v>
      </c>
      <c r="C122" s="9" t="s">
        <v>279</v>
      </c>
      <c r="D122" s="25" t="n">
        <v>46234</v>
      </c>
      <c r="E122" s="25" t="n">
        <v>46234</v>
      </c>
      <c r="F122" s="9" t="s">
        <v>227</v>
      </c>
      <c r="G122" s="3"/>
      <c r="H122" s="9" t="s">
        <v>228</v>
      </c>
      <c r="I122" s="9" t="s">
        <v>229</v>
      </c>
      <c r="J122" s="3"/>
      <c r="K122" s="9" t="s">
        <v>230</v>
      </c>
      <c r="L122" s="9" t="s">
        <v>231</v>
      </c>
      <c r="M122" s="3" t="s">
        <v>232</v>
      </c>
      <c r="N122" s="9" t="s">
        <v>182</v>
      </c>
      <c r="O122" s="8" t="n">
        <v>5363323.68</v>
      </c>
      <c r="P122" s="8" t="n">
        <f aca="false">IF(N122="S",1,-1)*O122*100</f>
        <v>-536332368</v>
      </c>
      <c r="Q122" s="9" t="s">
        <v>281</v>
      </c>
    </row>
    <row r="123" customFormat="false" ht="15" hidden="false" customHeight="true" outlineLevel="0" collapsed="false">
      <c r="A123" s="9" t="s">
        <v>297</v>
      </c>
      <c r="B123" s="9" t="s">
        <v>333</v>
      </c>
      <c r="C123" s="9" t="s">
        <v>279</v>
      </c>
      <c r="D123" s="25" t="n">
        <v>46234</v>
      </c>
      <c r="E123" s="25" t="n">
        <v>46234</v>
      </c>
      <c r="F123" s="9" t="s">
        <v>227</v>
      </c>
      <c r="G123" s="3"/>
      <c r="H123" s="9" t="s">
        <v>228</v>
      </c>
      <c r="I123" s="9" t="s">
        <v>229</v>
      </c>
      <c r="J123" s="3"/>
      <c r="K123" s="9" t="s">
        <v>309</v>
      </c>
      <c r="L123" s="9" t="s">
        <v>310</v>
      </c>
      <c r="M123" s="3" t="s">
        <v>199</v>
      </c>
      <c r="N123" s="9" t="s">
        <v>178</v>
      </c>
      <c r="O123" s="8" t="n">
        <v>1377770.76</v>
      </c>
      <c r="P123" s="8" t="n">
        <f aca="false">IF(N123="S",1,-1)*O123*100</f>
        <v>137777076</v>
      </c>
      <c r="Q123" s="9" t="s">
        <v>281</v>
      </c>
    </row>
    <row r="124" customFormat="false" ht="15" hidden="false" customHeight="true" outlineLevel="0" collapsed="false">
      <c r="A124" s="9" t="s">
        <v>297</v>
      </c>
      <c r="B124" s="9" t="s">
        <v>333</v>
      </c>
      <c r="C124" s="9" t="s">
        <v>279</v>
      </c>
      <c r="D124" s="25" t="n">
        <v>46234</v>
      </c>
      <c r="E124" s="25" t="n">
        <v>46234</v>
      </c>
      <c r="F124" s="9" t="s">
        <v>227</v>
      </c>
      <c r="G124" s="3"/>
      <c r="H124" s="9" t="s">
        <v>228</v>
      </c>
      <c r="I124" s="9" t="s">
        <v>229</v>
      </c>
      <c r="J124" s="3"/>
      <c r="K124" s="9" t="s">
        <v>309</v>
      </c>
      <c r="L124" s="9" t="s">
        <v>310</v>
      </c>
      <c r="M124" s="3" t="s">
        <v>199</v>
      </c>
      <c r="N124" s="9" t="s">
        <v>178</v>
      </c>
      <c r="O124" s="8" t="n">
        <v>2230366.02</v>
      </c>
      <c r="P124" s="8" t="n">
        <f aca="false">IF(N124="S",1,-1)*O124*100</f>
        <v>223036602</v>
      </c>
      <c r="Q124" s="9" t="s">
        <v>281</v>
      </c>
    </row>
    <row r="125" customFormat="false" ht="15" hidden="false" customHeight="true" outlineLevel="0" collapsed="false">
      <c r="A125" s="9" t="s">
        <v>297</v>
      </c>
      <c r="B125" s="9" t="s">
        <v>333</v>
      </c>
      <c r="C125" s="9" t="s">
        <v>279</v>
      </c>
      <c r="D125" s="25" t="n">
        <v>46234</v>
      </c>
      <c r="E125" s="25" t="n">
        <v>46234</v>
      </c>
      <c r="F125" s="9" t="s">
        <v>227</v>
      </c>
      <c r="G125" s="3"/>
      <c r="H125" s="9" t="s">
        <v>228</v>
      </c>
      <c r="I125" s="9" t="s">
        <v>229</v>
      </c>
      <c r="J125" s="3"/>
      <c r="K125" s="9" t="s">
        <v>309</v>
      </c>
      <c r="L125" s="9" t="s">
        <v>310</v>
      </c>
      <c r="M125" s="3" t="s">
        <v>199</v>
      </c>
      <c r="N125" s="9" t="s">
        <v>178</v>
      </c>
      <c r="O125" s="8" t="n">
        <v>6256429.59</v>
      </c>
      <c r="P125" s="8" t="n">
        <f aca="false">IF(N125="S",1,-1)*O125*100</f>
        <v>625642959</v>
      </c>
      <c r="Q125" s="9" t="s">
        <v>281</v>
      </c>
    </row>
    <row r="126" customFormat="false" ht="15" hidden="false" customHeight="true" outlineLevel="0" collapsed="false">
      <c r="A126" s="9" t="s">
        <v>297</v>
      </c>
      <c r="B126" s="9" t="s">
        <v>333</v>
      </c>
      <c r="C126" s="9" t="s">
        <v>279</v>
      </c>
      <c r="D126" s="25" t="n">
        <v>46234</v>
      </c>
      <c r="E126" s="25" t="n">
        <v>46234</v>
      </c>
      <c r="F126" s="9" t="s">
        <v>227</v>
      </c>
      <c r="G126" s="3"/>
      <c r="H126" s="9" t="s">
        <v>228</v>
      </c>
      <c r="I126" s="9" t="s">
        <v>229</v>
      </c>
      <c r="J126" s="3"/>
      <c r="K126" s="9" t="s">
        <v>309</v>
      </c>
      <c r="L126" s="9" t="s">
        <v>310</v>
      </c>
      <c r="M126" s="3" t="s">
        <v>199</v>
      </c>
      <c r="N126" s="9" t="s">
        <v>178</v>
      </c>
      <c r="O126" s="8" t="n">
        <v>5363323.68</v>
      </c>
      <c r="P126" s="8" t="n">
        <f aca="false">IF(N126="S",1,-1)*O126*100</f>
        <v>536332368</v>
      </c>
      <c r="Q126" s="9" t="s">
        <v>281</v>
      </c>
    </row>
    <row r="127" customFormat="false" ht="15" hidden="false" customHeight="true" outlineLevel="0" collapsed="false">
      <c r="A127" s="9" t="s">
        <v>297</v>
      </c>
      <c r="B127" s="9" t="s">
        <v>333</v>
      </c>
      <c r="C127" s="9" t="s">
        <v>279</v>
      </c>
      <c r="D127" s="25" t="n">
        <v>46234</v>
      </c>
      <c r="E127" s="25" t="n">
        <v>46234</v>
      </c>
      <c r="F127" s="9" t="s">
        <v>227</v>
      </c>
      <c r="G127" s="3"/>
      <c r="H127" s="9" t="s">
        <v>228</v>
      </c>
      <c r="I127" s="9" t="s">
        <v>229</v>
      </c>
      <c r="J127" s="3"/>
      <c r="K127" s="9" t="s">
        <v>311</v>
      </c>
      <c r="L127" s="9" t="s">
        <v>312</v>
      </c>
      <c r="M127" s="3" t="s">
        <v>199</v>
      </c>
      <c r="N127" s="9" t="s">
        <v>178</v>
      </c>
      <c r="O127" s="8" t="n">
        <v>248024.02</v>
      </c>
      <c r="P127" s="8" t="n">
        <f aca="false">IF(N127="S",1,-1)*O127*100</f>
        <v>24802402</v>
      </c>
      <c r="Q127" s="9" t="s">
        <v>281</v>
      </c>
    </row>
    <row r="128" customFormat="false" ht="15" hidden="false" customHeight="true" outlineLevel="0" collapsed="false">
      <c r="A128" s="9" t="s">
        <v>297</v>
      </c>
      <c r="B128" s="9" t="s">
        <v>333</v>
      </c>
      <c r="C128" s="9" t="s">
        <v>279</v>
      </c>
      <c r="D128" s="25" t="n">
        <v>46234</v>
      </c>
      <c r="E128" s="25" t="n">
        <v>46234</v>
      </c>
      <c r="F128" s="9" t="s">
        <v>227</v>
      </c>
      <c r="G128" s="3"/>
      <c r="H128" s="9" t="s">
        <v>228</v>
      </c>
      <c r="I128" s="9" t="s">
        <v>229</v>
      </c>
      <c r="J128" s="3"/>
      <c r="K128" s="9" t="s">
        <v>311</v>
      </c>
      <c r="L128" s="9" t="s">
        <v>312</v>
      </c>
      <c r="M128" s="3" t="s">
        <v>199</v>
      </c>
      <c r="N128" s="9" t="s">
        <v>178</v>
      </c>
      <c r="O128" s="8" t="n">
        <v>401506.81</v>
      </c>
      <c r="P128" s="8" t="n">
        <f aca="false">IF(N128="S",1,-1)*O128*100</f>
        <v>40150681</v>
      </c>
      <c r="Q128" s="9" t="s">
        <v>281</v>
      </c>
    </row>
    <row r="129" customFormat="false" ht="15" hidden="false" customHeight="true" outlineLevel="0" collapsed="false">
      <c r="A129" s="9" t="s">
        <v>297</v>
      </c>
      <c r="B129" s="9" t="s">
        <v>333</v>
      </c>
      <c r="C129" s="9" t="s">
        <v>279</v>
      </c>
      <c r="D129" s="25" t="n">
        <v>46234</v>
      </c>
      <c r="E129" s="25" t="n">
        <v>46234</v>
      </c>
      <c r="F129" s="9" t="s">
        <v>227</v>
      </c>
      <c r="G129" s="3"/>
      <c r="H129" s="9" t="s">
        <v>228</v>
      </c>
      <c r="I129" s="9" t="s">
        <v>229</v>
      </c>
      <c r="J129" s="3"/>
      <c r="K129" s="9" t="s">
        <v>311</v>
      </c>
      <c r="L129" s="9" t="s">
        <v>312</v>
      </c>
      <c r="M129" s="3" t="s">
        <v>199</v>
      </c>
      <c r="N129" s="9" t="s">
        <v>178</v>
      </c>
      <c r="O129" s="8" t="n">
        <v>1052365.41</v>
      </c>
      <c r="P129" s="8" t="n">
        <f aca="false">IF(N129="S",1,-1)*O129*100</f>
        <v>105236541</v>
      </c>
      <c r="Q129" s="9" t="s">
        <v>281</v>
      </c>
    </row>
    <row r="130" customFormat="false" ht="15" hidden="false" customHeight="true" outlineLevel="0" collapsed="false">
      <c r="A130" s="9" t="s">
        <v>297</v>
      </c>
      <c r="B130" s="9" t="s">
        <v>333</v>
      </c>
      <c r="C130" s="9" t="s">
        <v>279</v>
      </c>
      <c r="D130" s="25" t="n">
        <v>46234</v>
      </c>
      <c r="E130" s="25" t="n">
        <v>46234</v>
      </c>
      <c r="F130" s="9" t="s">
        <v>227</v>
      </c>
      <c r="G130" s="3"/>
      <c r="H130" s="9" t="s">
        <v>228</v>
      </c>
      <c r="I130" s="9" t="s">
        <v>229</v>
      </c>
      <c r="J130" s="3"/>
      <c r="K130" s="9" t="s">
        <v>311</v>
      </c>
      <c r="L130" s="9" t="s">
        <v>312</v>
      </c>
      <c r="M130" s="3" t="s">
        <v>199</v>
      </c>
      <c r="N130" s="9" t="s">
        <v>178</v>
      </c>
      <c r="O130" s="8" t="n">
        <v>902140.15</v>
      </c>
      <c r="P130" s="8" t="n">
        <f aca="false">IF(N130="S",1,-1)*O130*100</f>
        <v>90214015</v>
      </c>
      <c r="Q130" s="9" t="s">
        <v>281</v>
      </c>
    </row>
    <row r="131" customFormat="false" ht="15" hidden="false" customHeight="true" outlineLevel="0" collapsed="false">
      <c r="A131" s="9" t="s">
        <v>297</v>
      </c>
      <c r="B131" s="9" t="s">
        <v>333</v>
      </c>
      <c r="C131" s="9" t="s">
        <v>279</v>
      </c>
      <c r="D131" s="25" t="n">
        <v>46234</v>
      </c>
      <c r="E131" s="25" t="n">
        <v>46234</v>
      </c>
      <c r="F131" s="9" t="s">
        <v>227</v>
      </c>
      <c r="G131" s="3"/>
      <c r="H131" s="9" t="s">
        <v>228</v>
      </c>
      <c r="I131" s="9" t="s">
        <v>229</v>
      </c>
      <c r="J131" s="3"/>
      <c r="K131" s="9" t="s">
        <v>313</v>
      </c>
      <c r="L131" s="9" t="s">
        <v>314</v>
      </c>
      <c r="M131" s="3" t="s">
        <v>232</v>
      </c>
      <c r="N131" s="9" t="s">
        <v>182</v>
      </c>
      <c r="O131" s="8" t="n">
        <v>248024.02</v>
      </c>
      <c r="P131" s="8" t="n">
        <f aca="false">IF(N131="S",1,-1)*O131*100</f>
        <v>-24802402</v>
      </c>
      <c r="Q131" s="9" t="s">
        <v>281</v>
      </c>
    </row>
    <row r="132" customFormat="false" ht="15" hidden="false" customHeight="true" outlineLevel="0" collapsed="false">
      <c r="A132" s="9" t="s">
        <v>297</v>
      </c>
      <c r="B132" s="9" t="s">
        <v>333</v>
      </c>
      <c r="C132" s="9" t="s">
        <v>279</v>
      </c>
      <c r="D132" s="25" t="n">
        <v>46234</v>
      </c>
      <c r="E132" s="25" t="n">
        <v>46234</v>
      </c>
      <c r="F132" s="9" t="s">
        <v>227</v>
      </c>
      <c r="G132" s="3"/>
      <c r="H132" s="9" t="s">
        <v>228</v>
      </c>
      <c r="I132" s="9" t="s">
        <v>229</v>
      </c>
      <c r="J132" s="3"/>
      <c r="K132" s="9" t="s">
        <v>313</v>
      </c>
      <c r="L132" s="9" t="s">
        <v>314</v>
      </c>
      <c r="M132" s="3" t="s">
        <v>232</v>
      </c>
      <c r="N132" s="9" t="s">
        <v>182</v>
      </c>
      <c r="O132" s="8" t="n">
        <v>401506.81</v>
      </c>
      <c r="P132" s="8" t="n">
        <f aca="false">IF(N132="S",1,-1)*O132*100</f>
        <v>-40150681</v>
      </c>
      <c r="Q132" s="9" t="s">
        <v>281</v>
      </c>
    </row>
    <row r="133" customFormat="false" ht="15" hidden="false" customHeight="true" outlineLevel="0" collapsed="false">
      <c r="A133" s="9" t="s">
        <v>297</v>
      </c>
      <c r="B133" s="9" t="s">
        <v>333</v>
      </c>
      <c r="C133" s="9" t="s">
        <v>279</v>
      </c>
      <c r="D133" s="25" t="n">
        <v>46234</v>
      </c>
      <c r="E133" s="25" t="n">
        <v>46234</v>
      </c>
      <c r="F133" s="9" t="s">
        <v>227</v>
      </c>
      <c r="G133" s="3"/>
      <c r="H133" s="9" t="s">
        <v>228</v>
      </c>
      <c r="I133" s="9" t="s">
        <v>229</v>
      </c>
      <c r="J133" s="3"/>
      <c r="K133" s="9" t="s">
        <v>313</v>
      </c>
      <c r="L133" s="9" t="s">
        <v>314</v>
      </c>
      <c r="M133" s="3" t="s">
        <v>232</v>
      </c>
      <c r="N133" s="9" t="s">
        <v>182</v>
      </c>
      <c r="O133" s="8" t="n">
        <v>1052365.41</v>
      </c>
      <c r="P133" s="8" t="n">
        <f aca="false">IF(N133="S",1,-1)*O133*100</f>
        <v>-105236541</v>
      </c>
      <c r="Q133" s="9" t="s">
        <v>281</v>
      </c>
    </row>
    <row r="134" customFormat="false" ht="15" hidden="false" customHeight="true" outlineLevel="0" collapsed="false">
      <c r="A134" s="9" t="s">
        <v>297</v>
      </c>
      <c r="B134" s="9" t="s">
        <v>333</v>
      </c>
      <c r="C134" s="9" t="s">
        <v>279</v>
      </c>
      <c r="D134" s="25" t="n">
        <v>46234</v>
      </c>
      <c r="E134" s="25" t="n">
        <v>46234</v>
      </c>
      <c r="F134" s="9" t="s">
        <v>227</v>
      </c>
      <c r="G134" s="3"/>
      <c r="H134" s="9" t="s">
        <v>228</v>
      </c>
      <c r="I134" s="9" t="s">
        <v>229</v>
      </c>
      <c r="J134" s="3"/>
      <c r="K134" s="9" t="s">
        <v>313</v>
      </c>
      <c r="L134" s="9" t="s">
        <v>314</v>
      </c>
      <c r="M134" s="3" t="s">
        <v>232</v>
      </c>
      <c r="N134" s="9" t="s">
        <v>182</v>
      </c>
      <c r="O134" s="8" t="n">
        <v>902140.15</v>
      </c>
      <c r="P134" s="8" t="n">
        <f aca="false">IF(N134="S",1,-1)*O134*100</f>
        <v>-90214015</v>
      </c>
      <c r="Q134" s="9" t="s">
        <v>281</v>
      </c>
    </row>
    <row r="135" customFormat="false" ht="15" hidden="false" customHeight="true" outlineLevel="0" collapsed="false">
      <c r="A135" s="9" t="s">
        <v>297</v>
      </c>
      <c r="B135" s="9" t="s">
        <v>333</v>
      </c>
      <c r="C135" s="9" t="s">
        <v>279</v>
      </c>
      <c r="D135" s="25" t="n">
        <v>46234</v>
      </c>
      <c r="E135" s="25" t="n">
        <v>46234</v>
      </c>
      <c r="F135" s="9" t="s">
        <v>227</v>
      </c>
      <c r="G135" s="3"/>
      <c r="H135" s="9" t="s">
        <v>228</v>
      </c>
      <c r="I135" s="9" t="s">
        <v>229</v>
      </c>
      <c r="J135" s="3"/>
      <c r="K135" s="9" t="s">
        <v>222</v>
      </c>
      <c r="L135" s="9" t="s">
        <v>223</v>
      </c>
      <c r="M135" s="3" t="s">
        <v>199</v>
      </c>
      <c r="N135" s="9" t="s">
        <v>178</v>
      </c>
      <c r="O135" s="8" t="n">
        <v>17831926.44</v>
      </c>
      <c r="P135" s="8" t="n">
        <f aca="false">IF(N135="S",1,-1)*O135*100</f>
        <v>1783192644</v>
      </c>
      <c r="Q135" s="9" t="s">
        <v>315</v>
      </c>
    </row>
    <row r="136" customFormat="false" ht="15" hidden="false" customHeight="true" outlineLevel="0" collapsed="false">
      <c r="A136" s="9" t="s">
        <v>297</v>
      </c>
      <c r="B136" s="9" t="s">
        <v>333</v>
      </c>
      <c r="C136" s="9" t="s">
        <v>279</v>
      </c>
      <c r="D136" s="25" t="n">
        <v>46234</v>
      </c>
      <c r="E136" s="25" t="n">
        <v>46234</v>
      </c>
      <c r="F136" s="9" t="s">
        <v>227</v>
      </c>
      <c r="G136" s="3"/>
      <c r="H136" s="9" t="s">
        <v>228</v>
      </c>
      <c r="I136" s="9" t="s">
        <v>229</v>
      </c>
      <c r="J136" s="3"/>
      <c r="K136" s="9" t="s">
        <v>309</v>
      </c>
      <c r="L136" s="9" t="s">
        <v>310</v>
      </c>
      <c r="M136" s="3" t="s">
        <v>199</v>
      </c>
      <c r="N136" s="9" t="s">
        <v>182</v>
      </c>
      <c r="O136" s="8" t="n">
        <v>1625794.78</v>
      </c>
      <c r="P136" s="8" t="n">
        <f aca="false">IF(N136="S",1,-1)*O136*100</f>
        <v>-162579478</v>
      </c>
      <c r="Q136" s="9" t="s">
        <v>315</v>
      </c>
    </row>
    <row r="137" customFormat="false" ht="15" hidden="false" customHeight="true" outlineLevel="0" collapsed="false">
      <c r="A137" s="9" t="s">
        <v>297</v>
      </c>
      <c r="B137" s="9" t="s">
        <v>333</v>
      </c>
      <c r="C137" s="9" t="s">
        <v>279</v>
      </c>
      <c r="D137" s="25" t="n">
        <v>46234</v>
      </c>
      <c r="E137" s="25" t="n">
        <v>46234</v>
      </c>
      <c r="F137" s="9" t="s">
        <v>227</v>
      </c>
      <c r="G137" s="3"/>
      <c r="H137" s="9" t="s">
        <v>228</v>
      </c>
      <c r="I137" s="9" t="s">
        <v>229</v>
      </c>
      <c r="J137" s="3"/>
      <c r="K137" s="9" t="s">
        <v>309</v>
      </c>
      <c r="L137" s="9" t="s">
        <v>310</v>
      </c>
      <c r="M137" s="3" t="s">
        <v>199</v>
      </c>
      <c r="N137" s="9" t="s">
        <v>182</v>
      </c>
      <c r="O137" s="8" t="n">
        <v>2631872.83</v>
      </c>
      <c r="P137" s="8" t="n">
        <f aca="false">IF(N137="S",1,-1)*O137*100</f>
        <v>-263187283</v>
      </c>
      <c r="Q137" s="9" t="s">
        <v>315</v>
      </c>
    </row>
    <row r="138" customFormat="false" ht="15" hidden="false" customHeight="true" outlineLevel="0" collapsed="false">
      <c r="A138" s="9" t="s">
        <v>297</v>
      </c>
      <c r="B138" s="9" t="s">
        <v>333</v>
      </c>
      <c r="C138" s="9" t="s">
        <v>279</v>
      </c>
      <c r="D138" s="25" t="n">
        <v>46234</v>
      </c>
      <c r="E138" s="25" t="n">
        <v>46234</v>
      </c>
      <c r="F138" s="9" t="s">
        <v>227</v>
      </c>
      <c r="G138" s="3"/>
      <c r="H138" s="9" t="s">
        <v>228</v>
      </c>
      <c r="I138" s="9" t="s">
        <v>229</v>
      </c>
      <c r="J138" s="3"/>
      <c r="K138" s="9" t="s">
        <v>309</v>
      </c>
      <c r="L138" s="9" t="s">
        <v>310</v>
      </c>
      <c r="M138" s="3" t="s">
        <v>199</v>
      </c>
      <c r="N138" s="9" t="s">
        <v>182</v>
      </c>
      <c r="O138" s="8" t="n">
        <v>7308795</v>
      </c>
      <c r="P138" s="8" t="n">
        <f aca="false">IF(N138="S",1,-1)*O138*100</f>
        <v>-730879500</v>
      </c>
      <c r="Q138" s="9" t="s">
        <v>315</v>
      </c>
    </row>
    <row r="139" customFormat="false" ht="15" hidden="false" customHeight="true" outlineLevel="0" collapsed="false">
      <c r="A139" s="9" t="s">
        <v>297</v>
      </c>
      <c r="B139" s="9" t="s">
        <v>333</v>
      </c>
      <c r="C139" s="9" t="s">
        <v>279</v>
      </c>
      <c r="D139" s="25" t="n">
        <v>46234</v>
      </c>
      <c r="E139" s="25" t="n">
        <v>46234</v>
      </c>
      <c r="F139" s="9" t="s">
        <v>227</v>
      </c>
      <c r="G139" s="3"/>
      <c r="H139" s="9" t="s">
        <v>228</v>
      </c>
      <c r="I139" s="9" t="s">
        <v>229</v>
      </c>
      <c r="J139" s="3"/>
      <c r="K139" s="9" t="s">
        <v>309</v>
      </c>
      <c r="L139" s="9" t="s">
        <v>310</v>
      </c>
      <c r="M139" s="3" t="s">
        <v>199</v>
      </c>
      <c r="N139" s="9" t="s">
        <v>182</v>
      </c>
      <c r="O139" s="8" t="n">
        <v>6265463.83</v>
      </c>
      <c r="P139" s="8" t="n">
        <f aca="false">IF(N139="S",1,-1)*O139*100</f>
        <v>-626546383</v>
      </c>
      <c r="Q139" s="9" t="s">
        <v>315</v>
      </c>
    </row>
    <row r="140" customFormat="false" ht="15" hidden="false" customHeight="true" outlineLevel="0" collapsed="false">
      <c r="A140" s="9" t="s">
        <v>297</v>
      </c>
      <c r="B140" s="9" t="s">
        <v>334</v>
      </c>
      <c r="C140" s="9" t="s">
        <v>279</v>
      </c>
      <c r="D140" s="25" t="n">
        <v>46231</v>
      </c>
      <c r="E140" s="25" t="n">
        <v>46231</v>
      </c>
      <c r="F140" s="9" t="s">
        <v>335</v>
      </c>
      <c r="G140" s="9" t="s">
        <v>186</v>
      </c>
      <c r="H140" s="9" t="s">
        <v>275</v>
      </c>
      <c r="I140" s="9" t="s">
        <v>336</v>
      </c>
      <c r="J140" s="3"/>
      <c r="K140" s="9" t="s">
        <v>302</v>
      </c>
      <c r="L140" s="9" t="s">
        <v>303</v>
      </c>
      <c r="M140" s="3" t="s">
        <v>304</v>
      </c>
      <c r="N140" s="9" t="s">
        <v>178</v>
      </c>
      <c r="O140" s="8" t="n">
        <v>19615119.08</v>
      </c>
      <c r="P140" s="8" t="n">
        <f aca="false">IF(N140="S",1,-1)*O140*100</f>
        <v>1961511908</v>
      </c>
      <c r="Q140" s="9" t="s">
        <v>336</v>
      </c>
    </row>
    <row r="141" customFormat="false" ht="15" hidden="false" customHeight="true" outlineLevel="0" collapsed="false">
      <c r="A141" s="9" t="s">
        <v>297</v>
      </c>
      <c r="B141" s="9" t="s">
        <v>334</v>
      </c>
      <c r="C141" s="9" t="s">
        <v>279</v>
      </c>
      <c r="D141" s="25" t="n">
        <v>46231</v>
      </c>
      <c r="E141" s="25" t="n">
        <v>46231</v>
      </c>
      <c r="F141" s="9" t="s">
        <v>335</v>
      </c>
      <c r="G141" s="9" t="s">
        <v>186</v>
      </c>
      <c r="H141" s="9" t="s">
        <v>275</v>
      </c>
      <c r="I141" s="9" t="s">
        <v>336</v>
      </c>
      <c r="J141" s="3"/>
      <c r="K141" s="9" t="s">
        <v>222</v>
      </c>
      <c r="L141" s="9" t="s">
        <v>223</v>
      </c>
      <c r="M141" s="3" t="s">
        <v>199</v>
      </c>
      <c r="N141" s="9" t="s">
        <v>182</v>
      </c>
      <c r="O141" s="8" t="n">
        <v>17831926.44</v>
      </c>
      <c r="P141" s="8" t="n">
        <f aca="false">IF(N141="S",1,-1)*O141*100</f>
        <v>-1783192644</v>
      </c>
      <c r="Q141" s="9" t="s">
        <v>336</v>
      </c>
    </row>
    <row r="142" customFormat="false" ht="15" hidden="false" customHeight="true" outlineLevel="0" collapsed="false">
      <c r="A142" s="9" t="s">
        <v>297</v>
      </c>
      <c r="B142" s="9" t="s">
        <v>334</v>
      </c>
      <c r="C142" s="9" t="s">
        <v>279</v>
      </c>
      <c r="D142" s="25" t="n">
        <v>46231</v>
      </c>
      <c r="E142" s="25" t="n">
        <v>46231</v>
      </c>
      <c r="F142" s="9" t="s">
        <v>335</v>
      </c>
      <c r="G142" s="9" t="s">
        <v>186</v>
      </c>
      <c r="H142" s="9" t="s">
        <v>275</v>
      </c>
      <c r="I142" s="9" t="s">
        <v>336</v>
      </c>
      <c r="J142" s="3"/>
      <c r="K142" s="9" t="s">
        <v>306</v>
      </c>
      <c r="L142" s="9" t="s">
        <v>307</v>
      </c>
      <c r="M142" s="3" t="s">
        <v>250</v>
      </c>
      <c r="N142" s="9" t="s">
        <v>182</v>
      </c>
      <c r="O142" s="8" t="n">
        <v>1783192.64</v>
      </c>
      <c r="P142" s="8" t="n">
        <f aca="false">IF(N142="S",1,-1)*O142*100</f>
        <v>-178319264</v>
      </c>
      <c r="Q142" s="9" t="s">
        <v>336</v>
      </c>
    </row>
    <row r="143" customFormat="false" ht="15" hidden="false" customHeight="true" outlineLevel="0" collapsed="false">
      <c r="A143" s="9" t="s">
        <v>297</v>
      </c>
      <c r="B143" s="9" t="s">
        <v>337</v>
      </c>
      <c r="C143" s="9" t="s">
        <v>279</v>
      </c>
      <c r="D143" s="25" t="n">
        <v>46234</v>
      </c>
      <c r="E143" s="25" t="n">
        <v>46231</v>
      </c>
      <c r="F143" s="9" t="s">
        <v>335</v>
      </c>
      <c r="G143" s="9" t="s">
        <v>300</v>
      </c>
      <c r="H143" s="9" t="s">
        <v>275</v>
      </c>
      <c r="I143" s="9" t="s">
        <v>336</v>
      </c>
      <c r="J143" s="9" t="s">
        <v>338</v>
      </c>
      <c r="K143" s="9" t="s">
        <v>302</v>
      </c>
      <c r="L143" s="9" t="s">
        <v>303</v>
      </c>
      <c r="M143" s="3" t="s">
        <v>304</v>
      </c>
      <c r="N143" s="9" t="s">
        <v>178</v>
      </c>
      <c r="O143" s="8" t="n">
        <v>19615119.08</v>
      </c>
      <c r="P143" s="8" t="n">
        <f aca="false">IF(N143="S",1,-1)*O143*100</f>
        <v>1961511908</v>
      </c>
      <c r="Q143" s="9" t="s">
        <v>339</v>
      </c>
    </row>
    <row r="144" customFormat="false" ht="15" hidden="false" customHeight="true" outlineLevel="0" collapsed="false">
      <c r="A144" s="9" t="s">
        <v>297</v>
      </c>
      <c r="B144" s="9" t="s">
        <v>337</v>
      </c>
      <c r="C144" s="9" t="s">
        <v>279</v>
      </c>
      <c r="D144" s="25" t="n">
        <v>46234</v>
      </c>
      <c r="E144" s="25" t="n">
        <v>46231</v>
      </c>
      <c r="F144" s="9" t="s">
        <v>335</v>
      </c>
      <c r="G144" s="9" t="s">
        <v>300</v>
      </c>
      <c r="H144" s="9" t="s">
        <v>275</v>
      </c>
      <c r="I144" s="9" t="s">
        <v>336</v>
      </c>
      <c r="J144" s="9" t="s">
        <v>338</v>
      </c>
      <c r="K144" s="9" t="s">
        <v>222</v>
      </c>
      <c r="L144" s="9" t="s">
        <v>223</v>
      </c>
      <c r="M144" s="3" t="s">
        <v>199</v>
      </c>
      <c r="N144" s="9" t="s">
        <v>182</v>
      </c>
      <c r="O144" s="8" t="n">
        <v>19615119.08</v>
      </c>
      <c r="P144" s="8" t="n">
        <f aca="false">IF(N144="S",1,-1)*O144*100</f>
        <v>-1961511908</v>
      </c>
      <c r="Q144" s="3"/>
    </row>
    <row r="145" customFormat="false" ht="15" hidden="false" customHeight="true" outlineLevel="0" collapsed="false">
      <c r="A145" s="9" t="s">
        <v>297</v>
      </c>
      <c r="B145" s="9" t="s">
        <v>338</v>
      </c>
      <c r="C145" s="9" t="s">
        <v>279</v>
      </c>
      <c r="D145" s="25" t="n">
        <v>46234</v>
      </c>
      <c r="E145" s="25" t="n">
        <v>46231</v>
      </c>
      <c r="F145" s="9" t="s">
        <v>340</v>
      </c>
      <c r="G145" s="9" t="s">
        <v>251</v>
      </c>
      <c r="H145" s="9" t="s">
        <v>275</v>
      </c>
      <c r="I145" s="9" t="s">
        <v>336</v>
      </c>
      <c r="J145" s="9" t="s">
        <v>337</v>
      </c>
      <c r="K145" s="9" t="s">
        <v>302</v>
      </c>
      <c r="L145" s="9" t="s">
        <v>303</v>
      </c>
      <c r="M145" s="3" t="s">
        <v>304</v>
      </c>
      <c r="N145" s="9" t="s">
        <v>182</v>
      </c>
      <c r="O145" s="8" t="n">
        <v>19615119.08</v>
      </c>
      <c r="P145" s="8" t="n">
        <f aca="false">IF(N145="S",1,-1)*O145*100</f>
        <v>-1961511908</v>
      </c>
      <c r="Q145" s="9" t="s">
        <v>341</v>
      </c>
    </row>
    <row r="146" customFormat="false" ht="15" hidden="false" customHeight="true" outlineLevel="0" collapsed="false">
      <c r="A146" s="9" t="s">
        <v>297</v>
      </c>
      <c r="B146" s="9" t="s">
        <v>338</v>
      </c>
      <c r="C146" s="9" t="s">
        <v>279</v>
      </c>
      <c r="D146" s="25" t="n">
        <v>46234</v>
      </c>
      <c r="E146" s="25" t="n">
        <v>46231</v>
      </c>
      <c r="F146" s="9" t="s">
        <v>340</v>
      </c>
      <c r="G146" s="9" t="s">
        <v>251</v>
      </c>
      <c r="H146" s="9" t="s">
        <v>275</v>
      </c>
      <c r="I146" s="9" t="s">
        <v>336</v>
      </c>
      <c r="J146" s="9" t="s">
        <v>337</v>
      </c>
      <c r="K146" s="9" t="s">
        <v>222</v>
      </c>
      <c r="L146" s="9" t="s">
        <v>223</v>
      </c>
      <c r="M146" s="3" t="s">
        <v>199</v>
      </c>
      <c r="N146" s="9" t="s">
        <v>178</v>
      </c>
      <c r="O146" s="8" t="n">
        <v>19615119.08</v>
      </c>
      <c r="P146" s="8" t="n">
        <f aca="false">IF(N146="S",1,-1)*O146*100</f>
        <v>1961511908</v>
      </c>
      <c r="Q146" s="3"/>
    </row>
    <row r="147" customFormat="false" ht="15" hidden="false" customHeight="true" outlineLevel="0" collapsed="false">
      <c r="A147" s="9" t="s">
        <v>297</v>
      </c>
      <c r="B147" s="9" t="s">
        <v>342</v>
      </c>
      <c r="C147" s="9" t="s">
        <v>279</v>
      </c>
      <c r="D147" s="25" t="n">
        <v>46234</v>
      </c>
      <c r="E147" s="25" t="n">
        <v>46231</v>
      </c>
      <c r="F147" s="9" t="s">
        <v>340</v>
      </c>
      <c r="G147" s="9" t="s">
        <v>251</v>
      </c>
      <c r="H147" s="9" t="s">
        <v>275</v>
      </c>
      <c r="I147" s="9" t="s">
        <v>336</v>
      </c>
      <c r="J147" s="9" t="s">
        <v>343</v>
      </c>
      <c r="K147" s="9" t="s">
        <v>302</v>
      </c>
      <c r="L147" s="9" t="s">
        <v>303</v>
      </c>
      <c r="M147" s="3" t="s">
        <v>304</v>
      </c>
      <c r="N147" s="9" t="s">
        <v>178</v>
      </c>
      <c r="O147" s="8" t="n">
        <v>19615119.08</v>
      </c>
      <c r="P147" s="8" t="n">
        <f aca="false">IF(N147="S",1,-1)*O147*100</f>
        <v>1961511908</v>
      </c>
      <c r="Q147" s="9" t="s">
        <v>344</v>
      </c>
    </row>
    <row r="148" customFormat="false" ht="15" hidden="false" customHeight="true" outlineLevel="0" collapsed="false">
      <c r="A148" s="9" t="s">
        <v>297</v>
      </c>
      <c r="B148" s="9" t="s">
        <v>342</v>
      </c>
      <c r="C148" s="9" t="s">
        <v>279</v>
      </c>
      <c r="D148" s="25" t="n">
        <v>46234</v>
      </c>
      <c r="E148" s="25" t="n">
        <v>46231</v>
      </c>
      <c r="F148" s="9" t="s">
        <v>340</v>
      </c>
      <c r="G148" s="9" t="s">
        <v>251</v>
      </c>
      <c r="H148" s="9" t="s">
        <v>275</v>
      </c>
      <c r="I148" s="9" t="s">
        <v>336</v>
      </c>
      <c r="J148" s="9" t="s">
        <v>343</v>
      </c>
      <c r="K148" s="9" t="s">
        <v>345</v>
      </c>
      <c r="L148" s="9" t="s">
        <v>346</v>
      </c>
      <c r="M148" s="3"/>
      <c r="N148" s="9" t="s">
        <v>182</v>
      </c>
      <c r="O148" s="8" t="n">
        <v>19615119.08</v>
      </c>
      <c r="P148" s="8" t="n">
        <f aca="false">IF(N148="S",1,-1)*O148*100</f>
        <v>-1961511908</v>
      </c>
      <c r="Q148" s="3"/>
    </row>
    <row r="149" customFormat="false" ht="15" hidden="false" customHeight="true" outlineLevel="0" collapsed="false">
      <c r="A149" s="9" t="s">
        <v>297</v>
      </c>
      <c r="B149" s="9" t="s">
        <v>343</v>
      </c>
      <c r="C149" s="9" t="s">
        <v>279</v>
      </c>
      <c r="D149" s="25" t="n">
        <v>46234</v>
      </c>
      <c r="E149" s="25" t="n">
        <v>46231</v>
      </c>
      <c r="F149" s="9" t="s">
        <v>299</v>
      </c>
      <c r="G149" s="9" t="s">
        <v>300</v>
      </c>
      <c r="H149" s="9" t="s">
        <v>275</v>
      </c>
      <c r="I149" s="9" t="s">
        <v>336</v>
      </c>
      <c r="J149" s="9" t="s">
        <v>342</v>
      </c>
      <c r="K149" s="9" t="s">
        <v>302</v>
      </c>
      <c r="L149" s="9" t="s">
        <v>303</v>
      </c>
      <c r="M149" s="3" t="s">
        <v>304</v>
      </c>
      <c r="N149" s="9" t="s">
        <v>182</v>
      </c>
      <c r="O149" s="8" t="n">
        <v>19615119.08</v>
      </c>
      <c r="P149" s="8" t="n">
        <f aca="false">IF(N149="S",1,-1)*O149*100</f>
        <v>-1961511908</v>
      </c>
      <c r="Q149" s="9" t="s">
        <v>344</v>
      </c>
    </row>
    <row r="150" customFormat="false" ht="15" hidden="false" customHeight="true" outlineLevel="0" collapsed="false">
      <c r="A150" s="9" t="s">
        <v>297</v>
      </c>
      <c r="B150" s="9" t="s">
        <v>343</v>
      </c>
      <c r="C150" s="9" t="s">
        <v>279</v>
      </c>
      <c r="D150" s="25" t="n">
        <v>46234</v>
      </c>
      <c r="E150" s="25" t="n">
        <v>46231</v>
      </c>
      <c r="F150" s="9" t="s">
        <v>299</v>
      </c>
      <c r="G150" s="9" t="s">
        <v>300</v>
      </c>
      <c r="H150" s="9" t="s">
        <v>275</v>
      </c>
      <c r="I150" s="9" t="s">
        <v>336</v>
      </c>
      <c r="J150" s="9" t="s">
        <v>342</v>
      </c>
      <c r="K150" s="9" t="s">
        <v>345</v>
      </c>
      <c r="L150" s="9" t="s">
        <v>346</v>
      </c>
      <c r="M150" s="3"/>
      <c r="N150" s="9" t="s">
        <v>178</v>
      </c>
      <c r="O150" s="8" t="n">
        <v>19615119.08</v>
      </c>
      <c r="P150" s="8" t="n">
        <f aca="false">IF(N150="S",1,-1)*O150*100</f>
        <v>1961511908</v>
      </c>
      <c r="Q150" s="3"/>
    </row>
    <row r="151" customFormat="false" ht="15" hidden="false" customHeight="true" outlineLevel="0" collapsed="false">
      <c r="A151" s="9" t="s">
        <v>297</v>
      </c>
      <c r="B151" s="9" t="s">
        <v>347</v>
      </c>
      <c r="C151" s="9" t="s">
        <v>279</v>
      </c>
      <c r="D151" s="25" t="n">
        <v>46234</v>
      </c>
      <c r="E151" s="25" t="n">
        <v>46234</v>
      </c>
      <c r="F151" s="9" t="s">
        <v>299</v>
      </c>
      <c r="G151" s="9" t="s">
        <v>300</v>
      </c>
      <c r="H151" s="9" t="s">
        <v>275</v>
      </c>
      <c r="I151" s="9" t="s">
        <v>336</v>
      </c>
      <c r="J151" s="3"/>
      <c r="K151" s="9" t="s">
        <v>302</v>
      </c>
      <c r="L151" s="9" t="s">
        <v>303</v>
      </c>
      <c r="M151" s="3" t="s">
        <v>304</v>
      </c>
      <c r="N151" s="9" t="s">
        <v>182</v>
      </c>
      <c r="O151" s="8" t="n">
        <v>19615119.08</v>
      </c>
      <c r="P151" s="8" t="n">
        <f aca="false">IF(N151="S",1,-1)*O151*100</f>
        <v>-1961511908</v>
      </c>
      <c r="Q151" s="9" t="s">
        <v>344</v>
      </c>
    </row>
    <row r="152" customFormat="false" ht="15" hidden="false" customHeight="true" outlineLevel="0" collapsed="false">
      <c r="A152" s="9" t="s">
        <v>297</v>
      </c>
      <c r="B152" s="9" t="s">
        <v>347</v>
      </c>
      <c r="C152" s="9" t="s">
        <v>279</v>
      </c>
      <c r="D152" s="25" t="n">
        <v>46234</v>
      </c>
      <c r="E152" s="25" t="n">
        <v>46234</v>
      </c>
      <c r="F152" s="9" t="s">
        <v>299</v>
      </c>
      <c r="G152" s="9" t="s">
        <v>300</v>
      </c>
      <c r="H152" s="9" t="s">
        <v>275</v>
      </c>
      <c r="I152" s="9" t="s">
        <v>336</v>
      </c>
      <c r="J152" s="3"/>
      <c r="K152" s="9" t="s">
        <v>265</v>
      </c>
      <c r="L152" s="9" t="s">
        <v>266</v>
      </c>
      <c r="M152" s="3" t="s">
        <v>177</v>
      </c>
      <c r="N152" s="9" t="s">
        <v>178</v>
      </c>
      <c r="O152" s="8" t="n">
        <v>19615119.08</v>
      </c>
      <c r="P152" s="8" t="n">
        <f aca="false">IF(N152="S",1,-1)*O152*100</f>
        <v>1961511908</v>
      </c>
      <c r="Q152" s="3"/>
    </row>
    <row r="153" customFormat="false" ht="15" hidden="false" customHeight="true" outlineLevel="0" collapsed="false">
      <c r="A153" s="9" t="s">
        <v>297</v>
      </c>
      <c r="B153" s="9" t="s">
        <v>348</v>
      </c>
      <c r="C153" s="9" t="s">
        <v>279</v>
      </c>
      <c r="D153" s="25" t="n">
        <v>46234</v>
      </c>
      <c r="E153" s="25" t="n">
        <v>46234</v>
      </c>
      <c r="F153" s="9" t="s">
        <v>268</v>
      </c>
      <c r="G153" s="9" t="s">
        <v>269</v>
      </c>
      <c r="H153" s="9" t="s">
        <v>187</v>
      </c>
      <c r="I153" s="3"/>
      <c r="J153" s="9" t="s">
        <v>349</v>
      </c>
      <c r="K153" s="9" t="s">
        <v>350</v>
      </c>
      <c r="L153" s="9" t="s">
        <v>351</v>
      </c>
      <c r="M153" s="3" t="s">
        <v>332</v>
      </c>
      <c r="N153" s="9" t="s">
        <v>178</v>
      </c>
      <c r="O153" s="8" t="n">
        <v>169572.9</v>
      </c>
      <c r="P153" s="8" t="n">
        <f aca="false">IF(N153="S",1,-1)*O153*100</f>
        <v>16957290</v>
      </c>
      <c r="Q153" s="3"/>
    </row>
    <row r="154" customFormat="false" ht="15" hidden="false" customHeight="true" outlineLevel="0" collapsed="false">
      <c r="A154" s="9" t="s">
        <v>297</v>
      </c>
      <c r="B154" s="9" t="s">
        <v>348</v>
      </c>
      <c r="C154" s="9" t="s">
        <v>279</v>
      </c>
      <c r="D154" s="25" t="n">
        <v>46234</v>
      </c>
      <c r="E154" s="25" t="n">
        <v>46234</v>
      </c>
      <c r="F154" s="9" t="s">
        <v>268</v>
      </c>
      <c r="G154" s="9" t="s">
        <v>269</v>
      </c>
      <c r="H154" s="9" t="s">
        <v>187</v>
      </c>
      <c r="I154" s="3"/>
      <c r="J154" s="9" t="s">
        <v>349</v>
      </c>
      <c r="K154" s="9" t="s">
        <v>270</v>
      </c>
      <c r="L154" s="9" t="s">
        <v>271</v>
      </c>
      <c r="M154" s="3"/>
      <c r="N154" s="9" t="s">
        <v>182</v>
      </c>
      <c r="O154" s="8" t="n">
        <v>19615119.08</v>
      </c>
      <c r="P154" s="8" t="n">
        <f aca="false">IF(N154="S",1,-1)*O154*100</f>
        <v>-1961511908</v>
      </c>
      <c r="Q154" s="3"/>
    </row>
    <row r="155" customFormat="false" ht="15" hidden="false" customHeight="true" outlineLevel="0" collapsed="false">
      <c r="A155" s="9" t="s">
        <v>297</v>
      </c>
      <c r="B155" s="9" t="s">
        <v>348</v>
      </c>
      <c r="C155" s="9" t="s">
        <v>279</v>
      </c>
      <c r="D155" s="25" t="n">
        <v>46234</v>
      </c>
      <c r="E155" s="25" t="n">
        <v>46234</v>
      </c>
      <c r="F155" s="9" t="s">
        <v>268</v>
      </c>
      <c r="G155" s="9" t="s">
        <v>269</v>
      </c>
      <c r="H155" s="9" t="s">
        <v>187</v>
      </c>
      <c r="I155" s="3"/>
      <c r="J155" s="9" t="s">
        <v>349</v>
      </c>
      <c r="K155" s="9" t="s">
        <v>270</v>
      </c>
      <c r="L155" s="9" t="s">
        <v>271</v>
      </c>
      <c r="M155" s="3"/>
      <c r="N155" s="9" t="s">
        <v>178</v>
      </c>
      <c r="O155" s="8" t="n">
        <v>18351283.28</v>
      </c>
      <c r="P155" s="8" t="n">
        <f aca="false">IF(N155="S",1,-1)*O155*100</f>
        <v>1835128328</v>
      </c>
      <c r="Q155" s="3"/>
    </row>
    <row r="156" customFormat="false" ht="15" hidden="false" customHeight="true" outlineLevel="0" collapsed="false">
      <c r="A156" s="9" t="s">
        <v>297</v>
      </c>
      <c r="B156" s="9" t="s">
        <v>348</v>
      </c>
      <c r="C156" s="9" t="s">
        <v>279</v>
      </c>
      <c r="D156" s="25" t="n">
        <v>46234</v>
      </c>
      <c r="E156" s="25" t="n">
        <v>46234</v>
      </c>
      <c r="F156" s="9" t="s">
        <v>268</v>
      </c>
      <c r="G156" s="9" t="s">
        <v>269</v>
      </c>
      <c r="H156" s="9" t="s">
        <v>187</v>
      </c>
      <c r="I156" s="3"/>
      <c r="J156" s="9" t="s">
        <v>349</v>
      </c>
      <c r="K156" s="9" t="s">
        <v>350</v>
      </c>
      <c r="L156" s="9" t="s">
        <v>351</v>
      </c>
      <c r="M156" s="3" t="s">
        <v>332</v>
      </c>
      <c r="N156" s="9" t="s">
        <v>178</v>
      </c>
      <c r="O156" s="8" t="n">
        <v>1094262.9</v>
      </c>
      <c r="P156" s="8" t="n">
        <f aca="false">IF(N156="S",1,-1)*O156*100</f>
        <v>109426290</v>
      </c>
      <c r="Q156" s="3"/>
    </row>
    <row r="157" customFormat="false" ht="15" hidden="false" customHeight="true" outlineLevel="0" collapsed="false">
      <c r="A157" s="9" t="s">
        <v>297</v>
      </c>
      <c r="B157" s="9" t="s">
        <v>349</v>
      </c>
      <c r="C157" s="9" t="s">
        <v>279</v>
      </c>
      <c r="D157" s="25" t="n">
        <v>46234</v>
      </c>
      <c r="E157" s="25" t="n">
        <v>46234</v>
      </c>
      <c r="F157" s="9" t="s">
        <v>268</v>
      </c>
      <c r="G157" s="9" t="s">
        <v>251</v>
      </c>
      <c r="H157" s="9" t="s">
        <v>187</v>
      </c>
      <c r="I157" s="3"/>
      <c r="J157" s="9" t="s">
        <v>348</v>
      </c>
      <c r="K157" s="9" t="s">
        <v>350</v>
      </c>
      <c r="L157" s="9" t="s">
        <v>351</v>
      </c>
      <c r="M157" s="3" t="s">
        <v>332</v>
      </c>
      <c r="N157" s="9" t="s">
        <v>182</v>
      </c>
      <c r="O157" s="8" t="n">
        <v>169572.9</v>
      </c>
      <c r="P157" s="8" t="n">
        <f aca="false">IF(N157="S",1,-1)*O157*100</f>
        <v>-16957290</v>
      </c>
      <c r="Q157" s="3"/>
    </row>
    <row r="158" customFormat="false" ht="15" hidden="false" customHeight="true" outlineLevel="0" collapsed="false">
      <c r="A158" s="9" t="s">
        <v>297</v>
      </c>
      <c r="B158" s="9" t="s">
        <v>349</v>
      </c>
      <c r="C158" s="9" t="s">
        <v>279</v>
      </c>
      <c r="D158" s="25" t="n">
        <v>46234</v>
      </c>
      <c r="E158" s="25" t="n">
        <v>46234</v>
      </c>
      <c r="F158" s="9" t="s">
        <v>268</v>
      </c>
      <c r="G158" s="9" t="s">
        <v>251</v>
      </c>
      <c r="H158" s="9" t="s">
        <v>187</v>
      </c>
      <c r="I158" s="3"/>
      <c r="J158" s="9" t="s">
        <v>348</v>
      </c>
      <c r="K158" s="9" t="s">
        <v>270</v>
      </c>
      <c r="L158" s="9" t="s">
        <v>271</v>
      </c>
      <c r="M158" s="3"/>
      <c r="N158" s="9" t="s">
        <v>178</v>
      </c>
      <c r="O158" s="8" t="n">
        <v>19615119.08</v>
      </c>
      <c r="P158" s="8" t="n">
        <f aca="false">IF(N158="S",1,-1)*O158*100</f>
        <v>1961511908</v>
      </c>
      <c r="Q158" s="3"/>
    </row>
    <row r="159" customFormat="false" ht="15" hidden="false" customHeight="true" outlineLevel="0" collapsed="false">
      <c r="A159" s="9" t="s">
        <v>297</v>
      </c>
      <c r="B159" s="9" t="s">
        <v>349</v>
      </c>
      <c r="C159" s="9" t="s">
        <v>279</v>
      </c>
      <c r="D159" s="25" t="n">
        <v>46234</v>
      </c>
      <c r="E159" s="25" t="n">
        <v>46234</v>
      </c>
      <c r="F159" s="9" t="s">
        <v>268</v>
      </c>
      <c r="G159" s="9" t="s">
        <v>251</v>
      </c>
      <c r="H159" s="9" t="s">
        <v>187</v>
      </c>
      <c r="I159" s="3"/>
      <c r="J159" s="9" t="s">
        <v>348</v>
      </c>
      <c r="K159" s="9" t="s">
        <v>270</v>
      </c>
      <c r="L159" s="9" t="s">
        <v>271</v>
      </c>
      <c r="M159" s="3"/>
      <c r="N159" s="9" t="s">
        <v>182</v>
      </c>
      <c r="O159" s="8" t="n">
        <v>18351283.28</v>
      </c>
      <c r="P159" s="8" t="n">
        <f aca="false">IF(N159="S",1,-1)*O159*100</f>
        <v>-1835128328</v>
      </c>
      <c r="Q159" s="3"/>
    </row>
    <row r="160" customFormat="false" ht="15" hidden="false" customHeight="true" outlineLevel="0" collapsed="false">
      <c r="A160" s="9" t="s">
        <v>297</v>
      </c>
      <c r="B160" s="9" t="s">
        <v>349</v>
      </c>
      <c r="C160" s="9" t="s">
        <v>279</v>
      </c>
      <c r="D160" s="25" t="n">
        <v>46234</v>
      </c>
      <c r="E160" s="25" t="n">
        <v>46234</v>
      </c>
      <c r="F160" s="9" t="s">
        <v>268</v>
      </c>
      <c r="G160" s="9" t="s">
        <v>251</v>
      </c>
      <c r="H160" s="9" t="s">
        <v>187</v>
      </c>
      <c r="I160" s="3"/>
      <c r="J160" s="9" t="s">
        <v>348</v>
      </c>
      <c r="K160" s="9" t="s">
        <v>350</v>
      </c>
      <c r="L160" s="9" t="s">
        <v>351</v>
      </c>
      <c r="M160" s="3" t="s">
        <v>332</v>
      </c>
      <c r="N160" s="9" t="s">
        <v>182</v>
      </c>
      <c r="O160" s="8" t="n">
        <v>1094262.9</v>
      </c>
      <c r="P160" s="8" t="n">
        <f aca="false">IF(N160="S",1,-1)*O160*100</f>
        <v>-109426290</v>
      </c>
      <c r="Q160" s="3"/>
    </row>
    <row r="161" customFormat="false" ht="15" hidden="false" customHeight="true" outlineLevel="0" collapsed="false">
      <c r="A161" s="9" t="s">
        <v>297</v>
      </c>
      <c r="B161" s="9" t="s">
        <v>352</v>
      </c>
      <c r="C161" s="9" t="s">
        <v>279</v>
      </c>
      <c r="D161" s="25" t="n">
        <v>46234</v>
      </c>
      <c r="E161" s="25" t="n">
        <v>46234</v>
      </c>
      <c r="F161" s="9" t="s">
        <v>268</v>
      </c>
      <c r="G161" s="9" t="s">
        <v>269</v>
      </c>
      <c r="H161" s="9" t="s">
        <v>187</v>
      </c>
      <c r="I161" s="3"/>
      <c r="J161" s="3"/>
      <c r="K161" s="9" t="s">
        <v>330</v>
      </c>
      <c r="L161" s="9" t="s">
        <v>331</v>
      </c>
      <c r="M161" s="3" t="s">
        <v>332</v>
      </c>
      <c r="N161" s="9" t="s">
        <v>182</v>
      </c>
      <c r="O161" s="8" t="n">
        <v>1094262.9</v>
      </c>
      <c r="P161" s="8" t="n">
        <f aca="false">IF(N161="S",1,-1)*O161*100</f>
        <v>-109426290</v>
      </c>
      <c r="Q161" s="3"/>
    </row>
    <row r="162" customFormat="false" ht="15" hidden="false" customHeight="true" outlineLevel="0" collapsed="false">
      <c r="A162" s="9" t="s">
        <v>297</v>
      </c>
      <c r="B162" s="9" t="s">
        <v>352</v>
      </c>
      <c r="C162" s="9" t="s">
        <v>279</v>
      </c>
      <c r="D162" s="25" t="n">
        <v>46234</v>
      </c>
      <c r="E162" s="25" t="n">
        <v>46234</v>
      </c>
      <c r="F162" s="9" t="s">
        <v>268</v>
      </c>
      <c r="G162" s="9" t="s">
        <v>269</v>
      </c>
      <c r="H162" s="9" t="s">
        <v>187</v>
      </c>
      <c r="I162" s="3"/>
      <c r="J162" s="3"/>
      <c r="K162" s="9" t="s">
        <v>270</v>
      </c>
      <c r="L162" s="9" t="s">
        <v>271</v>
      </c>
      <c r="M162" s="3"/>
      <c r="N162" s="9" t="s">
        <v>182</v>
      </c>
      <c r="O162" s="8" t="n">
        <v>19615119.08</v>
      </c>
      <c r="P162" s="8" t="n">
        <f aca="false">IF(N162="S",1,-1)*O162*100</f>
        <v>-1961511908</v>
      </c>
      <c r="Q162" s="3"/>
    </row>
    <row r="163" customFormat="false" ht="15" hidden="false" customHeight="true" outlineLevel="0" collapsed="false">
      <c r="A163" s="9" t="s">
        <v>297</v>
      </c>
      <c r="B163" s="9" t="s">
        <v>352</v>
      </c>
      <c r="C163" s="9" t="s">
        <v>279</v>
      </c>
      <c r="D163" s="25" t="n">
        <v>46234</v>
      </c>
      <c r="E163" s="25" t="n">
        <v>46234</v>
      </c>
      <c r="F163" s="9" t="s">
        <v>268</v>
      </c>
      <c r="G163" s="9" t="s">
        <v>269</v>
      </c>
      <c r="H163" s="9" t="s">
        <v>187</v>
      </c>
      <c r="I163" s="3"/>
      <c r="J163" s="3"/>
      <c r="K163" s="9" t="s">
        <v>270</v>
      </c>
      <c r="L163" s="9" t="s">
        <v>271</v>
      </c>
      <c r="M163" s="3"/>
      <c r="N163" s="9" t="s">
        <v>178</v>
      </c>
      <c r="O163" s="8" t="n">
        <v>19615119.08</v>
      </c>
      <c r="P163" s="8" t="n">
        <f aca="false">IF(N163="S",1,-1)*O163*100</f>
        <v>1961511908</v>
      </c>
      <c r="Q163" s="3"/>
    </row>
    <row r="164" customFormat="false" ht="15" hidden="false" customHeight="true" outlineLevel="0" collapsed="false">
      <c r="A164" s="9" t="s">
        <v>297</v>
      </c>
      <c r="B164" s="9" t="s">
        <v>352</v>
      </c>
      <c r="C164" s="9" t="s">
        <v>279</v>
      </c>
      <c r="D164" s="25" t="n">
        <v>46234</v>
      </c>
      <c r="E164" s="25" t="n">
        <v>46234</v>
      </c>
      <c r="F164" s="9" t="s">
        <v>268</v>
      </c>
      <c r="G164" s="9" t="s">
        <v>269</v>
      </c>
      <c r="H164" s="9" t="s">
        <v>187</v>
      </c>
      <c r="I164" s="3"/>
      <c r="J164" s="3"/>
      <c r="K164" s="9" t="s">
        <v>350</v>
      </c>
      <c r="L164" s="9" t="s">
        <v>351</v>
      </c>
      <c r="M164" s="3" t="s">
        <v>332</v>
      </c>
      <c r="N164" s="9" t="s">
        <v>178</v>
      </c>
      <c r="O164" s="8" t="n">
        <v>1094262.9</v>
      </c>
      <c r="P164" s="8" t="n">
        <f aca="false">IF(N164="S",1,-1)*O164*100</f>
        <v>109426290</v>
      </c>
      <c r="Q164" s="3"/>
    </row>
    <row r="165" customFormat="false" ht="15" hidden="false" customHeight="true" outlineLevel="0" collapsed="false">
      <c r="A165" s="9" t="s">
        <v>297</v>
      </c>
      <c r="B165" s="9" t="s">
        <v>353</v>
      </c>
      <c r="C165" s="9" t="s">
        <v>279</v>
      </c>
      <c r="D165" s="25" t="n">
        <v>46234</v>
      </c>
      <c r="E165" s="25" t="n">
        <v>46234</v>
      </c>
      <c r="F165" s="9" t="s">
        <v>185</v>
      </c>
      <c r="G165" s="9" t="s">
        <v>186</v>
      </c>
      <c r="H165" s="9" t="s">
        <v>259</v>
      </c>
      <c r="I165" s="9" t="s">
        <v>354</v>
      </c>
      <c r="J165" s="3"/>
      <c r="K165" s="9" t="s">
        <v>175</v>
      </c>
      <c r="L165" s="9" t="s">
        <v>176</v>
      </c>
      <c r="M165" s="3" t="s">
        <v>177</v>
      </c>
      <c r="N165" s="9" t="s">
        <v>178</v>
      </c>
      <c r="O165" s="8" t="n">
        <v>19615119.08</v>
      </c>
      <c r="P165" s="8" t="n">
        <f aca="false">IF(N165="S",1,-1)*O165*100</f>
        <v>1961511908</v>
      </c>
      <c r="Q165" s="9" t="s">
        <v>355</v>
      </c>
    </row>
    <row r="166" customFormat="false" ht="15" hidden="false" customHeight="true" outlineLevel="0" collapsed="false">
      <c r="A166" s="9" t="s">
        <v>297</v>
      </c>
      <c r="B166" s="9" t="s">
        <v>353</v>
      </c>
      <c r="C166" s="9" t="s">
        <v>279</v>
      </c>
      <c r="D166" s="25" t="n">
        <v>46234</v>
      </c>
      <c r="E166" s="25" t="n">
        <v>46234</v>
      </c>
      <c r="F166" s="9" t="s">
        <v>185</v>
      </c>
      <c r="G166" s="9" t="s">
        <v>186</v>
      </c>
      <c r="H166" s="9" t="s">
        <v>259</v>
      </c>
      <c r="I166" s="9" t="s">
        <v>354</v>
      </c>
      <c r="J166" s="3"/>
      <c r="K166" s="9" t="s">
        <v>189</v>
      </c>
      <c r="L166" s="9" t="s">
        <v>190</v>
      </c>
      <c r="M166" s="3" t="s">
        <v>177</v>
      </c>
      <c r="N166" s="9" t="s">
        <v>182</v>
      </c>
      <c r="O166" s="8" t="n">
        <v>19615119.08</v>
      </c>
      <c r="P166" s="8" t="n">
        <f aca="false">IF(N166="S",1,-1)*O166*100</f>
        <v>-1961511908</v>
      </c>
      <c r="Q166" s="9" t="s">
        <v>355</v>
      </c>
    </row>
    <row r="167" customFormat="false" ht="15" hidden="false" customHeight="true" outlineLevel="0" collapsed="false">
      <c r="A167" s="9" t="s">
        <v>297</v>
      </c>
      <c r="B167" s="9" t="s">
        <v>356</v>
      </c>
      <c r="C167" s="9" t="s">
        <v>279</v>
      </c>
      <c r="D167" s="25" t="n">
        <v>46234</v>
      </c>
      <c r="E167" s="25" t="n">
        <v>46234</v>
      </c>
      <c r="F167" s="9" t="s">
        <v>274</v>
      </c>
      <c r="G167" s="3"/>
      <c r="H167" s="9" t="s">
        <v>275</v>
      </c>
      <c r="I167" s="9" t="s">
        <v>276</v>
      </c>
      <c r="J167" s="3"/>
      <c r="K167" s="9" t="s">
        <v>175</v>
      </c>
      <c r="L167" s="9" t="s">
        <v>176</v>
      </c>
      <c r="M167" s="3" t="s">
        <v>177</v>
      </c>
      <c r="N167" s="9" t="s">
        <v>182</v>
      </c>
      <c r="O167" s="8" t="n">
        <v>19615119.08</v>
      </c>
      <c r="P167" s="8" t="n">
        <f aca="false">IF(N167="S",1,-1)*O167*100</f>
        <v>-1961511908</v>
      </c>
      <c r="Q167" s="9" t="s">
        <v>277</v>
      </c>
    </row>
    <row r="168" customFormat="false" ht="15" hidden="false" customHeight="true" outlineLevel="0" collapsed="false">
      <c r="A168" s="9" t="s">
        <v>297</v>
      </c>
      <c r="B168" s="9" t="s">
        <v>356</v>
      </c>
      <c r="C168" s="9" t="s">
        <v>279</v>
      </c>
      <c r="D168" s="25" t="n">
        <v>46234</v>
      </c>
      <c r="E168" s="25" t="n">
        <v>46234</v>
      </c>
      <c r="F168" s="9" t="s">
        <v>274</v>
      </c>
      <c r="G168" s="3"/>
      <c r="H168" s="9" t="s">
        <v>275</v>
      </c>
      <c r="I168" s="9" t="s">
        <v>276</v>
      </c>
      <c r="J168" s="3"/>
      <c r="K168" s="9" t="s">
        <v>270</v>
      </c>
      <c r="L168" s="9" t="s">
        <v>271</v>
      </c>
      <c r="M168" s="3"/>
      <c r="N168" s="9" t="s">
        <v>178</v>
      </c>
      <c r="O168" s="8" t="n">
        <v>19615119.08</v>
      </c>
      <c r="P168" s="8" t="n">
        <f aca="false">IF(N168="S",1,-1)*O168*100</f>
        <v>1961511908</v>
      </c>
      <c r="Q168" s="9" t="s">
        <v>277</v>
      </c>
    </row>
    <row r="169" customFormat="false" ht="15" hidden="false" customHeight="true" outlineLevel="0" collapsed="false">
      <c r="A169" s="9" t="s">
        <v>297</v>
      </c>
      <c r="B169" s="9" t="s">
        <v>357</v>
      </c>
      <c r="C169" s="9" t="s">
        <v>279</v>
      </c>
      <c r="D169" s="25" t="n">
        <v>46234</v>
      </c>
      <c r="E169" s="25" t="n">
        <v>46234</v>
      </c>
      <c r="F169" s="9" t="s">
        <v>185</v>
      </c>
      <c r="G169" s="9" t="s">
        <v>186</v>
      </c>
      <c r="H169" s="9" t="s">
        <v>187</v>
      </c>
      <c r="I169" s="9" t="s">
        <v>358</v>
      </c>
      <c r="J169" s="3"/>
      <c r="K169" s="9" t="s">
        <v>189</v>
      </c>
      <c r="L169" s="9" t="s">
        <v>190</v>
      </c>
      <c r="M169" s="3" t="s">
        <v>177</v>
      </c>
      <c r="N169" s="9" t="s">
        <v>178</v>
      </c>
      <c r="O169" s="8" t="n">
        <v>18520856.18</v>
      </c>
      <c r="P169" s="8" t="n">
        <f aca="false">IF(N169="S",1,-1)*O169*100</f>
        <v>1852085618</v>
      </c>
      <c r="Q169" s="9" t="s">
        <v>359</v>
      </c>
    </row>
    <row r="170" customFormat="false" ht="15" hidden="false" customHeight="true" outlineLevel="0" collapsed="false">
      <c r="A170" s="9" t="s">
        <v>297</v>
      </c>
      <c r="B170" s="9" t="s">
        <v>357</v>
      </c>
      <c r="C170" s="9" t="s">
        <v>279</v>
      </c>
      <c r="D170" s="25" t="n">
        <v>46234</v>
      </c>
      <c r="E170" s="25" t="n">
        <v>46234</v>
      </c>
      <c r="F170" s="9" t="s">
        <v>185</v>
      </c>
      <c r="G170" s="9" t="s">
        <v>186</v>
      </c>
      <c r="H170" s="9" t="s">
        <v>187</v>
      </c>
      <c r="I170" s="9" t="s">
        <v>358</v>
      </c>
      <c r="J170" s="3"/>
      <c r="K170" s="9" t="s">
        <v>175</v>
      </c>
      <c r="L170" s="9" t="s">
        <v>176</v>
      </c>
      <c r="M170" s="3" t="s">
        <v>177</v>
      </c>
      <c r="N170" s="9" t="s">
        <v>182</v>
      </c>
      <c r="O170" s="8" t="n">
        <v>18520856.18</v>
      </c>
      <c r="P170" s="8" t="n">
        <f aca="false">IF(N170="S",1,-1)*O170*100</f>
        <v>-1852085618</v>
      </c>
      <c r="Q170" s="9" t="s">
        <v>359</v>
      </c>
    </row>
    <row r="171" customFormat="false" ht="15" hidden="false" customHeight="true" outlineLevel="0" collapsed="false">
      <c r="A171" s="9" t="s">
        <v>360</v>
      </c>
      <c r="B171" s="9" t="s">
        <v>361</v>
      </c>
      <c r="C171" s="9" t="s">
        <v>255</v>
      </c>
      <c r="D171" s="25" t="n">
        <v>46203</v>
      </c>
      <c r="E171" s="25" t="n">
        <v>46203</v>
      </c>
      <c r="F171" s="9" t="s">
        <v>227</v>
      </c>
      <c r="G171" s="3"/>
      <c r="H171" s="9" t="s">
        <v>228</v>
      </c>
      <c r="I171" s="9" t="s">
        <v>229</v>
      </c>
      <c r="J171" s="3"/>
      <c r="K171" s="9" t="s">
        <v>311</v>
      </c>
      <c r="L171" s="9" t="s">
        <v>312</v>
      </c>
      <c r="M171" s="3" t="s">
        <v>199</v>
      </c>
      <c r="N171" s="9" t="s">
        <v>178</v>
      </c>
      <c r="O171" s="8" t="n">
        <v>44630.64</v>
      </c>
      <c r="P171" s="8" t="n">
        <f aca="false">IF(N171="S",1,-1)*O171*100</f>
        <v>4463064</v>
      </c>
      <c r="Q171" s="9" t="s">
        <v>229</v>
      </c>
    </row>
    <row r="172" customFormat="false" ht="15" hidden="false" customHeight="true" outlineLevel="0" collapsed="false">
      <c r="A172" s="9" t="s">
        <v>360</v>
      </c>
      <c r="B172" s="9" t="s">
        <v>361</v>
      </c>
      <c r="C172" s="9" t="s">
        <v>255</v>
      </c>
      <c r="D172" s="25" t="n">
        <v>46203</v>
      </c>
      <c r="E172" s="25" t="n">
        <v>46203</v>
      </c>
      <c r="F172" s="9" t="s">
        <v>227</v>
      </c>
      <c r="G172" s="3"/>
      <c r="H172" s="9" t="s">
        <v>228</v>
      </c>
      <c r="I172" s="9" t="s">
        <v>229</v>
      </c>
      <c r="J172" s="3"/>
      <c r="K172" s="9" t="s">
        <v>311</v>
      </c>
      <c r="L172" s="9" t="s">
        <v>312</v>
      </c>
      <c r="M172" s="3" t="s">
        <v>199</v>
      </c>
      <c r="N172" s="9" t="s">
        <v>178</v>
      </c>
      <c r="O172" s="8" t="n">
        <v>369082.72</v>
      </c>
      <c r="P172" s="8" t="n">
        <f aca="false">IF(N172="S",1,-1)*O172*100</f>
        <v>36908272</v>
      </c>
      <c r="Q172" s="9" t="s">
        <v>229</v>
      </c>
    </row>
    <row r="173" customFormat="false" ht="15" hidden="false" customHeight="true" outlineLevel="0" collapsed="false">
      <c r="A173" s="9" t="s">
        <v>360</v>
      </c>
      <c r="B173" s="9" t="s">
        <v>361</v>
      </c>
      <c r="C173" s="9" t="s">
        <v>255</v>
      </c>
      <c r="D173" s="25" t="n">
        <v>46203</v>
      </c>
      <c r="E173" s="25" t="n">
        <v>46203</v>
      </c>
      <c r="F173" s="9" t="s">
        <v>227</v>
      </c>
      <c r="G173" s="3"/>
      <c r="H173" s="9" t="s">
        <v>228</v>
      </c>
      <c r="I173" s="9" t="s">
        <v>229</v>
      </c>
      <c r="J173" s="3"/>
      <c r="K173" s="9" t="s">
        <v>311</v>
      </c>
      <c r="L173" s="9" t="s">
        <v>312</v>
      </c>
      <c r="M173" s="3" t="s">
        <v>199</v>
      </c>
      <c r="N173" s="9" t="s">
        <v>178</v>
      </c>
      <c r="O173" s="8" t="n">
        <v>355079.19</v>
      </c>
      <c r="P173" s="8" t="n">
        <f aca="false">IF(N173="S",1,-1)*O173*100</f>
        <v>35507919</v>
      </c>
      <c r="Q173" s="9" t="s">
        <v>229</v>
      </c>
    </row>
    <row r="174" customFormat="false" ht="15" hidden="false" customHeight="true" outlineLevel="0" collapsed="false">
      <c r="A174" s="9" t="s">
        <v>360</v>
      </c>
      <c r="B174" s="9" t="s">
        <v>361</v>
      </c>
      <c r="C174" s="9" t="s">
        <v>255</v>
      </c>
      <c r="D174" s="25" t="n">
        <v>46203</v>
      </c>
      <c r="E174" s="25" t="n">
        <v>46203</v>
      </c>
      <c r="F174" s="9" t="s">
        <v>227</v>
      </c>
      <c r="G174" s="3"/>
      <c r="H174" s="9" t="s">
        <v>228</v>
      </c>
      <c r="I174" s="9" t="s">
        <v>229</v>
      </c>
      <c r="J174" s="3"/>
      <c r="K174" s="9" t="s">
        <v>311</v>
      </c>
      <c r="L174" s="9" t="s">
        <v>312</v>
      </c>
      <c r="M174" s="3" t="s">
        <v>199</v>
      </c>
      <c r="N174" s="9" t="s">
        <v>178</v>
      </c>
      <c r="O174" s="8" t="n">
        <v>695005.14</v>
      </c>
      <c r="P174" s="8" t="n">
        <f aca="false">IF(N174="S",1,-1)*O174*100</f>
        <v>69500514</v>
      </c>
      <c r="Q174" s="9" t="s">
        <v>229</v>
      </c>
    </row>
    <row r="175" customFormat="false" ht="15" hidden="false" customHeight="true" outlineLevel="0" collapsed="false">
      <c r="A175" s="9" t="s">
        <v>360</v>
      </c>
      <c r="B175" s="9" t="s">
        <v>361</v>
      </c>
      <c r="C175" s="9" t="s">
        <v>255</v>
      </c>
      <c r="D175" s="25" t="n">
        <v>46203</v>
      </c>
      <c r="E175" s="25" t="n">
        <v>46203</v>
      </c>
      <c r="F175" s="9" t="s">
        <v>227</v>
      </c>
      <c r="G175" s="3"/>
      <c r="H175" s="9" t="s">
        <v>228</v>
      </c>
      <c r="I175" s="9" t="s">
        <v>229</v>
      </c>
      <c r="J175" s="3"/>
      <c r="K175" s="9" t="s">
        <v>313</v>
      </c>
      <c r="L175" s="9" t="s">
        <v>314</v>
      </c>
      <c r="M175" s="3" t="s">
        <v>232</v>
      </c>
      <c r="N175" s="9" t="s">
        <v>182</v>
      </c>
      <c r="O175" s="8" t="n">
        <v>44630.64</v>
      </c>
      <c r="P175" s="8" t="n">
        <f aca="false">IF(N175="S",1,-1)*O175*100</f>
        <v>-4463064</v>
      </c>
      <c r="Q175" s="9" t="s">
        <v>229</v>
      </c>
    </row>
    <row r="176" customFormat="false" ht="15" hidden="false" customHeight="true" outlineLevel="0" collapsed="false">
      <c r="A176" s="9" t="s">
        <v>360</v>
      </c>
      <c r="B176" s="9" t="s">
        <v>361</v>
      </c>
      <c r="C176" s="9" t="s">
        <v>255</v>
      </c>
      <c r="D176" s="25" t="n">
        <v>46203</v>
      </c>
      <c r="E176" s="25" t="n">
        <v>46203</v>
      </c>
      <c r="F176" s="9" t="s">
        <v>227</v>
      </c>
      <c r="G176" s="3"/>
      <c r="H176" s="9" t="s">
        <v>228</v>
      </c>
      <c r="I176" s="9" t="s">
        <v>229</v>
      </c>
      <c r="J176" s="3"/>
      <c r="K176" s="9" t="s">
        <v>313</v>
      </c>
      <c r="L176" s="9" t="s">
        <v>314</v>
      </c>
      <c r="M176" s="3" t="s">
        <v>232</v>
      </c>
      <c r="N176" s="9" t="s">
        <v>182</v>
      </c>
      <c r="O176" s="8" t="n">
        <v>369082.72</v>
      </c>
      <c r="P176" s="8" t="n">
        <f aca="false">IF(N176="S",1,-1)*O176*100</f>
        <v>-36908272</v>
      </c>
      <c r="Q176" s="9" t="s">
        <v>229</v>
      </c>
    </row>
    <row r="177" customFormat="false" ht="15" hidden="false" customHeight="true" outlineLevel="0" collapsed="false">
      <c r="A177" s="9" t="s">
        <v>360</v>
      </c>
      <c r="B177" s="9" t="s">
        <v>361</v>
      </c>
      <c r="C177" s="9" t="s">
        <v>255</v>
      </c>
      <c r="D177" s="25" t="n">
        <v>46203</v>
      </c>
      <c r="E177" s="25" t="n">
        <v>46203</v>
      </c>
      <c r="F177" s="9" t="s">
        <v>227</v>
      </c>
      <c r="G177" s="3"/>
      <c r="H177" s="9" t="s">
        <v>228</v>
      </c>
      <c r="I177" s="9" t="s">
        <v>229</v>
      </c>
      <c r="J177" s="3"/>
      <c r="K177" s="9" t="s">
        <v>313</v>
      </c>
      <c r="L177" s="9" t="s">
        <v>314</v>
      </c>
      <c r="M177" s="3" t="s">
        <v>232</v>
      </c>
      <c r="N177" s="9" t="s">
        <v>182</v>
      </c>
      <c r="O177" s="8" t="n">
        <v>355079.19</v>
      </c>
      <c r="P177" s="8" t="n">
        <f aca="false">IF(N177="S",1,-1)*O177*100</f>
        <v>-35507919</v>
      </c>
      <c r="Q177" s="9" t="s">
        <v>229</v>
      </c>
    </row>
    <row r="178" customFormat="false" ht="15" hidden="false" customHeight="true" outlineLevel="0" collapsed="false">
      <c r="A178" s="9" t="s">
        <v>360</v>
      </c>
      <c r="B178" s="9" t="s">
        <v>361</v>
      </c>
      <c r="C178" s="9" t="s">
        <v>255</v>
      </c>
      <c r="D178" s="25" t="n">
        <v>46203</v>
      </c>
      <c r="E178" s="25" t="n">
        <v>46203</v>
      </c>
      <c r="F178" s="9" t="s">
        <v>227</v>
      </c>
      <c r="G178" s="3"/>
      <c r="H178" s="9" t="s">
        <v>228</v>
      </c>
      <c r="I178" s="9" t="s">
        <v>229</v>
      </c>
      <c r="J178" s="3"/>
      <c r="K178" s="9" t="s">
        <v>313</v>
      </c>
      <c r="L178" s="9" t="s">
        <v>314</v>
      </c>
      <c r="M178" s="3" t="s">
        <v>232</v>
      </c>
      <c r="N178" s="9" t="s">
        <v>182</v>
      </c>
      <c r="O178" s="8" t="n">
        <v>695005.14</v>
      </c>
      <c r="P178" s="8" t="n">
        <f aca="false">IF(N178="S",1,-1)*O178*100</f>
        <v>-69500514</v>
      </c>
      <c r="Q178" s="9" t="s">
        <v>229</v>
      </c>
    </row>
    <row r="179" customFormat="false" ht="15" hidden="false" customHeight="true" outlineLevel="0" collapsed="false">
      <c r="A179" s="9" t="s">
        <v>360</v>
      </c>
      <c r="B179" s="9" t="s">
        <v>362</v>
      </c>
      <c r="C179" s="9" t="s">
        <v>279</v>
      </c>
      <c r="D179" s="25" t="n">
        <v>46234</v>
      </c>
      <c r="E179" s="25" t="n">
        <v>46234</v>
      </c>
      <c r="F179" s="9" t="s">
        <v>227</v>
      </c>
      <c r="G179" s="3"/>
      <c r="H179" s="9" t="s">
        <v>228</v>
      </c>
      <c r="I179" s="9" t="s">
        <v>229</v>
      </c>
      <c r="J179" s="3"/>
      <c r="K179" s="9" t="s">
        <v>311</v>
      </c>
      <c r="L179" s="9" t="s">
        <v>312</v>
      </c>
      <c r="M179" s="3" t="s">
        <v>199</v>
      </c>
      <c r="N179" s="9" t="s">
        <v>182</v>
      </c>
      <c r="O179" s="8" t="n">
        <v>54578.96</v>
      </c>
      <c r="P179" s="8" t="n">
        <f aca="false">IF(N179="S",1,-1)*O179*100</f>
        <v>-5457896</v>
      </c>
      <c r="Q179" s="9" t="s">
        <v>363</v>
      </c>
    </row>
    <row r="180" customFormat="false" ht="15" hidden="false" customHeight="true" outlineLevel="0" collapsed="false">
      <c r="A180" s="9" t="s">
        <v>360</v>
      </c>
      <c r="B180" s="9" t="s">
        <v>362</v>
      </c>
      <c r="C180" s="9" t="s">
        <v>279</v>
      </c>
      <c r="D180" s="25" t="n">
        <v>46234</v>
      </c>
      <c r="E180" s="25" t="n">
        <v>46234</v>
      </c>
      <c r="F180" s="9" t="s">
        <v>227</v>
      </c>
      <c r="G180" s="3"/>
      <c r="H180" s="9" t="s">
        <v>228</v>
      </c>
      <c r="I180" s="9" t="s">
        <v>229</v>
      </c>
      <c r="J180" s="3"/>
      <c r="K180" s="9" t="s">
        <v>311</v>
      </c>
      <c r="L180" s="9" t="s">
        <v>312</v>
      </c>
      <c r="M180" s="3" t="s">
        <v>199</v>
      </c>
      <c r="N180" s="9" t="s">
        <v>178</v>
      </c>
      <c r="O180" s="8" t="n">
        <v>208480</v>
      </c>
      <c r="P180" s="8" t="n">
        <f aca="false">IF(N180="S",1,-1)*O180*100</f>
        <v>20848000</v>
      </c>
      <c r="Q180" s="9" t="s">
        <v>363</v>
      </c>
    </row>
    <row r="181" customFormat="false" ht="15" hidden="false" customHeight="true" outlineLevel="0" collapsed="false">
      <c r="A181" s="9" t="s">
        <v>360</v>
      </c>
      <c r="B181" s="9" t="s">
        <v>362</v>
      </c>
      <c r="C181" s="9" t="s">
        <v>279</v>
      </c>
      <c r="D181" s="25" t="n">
        <v>46234</v>
      </c>
      <c r="E181" s="25" t="n">
        <v>46234</v>
      </c>
      <c r="F181" s="9" t="s">
        <v>227</v>
      </c>
      <c r="G181" s="3"/>
      <c r="H181" s="9" t="s">
        <v>228</v>
      </c>
      <c r="I181" s="9" t="s">
        <v>229</v>
      </c>
      <c r="J181" s="3"/>
      <c r="K181" s="9" t="s">
        <v>311</v>
      </c>
      <c r="L181" s="9" t="s">
        <v>312</v>
      </c>
      <c r="M181" s="3" t="s">
        <v>199</v>
      </c>
      <c r="N181" s="9" t="s">
        <v>182</v>
      </c>
      <c r="O181" s="8" t="n">
        <v>65866.97</v>
      </c>
      <c r="P181" s="8" t="n">
        <f aca="false">IF(N181="S",1,-1)*O181*100</f>
        <v>-6586697</v>
      </c>
      <c r="Q181" s="9" t="s">
        <v>363</v>
      </c>
    </row>
    <row r="182" customFormat="false" ht="15" hidden="false" customHeight="true" outlineLevel="0" collapsed="false">
      <c r="A182" s="9" t="s">
        <v>360</v>
      </c>
      <c r="B182" s="9" t="s">
        <v>362</v>
      </c>
      <c r="C182" s="9" t="s">
        <v>279</v>
      </c>
      <c r="D182" s="25" t="n">
        <v>46234</v>
      </c>
      <c r="E182" s="25" t="n">
        <v>46234</v>
      </c>
      <c r="F182" s="9" t="s">
        <v>227</v>
      </c>
      <c r="G182" s="3"/>
      <c r="H182" s="9" t="s">
        <v>228</v>
      </c>
      <c r="I182" s="9" t="s">
        <v>229</v>
      </c>
      <c r="J182" s="3"/>
      <c r="K182" s="9" t="s">
        <v>311</v>
      </c>
      <c r="L182" s="9" t="s">
        <v>312</v>
      </c>
      <c r="M182" s="3" t="s">
        <v>199</v>
      </c>
      <c r="N182" s="9" t="s">
        <v>178</v>
      </c>
      <c r="O182" s="8" t="n">
        <v>334149.08</v>
      </c>
      <c r="P182" s="8" t="n">
        <f aca="false">IF(N182="S",1,-1)*O182*100</f>
        <v>33414908</v>
      </c>
      <c r="Q182" s="9" t="s">
        <v>363</v>
      </c>
    </row>
    <row r="183" customFormat="false" ht="15" hidden="false" customHeight="true" outlineLevel="0" collapsed="false">
      <c r="A183" s="9" t="s">
        <v>360</v>
      </c>
      <c r="B183" s="9" t="s">
        <v>362</v>
      </c>
      <c r="C183" s="9" t="s">
        <v>279</v>
      </c>
      <c r="D183" s="25" t="n">
        <v>46234</v>
      </c>
      <c r="E183" s="25" t="n">
        <v>46234</v>
      </c>
      <c r="F183" s="9" t="s">
        <v>227</v>
      </c>
      <c r="G183" s="3"/>
      <c r="H183" s="9" t="s">
        <v>228</v>
      </c>
      <c r="I183" s="9" t="s">
        <v>229</v>
      </c>
      <c r="J183" s="3"/>
      <c r="K183" s="9" t="s">
        <v>313</v>
      </c>
      <c r="L183" s="9" t="s">
        <v>314</v>
      </c>
      <c r="M183" s="3" t="s">
        <v>232</v>
      </c>
      <c r="N183" s="9" t="s">
        <v>178</v>
      </c>
      <c r="O183" s="8" t="n">
        <v>54578.96</v>
      </c>
      <c r="P183" s="8" t="n">
        <f aca="false">IF(N183="S",1,-1)*O183*100</f>
        <v>5457896</v>
      </c>
      <c r="Q183" s="9" t="s">
        <v>363</v>
      </c>
    </row>
    <row r="184" customFormat="false" ht="15" hidden="false" customHeight="true" outlineLevel="0" collapsed="false">
      <c r="A184" s="9" t="s">
        <v>360</v>
      </c>
      <c r="B184" s="9" t="s">
        <v>362</v>
      </c>
      <c r="C184" s="9" t="s">
        <v>279</v>
      </c>
      <c r="D184" s="25" t="n">
        <v>46234</v>
      </c>
      <c r="E184" s="25" t="n">
        <v>46234</v>
      </c>
      <c r="F184" s="9" t="s">
        <v>227</v>
      </c>
      <c r="G184" s="3"/>
      <c r="H184" s="9" t="s">
        <v>228</v>
      </c>
      <c r="I184" s="9" t="s">
        <v>229</v>
      </c>
      <c r="J184" s="3"/>
      <c r="K184" s="9" t="s">
        <v>313</v>
      </c>
      <c r="L184" s="9" t="s">
        <v>314</v>
      </c>
      <c r="M184" s="3" t="s">
        <v>232</v>
      </c>
      <c r="N184" s="9" t="s">
        <v>182</v>
      </c>
      <c r="O184" s="8" t="n">
        <v>208480</v>
      </c>
      <c r="P184" s="8" t="n">
        <f aca="false">IF(N184="S",1,-1)*O184*100</f>
        <v>-20848000</v>
      </c>
      <c r="Q184" s="9" t="s">
        <v>363</v>
      </c>
    </row>
    <row r="185" customFormat="false" ht="15" hidden="false" customHeight="true" outlineLevel="0" collapsed="false">
      <c r="A185" s="9" t="s">
        <v>360</v>
      </c>
      <c r="B185" s="9" t="s">
        <v>362</v>
      </c>
      <c r="C185" s="9" t="s">
        <v>279</v>
      </c>
      <c r="D185" s="25" t="n">
        <v>46234</v>
      </c>
      <c r="E185" s="25" t="n">
        <v>46234</v>
      </c>
      <c r="F185" s="9" t="s">
        <v>227</v>
      </c>
      <c r="G185" s="3"/>
      <c r="H185" s="9" t="s">
        <v>228</v>
      </c>
      <c r="I185" s="9" t="s">
        <v>229</v>
      </c>
      <c r="J185" s="3"/>
      <c r="K185" s="9" t="s">
        <v>313</v>
      </c>
      <c r="L185" s="9" t="s">
        <v>314</v>
      </c>
      <c r="M185" s="3" t="s">
        <v>232</v>
      </c>
      <c r="N185" s="9" t="s">
        <v>178</v>
      </c>
      <c r="O185" s="8" t="n">
        <v>65866.97</v>
      </c>
      <c r="P185" s="8" t="n">
        <f aca="false">IF(N185="S",1,-1)*O185*100</f>
        <v>6586697</v>
      </c>
      <c r="Q185" s="9" t="s">
        <v>363</v>
      </c>
    </row>
    <row r="186" customFormat="false" ht="15" hidden="false" customHeight="true" outlineLevel="0" collapsed="false">
      <c r="A186" s="9" t="s">
        <v>360</v>
      </c>
      <c r="B186" s="9" t="s">
        <v>362</v>
      </c>
      <c r="C186" s="9" t="s">
        <v>279</v>
      </c>
      <c r="D186" s="25" t="n">
        <v>46234</v>
      </c>
      <c r="E186" s="25" t="n">
        <v>46234</v>
      </c>
      <c r="F186" s="9" t="s">
        <v>227</v>
      </c>
      <c r="G186" s="3"/>
      <c r="H186" s="9" t="s">
        <v>228</v>
      </c>
      <c r="I186" s="9" t="s">
        <v>229</v>
      </c>
      <c r="J186" s="3"/>
      <c r="K186" s="9" t="s">
        <v>313</v>
      </c>
      <c r="L186" s="9" t="s">
        <v>314</v>
      </c>
      <c r="M186" s="3" t="s">
        <v>232</v>
      </c>
      <c r="N186" s="9" t="s">
        <v>182</v>
      </c>
      <c r="O186" s="8" t="n">
        <v>334149.08</v>
      </c>
      <c r="P186" s="8" t="n">
        <f aca="false">IF(N186="S",1,-1)*O186*100</f>
        <v>-33414908</v>
      </c>
      <c r="Q186" s="9" t="s">
        <v>363</v>
      </c>
    </row>
    <row r="187" customFormat="false" ht="15" hidden="false" customHeight="true" outlineLevel="0" collapsed="false">
      <c r="A187" s="9" t="s">
        <v>360</v>
      </c>
      <c r="B187" s="9" t="s">
        <v>364</v>
      </c>
      <c r="C187" s="9" t="s">
        <v>324</v>
      </c>
      <c r="D187" s="25" t="n">
        <v>46265</v>
      </c>
      <c r="E187" s="25" t="n">
        <v>46265</v>
      </c>
      <c r="F187" s="9" t="s">
        <v>227</v>
      </c>
      <c r="G187" s="3"/>
      <c r="H187" s="9" t="s">
        <v>228</v>
      </c>
      <c r="I187" s="9" t="s">
        <v>229</v>
      </c>
      <c r="J187" s="3"/>
      <c r="K187" s="9" t="s">
        <v>311</v>
      </c>
      <c r="L187" s="9" t="s">
        <v>312</v>
      </c>
      <c r="M187" s="3" t="s">
        <v>199</v>
      </c>
      <c r="N187" s="9" t="s">
        <v>182</v>
      </c>
      <c r="O187" s="8" t="n">
        <v>4974.16</v>
      </c>
      <c r="P187" s="8" t="n">
        <f aca="false">IF(N187="S",1,-1)*O187*100</f>
        <v>-497416</v>
      </c>
      <c r="Q187" s="9" t="s">
        <v>365</v>
      </c>
    </row>
    <row r="188" customFormat="false" ht="15" hidden="false" customHeight="true" outlineLevel="0" collapsed="false">
      <c r="A188" s="9" t="s">
        <v>360</v>
      </c>
      <c r="B188" s="9" t="s">
        <v>364</v>
      </c>
      <c r="C188" s="9" t="s">
        <v>324</v>
      </c>
      <c r="D188" s="25" t="n">
        <v>46265</v>
      </c>
      <c r="E188" s="25" t="n">
        <v>46265</v>
      </c>
      <c r="F188" s="9" t="s">
        <v>227</v>
      </c>
      <c r="G188" s="3"/>
      <c r="H188" s="9" t="s">
        <v>228</v>
      </c>
      <c r="I188" s="9" t="s">
        <v>229</v>
      </c>
      <c r="J188" s="3"/>
      <c r="K188" s="9" t="s">
        <v>311</v>
      </c>
      <c r="L188" s="9" t="s">
        <v>312</v>
      </c>
      <c r="M188" s="3" t="s">
        <v>199</v>
      </c>
      <c r="N188" s="9" t="s">
        <v>178</v>
      </c>
      <c r="O188" s="8" t="n">
        <v>288781.36</v>
      </c>
      <c r="P188" s="8" t="n">
        <f aca="false">IF(N188="S",1,-1)*O188*100</f>
        <v>28878136</v>
      </c>
      <c r="Q188" s="9" t="s">
        <v>365</v>
      </c>
    </row>
    <row r="189" customFormat="false" ht="15" hidden="false" customHeight="true" outlineLevel="0" collapsed="false">
      <c r="A189" s="9" t="s">
        <v>360</v>
      </c>
      <c r="B189" s="9" t="s">
        <v>364</v>
      </c>
      <c r="C189" s="9" t="s">
        <v>324</v>
      </c>
      <c r="D189" s="25" t="n">
        <v>46265</v>
      </c>
      <c r="E189" s="25" t="n">
        <v>46265</v>
      </c>
      <c r="F189" s="9" t="s">
        <v>227</v>
      </c>
      <c r="G189" s="3"/>
      <c r="H189" s="9" t="s">
        <v>228</v>
      </c>
      <c r="I189" s="9" t="s">
        <v>229</v>
      </c>
      <c r="J189" s="3"/>
      <c r="K189" s="9" t="s">
        <v>311</v>
      </c>
      <c r="L189" s="9" t="s">
        <v>312</v>
      </c>
      <c r="M189" s="3" t="s">
        <v>199</v>
      </c>
      <c r="N189" s="9" t="s">
        <v>178</v>
      </c>
      <c r="O189" s="8" t="n">
        <v>144606.11</v>
      </c>
      <c r="P189" s="8" t="n">
        <f aca="false">IF(N189="S",1,-1)*O189*100</f>
        <v>14460611</v>
      </c>
      <c r="Q189" s="9" t="s">
        <v>365</v>
      </c>
    </row>
    <row r="190" customFormat="false" ht="15" hidden="false" customHeight="true" outlineLevel="0" collapsed="false">
      <c r="A190" s="9" t="s">
        <v>360</v>
      </c>
      <c r="B190" s="9" t="s">
        <v>364</v>
      </c>
      <c r="C190" s="9" t="s">
        <v>324</v>
      </c>
      <c r="D190" s="25" t="n">
        <v>46265</v>
      </c>
      <c r="E190" s="25" t="n">
        <v>46265</v>
      </c>
      <c r="F190" s="9" t="s">
        <v>227</v>
      </c>
      <c r="G190" s="3"/>
      <c r="H190" s="9" t="s">
        <v>228</v>
      </c>
      <c r="I190" s="9" t="s">
        <v>229</v>
      </c>
      <c r="J190" s="3"/>
      <c r="K190" s="9" t="s">
        <v>311</v>
      </c>
      <c r="L190" s="9" t="s">
        <v>312</v>
      </c>
      <c r="M190" s="3" t="s">
        <v>199</v>
      </c>
      <c r="N190" s="9" t="s">
        <v>178</v>
      </c>
      <c r="O190" s="8" t="n">
        <v>514577.11</v>
      </c>
      <c r="P190" s="8" t="n">
        <f aca="false">IF(N190="S",1,-1)*O190*100</f>
        <v>51457711</v>
      </c>
      <c r="Q190" s="9" t="s">
        <v>365</v>
      </c>
    </row>
    <row r="191" customFormat="false" ht="15" hidden="false" customHeight="true" outlineLevel="0" collapsed="false">
      <c r="A191" s="9" t="s">
        <v>360</v>
      </c>
      <c r="B191" s="9" t="s">
        <v>364</v>
      </c>
      <c r="C191" s="9" t="s">
        <v>324</v>
      </c>
      <c r="D191" s="25" t="n">
        <v>46265</v>
      </c>
      <c r="E191" s="25" t="n">
        <v>46265</v>
      </c>
      <c r="F191" s="9" t="s">
        <v>227</v>
      </c>
      <c r="G191" s="3"/>
      <c r="H191" s="9" t="s">
        <v>228</v>
      </c>
      <c r="I191" s="9" t="s">
        <v>229</v>
      </c>
      <c r="J191" s="3"/>
      <c r="K191" s="9" t="s">
        <v>313</v>
      </c>
      <c r="L191" s="9" t="s">
        <v>314</v>
      </c>
      <c r="M191" s="3" t="s">
        <v>232</v>
      </c>
      <c r="N191" s="9" t="s">
        <v>178</v>
      </c>
      <c r="O191" s="8" t="n">
        <v>4974.16</v>
      </c>
      <c r="P191" s="8" t="n">
        <f aca="false">IF(N191="S",1,-1)*O191*100</f>
        <v>497416</v>
      </c>
      <c r="Q191" s="9" t="s">
        <v>365</v>
      </c>
    </row>
    <row r="192" customFormat="false" ht="15" hidden="false" customHeight="true" outlineLevel="0" collapsed="false">
      <c r="A192" s="9" t="s">
        <v>360</v>
      </c>
      <c r="B192" s="9" t="s">
        <v>364</v>
      </c>
      <c r="C192" s="9" t="s">
        <v>324</v>
      </c>
      <c r="D192" s="25" t="n">
        <v>46265</v>
      </c>
      <c r="E192" s="25" t="n">
        <v>46265</v>
      </c>
      <c r="F192" s="9" t="s">
        <v>227</v>
      </c>
      <c r="G192" s="3"/>
      <c r="H192" s="9" t="s">
        <v>228</v>
      </c>
      <c r="I192" s="9" t="s">
        <v>229</v>
      </c>
      <c r="J192" s="3"/>
      <c r="K192" s="9" t="s">
        <v>313</v>
      </c>
      <c r="L192" s="9" t="s">
        <v>314</v>
      </c>
      <c r="M192" s="3" t="s">
        <v>232</v>
      </c>
      <c r="N192" s="9" t="s">
        <v>182</v>
      </c>
      <c r="O192" s="8" t="n">
        <v>288781.36</v>
      </c>
      <c r="P192" s="8" t="n">
        <f aca="false">IF(N192="S",1,-1)*O192*100</f>
        <v>-28878136</v>
      </c>
      <c r="Q192" s="9" t="s">
        <v>365</v>
      </c>
    </row>
    <row r="193" customFormat="false" ht="15" hidden="false" customHeight="true" outlineLevel="0" collapsed="false">
      <c r="A193" s="9" t="s">
        <v>360</v>
      </c>
      <c r="B193" s="9" t="s">
        <v>364</v>
      </c>
      <c r="C193" s="9" t="s">
        <v>324</v>
      </c>
      <c r="D193" s="25" t="n">
        <v>46265</v>
      </c>
      <c r="E193" s="25" t="n">
        <v>46265</v>
      </c>
      <c r="F193" s="9" t="s">
        <v>227</v>
      </c>
      <c r="G193" s="3"/>
      <c r="H193" s="9" t="s">
        <v>228</v>
      </c>
      <c r="I193" s="9" t="s">
        <v>229</v>
      </c>
      <c r="J193" s="3"/>
      <c r="K193" s="9" t="s">
        <v>313</v>
      </c>
      <c r="L193" s="9" t="s">
        <v>314</v>
      </c>
      <c r="M193" s="3" t="s">
        <v>232</v>
      </c>
      <c r="N193" s="9" t="s">
        <v>182</v>
      </c>
      <c r="O193" s="8" t="n">
        <v>144606.11</v>
      </c>
      <c r="P193" s="8" t="n">
        <f aca="false">IF(N193="S",1,-1)*O193*100</f>
        <v>-14460611</v>
      </c>
      <c r="Q193" s="9" t="s">
        <v>365</v>
      </c>
    </row>
    <row r="194" customFormat="false" ht="15" hidden="false" customHeight="true" outlineLevel="0" collapsed="false">
      <c r="A194" s="9" t="s">
        <v>360</v>
      </c>
      <c r="B194" s="9" t="s">
        <v>364</v>
      </c>
      <c r="C194" s="9" t="s">
        <v>324</v>
      </c>
      <c r="D194" s="25" t="n">
        <v>46265</v>
      </c>
      <c r="E194" s="25" t="n">
        <v>46265</v>
      </c>
      <c r="F194" s="9" t="s">
        <v>227</v>
      </c>
      <c r="G194" s="3"/>
      <c r="H194" s="9" t="s">
        <v>228</v>
      </c>
      <c r="I194" s="9" t="s">
        <v>229</v>
      </c>
      <c r="J194" s="3"/>
      <c r="K194" s="9" t="s">
        <v>313</v>
      </c>
      <c r="L194" s="9" t="s">
        <v>314</v>
      </c>
      <c r="M194" s="3" t="s">
        <v>232</v>
      </c>
      <c r="N194" s="9" t="s">
        <v>182</v>
      </c>
      <c r="O194" s="8" t="n">
        <v>514577.11</v>
      </c>
      <c r="P194" s="8" t="n">
        <f aca="false">IF(N194="S",1,-1)*O194*100</f>
        <v>-51457711</v>
      </c>
      <c r="Q194" s="9" t="s">
        <v>365</v>
      </c>
    </row>
    <row r="195" customFormat="false" ht="15" hidden="false" customHeight="true" outlineLevel="0" collapsed="false">
      <c r="A195" s="9" t="s">
        <v>360</v>
      </c>
      <c r="B195" s="9" t="s">
        <v>366</v>
      </c>
      <c r="C195" s="9" t="s">
        <v>296</v>
      </c>
      <c r="D195" s="25" t="n">
        <v>46295</v>
      </c>
      <c r="E195" s="25" t="n">
        <v>46295</v>
      </c>
      <c r="F195" s="9" t="s">
        <v>227</v>
      </c>
      <c r="G195" s="3"/>
      <c r="H195" s="9" t="s">
        <v>228</v>
      </c>
      <c r="I195" s="9" t="s">
        <v>229</v>
      </c>
      <c r="J195" s="3"/>
      <c r="K195" s="9" t="s">
        <v>311</v>
      </c>
      <c r="L195" s="9" t="s">
        <v>312</v>
      </c>
      <c r="M195" s="3" t="s">
        <v>199</v>
      </c>
      <c r="N195" s="9" t="s">
        <v>182</v>
      </c>
      <c r="O195" s="8" t="n">
        <v>4974.16</v>
      </c>
      <c r="P195" s="8" t="n">
        <f aca="false">IF(N195="S",1,-1)*O195*100</f>
        <v>-497416</v>
      </c>
      <c r="Q195" s="9" t="s">
        <v>367</v>
      </c>
    </row>
    <row r="196" customFormat="false" ht="15" hidden="false" customHeight="true" outlineLevel="0" collapsed="false">
      <c r="A196" s="9" t="s">
        <v>360</v>
      </c>
      <c r="B196" s="9" t="s">
        <v>366</v>
      </c>
      <c r="C196" s="9" t="s">
        <v>296</v>
      </c>
      <c r="D196" s="25" t="n">
        <v>46295</v>
      </c>
      <c r="E196" s="25" t="n">
        <v>46295</v>
      </c>
      <c r="F196" s="9" t="s">
        <v>227</v>
      </c>
      <c r="G196" s="3"/>
      <c r="H196" s="9" t="s">
        <v>228</v>
      </c>
      <c r="I196" s="9" t="s">
        <v>229</v>
      </c>
      <c r="J196" s="3"/>
      <c r="K196" s="9" t="s">
        <v>311</v>
      </c>
      <c r="L196" s="9" t="s">
        <v>312</v>
      </c>
      <c r="M196" s="3" t="s">
        <v>199</v>
      </c>
      <c r="N196" s="9" t="s">
        <v>178</v>
      </c>
      <c r="O196" s="8" t="n">
        <v>288781.36</v>
      </c>
      <c r="P196" s="8" t="n">
        <f aca="false">IF(N196="S",1,-1)*O196*100</f>
        <v>28878136</v>
      </c>
      <c r="Q196" s="9" t="s">
        <v>367</v>
      </c>
    </row>
    <row r="197" customFormat="false" ht="15" hidden="false" customHeight="true" outlineLevel="0" collapsed="false">
      <c r="A197" s="9" t="s">
        <v>360</v>
      </c>
      <c r="B197" s="9" t="s">
        <v>366</v>
      </c>
      <c r="C197" s="9" t="s">
        <v>296</v>
      </c>
      <c r="D197" s="25" t="n">
        <v>46295</v>
      </c>
      <c r="E197" s="25" t="n">
        <v>46295</v>
      </c>
      <c r="F197" s="9" t="s">
        <v>227</v>
      </c>
      <c r="G197" s="3"/>
      <c r="H197" s="9" t="s">
        <v>228</v>
      </c>
      <c r="I197" s="9" t="s">
        <v>229</v>
      </c>
      <c r="J197" s="3"/>
      <c r="K197" s="9" t="s">
        <v>311</v>
      </c>
      <c r="L197" s="9" t="s">
        <v>312</v>
      </c>
      <c r="M197" s="3" t="s">
        <v>199</v>
      </c>
      <c r="N197" s="9" t="s">
        <v>178</v>
      </c>
      <c r="O197" s="8" t="n">
        <v>144606.11</v>
      </c>
      <c r="P197" s="8" t="n">
        <f aca="false">IF(N197="S",1,-1)*O197*100</f>
        <v>14460611</v>
      </c>
      <c r="Q197" s="9" t="s">
        <v>367</v>
      </c>
    </row>
    <row r="198" customFormat="false" ht="15" hidden="false" customHeight="true" outlineLevel="0" collapsed="false">
      <c r="A198" s="9" t="s">
        <v>360</v>
      </c>
      <c r="B198" s="9" t="s">
        <v>366</v>
      </c>
      <c r="C198" s="9" t="s">
        <v>296</v>
      </c>
      <c r="D198" s="25" t="n">
        <v>46295</v>
      </c>
      <c r="E198" s="25" t="n">
        <v>46295</v>
      </c>
      <c r="F198" s="9" t="s">
        <v>227</v>
      </c>
      <c r="G198" s="3"/>
      <c r="H198" s="9" t="s">
        <v>228</v>
      </c>
      <c r="I198" s="9" t="s">
        <v>229</v>
      </c>
      <c r="J198" s="3"/>
      <c r="K198" s="9" t="s">
        <v>311</v>
      </c>
      <c r="L198" s="9" t="s">
        <v>312</v>
      </c>
      <c r="M198" s="3" t="s">
        <v>199</v>
      </c>
      <c r="N198" s="9" t="s">
        <v>178</v>
      </c>
      <c r="O198" s="8" t="n">
        <v>514577.11</v>
      </c>
      <c r="P198" s="8" t="n">
        <f aca="false">IF(N198="S",1,-1)*O198*100</f>
        <v>51457711</v>
      </c>
      <c r="Q198" s="9" t="s">
        <v>367</v>
      </c>
    </row>
    <row r="199" customFormat="false" ht="15" hidden="false" customHeight="true" outlineLevel="0" collapsed="false">
      <c r="A199" s="9" t="s">
        <v>360</v>
      </c>
      <c r="B199" s="9" t="s">
        <v>366</v>
      </c>
      <c r="C199" s="9" t="s">
        <v>296</v>
      </c>
      <c r="D199" s="25" t="n">
        <v>46295</v>
      </c>
      <c r="E199" s="25" t="n">
        <v>46295</v>
      </c>
      <c r="F199" s="9" t="s">
        <v>227</v>
      </c>
      <c r="G199" s="3"/>
      <c r="H199" s="9" t="s">
        <v>228</v>
      </c>
      <c r="I199" s="9" t="s">
        <v>229</v>
      </c>
      <c r="J199" s="3"/>
      <c r="K199" s="9" t="s">
        <v>313</v>
      </c>
      <c r="L199" s="9" t="s">
        <v>314</v>
      </c>
      <c r="M199" s="3" t="s">
        <v>232</v>
      </c>
      <c r="N199" s="9" t="s">
        <v>178</v>
      </c>
      <c r="O199" s="8" t="n">
        <v>4974.16</v>
      </c>
      <c r="P199" s="8" t="n">
        <f aca="false">IF(N199="S",1,-1)*O199*100</f>
        <v>497416</v>
      </c>
      <c r="Q199" s="9" t="s">
        <v>367</v>
      </c>
    </row>
    <row r="200" customFormat="false" ht="15" hidden="false" customHeight="true" outlineLevel="0" collapsed="false">
      <c r="A200" s="9" t="s">
        <v>360</v>
      </c>
      <c r="B200" s="9" t="s">
        <v>366</v>
      </c>
      <c r="C200" s="9" t="s">
        <v>296</v>
      </c>
      <c r="D200" s="25" t="n">
        <v>46295</v>
      </c>
      <c r="E200" s="25" t="n">
        <v>46295</v>
      </c>
      <c r="F200" s="9" t="s">
        <v>227</v>
      </c>
      <c r="G200" s="3"/>
      <c r="H200" s="9" t="s">
        <v>228</v>
      </c>
      <c r="I200" s="9" t="s">
        <v>229</v>
      </c>
      <c r="J200" s="3"/>
      <c r="K200" s="9" t="s">
        <v>313</v>
      </c>
      <c r="L200" s="9" t="s">
        <v>314</v>
      </c>
      <c r="M200" s="3" t="s">
        <v>232</v>
      </c>
      <c r="N200" s="9" t="s">
        <v>182</v>
      </c>
      <c r="O200" s="8" t="n">
        <v>288781.36</v>
      </c>
      <c r="P200" s="8" t="n">
        <f aca="false">IF(N200="S",1,-1)*O200*100</f>
        <v>-28878136</v>
      </c>
      <c r="Q200" s="9" t="s">
        <v>367</v>
      </c>
    </row>
    <row r="201" customFormat="false" ht="15" hidden="false" customHeight="true" outlineLevel="0" collapsed="false">
      <c r="A201" s="9" t="s">
        <v>360</v>
      </c>
      <c r="B201" s="9" t="s">
        <v>366</v>
      </c>
      <c r="C201" s="9" t="s">
        <v>296</v>
      </c>
      <c r="D201" s="25" t="n">
        <v>46295</v>
      </c>
      <c r="E201" s="25" t="n">
        <v>46295</v>
      </c>
      <c r="F201" s="9" t="s">
        <v>227</v>
      </c>
      <c r="G201" s="3"/>
      <c r="H201" s="9" t="s">
        <v>228</v>
      </c>
      <c r="I201" s="9" t="s">
        <v>229</v>
      </c>
      <c r="J201" s="3"/>
      <c r="K201" s="9" t="s">
        <v>313</v>
      </c>
      <c r="L201" s="9" t="s">
        <v>314</v>
      </c>
      <c r="M201" s="3" t="s">
        <v>232</v>
      </c>
      <c r="N201" s="9" t="s">
        <v>182</v>
      </c>
      <c r="O201" s="8" t="n">
        <v>144606.11</v>
      </c>
      <c r="P201" s="8" t="n">
        <f aca="false">IF(N201="S",1,-1)*O201*100</f>
        <v>-14460611</v>
      </c>
      <c r="Q201" s="9" t="s">
        <v>367</v>
      </c>
    </row>
    <row r="202" customFormat="false" ht="15" hidden="false" customHeight="true" outlineLevel="0" collapsed="false">
      <c r="A202" s="9" t="s">
        <v>360</v>
      </c>
      <c r="B202" s="9" t="s">
        <v>366</v>
      </c>
      <c r="C202" s="9" t="s">
        <v>296</v>
      </c>
      <c r="D202" s="25" t="n">
        <v>46295</v>
      </c>
      <c r="E202" s="25" t="n">
        <v>46295</v>
      </c>
      <c r="F202" s="9" t="s">
        <v>227</v>
      </c>
      <c r="G202" s="3"/>
      <c r="H202" s="9" t="s">
        <v>228</v>
      </c>
      <c r="I202" s="9" t="s">
        <v>229</v>
      </c>
      <c r="J202" s="3"/>
      <c r="K202" s="9" t="s">
        <v>313</v>
      </c>
      <c r="L202" s="9" t="s">
        <v>314</v>
      </c>
      <c r="M202" s="3" t="s">
        <v>232</v>
      </c>
      <c r="N202" s="9" t="s">
        <v>182</v>
      </c>
      <c r="O202" s="8" t="n">
        <v>514577.11</v>
      </c>
      <c r="P202" s="8" t="n">
        <f aca="false">IF(N202="S",1,-1)*O202*100</f>
        <v>-51457711</v>
      </c>
      <c r="Q202" s="9" t="s">
        <v>367</v>
      </c>
    </row>
    <row r="203" customFormat="false" ht="15" hidden="false" customHeight="true" outlineLevel="0" collapsed="false">
      <c r="A203" s="9" t="s">
        <v>368</v>
      </c>
      <c r="B203" s="9" t="s">
        <v>369</v>
      </c>
      <c r="C203" s="9" t="s">
        <v>255</v>
      </c>
      <c r="D203" s="25" t="n">
        <v>46203</v>
      </c>
      <c r="E203" s="25" t="n">
        <v>46199</v>
      </c>
      <c r="F203" s="9" t="s">
        <v>299</v>
      </c>
      <c r="G203" s="9" t="s">
        <v>370</v>
      </c>
      <c r="H203" s="9" t="s">
        <v>275</v>
      </c>
      <c r="I203" s="9" t="s">
        <v>371</v>
      </c>
      <c r="J203" s="3"/>
      <c r="K203" s="9" t="s">
        <v>222</v>
      </c>
      <c r="L203" s="9" t="s">
        <v>223</v>
      </c>
      <c r="M203" s="3" t="s">
        <v>199</v>
      </c>
      <c r="N203" s="9" t="s">
        <v>178</v>
      </c>
      <c r="O203" s="8" t="n">
        <v>11351.37</v>
      </c>
      <c r="P203" s="8" t="n">
        <f aca="false">IF(N203="S",1,-1)*O203*100</f>
        <v>1135137</v>
      </c>
      <c r="Q203" s="9" t="s">
        <v>371</v>
      </c>
    </row>
    <row r="204" customFormat="false" ht="15" hidden="false" customHeight="true" outlineLevel="0" collapsed="false">
      <c r="A204" s="9" t="s">
        <v>368</v>
      </c>
      <c r="B204" s="9" t="s">
        <v>369</v>
      </c>
      <c r="C204" s="9" t="s">
        <v>255</v>
      </c>
      <c r="D204" s="25" t="n">
        <v>46203</v>
      </c>
      <c r="E204" s="25" t="n">
        <v>46199</v>
      </c>
      <c r="F204" s="9" t="s">
        <v>299</v>
      </c>
      <c r="G204" s="9" t="s">
        <v>370</v>
      </c>
      <c r="H204" s="9" t="s">
        <v>275</v>
      </c>
      <c r="I204" s="9" t="s">
        <v>371</v>
      </c>
      <c r="J204" s="3"/>
      <c r="K204" s="9" t="s">
        <v>222</v>
      </c>
      <c r="L204" s="9" t="s">
        <v>223</v>
      </c>
      <c r="M204" s="3" t="s">
        <v>199</v>
      </c>
      <c r="N204" s="9" t="s">
        <v>178</v>
      </c>
      <c r="O204" s="8" t="n">
        <v>7730.39</v>
      </c>
      <c r="P204" s="8" t="n">
        <f aca="false">IF(N204="S",1,-1)*O204*100</f>
        <v>773039</v>
      </c>
      <c r="Q204" s="9" t="s">
        <v>371</v>
      </c>
    </row>
    <row r="205" customFormat="false" ht="15" hidden="false" customHeight="true" outlineLevel="0" collapsed="false">
      <c r="A205" s="9" t="s">
        <v>368</v>
      </c>
      <c r="B205" s="9" t="s">
        <v>369</v>
      </c>
      <c r="C205" s="9" t="s">
        <v>255</v>
      </c>
      <c r="D205" s="25" t="n">
        <v>46203</v>
      </c>
      <c r="E205" s="25" t="n">
        <v>46199</v>
      </c>
      <c r="F205" s="9" t="s">
        <v>299</v>
      </c>
      <c r="G205" s="9" t="s">
        <v>370</v>
      </c>
      <c r="H205" s="9" t="s">
        <v>275</v>
      </c>
      <c r="I205" s="9" t="s">
        <v>371</v>
      </c>
      <c r="J205" s="3"/>
      <c r="K205" s="9" t="s">
        <v>306</v>
      </c>
      <c r="L205" s="9" t="s">
        <v>307</v>
      </c>
      <c r="M205" s="3" t="s">
        <v>250</v>
      </c>
      <c r="N205" s="9" t="s">
        <v>178</v>
      </c>
      <c r="O205" s="8" t="n">
        <v>1908.18</v>
      </c>
      <c r="P205" s="8" t="n">
        <f aca="false">IF(N205="S",1,-1)*O205*100</f>
        <v>190818</v>
      </c>
      <c r="Q205" s="3"/>
    </row>
    <row r="206" customFormat="false" ht="15" hidden="false" customHeight="true" outlineLevel="0" collapsed="false">
      <c r="A206" s="9" t="s">
        <v>368</v>
      </c>
      <c r="B206" s="9" t="s">
        <v>369</v>
      </c>
      <c r="C206" s="9" t="s">
        <v>255</v>
      </c>
      <c r="D206" s="25" t="n">
        <v>46203</v>
      </c>
      <c r="E206" s="25" t="n">
        <v>46199</v>
      </c>
      <c r="F206" s="9" t="s">
        <v>299</v>
      </c>
      <c r="G206" s="9" t="s">
        <v>370</v>
      </c>
      <c r="H206" s="9" t="s">
        <v>275</v>
      </c>
      <c r="I206" s="9" t="s">
        <v>371</v>
      </c>
      <c r="J206" s="3"/>
      <c r="K206" s="9" t="s">
        <v>302</v>
      </c>
      <c r="L206" s="9" t="s">
        <v>303</v>
      </c>
      <c r="M206" s="3" t="s">
        <v>304</v>
      </c>
      <c r="N206" s="9" t="s">
        <v>182</v>
      </c>
      <c r="O206" s="8" t="n">
        <v>20989.94</v>
      </c>
      <c r="P206" s="8" t="n">
        <f aca="false">IF(N206="S",1,-1)*O206*100</f>
        <v>-2098994</v>
      </c>
      <c r="Q206" s="9" t="s">
        <v>371</v>
      </c>
    </row>
    <row r="207" customFormat="false" ht="15" hidden="false" customHeight="true" outlineLevel="0" collapsed="false">
      <c r="A207" s="9" t="s">
        <v>368</v>
      </c>
      <c r="B207" s="9" t="s">
        <v>372</v>
      </c>
      <c r="C207" s="9" t="s">
        <v>279</v>
      </c>
      <c r="D207" s="25" t="n">
        <v>46234</v>
      </c>
      <c r="E207" s="25" t="n">
        <v>46231</v>
      </c>
      <c r="F207" s="9" t="s">
        <v>299</v>
      </c>
      <c r="G207" s="9" t="s">
        <v>370</v>
      </c>
      <c r="H207" s="9" t="s">
        <v>275</v>
      </c>
      <c r="I207" s="9" t="s">
        <v>373</v>
      </c>
      <c r="J207" s="3"/>
      <c r="K207" s="9" t="s">
        <v>222</v>
      </c>
      <c r="L207" s="9" t="s">
        <v>223</v>
      </c>
      <c r="M207" s="3" t="s">
        <v>199</v>
      </c>
      <c r="N207" s="9" t="s">
        <v>178</v>
      </c>
      <c r="O207" s="8" t="n">
        <v>12695.88</v>
      </c>
      <c r="P207" s="8" t="n">
        <f aca="false">IF(N207="S",1,-1)*O207*100</f>
        <v>1269588</v>
      </c>
      <c r="Q207" s="9" t="s">
        <v>373</v>
      </c>
    </row>
    <row r="208" customFormat="false" ht="15" hidden="false" customHeight="true" outlineLevel="0" collapsed="false">
      <c r="A208" s="9" t="s">
        <v>368</v>
      </c>
      <c r="B208" s="9" t="s">
        <v>372</v>
      </c>
      <c r="C208" s="9" t="s">
        <v>279</v>
      </c>
      <c r="D208" s="25" t="n">
        <v>46234</v>
      </c>
      <c r="E208" s="25" t="n">
        <v>46231</v>
      </c>
      <c r="F208" s="9" t="s">
        <v>299</v>
      </c>
      <c r="G208" s="9" t="s">
        <v>370</v>
      </c>
      <c r="H208" s="9" t="s">
        <v>275</v>
      </c>
      <c r="I208" s="9" t="s">
        <v>373</v>
      </c>
      <c r="J208" s="3"/>
      <c r="K208" s="9" t="s">
        <v>222</v>
      </c>
      <c r="L208" s="9" t="s">
        <v>223</v>
      </c>
      <c r="M208" s="3" t="s">
        <v>199</v>
      </c>
      <c r="N208" s="9" t="s">
        <v>178</v>
      </c>
      <c r="O208" s="8" t="n">
        <v>9066.13</v>
      </c>
      <c r="P208" s="8" t="n">
        <f aca="false">IF(N208="S",1,-1)*O208*100</f>
        <v>906613</v>
      </c>
      <c r="Q208" s="9" t="s">
        <v>373</v>
      </c>
    </row>
    <row r="209" customFormat="false" ht="15" hidden="false" customHeight="true" outlineLevel="0" collapsed="false">
      <c r="A209" s="9" t="s">
        <v>368</v>
      </c>
      <c r="B209" s="9" t="s">
        <v>372</v>
      </c>
      <c r="C209" s="9" t="s">
        <v>279</v>
      </c>
      <c r="D209" s="25" t="n">
        <v>46234</v>
      </c>
      <c r="E209" s="25" t="n">
        <v>46231</v>
      </c>
      <c r="F209" s="9" t="s">
        <v>299</v>
      </c>
      <c r="G209" s="9" t="s">
        <v>370</v>
      </c>
      <c r="H209" s="9" t="s">
        <v>275</v>
      </c>
      <c r="I209" s="9" t="s">
        <v>373</v>
      </c>
      <c r="J209" s="3"/>
      <c r="K209" s="9" t="s">
        <v>306</v>
      </c>
      <c r="L209" s="9" t="s">
        <v>307</v>
      </c>
      <c r="M209" s="3" t="s">
        <v>250</v>
      </c>
      <c r="N209" s="9" t="s">
        <v>178</v>
      </c>
      <c r="O209" s="8" t="n">
        <v>2176.2</v>
      </c>
      <c r="P209" s="8" t="n">
        <f aca="false">IF(N209="S",1,-1)*O209*100</f>
        <v>217620</v>
      </c>
      <c r="Q209" s="3"/>
    </row>
    <row r="210" customFormat="false" ht="15" hidden="false" customHeight="true" outlineLevel="0" collapsed="false">
      <c r="A210" s="9" t="s">
        <v>368</v>
      </c>
      <c r="B210" s="9" t="s">
        <v>372</v>
      </c>
      <c r="C210" s="9" t="s">
        <v>279</v>
      </c>
      <c r="D210" s="25" t="n">
        <v>46234</v>
      </c>
      <c r="E210" s="25" t="n">
        <v>46231</v>
      </c>
      <c r="F210" s="9" t="s">
        <v>299</v>
      </c>
      <c r="G210" s="9" t="s">
        <v>370</v>
      </c>
      <c r="H210" s="9" t="s">
        <v>275</v>
      </c>
      <c r="I210" s="9" t="s">
        <v>373</v>
      </c>
      <c r="J210" s="3"/>
      <c r="K210" s="9" t="s">
        <v>302</v>
      </c>
      <c r="L210" s="9" t="s">
        <v>303</v>
      </c>
      <c r="M210" s="3" t="s">
        <v>304</v>
      </c>
      <c r="N210" s="9" t="s">
        <v>182</v>
      </c>
      <c r="O210" s="8" t="n">
        <v>23938.21</v>
      </c>
      <c r="P210" s="8" t="n">
        <f aca="false">IF(N210="S",1,-1)*O210*100</f>
        <v>-2393821</v>
      </c>
      <c r="Q210" s="9" t="s">
        <v>373</v>
      </c>
    </row>
    <row r="211" customFormat="false" ht="15" hidden="false" customHeight="true" outlineLevel="0" collapsed="false">
      <c r="A211" s="9" t="s">
        <v>368</v>
      </c>
      <c r="B211" s="9" t="s">
        <v>374</v>
      </c>
      <c r="C211" s="9" t="s">
        <v>324</v>
      </c>
      <c r="D211" s="25" t="n">
        <v>46265</v>
      </c>
      <c r="E211" s="25" t="n">
        <v>46262</v>
      </c>
      <c r="F211" s="9" t="s">
        <v>299</v>
      </c>
      <c r="G211" s="9" t="s">
        <v>370</v>
      </c>
      <c r="H211" s="9" t="s">
        <v>275</v>
      </c>
      <c r="I211" s="9" t="s">
        <v>375</v>
      </c>
      <c r="J211" s="3"/>
      <c r="K211" s="9" t="s">
        <v>222</v>
      </c>
      <c r="L211" s="9" t="s">
        <v>223</v>
      </c>
      <c r="M211" s="3" t="s">
        <v>199</v>
      </c>
      <c r="N211" s="9" t="s">
        <v>178</v>
      </c>
      <c r="O211" s="8" t="n">
        <v>32378.28</v>
      </c>
      <c r="P211" s="8" t="n">
        <f aca="false">IF(N211="S",1,-1)*O211*100</f>
        <v>3237828</v>
      </c>
      <c r="Q211" s="9" t="s">
        <v>375</v>
      </c>
    </row>
    <row r="212" customFormat="false" ht="15" hidden="false" customHeight="true" outlineLevel="0" collapsed="false">
      <c r="A212" s="9" t="s">
        <v>368</v>
      </c>
      <c r="B212" s="9" t="s">
        <v>374</v>
      </c>
      <c r="C212" s="9" t="s">
        <v>324</v>
      </c>
      <c r="D212" s="25" t="n">
        <v>46265</v>
      </c>
      <c r="E212" s="25" t="n">
        <v>46262</v>
      </c>
      <c r="F212" s="9" t="s">
        <v>299</v>
      </c>
      <c r="G212" s="9" t="s">
        <v>370</v>
      </c>
      <c r="H212" s="9" t="s">
        <v>275</v>
      </c>
      <c r="I212" s="9" t="s">
        <v>375</v>
      </c>
      <c r="J212" s="3"/>
      <c r="K212" s="9" t="s">
        <v>222</v>
      </c>
      <c r="L212" s="9" t="s">
        <v>223</v>
      </c>
      <c r="M212" s="3" t="s">
        <v>199</v>
      </c>
      <c r="N212" s="9" t="s">
        <v>178</v>
      </c>
      <c r="O212" s="8" t="n">
        <v>23552.23</v>
      </c>
      <c r="P212" s="8" t="n">
        <f aca="false">IF(N212="S",1,-1)*O212*100</f>
        <v>2355223</v>
      </c>
      <c r="Q212" s="9" t="s">
        <v>375</v>
      </c>
    </row>
    <row r="213" customFormat="false" ht="15" hidden="false" customHeight="true" outlineLevel="0" collapsed="false">
      <c r="A213" s="9" t="s">
        <v>368</v>
      </c>
      <c r="B213" s="9" t="s">
        <v>374</v>
      </c>
      <c r="C213" s="9" t="s">
        <v>324</v>
      </c>
      <c r="D213" s="25" t="n">
        <v>46265</v>
      </c>
      <c r="E213" s="25" t="n">
        <v>46262</v>
      </c>
      <c r="F213" s="9" t="s">
        <v>299</v>
      </c>
      <c r="G213" s="9" t="s">
        <v>370</v>
      </c>
      <c r="H213" s="9" t="s">
        <v>275</v>
      </c>
      <c r="I213" s="9" t="s">
        <v>375</v>
      </c>
      <c r="J213" s="3"/>
      <c r="K213" s="9" t="s">
        <v>306</v>
      </c>
      <c r="L213" s="9" t="s">
        <v>307</v>
      </c>
      <c r="M213" s="3" t="s">
        <v>250</v>
      </c>
      <c r="N213" s="9" t="s">
        <v>178</v>
      </c>
      <c r="O213" s="8" t="n">
        <v>5593.05</v>
      </c>
      <c r="P213" s="8" t="n">
        <f aca="false">IF(N213="S",1,-1)*O213*100</f>
        <v>559305</v>
      </c>
      <c r="Q213" s="3"/>
    </row>
    <row r="214" customFormat="false" ht="15" hidden="false" customHeight="true" outlineLevel="0" collapsed="false">
      <c r="A214" s="9" t="s">
        <v>368</v>
      </c>
      <c r="B214" s="9" t="s">
        <v>374</v>
      </c>
      <c r="C214" s="9" t="s">
        <v>324</v>
      </c>
      <c r="D214" s="25" t="n">
        <v>46265</v>
      </c>
      <c r="E214" s="25" t="n">
        <v>46262</v>
      </c>
      <c r="F214" s="9" t="s">
        <v>299</v>
      </c>
      <c r="G214" s="9" t="s">
        <v>370</v>
      </c>
      <c r="H214" s="9" t="s">
        <v>275</v>
      </c>
      <c r="I214" s="9" t="s">
        <v>375</v>
      </c>
      <c r="J214" s="3"/>
      <c r="K214" s="9" t="s">
        <v>302</v>
      </c>
      <c r="L214" s="9" t="s">
        <v>303</v>
      </c>
      <c r="M214" s="3" t="s">
        <v>304</v>
      </c>
      <c r="N214" s="9" t="s">
        <v>182</v>
      </c>
      <c r="O214" s="8" t="n">
        <v>61523.56</v>
      </c>
      <c r="P214" s="8" t="n">
        <f aca="false">IF(N214="S",1,-1)*O214*100</f>
        <v>-6152356</v>
      </c>
      <c r="Q214" s="9" t="s">
        <v>375</v>
      </c>
    </row>
    <row r="215" customFormat="false" ht="15" hidden="false" customHeight="true" outlineLevel="0" collapsed="false">
      <c r="A215" s="9" t="s">
        <v>368</v>
      </c>
      <c r="B215" s="9" t="s">
        <v>376</v>
      </c>
      <c r="C215" s="9" t="s">
        <v>296</v>
      </c>
      <c r="D215" s="25" t="n">
        <v>46295</v>
      </c>
      <c r="E215" s="25" t="n">
        <v>46294</v>
      </c>
      <c r="F215" s="9" t="s">
        <v>299</v>
      </c>
      <c r="G215" s="9" t="s">
        <v>370</v>
      </c>
      <c r="H215" s="9" t="s">
        <v>377</v>
      </c>
      <c r="I215" s="9" t="s">
        <v>378</v>
      </c>
      <c r="J215" s="3"/>
      <c r="K215" s="9" t="s">
        <v>222</v>
      </c>
      <c r="L215" s="9" t="s">
        <v>223</v>
      </c>
      <c r="M215" s="3" t="s">
        <v>199</v>
      </c>
      <c r="N215" s="9" t="s">
        <v>178</v>
      </c>
      <c r="O215" s="8" t="n">
        <v>19561.71</v>
      </c>
      <c r="P215" s="8" t="n">
        <f aca="false">IF(N215="S",1,-1)*O215*100</f>
        <v>1956171</v>
      </c>
      <c r="Q215" s="9" t="s">
        <v>378</v>
      </c>
    </row>
    <row r="216" customFormat="false" ht="15" hidden="false" customHeight="true" outlineLevel="0" collapsed="false">
      <c r="A216" s="9" t="s">
        <v>368</v>
      </c>
      <c r="B216" s="9" t="s">
        <v>376</v>
      </c>
      <c r="C216" s="9" t="s">
        <v>296</v>
      </c>
      <c r="D216" s="25" t="n">
        <v>46295</v>
      </c>
      <c r="E216" s="25" t="n">
        <v>46294</v>
      </c>
      <c r="F216" s="9" t="s">
        <v>299</v>
      </c>
      <c r="G216" s="9" t="s">
        <v>370</v>
      </c>
      <c r="H216" s="9" t="s">
        <v>377</v>
      </c>
      <c r="I216" s="9" t="s">
        <v>378</v>
      </c>
      <c r="J216" s="3"/>
      <c r="K216" s="9" t="s">
        <v>222</v>
      </c>
      <c r="L216" s="9" t="s">
        <v>223</v>
      </c>
      <c r="M216" s="3" t="s">
        <v>199</v>
      </c>
      <c r="N216" s="9" t="s">
        <v>178</v>
      </c>
      <c r="O216" s="8" t="n">
        <v>22978.88</v>
      </c>
      <c r="P216" s="8" t="n">
        <f aca="false">IF(N216="S",1,-1)*O216*100</f>
        <v>2297888</v>
      </c>
      <c r="Q216" s="9" t="s">
        <v>378</v>
      </c>
    </row>
    <row r="217" customFormat="false" ht="15" hidden="false" customHeight="true" outlineLevel="0" collapsed="false">
      <c r="A217" s="9" t="s">
        <v>368</v>
      </c>
      <c r="B217" s="9" t="s">
        <v>376</v>
      </c>
      <c r="C217" s="9" t="s">
        <v>296</v>
      </c>
      <c r="D217" s="25" t="n">
        <v>46295</v>
      </c>
      <c r="E217" s="25" t="n">
        <v>46294</v>
      </c>
      <c r="F217" s="9" t="s">
        <v>299</v>
      </c>
      <c r="G217" s="9" t="s">
        <v>370</v>
      </c>
      <c r="H217" s="9" t="s">
        <v>377</v>
      </c>
      <c r="I217" s="9" t="s">
        <v>378</v>
      </c>
      <c r="J217" s="3"/>
      <c r="K217" s="9" t="s">
        <v>306</v>
      </c>
      <c r="L217" s="9" t="s">
        <v>307</v>
      </c>
      <c r="M217" s="3" t="s">
        <v>250</v>
      </c>
      <c r="N217" s="9" t="s">
        <v>178</v>
      </c>
      <c r="O217" s="8" t="n">
        <v>4254.06</v>
      </c>
      <c r="P217" s="8" t="n">
        <f aca="false">IF(N217="S",1,-1)*O217*100</f>
        <v>425406</v>
      </c>
      <c r="Q217" s="3"/>
    </row>
    <row r="218" customFormat="false" ht="15" hidden="false" customHeight="true" outlineLevel="0" collapsed="false">
      <c r="A218" s="9" t="s">
        <v>368</v>
      </c>
      <c r="B218" s="9" t="s">
        <v>376</v>
      </c>
      <c r="C218" s="9" t="s">
        <v>296</v>
      </c>
      <c r="D218" s="25" t="n">
        <v>46295</v>
      </c>
      <c r="E218" s="25" t="n">
        <v>46294</v>
      </c>
      <c r="F218" s="9" t="s">
        <v>299</v>
      </c>
      <c r="G218" s="9" t="s">
        <v>370</v>
      </c>
      <c r="H218" s="9" t="s">
        <v>377</v>
      </c>
      <c r="I218" s="9" t="s">
        <v>378</v>
      </c>
      <c r="J218" s="3"/>
      <c r="K218" s="9" t="s">
        <v>302</v>
      </c>
      <c r="L218" s="9" t="s">
        <v>303</v>
      </c>
      <c r="M218" s="3" t="s">
        <v>304</v>
      </c>
      <c r="N218" s="9" t="s">
        <v>182</v>
      </c>
      <c r="O218" s="8" t="n">
        <v>46794.65</v>
      </c>
      <c r="P218" s="8" t="n">
        <f aca="false">IF(N218="S",1,-1)*O218*100</f>
        <v>-4679465</v>
      </c>
      <c r="Q218" s="9" t="s">
        <v>378</v>
      </c>
    </row>
    <row r="219" customFormat="false" ht="15" hidden="false" customHeight="true" outlineLevel="0" collapsed="false">
      <c r="A219" s="9" t="s">
        <v>368</v>
      </c>
      <c r="B219" s="9" t="s">
        <v>379</v>
      </c>
      <c r="C219" s="9" t="s">
        <v>324</v>
      </c>
      <c r="D219" s="25" t="n">
        <v>46265</v>
      </c>
      <c r="E219" s="25" t="n">
        <v>46260</v>
      </c>
      <c r="F219" s="9" t="s">
        <v>380</v>
      </c>
      <c r="G219" s="9" t="s">
        <v>381</v>
      </c>
      <c r="H219" s="9" t="s">
        <v>275</v>
      </c>
      <c r="I219" s="9" t="s">
        <v>382</v>
      </c>
      <c r="J219" s="3"/>
      <c r="K219" s="9" t="s">
        <v>302</v>
      </c>
      <c r="L219" s="9" t="s">
        <v>303</v>
      </c>
      <c r="M219" s="3" t="s">
        <v>304</v>
      </c>
      <c r="N219" s="9" t="s">
        <v>182</v>
      </c>
      <c r="O219" s="8" t="n">
        <v>3148.79</v>
      </c>
      <c r="P219" s="8" t="n">
        <f aca="false">IF(N219="S",1,-1)*O219*100</f>
        <v>-314879</v>
      </c>
      <c r="Q219" s="9" t="s">
        <v>383</v>
      </c>
    </row>
    <row r="220" customFormat="false" ht="15" hidden="false" customHeight="true" outlineLevel="0" collapsed="false">
      <c r="A220" s="9" t="s">
        <v>368</v>
      </c>
      <c r="B220" s="9" t="s">
        <v>379</v>
      </c>
      <c r="C220" s="9" t="s">
        <v>324</v>
      </c>
      <c r="D220" s="25" t="n">
        <v>46265</v>
      </c>
      <c r="E220" s="25" t="n">
        <v>46260</v>
      </c>
      <c r="F220" s="9" t="s">
        <v>380</v>
      </c>
      <c r="G220" s="9" t="s">
        <v>381</v>
      </c>
      <c r="H220" s="9" t="s">
        <v>275</v>
      </c>
      <c r="I220" s="9" t="s">
        <v>382</v>
      </c>
      <c r="J220" s="3"/>
      <c r="K220" s="9" t="s">
        <v>384</v>
      </c>
      <c r="L220" s="9" t="s">
        <v>385</v>
      </c>
      <c r="M220" s="3" t="s">
        <v>386</v>
      </c>
      <c r="N220" s="9" t="s">
        <v>178</v>
      </c>
      <c r="O220" s="8" t="n">
        <v>2862.54</v>
      </c>
      <c r="P220" s="8" t="n">
        <f aca="false">IF(N220="S",1,-1)*O220*100</f>
        <v>286254</v>
      </c>
      <c r="Q220" s="3"/>
    </row>
    <row r="221" customFormat="false" ht="15" hidden="false" customHeight="true" outlineLevel="0" collapsed="false">
      <c r="A221" s="9" t="s">
        <v>368</v>
      </c>
      <c r="B221" s="9" t="s">
        <v>379</v>
      </c>
      <c r="C221" s="9" t="s">
        <v>324</v>
      </c>
      <c r="D221" s="25" t="n">
        <v>46265</v>
      </c>
      <c r="E221" s="25" t="n">
        <v>46260</v>
      </c>
      <c r="F221" s="9" t="s">
        <v>380</v>
      </c>
      <c r="G221" s="9" t="s">
        <v>381</v>
      </c>
      <c r="H221" s="9" t="s">
        <v>275</v>
      </c>
      <c r="I221" s="9" t="s">
        <v>382</v>
      </c>
      <c r="J221" s="3"/>
      <c r="K221" s="9" t="s">
        <v>306</v>
      </c>
      <c r="L221" s="9" t="s">
        <v>307</v>
      </c>
      <c r="M221" s="3" t="s">
        <v>250</v>
      </c>
      <c r="N221" s="9" t="s">
        <v>178</v>
      </c>
      <c r="O221" s="8" t="n">
        <v>286.25</v>
      </c>
      <c r="P221" s="8" t="n">
        <f aca="false">IF(N221="S",1,-1)*O221*100</f>
        <v>28625</v>
      </c>
      <c r="Q221" s="3"/>
    </row>
    <row r="222" customFormat="false" ht="15" hidden="false" customHeight="true" outlineLevel="0" collapsed="false">
      <c r="A222" s="9" t="s">
        <v>387</v>
      </c>
      <c r="B222" s="9" t="s">
        <v>388</v>
      </c>
      <c r="C222" s="9" t="s">
        <v>324</v>
      </c>
      <c r="D222" s="25" t="n">
        <v>46237</v>
      </c>
      <c r="E222" s="25" t="n">
        <v>46231</v>
      </c>
      <c r="F222" s="9" t="s">
        <v>335</v>
      </c>
      <c r="G222" s="9" t="s">
        <v>300</v>
      </c>
      <c r="H222" s="9" t="s">
        <v>275</v>
      </c>
      <c r="I222" s="3"/>
      <c r="J222" s="9" t="s">
        <v>389</v>
      </c>
      <c r="K222" s="9" t="s">
        <v>302</v>
      </c>
      <c r="L222" s="9" t="s">
        <v>303</v>
      </c>
      <c r="M222" s="3" t="s">
        <v>304</v>
      </c>
      <c r="N222" s="9" t="s">
        <v>178</v>
      </c>
      <c r="O222" s="8" t="n">
        <v>18954753.47</v>
      </c>
      <c r="P222" s="8" t="n">
        <f aca="false">IF(N222="S",1,-1)*O222*100</f>
        <v>1895475347</v>
      </c>
      <c r="Q222" s="9" t="s">
        <v>390</v>
      </c>
    </row>
    <row r="223" customFormat="false" ht="15" hidden="false" customHeight="true" outlineLevel="0" collapsed="false">
      <c r="A223" s="9" t="s">
        <v>387</v>
      </c>
      <c r="B223" s="9" t="s">
        <v>388</v>
      </c>
      <c r="C223" s="9" t="s">
        <v>324</v>
      </c>
      <c r="D223" s="25" t="n">
        <v>46237</v>
      </c>
      <c r="E223" s="25" t="n">
        <v>46231</v>
      </c>
      <c r="F223" s="9" t="s">
        <v>335</v>
      </c>
      <c r="G223" s="9" t="s">
        <v>300</v>
      </c>
      <c r="H223" s="9" t="s">
        <v>275</v>
      </c>
      <c r="I223" s="3"/>
      <c r="J223" s="9" t="s">
        <v>389</v>
      </c>
      <c r="K223" s="9" t="s">
        <v>222</v>
      </c>
      <c r="L223" s="9" t="s">
        <v>223</v>
      </c>
      <c r="M223" s="3" t="s">
        <v>199</v>
      </c>
      <c r="N223" s="9" t="s">
        <v>182</v>
      </c>
      <c r="O223" s="8" t="n">
        <v>17231594.06</v>
      </c>
      <c r="P223" s="8" t="n">
        <f aca="false">IF(N223="S",1,-1)*O223*100</f>
        <v>-1723159406</v>
      </c>
      <c r="Q223" s="9" t="s">
        <v>336</v>
      </c>
    </row>
    <row r="224" customFormat="false" ht="15" hidden="false" customHeight="true" outlineLevel="0" collapsed="false">
      <c r="A224" s="9" t="s">
        <v>387</v>
      </c>
      <c r="B224" s="9" t="s">
        <v>388</v>
      </c>
      <c r="C224" s="9" t="s">
        <v>324</v>
      </c>
      <c r="D224" s="25" t="n">
        <v>46237</v>
      </c>
      <c r="E224" s="25" t="n">
        <v>46231</v>
      </c>
      <c r="F224" s="9" t="s">
        <v>335</v>
      </c>
      <c r="G224" s="9" t="s">
        <v>300</v>
      </c>
      <c r="H224" s="9" t="s">
        <v>275</v>
      </c>
      <c r="I224" s="3"/>
      <c r="J224" s="9" t="s">
        <v>389</v>
      </c>
      <c r="K224" s="9" t="s">
        <v>306</v>
      </c>
      <c r="L224" s="9" t="s">
        <v>307</v>
      </c>
      <c r="M224" s="3" t="s">
        <v>250</v>
      </c>
      <c r="N224" s="9" t="s">
        <v>182</v>
      </c>
      <c r="O224" s="8" t="n">
        <v>1723159.41</v>
      </c>
      <c r="P224" s="8" t="n">
        <f aca="false">IF(N224="S",1,-1)*O224*100</f>
        <v>-172315941</v>
      </c>
      <c r="Q224" s="9" t="s">
        <v>336</v>
      </c>
    </row>
    <row r="225" customFormat="false" ht="15" hidden="false" customHeight="true" outlineLevel="0" collapsed="false">
      <c r="A225" s="9" t="s">
        <v>387</v>
      </c>
      <c r="B225" s="9" t="s">
        <v>389</v>
      </c>
      <c r="C225" s="9" t="s">
        <v>324</v>
      </c>
      <c r="D225" s="25" t="n">
        <v>46237</v>
      </c>
      <c r="E225" s="25" t="n">
        <v>46231</v>
      </c>
      <c r="F225" s="9" t="s">
        <v>340</v>
      </c>
      <c r="G225" s="9" t="s">
        <v>251</v>
      </c>
      <c r="H225" s="9" t="s">
        <v>275</v>
      </c>
      <c r="I225" s="3"/>
      <c r="J225" s="9" t="s">
        <v>388</v>
      </c>
      <c r="K225" s="9" t="s">
        <v>302</v>
      </c>
      <c r="L225" s="9" t="s">
        <v>303</v>
      </c>
      <c r="M225" s="3" t="s">
        <v>304</v>
      </c>
      <c r="N225" s="9" t="s">
        <v>182</v>
      </c>
      <c r="O225" s="8" t="n">
        <v>18954753.47</v>
      </c>
      <c r="P225" s="8" t="n">
        <f aca="false">IF(N225="S",1,-1)*O225*100</f>
        <v>-1895475347</v>
      </c>
      <c r="Q225" s="9" t="s">
        <v>391</v>
      </c>
    </row>
    <row r="226" customFormat="false" ht="15" hidden="false" customHeight="true" outlineLevel="0" collapsed="false">
      <c r="A226" s="9" t="s">
        <v>387</v>
      </c>
      <c r="B226" s="9" t="s">
        <v>389</v>
      </c>
      <c r="C226" s="9" t="s">
        <v>324</v>
      </c>
      <c r="D226" s="25" t="n">
        <v>46237</v>
      </c>
      <c r="E226" s="25" t="n">
        <v>46231</v>
      </c>
      <c r="F226" s="9" t="s">
        <v>340</v>
      </c>
      <c r="G226" s="9" t="s">
        <v>251</v>
      </c>
      <c r="H226" s="9" t="s">
        <v>275</v>
      </c>
      <c r="I226" s="3"/>
      <c r="J226" s="9" t="s">
        <v>388</v>
      </c>
      <c r="K226" s="9" t="s">
        <v>222</v>
      </c>
      <c r="L226" s="9" t="s">
        <v>223</v>
      </c>
      <c r="M226" s="3" t="s">
        <v>199</v>
      </c>
      <c r="N226" s="9" t="s">
        <v>178</v>
      </c>
      <c r="O226" s="8" t="n">
        <v>17231594.06</v>
      </c>
      <c r="P226" s="8" t="n">
        <f aca="false">IF(N226="S",1,-1)*O226*100</f>
        <v>1723159406</v>
      </c>
      <c r="Q226" s="9" t="s">
        <v>336</v>
      </c>
    </row>
    <row r="227" customFormat="false" ht="15" hidden="false" customHeight="true" outlineLevel="0" collapsed="false">
      <c r="A227" s="9" t="s">
        <v>387</v>
      </c>
      <c r="B227" s="9" t="s">
        <v>389</v>
      </c>
      <c r="C227" s="9" t="s">
        <v>324</v>
      </c>
      <c r="D227" s="25" t="n">
        <v>46237</v>
      </c>
      <c r="E227" s="25" t="n">
        <v>46231</v>
      </c>
      <c r="F227" s="9" t="s">
        <v>340</v>
      </c>
      <c r="G227" s="9" t="s">
        <v>251</v>
      </c>
      <c r="H227" s="9" t="s">
        <v>275</v>
      </c>
      <c r="I227" s="3"/>
      <c r="J227" s="9" t="s">
        <v>388</v>
      </c>
      <c r="K227" s="9" t="s">
        <v>306</v>
      </c>
      <c r="L227" s="9" t="s">
        <v>307</v>
      </c>
      <c r="M227" s="3" t="s">
        <v>250</v>
      </c>
      <c r="N227" s="9" t="s">
        <v>178</v>
      </c>
      <c r="O227" s="8" t="n">
        <v>1723159.41</v>
      </c>
      <c r="P227" s="8" t="n">
        <f aca="false">IF(N227="S",1,-1)*O227*100</f>
        <v>172315941</v>
      </c>
      <c r="Q227" s="9" t="s">
        <v>336</v>
      </c>
    </row>
    <row r="228" customFormat="false" ht="15" hidden="false" customHeight="true" outlineLevel="0" collapsed="false">
      <c r="A228" s="9" t="s">
        <v>387</v>
      </c>
      <c r="B228" s="9" t="s">
        <v>392</v>
      </c>
      <c r="C228" s="9" t="s">
        <v>324</v>
      </c>
      <c r="D228" s="25" t="n">
        <v>46237</v>
      </c>
      <c r="E228" s="25" t="n">
        <v>46231</v>
      </c>
      <c r="F228" s="9" t="s">
        <v>335</v>
      </c>
      <c r="G228" s="9" t="s">
        <v>300</v>
      </c>
      <c r="H228" s="9" t="s">
        <v>275</v>
      </c>
      <c r="I228" s="3"/>
      <c r="J228" s="9" t="s">
        <v>393</v>
      </c>
      <c r="K228" s="9" t="s">
        <v>302</v>
      </c>
      <c r="L228" s="9" t="s">
        <v>303</v>
      </c>
      <c r="M228" s="3" t="s">
        <v>304</v>
      </c>
      <c r="N228" s="9" t="s">
        <v>178</v>
      </c>
      <c r="O228" s="8" t="n">
        <v>18954753.47</v>
      </c>
      <c r="P228" s="8" t="n">
        <f aca="false">IF(N228="S",1,-1)*O228*100</f>
        <v>1895475347</v>
      </c>
      <c r="Q228" s="9" t="s">
        <v>394</v>
      </c>
    </row>
    <row r="229" customFormat="false" ht="15" hidden="false" customHeight="true" outlineLevel="0" collapsed="false">
      <c r="A229" s="9" t="s">
        <v>387</v>
      </c>
      <c r="B229" s="9" t="s">
        <v>392</v>
      </c>
      <c r="C229" s="9" t="s">
        <v>324</v>
      </c>
      <c r="D229" s="25" t="n">
        <v>46237</v>
      </c>
      <c r="E229" s="25" t="n">
        <v>46231</v>
      </c>
      <c r="F229" s="9" t="s">
        <v>335</v>
      </c>
      <c r="G229" s="9" t="s">
        <v>300</v>
      </c>
      <c r="H229" s="9" t="s">
        <v>275</v>
      </c>
      <c r="I229" s="3"/>
      <c r="J229" s="9" t="s">
        <v>393</v>
      </c>
      <c r="K229" s="9" t="s">
        <v>222</v>
      </c>
      <c r="L229" s="9" t="s">
        <v>223</v>
      </c>
      <c r="M229" s="3" t="s">
        <v>199</v>
      </c>
      <c r="N229" s="9" t="s">
        <v>182</v>
      </c>
      <c r="O229" s="8" t="n">
        <v>17231594.06</v>
      </c>
      <c r="P229" s="8" t="n">
        <f aca="false">IF(N229="S",1,-1)*O229*100</f>
        <v>-1723159406</v>
      </c>
      <c r="Q229" s="9" t="s">
        <v>336</v>
      </c>
    </row>
    <row r="230" customFormat="false" ht="15" hidden="false" customHeight="true" outlineLevel="0" collapsed="false">
      <c r="A230" s="9" t="s">
        <v>387</v>
      </c>
      <c r="B230" s="9" t="s">
        <v>392</v>
      </c>
      <c r="C230" s="9" t="s">
        <v>324</v>
      </c>
      <c r="D230" s="25" t="n">
        <v>46237</v>
      </c>
      <c r="E230" s="25" t="n">
        <v>46231</v>
      </c>
      <c r="F230" s="9" t="s">
        <v>335</v>
      </c>
      <c r="G230" s="9" t="s">
        <v>300</v>
      </c>
      <c r="H230" s="9" t="s">
        <v>275</v>
      </c>
      <c r="I230" s="3"/>
      <c r="J230" s="9" t="s">
        <v>393</v>
      </c>
      <c r="K230" s="9" t="s">
        <v>306</v>
      </c>
      <c r="L230" s="9" t="s">
        <v>307</v>
      </c>
      <c r="M230" s="3" t="s">
        <v>250</v>
      </c>
      <c r="N230" s="9" t="s">
        <v>182</v>
      </c>
      <c r="O230" s="8" t="n">
        <v>1723159.41</v>
      </c>
      <c r="P230" s="8" t="n">
        <f aca="false">IF(N230="S",1,-1)*O230*100</f>
        <v>-172315941</v>
      </c>
      <c r="Q230" s="9" t="s">
        <v>336</v>
      </c>
    </row>
    <row r="231" customFormat="false" ht="15" hidden="false" customHeight="true" outlineLevel="0" collapsed="false">
      <c r="A231" s="9" t="s">
        <v>387</v>
      </c>
      <c r="B231" s="9" t="s">
        <v>393</v>
      </c>
      <c r="C231" s="9" t="s">
        <v>324</v>
      </c>
      <c r="D231" s="25" t="n">
        <v>46238</v>
      </c>
      <c r="E231" s="25" t="n">
        <v>46231</v>
      </c>
      <c r="F231" s="9" t="s">
        <v>340</v>
      </c>
      <c r="G231" s="9" t="s">
        <v>251</v>
      </c>
      <c r="H231" s="9" t="s">
        <v>275</v>
      </c>
      <c r="I231" s="3"/>
      <c r="J231" s="9" t="s">
        <v>392</v>
      </c>
      <c r="K231" s="9" t="s">
        <v>302</v>
      </c>
      <c r="L231" s="9" t="s">
        <v>303</v>
      </c>
      <c r="M231" s="3" t="s">
        <v>304</v>
      </c>
      <c r="N231" s="9" t="s">
        <v>182</v>
      </c>
      <c r="O231" s="8" t="n">
        <v>18954753.47</v>
      </c>
      <c r="P231" s="8" t="n">
        <f aca="false">IF(N231="S",1,-1)*O231*100</f>
        <v>-1895475347</v>
      </c>
      <c r="Q231" s="9" t="s">
        <v>395</v>
      </c>
    </row>
    <row r="232" customFormat="false" ht="15" hidden="false" customHeight="true" outlineLevel="0" collapsed="false">
      <c r="A232" s="9" t="s">
        <v>387</v>
      </c>
      <c r="B232" s="9" t="s">
        <v>393</v>
      </c>
      <c r="C232" s="9" t="s">
        <v>324</v>
      </c>
      <c r="D232" s="25" t="n">
        <v>46238</v>
      </c>
      <c r="E232" s="25" t="n">
        <v>46231</v>
      </c>
      <c r="F232" s="9" t="s">
        <v>340</v>
      </c>
      <c r="G232" s="9" t="s">
        <v>251</v>
      </c>
      <c r="H232" s="9" t="s">
        <v>275</v>
      </c>
      <c r="I232" s="3"/>
      <c r="J232" s="9" t="s">
        <v>392</v>
      </c>
      <c r="K232" s="9" t="s">
        <v>222</v>
      </c>
      <c r="L232" s="9" t="s">
        <v>223</v>
      </c>
      <c r="M232" s="3" t="s">
        <v>199</v>
      </c>
      <c r="N232" s="9" t="s">
        <v>178</v>
      </c>
      <c r="O232" s="8" t="n">
        <v>17231594.06</v>
      </c>
      <c r="P232" s="8" t="n">
        <f aca="false">IF(N232="S",1,-1)*O232*100</f>
        <v>1723159406</v>
      </c>
      <c r="Q232" s="9" t="s">
        <v>336</v>
      </c>
    </row>
    <row r="233" customFormat="false" ht="15" hidden="false" customHeight="true" outlineLevel="0" collapsed="false">
      <c r="A233" s="9" t="s">
        <v>387</v>
      </c>
      <c r="B233" s="9" t="s">
        <v>393</v>
      </c>
      <c r="C233" s="9" t="s">
        <v>324</v>
      </c>
      <c r="D233" s="25" t="n">
        <v>46238</v>
      </c>
      <c r="E233" s="25" t="n">
        <v>46231</v>
      </c>
      <c r="F233" s="9" t="s">
        <v>340</v>
      </c>
      <c r="G233" s="9" t="s">
        <v>251</v>
      </c>
      <c r="H233" s="9" t="s">
        <v>275</v>
      </c>
      <c r="I233" s="3"/>
      <c r="J233" s="9" t="s">
        <v>392</v>
      </c>
      <c r="K233" s="9" t="s">
        <v>306</v>
      </c>
      <c r="L233" s="9" t="s">
        <v>307</v>
      </c>
      <c r="M233" s="3" t="s">
        <v>250</v>
      </c>
      <c r="N233" s="9" t="s">
        <v>178</v>
      </c>
      <c r="O233" s="8" t="n">
        <v>1723159.41</v>
      </c>
      <c r="P233" s="8" t="n">
        <f aca="false">IF(N233="S",1,-1)*O233*100</f>
        <v>172315941</v>
      </c>
      <c r="Q233" s="9" t="s">
        <v>336</v>
      </c>
    </row>
    <row r="234" customFormat="false" ht="15" hidden="false" customHeight="true" outlineLevel="0" collapsed="false">
      <c r="A234" s="9" t="s">
        <v>396</v>
      </c>
      <c r="B234" s="9" t="s">
        <v>397</v>
      </c>
      <c r="C234" s="9" t="s">
        <v>255</v>
      </c>
      <c r="D234" s="25" t="n">
        <v>46203</v>
      </c>
      <c r="E234" s="25" t="n">
        <v>46203</v>
      </c>
      <c r="F234" s="9" t="s">
        <v>398</v>
      </c>
      <c r="G234" s="3"/>
      <c r="H234" s="9" t="s">
        <v>399</v>
      </c>
      <c r="I234" s="9" t="s">
        <v>400</v>
      </c>
      <c r="J234" s="3"/>
      <c r="K234" s="9" t="s">
        <v>401</v>
      </c>
      <c r="L234" s="9" t="s">
        <v>402</v>
      </c>
      <c r="M234" s="3" t="s">
        <v>403</v>
      </c>
      <c r="N234" s="9" t="s">
        <v>178</v>
      </c>
      <c r="O234" s="8" t="n">
        <v>4856360.67</v>
      </c>
      <c r="P234" s="8" t="n">
        <f aca="false">IF(N234="S",1,-1)*O234*100</f>
        <v>485636067</v>
      </c>
      <c r="Q234" s="9" t="s">
        <v>404</v>
      </c>
    </row>
    <row r="235" customFormat="false" ht="15" hidden="false" customHeight="true" outlineLevel="0" collapsed="false">
      <c r="A235" s="9" t="s">
        <v>396</v>
      </c>
      <c r="B235" s="9" t="s">
        <v>397</v>
      </c>
      <c r="C235" s="9" t="s">
        <v>255</v>
      </c>
      <c r="D235" s="25" t="n">
        <v>46203</v>
      </c>
      <c r="E235" s="25" t="n">
        <v>46203</v>
      </c>
      <c r="F235" s="9" t="s">
        <v>398</v>
      </c>
      <c r="G235" s="3"/>
      <c r="H235" s="9" t="s">
        <v>399</v>
      </c>
      <c r="I235" s="9" t="s">
        <v>400</v>
      </c>
      <c r="J235" s="3"/>
      <c r="K235" s="9" t="s">
        <v>405</v>
      </c>
      <c r="L235" s="9" t="s">
        <v>406</v>
      </c>
      <c r="M235" s="3" t="s">
        <v>213</v>
      </c>
      <c r="N235" s="9" t="s">
        <v>182</v>
      </c>
      <c r="O235" s="8" t="n">
        <v>4856360.67</v>
      </c>
      <c r="P235" s="8" t="n">
        <f aca="false">IF(N235="S",1,-1)*O235*100</f>
        <v>-485636067</v>
      </c>
      <c r="Q235" s="9" t="s">
        <v>404</v>
      </c>
    </row>
    <row r="236" customFormat="false" ht="15" hidden="false" customHeight="true" outlineLevel="0" collapsed="false">
      <c r="A236" s="9" t="s">
        <v>396</v>
      </c>
      <c r="B236" s="9" t="s">
        <v>407</v>
      </c>
      <c r="C236" s="9" t="s">
        <v>279</v>
      </c>
      <c r="D236" s="25" t="n">
        <v>46234</v>
      </c>
      <c r="E236" s="25" t="n">
        <v>46234</v>
      </c>
      <c r="F236" s="9" t="s">
        <v>398</v>
      </c>
      <c r="G236" s="3"/>
      <c r="H236" s="9" t="s">
        <v>399</v>
      </c>
      <c r="I236" s="9" t="s">
        <v>408</v>
      </c>
      <c r="J236" s="3"/>
      <c r="K236" s="9" t="s">
        <v>405</v>
      </c>
      <c r="L236" s="9" t="s">
        <v>406</v>
      </c>
      <c r="M236" s="3" t="s">
        <v>213</v>
      </c>
      <c r="N236" s="9" t="s">
        <v>178</v>
      </c>
      <c r="O236" s="8" t="n">
        <v>4856360.67</v>
      </c>
      <c r="P236" s="8" t="n">
        <f aca="false">IF(N236="S",1,-1)*O236*100</f>
        <v>485636067</v>
      </c>
      <c r="Q236" s="9" t="s">
        <v>409</v>
      </c>
    </row>
    <row r="237" customFormat="false" ht="15" hidden="false" customHeight="true" outlineLevel="0" collapsed="false">
      <c r="A237" s="9" t="s">
        <v>396</v>
      </c>
      <c r="B237" s="9" t="s">
        <v>407</v>
      </c>
      <c r="C237" s="9" t="s">
        <v>279</v>
      </c>
      <c r="D237" s="25" t="n">
        <v>46234</v>
      </c>
      <c r="E237" s="25" t="n">
        <v>46234</v>
      </c>
      <c r="F237" s="9" t="s">
        <v>398</v>
      </c>
      <c r="G237" s="3"/>
      <c r="H237" s="9" t="s">
        <v>399</v>
      </c>
      <c r="I237" s="9" t="s">
        <v>408</v>
      </c>
      <c r="J237" s="3"/>
      <c r="K237" s="9" t="s">
        <v>405</v>
      </c>
      <c r="L237" s="9" t="s">
        <v>406</v>
      </c>
      <c r="M237" s="3" t="s">
        <v>213</v>
      </c>
      <c r="N237" s="9" t="s">
        <v>182</v>
      </c>
      <c r="O237" s="8" t="n">
        <v>4856360.67</v>
      </c>
      <c r="P237" s="8" t="n">
        <f aca="false">IF(N237="S",1,-1)*O237*100</f>
        <v>-485636067</v>
      </c>
      <c r="Q237" s="9" t="s">
        <v>409</v>
      </c>
    </row>
    <row r="238" customFormat="false" ht="15" hidden="false" customHeight="true" outlineLevel="0" collapsed="false">
      <c r="A238" s="9" t="s">
        <v>396</v>
      </c>
      <c r="B238" s="9" t="s">
        <v>410</v>
      </c>
      <c r="C238" s="9" t="s">
        <v>324</v>
      </c>
      <c r="D238" s="25" t="n">
        <v>46237</v>
      </c>
      <c r="E238" s="25" t="n">
        <v>46237</v>
      </c>
      <c r="F238" s="9" t="s">
        <v>398</v>
      </c>
      <c r="G238" s="3"/>
      <c r="H238" s="9" t="s">
        <v>399</v>
      </c>
      <c r="I238" s="9" t="s">
        <v>411</v>
      </c>
      <c r="J238" s="3"/>
      <c r="K238" s="9" t="s">
        <v>401</v>
      </c>
      <c r="L238" s="9" t="s">
        <v>402</v>
      </c>
      <c r="M238" s="3" t="s">
        <v>403</v>
      </c>
      <c r="N238" s="9" t="s">
        <v>182</v>
      </c>
      <c r="O238" s="8" t="n">
        <v>4856360.67</v>
      </c>
      <c r="P238" s="8" t="n">
        <f aca="false">IF(N238="S",1,-1)*O238*100</f>
        <v>-485636067</v>
      </c>
      <c r="Q238" s="9" t="s">
        <v>404</v>
      </c>
    </row>
    <row r="239" customFormat="false" ht="15" hidden="false" customHeight="true" outlineLevel="0" collapsed="false">
      <c r="A239" s="9" t="s">
        <v>396</v>
      </c>
      <c r="B239" s="9" t="s">
        <v>410</v>
      </c>
      <c r="C239" s="9" t="s">
        <v>324</v>
      </c>
      <c r="D239" s="25" t="n">
        <v>46237</v>
      </c>
      <c r="E239" s="25" t="n">
        <v>46237</v>
      </c>
      <c r="F239" s="9" t="s">
        <v>398</v>
      </c>
      <c r="G239" s="3"/>
      <c r="H239" s="9" t="s">
        <v>399</v>
      </c>
      <c r="I239" s="9" t="s">
        <v>411</v>
      </c>
      <c r="J239" s="3"/>
      <c r="K239" s="9" t="s">
        <v>405</v>
      </c>
      <c r="L239" s="9" t="s">
        <v>406</v>
      </c>
      <c r="M239" s="3" t="s">
        <v>213</v>
      </c>
      <c r="N239" s="9" t="s">
        <v>178</v>
      </c>
      <c r="O239" s="8" t="n">
        <v>4856360.67</v>
      </c>
      <c r="P239" s="8" t="n">
        <f aca="false">IF(N239="S",1,-1)*O239*100</f>
        <v>485636067</v>
      </c>
      <c r="Q239" s="9" t="s">
        <v>404</v>
      </c>
    </row>
    <row r="240" customFormat="false" ht="15" hidden="false" customHeight="true" outlineLevel="0" collapsed="false">
      <c r="A240" s="9" t="s">
        <v>396</v>
      </c>
      <c r="B240" s="9" t="s">
        <v>410</v>
      </c>
      <c r="C240" s="9" t="s">
        <v>324</v>
      </c>
      <c r="D240" s="25" t="n">
        <v>46237</v>
      </c>
      <c r="E240" s="25" t="n">
        <v>46237</v>
      </c>
      <c r="F240" s="9" t="s">
        <v>398</v>
      </c>
      <c r="G240" s="3"/>
      <c r="H240" s="9" t="s">
        <v>399</v>
      </c>
      <c r="I240" s="9" t="s">
        <v>411</v>
      </c>
      <c r="J240" s="3"/>
      <c r="K240" s="9" t="s">
        <v>401</v>
      </c>
      <c r="L240" s="9" t="s">
        <v>402</v>
      </c>
      <c r="M240" s="3" t="s">
        <v>403</v>
      </c>
      <c r="N240" s="9" t="s">
        <v>178</v>
      </c>
      <c r="O240" s="8" t="n">
        <v>3321144.29</v>
      </c>
      <c r="P240" s="8" t="n">
        <f aca="false">IF(N240="S",1,-1)*O240*100</f>
        <v>332114429</v>
      </c>
      <c r="Q240" s="9" t="s">
        <v>404</v>
      </c>
    </row>
    <row r="241" customFormat="false" ht="15" hidden="false" customHeight="true" outlineLevel="0" collapsed="false">
      <c r="A241" s="9" t="s">
        <v>396</v>
      </c>
      <c r="B241" s="9" t="s">
        <v>410</v>
      </c>
      <c r="C241" s="9" t="s">
        <v>324</v>
      </c>
      <c r="D241" s="25" t="n">
        <v>46237</v>
      </c>
      <c r="E241" s="25" t="n">
        <v>46237</v>
      </c>
      <c r="F241" s="9" t="s">
        <v>398</v>
      </c>
      <c r="G241" s="3"/>
      <c r="H241" s="9" t="s">
        <v>399</v>
      </c>
      <c r="I241" s="9" t="s">
        <v>411</v>
      </c>
      <c r="J241" s="3"/>
      <c r="K241" s="9" t="s">
        <v>405</v>
      </c>
      <c r="L241" s="9" t="s">
        <v>406</v>
      </c>
      <c r="M241" s="3" t="s">
        <v>213</v>
      </c>
      <c r="N241" s="9" t="s">
        <v>182</v>
      </c>
      <c r="O241" s="8" t="n">
        <v>3321144.29</v>
      </c>
      <c r="P241" s="8" t="n">
        <f aca="false">IF(N241="S",1,-1)*O241*100</f>
        <v>-332114429</v>
      </c>
      <c r="Q241" s="9" t="s">
        <v>404</v>
      </c>
    </row>
    <row r="242" customFormat="false" ht="15" hidden="false" customHeight="true" outlineLevel="0" collapsed="false">
      <c r="A242" s="9" t="s">
        <v>412</v>
      </c>
      <c r="B242" s="9" t="s">
        <v>413</v>
      </c>
      <c r="C242" s="9" t="s">
        <v>279</v>
      </c>
      <c r="D242" s="25" t="n">
        <v>46204</v>
      </c>
      <c r="E242" s="25" t="n">
        <v>46204</v>
      </c>
      <c r="F242" s="9" t="s">
        <v>398</v>
      </c>
      <c r="G242" s="3"/>
      <c r="H242" s="9" t="s">
        <v>228</v>
      </c>
      <c r="I242" s="9" t="s">
        <v>414</v>
      </c>
      <c r="J242" s="3"/>
      <c r="K242" s="9" t="s">
        <v>306</v>
      </c>
      <c r="L242" s="9" t="s">
        <v>307</v>
      </c>
      <c r="M242" s="3" t="s">
        <v>250</v>
      </c>
      <c r="N242" s="9" t="s">
        <v>178</v>
      </c>
      <c r="O242" s="8" t="n">
        <v>62539.12</v>
      </c>
      <c r="P242" s="8" t="n">
        <f aca="false">IF(N242="S",1,-1)*O242*100</f>
        <v>6253912</v>
      </c>
      <c r="Q242" s="9" t="s">
        <v>415</v>
      </c>
    </row>
    <row r="243" customFormat="false" ht="15" hidden="false" customHeight="true" outlineLevel="0" collapsed="false">
      <c r="A243" s="9" t="s">
        <v>412</v>
      </c>
      <c r="B243" s="9" t="s">
        <v>413</v>
      </c>
      <c r="C243" s="9" t="s">
        <v>279</v>
      </c>
      <c r="D243" s="25" t="n">
        <v>46204</v>
      </c>
      <c r="E243" s="25" t="n">
        <v>46204</v>
      </c>
      <c r="F243" s="9" t="s">
        <v>398</v>
      </c>
      <c r="G243" s="3"/>
      <c r="H243" s="9" t="s">
        <v>228</v>
      </c>
      <c r="I243" s="9" t="s">
        <v>414</v>
      </c>
      <c r="J243" s="3"/>
      <c r="K243" s="9" t="s">
        <v>248</v>
      </c>
      <c r="L243" s="9" t="s">
        <v>249</v>
      </c>
      <c r="M243" s="3" t="s">
        <v>250</v>
      </c>
      <c r="N243" s="9" t="s">
        <v>182</v>
      </c>
      <c r="O243" s="8" t="n">
        <v>31408.71</v>
      </c>
      <c r="P243" s="8" t="n">
        <f aca="false">IF(N243="S",1,-1)*O243*100</f>
        <v>-3140871</v>
      </c>
      <c r="Q243" s="9" t="s">
        <v>415</v>
      </c>
    </row>
    <row r="244" customFormat="false" ht="15" hidden="false" customHeight="true" outlineLevel="0" collapsed="false">
      <c r="A244" s="9" t="s">
        <v>412</v>
      </c>
      <c r="B244" s="9" t="s">
        <v>413</v>
      </c>
      <c r="C244" s="9" t="s">
        <v>279</v>
      </c>
      <c r="D244" s="25" t="n">
        <v>46204</v>
      </c>
      <c r="E244" s="25" t="n">
        <v>46204</v>
      </c>
      <c r="F244" s="9" t="s">
        <v>398</v>
      </c>
      <c r="G244" s="3"/>
      <c r="H244" s="9" t="s">
        <v>228</v>
      </c>
      <c r="I244" s="9" t="s">
        <v>414</v>
      </c>
      <c r="J244" s="3"/>
      <c r="K244" s="9" t="s">
        <v>416</v>
      </c>
      <c r="L244" s="9" t="s">
        <v>417</v>
      </c>
      <c r="M244" s="3" t="s">
        <v>418</v>
      </c>
      <c r="N244" s="9" t="s">
        <v>182</v>
      </c>
      <c r="O244" s="8" t="n">
        <v>31130.41</v>
      </c>
      <c r="P244" s="8" t="n">
        <f aca="false">IF(N244="S",1,-1)*O244*100</f>
        <v>-3113041</v>
      </c>
      <c r="Q244" s="9" t="s">
        <v>415</v>
      </c>
    </row>
    <row r="245" customFormat="false" ht="15" hidden="false" customHeight="true" outlineLevel="0" collapsed="false">
      <c r="A245" s="9" t="s">
        <v>419</v>
      </c>
      <c r="B245" s="9" t="s">
        <v>420</v>
      </c>
      <c r="C245" s="9" t="s">
        <v>255</v>
      </c>
      <c r="D245" s="25" t="n">
        <v>46203</v>
      </c>
      <c r="E245" s="25" t="n">
        <v>46203</v>
      </c>
      <c r="F245" s="9" t="s">
        <v>421</v>
      </c>
      <c r="G245" s="9" t="s">
        <v>422</v>
      </c>
      <c r="H245" s="9" t="s">
        <v>423</v>
      </c>
      <c r="I245" s="9" t="s">
        <v>424</v>
      </c>
      <c r="J245" s="3"/>
      <c r="K245" s="9" t="s">
        <v>425</v>
      </c>
      <c r="L245" s="9" t="s">
        <v>426</v>
      </c>
      <c r="M245" s="3" t="s">
        <v>427</v>
      </c>
      <c r="N245" s="9" t="s">
        <v>182</v>
      </c>
      <c r="O245" s="8" t="n">
        <v>10000000</v>
      </c>
      <c r="P245" s="8" t="n">
        <f aca="false">IF(N245="S",1,-1)*O245*100</f>
        <v>-1000000000</v>
      </c>
      <c r="Q245" s="9" t="s">
        <v>428</v>
      </c>
    </row>
    <row r="246" customFormat="false" ht="15" hidden="false" customHeight="true" outlineLevel="0" collapsed="false">
      <c r="A246" s="9" t="s">
        <v>419</v>
      </c>
      <c r="B246" s="9" t="s">
        <v>420</v>
      </c>
      <c r="C246" s="9" t="s">
        <v>255</v>
      </c>
      <c r="D246" s="25" t="n">
        <v>46203</v>
      </c>
      <c r="E246" s="25" t="n">
        <v>46203</v>
      </c>
      <c r="F246" s="9" t="s">
        <v>421</v>
      </c>
      <c r="G246" s="9" t="s">
        <v>422</v>
      </c>
      <c r="H246" s="9" t="s">
        <v>423</v>
      </c>
      <c r="I246" s="9" t="s">
        <v>424</v>
      </c>
      <c r="J246" s="3"/>
      <c r="K246" s="9" t="s">
        <v>429</v>
      </c>
      <c r="L246" s="9" t="s">
        <v>430</v>
      </c>
      <c r="M246" s="3" t="s">
        <v>431</v>
      </c>
      <c r="N246" s="9" t="s">
        <v>178</v>
      </c>
      <c r="O246" s="8" t="n">
        <v>5297379.04</v>
      </c>
      <c r="P246" s="8" t="n">
        <f aca="false">IF(N246="S",1,-1)*O246*100</f>
        <v>529737904</v>
      </c>
      <c r="Q246" s="9" t="s">
        <v>428</v>
      </c>
    </row>
    <row r="247" customFormat="false" ht="15" hidden="false" customHeight="true" outlineLevel="0" collapsed="false">
      <c r="A247" s="9" t="s">
        <v>419</v>
      </c>
      <c r="B247" s="9" t="s">
        <v>420</v>
      </c>
      <c r="C247" s="9" t="s">
        <v>255</v>
      </c>
      <c r="D247" s="25" t="n">
        <v>46203</v>
      </c>
      <c r="E247" s="25" t="n">
        <v>46203</v>
      </c>
      <c r="F247" s="9" t="s">
        <v>421</v>
      </c>
      <c r="G247" s="9" t="s">
        <v>422</v>
      </c>
      <c r="H247" s="9" t="s">
        <v>423</v>
      </c>
      <c r="I247" s="9" t="s">
        <v>424</v>
      </c>
      <c r="J247" s="3"/>
      <c r="K247" s="9" t="s">
        <v>233</v>
      </c>
      <c r="L247" s="9" t="s">
        <v>234</v>
      </c>
      <c r="M247" s="3" t="s">
        <v>235</v>
      </c>
      <c r="N247" s="9" t="s">
        <v>178</v>
      </c>
      <c r="O247" s="8" t="n">
        <v>4702620.96</v>
      </c>
      <c r="P247" s="8" t="n">
        <f aca="false">IF(N247="S",1,-1)*O247*100</f>
        <v>470262096</v>
      </c>
      <c r="Q247" s="9" t="s">
        <v>428</v>
      </c>
    </row>
    <row r="248" customFormat="false" ht="15" hidden="false" customHeight="true" outlineLevel="0" collapsed="false">
      <c r="A248" s="9" t="s">
        <v>419</v>
      </c>
      <c r="B248" s="9" t="s">
        <v>432</v>
      </c>
      <c r="C248" s="9" t="s">
        <v>255</v>
      </c>
      <c r="D248" s="25" t="n">
        <v>46203</v>
      </c>
      <c r="E248" s="25" t="n">
        <v>46203</v>
      </c>
      <c r="F248" s="9" t="s">
        <v>421</v>
      </c>
      <c r="G248" s="9" t="s">
        <v>433</v>
      </c>
      <c r="H248" s="9" t="s">
        <v>423</v>
      </c>
      <c r="I248" s="9" t="s">
        <v>424</v>
      </c>
      <c r="J248" s="3"/>
      <c r="K248" s="9" t="s">
        <v>425</v>
      </c>
      <c r="L248" s="9" t="s">
        <v>426</v>
      </c>
      <c r="M248" s="3" t="s">
        <v>427</v>
      </c>
      <c r="N248" s="9" t="s">
        <v>178</v>
      </c>
      <c r="O248" s="8" t="n">
        <v>10000000</v>
      </c>
      <c r="P248" s="8" t="n">
        <f aca="false">IF(N248="S",1,-1)*O248*100</f>
        <v>1000000000</v>
      </c>
      <c r="Q248" s="9" t="s">
        <v>428</v>
      </c>
    </row>
    <row r="249" customFormat="false" ht="15" hidden="false" customHeight="true" outlineLevel="0" collapsed="false">
      <c r="A249" s="9" t="s">
        <v>419</v>
      </c>
      <c r="B249" s="9" t="s">
        <v>432</v>
      </c>
      <c r="C249" s="9" t="s">
        <v>255</v>
      </c>
      <c r="D249" s="25" t="n">
        <v>46203</v>
      </c>
      <c r="E249" s="25" t="n">
        <v>46203</v>
      </c>
      <c r="F249" s="9" t="s">
        <v>421</v>
      </c>
      <c r="G249" s="9" t="s">
        <v>433</v>
      </c>
      <c r="H249" s="9" t="s">
        <v>423</v>
      </c>
      <c r="I249" s="9" t="s">
        <v>424</v>
      </c>
      <c r="J249" s="3"/>
      <c r="K249" s="9" t="s">
        <v>429</v>
      </c>
      <c r="L249" s="9" t="s">
        <v>430</v>
      </c>
      <c r="M249" s="3" t="s">
        <v>431</v>
      </c>
      <c r="N249" s="9" t="s">
        <v>182</v>
      </c>
      <c r="O249" s="8" t="n">
        <v>5297379.04</v>
      </c>
      <c r="P249" s="8" t="n">
        <f aca="false">IF(N249="S",1,-1)*O249*100</f>
        <v>-529737904</v>
      </c>
      <c r="Q249" s="9" t="s">
        <v>428</v>
      </c>
    </row>
    <row r="250" customFormat="false" ht="15" hidden="false" customHeight="true" outlineLevel="0" collapsed="false">
      <c r="A250" s="9" t="s">
        <v>419</v>
      </c>
      <c r="B250" s="9" t="s">
        <v>432</v>
      </c>
      <c r="C250" s="9" t="s">
        <v>255</v>
      </c>
      <c r="D250" s="25" t="n">
        <v>46203</v>
      </c>
      <c r="E250" s="25" t="n">
        <v>46203</v>
      </c>
      <c r="F250" s="9" t="s">
        <v>421</v>
      </c>
      <c r="G250" s="9" t="s">
        <v>433</v>
      </c>
      <c r="H250" s="9" t="s">
        <v>423</v>
      </c>
      <c r="I250" s="9" t="s">
        <v>424</v>
      </c>
      <c r="J250" s="3"/>
      <c r="K250" s="9" t="s">
        <v>233</v>
      </c>
      <c r="L250" s="9" t="s">
        <v>234</v>
      </c>
      <c r="M250" s="3" t="s">
        <v>235</v>
      </c>
      <c r="N250" s="9" t="s">
        <v>182</v>
      </c>
      <c r="O250" s="8" t="n">
        <v>4702620.96</v>
      </c>
      <c r="P250" s="8" t="n">
        <f aca="false">IF(N250="S",1,-1)*O250*100</f>
        <v>-470262096</v>
      </c>
      <c r="Q250" s="9" t="s">
        <v>428</v>
      </c>
    </row>
    <row r="251" customFormat="false" ht="15" hidden="false" customHeight="true" outlineLevel="0" collapsed="false">
      <c r="A251" s="9" t="s">
        <v>419</v>
      </c>
      <c r="B251" s="9" t="s">
        <v>434</v>
      </c>
      <c r="C251" s="9" t="s">
        <v>255</v>
      </c>
      <c r="D251" s="25" t="n">
        <v>46203</v>
      </c>
      <c r="E251" s="25" t="n">
        <v>46203</v>
      </c>
      <c r="F251" s="9" t="s">
        <v>421</v>
      </c>
      <c r="G251" s="9" t="s">
        <v>422</v>
      </c>
      <c r="H251" s="9" t="s">
        <v>423</v>
      </c>
      <c r="I251" s="9" t="s">
        <v>424</v>
      </c>
      <c r="J251" s="3"/>
      <c r="K251" s="9" t="s">
        <v>425</v>
      </c>
      <c r="L251" s="9" t="s">
        <v>426</v>
      </c>
      <c r="M251" s="3" t="s">
        <v>427</v>
      </c>
      <c r="N251" s="9" t="s">
        <v>182</v>
      </c>
      <c r="O251" s="8" t="n">
        <v>10000000</v>
      </c>
      <c r="P251" s="8" t="n">
        <f aca="false">IF(N251="S",1,-1)*O251*100</f>
        <v>-1000000000</v>
      </c>
      <c r="Q251" s="9" t="s">
        <v>428</v>
      </c>
    </row>
    <row r="252" customFormat="false" ht="15" hidden="false" customHeight="true" outlineLevel="0" collapsed="false">
      <c r="A252" s="9" t="s">
        <v>419</v>
      </c>
      <c r="B252" s="9" t="s">
        <v>434</v>
      </c>
      <c r="C252" s="9" t="s">
        <v>255</v>
      </c>
      <c r="D252" s="25" t="n">
        <v>46203</v>
      </c>
      <c r="E252" s="25" t="n">
        <v>46203</v>
      </c>
      <c r="F252" s="9" t="s">
        <v>421</v>
      </c>
      <c r="G252" s="9" t="s">
        <v>422</v>
      </c>
      <c r="H252" s="9" t="s">
        <v>423</v>
      </c>
      <c r="I252" s="9" t="s">
        <v>424</v>
      </c>
      <c r="J252" s="3"/>
      <c r="K252" s="9" t="s">
        <v>429</v>
      </c>
      <c r="L252" s="9" t="s">
        <v>430</v>
      </c>
      <c r="M252" s="3" t="s">
        <v>431</v>
      </c>
      <c r="N252" s="9" t="s">
        <v>178</v>
      </c>
      <c r="O252" s="8" t="n">
        <v>5297379.04</v>
      </c>
      <c r="P252" s="8" t="n">
        <f aca="false">IF(N252="S",1,-1)*O252*100</f>
        <v>529737904</v>
      </c>
      <c r="Q252" s="9" t="s">
        <v>428</v>
      </c>
    </row>
    <row r="253" customFormat="false" ht="15" hidden="false" customHeight="true" outlineLevel="0" collapsed="false">
      <c r="A253" s="9" t="s">
        <v>419</v>
      </c>
      <c r="B253" s="9" t="s">
        <v>434</v>
      </c>
      <c r="C253" s="9" t="s">
        <v>255</v>
      </c>
      <c r="D253" s="25" t="n">
        <v>46203</v>
      </c>
      <c r="E253" s="25" t="n">
        <v>46203</v>
      </c>
      <c r="F253" s="9" t="s">
        <v>421</v>
      </c>
      <c r="G253" s="9" t="s">
        <v>422</v>
      </c>
      <c r="H253" s="9" t="s">
        <v>423</v>
      </c>
      <c r="I253" s="9" t="s">
        <v>424</v>
      </c>
      <c r="J253" s="3"/>
      <c r="K253" s="9" t="s">
        <v>233</v>
      </c>
      <c r="L253" s="9" t="s">
        <v>234</v>
      </c>
      <c r="M253" s="3" t="s">
        <v>235</v>
      </c>
      <c r="N253" s="9" t="s">
        <v>178</v>
      </c>
      <c r="O253" s="8" t="n">
        <v>4702620.96</v>
      </c>
      <c r="P253" s="8" t="n">
        <f aca="false">IF(N253="S",1,-1)*O253*100</f>
        <v>470262096</v>
      </c>
      <c r="Q253" s="9" t="s">
        <v>428</v>
      </c>
    </row>
    <row r="254" customFormat="false" ht="15" hidden="false" customHeight="true" outlineLevel="0" collapsed="false">
      <c r="A254" s="9" t="s">
        <v>419</v>
      </c>
      <c r="B254" s="9" t="s">
        <v>435</v>
      </c>
      <c r="C254" s="9" t="s">
        <v>255</v>
      </c>
      <c r="D254" s="25" t="n">
        <v>46203</v>
      </c>
      <c r="E254" s="25" t="n">
        <v>46203</v>
      </c>
      <c r="F254" s="9" t="s">
        <v>436</v>
      </c>
      <c r="G254" s="3"/>
      <c r="H254" s="9" t="s">
        <v>423</v>
      </c>
      <c r="I254" s="9" t="s">
        <v>437</v>
      </c>
      <c r="J254" s="3"/>
      <c r="K254" s="9" t="s">
        <v>438</v>
      </c>
      <c r="L254" s="9" t="s">
        <v>439</v>
      </c>
      <c r="M254" s="3" t="s">
        <v>440</v>
      </c>
      <c r="N254" s="9" t="s">
        <v>178</v>
      </c>
      <c r="O254" s="8" t="n">
        <v>5956653.22</v>
      </c>
      <c r="P254" s="8" t="n">
        <f aca="false">IF(N254="S",1,-1)*O254*100</f>
        <v>595665322</v>
      </c>
      <c r="Q254" s="9" t="s">
        <v>441</v>
      </c>
    </row>
    <row r="255" customFormat="false" ht="15" hidden="false" customHeight="true" outlineLevel="0" collapsed="false">
      <c r="A255" s="9" t="s">
        <v>419</v>
      </c>
      <c r="B255" s="9" t="s">
        <v>435</v>
      </c>
      <c r="C255" s="9" t="s">
        <v>255</v>
      </c>
      <c r="D255" s="25" t="n">
        <v>46203</v>
      </c>
      <c r="E255" s="25" t="n">
        <v>46203</v>
      </c>
      <c r="F255" s="9" t="s">
        <v>436</v>
      </c>
      <c r="G255" s="3"/>
      <c r="H255" s="9" t="s">
        <v>423</v>
      </c>
      <c r="I255" s="9" t="s">
        <v>437</v>
      </c>
      <c r="J255" s="3"/>
      <c r="K255" s="9" t="s">
        <v>442</v>
      </c>
      <c r="L255" s="9" t="s">
        <v>443</v>
      </c>
      <c r="M255" s="3" t="s">
        <v>431</v>
      </c>
      <c r="N255" s="9" t="s">
        <v>182</v>
      </c>
      <c r="O255" s="8" t="n">
        <v>1254032.26</v>
      </c>
      <c r="P255" s="8" t="n">
        <f aca="false">IF(N255="S",1,-1)*O255*100</f>
        <v>-125403226</v>
      </c>
      <c r="Q255" s="9" t="s">
        <v>444</v>
      </c>
    </row>
    <row r="256" customFormat="false" ht="15" hidden="false" customHeight="true" outlineLevel="0" collapsed="false">
      <c r="A256" s="9" t="s">
        <v>419</v>
      </c>
      <c r="B256" s="9" t="s">
        <v>435</v>
      </c>
      <c r="C256" s="9" t="s">
        <v>255</v>
      </c>
      <c r="D256" s="25" t="n">
        <v>46203</v>
      </c>
      <c r="E256" s="25" t="n">
        <v>46203</v>
      </c>
      <c r="F256" s="9" t="s">
        <v>436</v>
      </c>
      <c r="G256" s="3"/>
      <c r="H256" s="9" t="s">
        <v>423</v>
      </c>
      <c r="I256" s="9" t="s">
        <v>437</v>
      </c>
      <c r="J256" s="3"/>
      <c r="K256" s="9" t="s">
        <v>233</v>
      </c>
      <c r="L256" s="9" t="s">
        <v>234</v>
      </c>
      <c r="M256" s="3" t="s">
        <v>235</v>
      </c>
      <c r="N256" s="9" t="s">
        <v>182</v>
      </c>
      <c r="O256" s="8" t="n">
        <v>4702620.96</v>
      </c>
      <c r="P256" s="8" t="n">
        <f aca="false">IF(N256="S",1,-1)*O256*100</f>
        <v>-470262096</v>
      </c>
      <c r="Q256" s="9" t="s">
        <v>445</v>
      </c>
    </row>
  </sheetData>
  <autoFilter ref="A1:Q25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2026-10-20T01:32:25Z</dcterms:created>
  <dc:creator>openpyxl</dc:creator>
  <dc:description/>
  <dc:language>en-US</dc:language>
  <cp:lastModifiedBy/>
  <dcterms:modified xsi:type="dcterms:W3CDTF">2026-10-20T01:51:42Z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