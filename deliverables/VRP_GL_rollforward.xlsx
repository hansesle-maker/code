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분개상세" sheetId="2" state="visible" r:id="rId4"/>
    <sheet name="VRP 지급내역" sheetId="3" state="visible" r:id="rId5"/>
  </sheets>
  <definedNames>
    <definedName function="false" hidden="true" localSheetId="1" name="_xlnm._FilterDatabase" vbProcedure="false">분개상세!$A$1:$N$101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<sst xmlns="http://schemas.openxmlformats.org/spreadsheetml/2006/main" count="871" uniqueCount="128">
  <si>
    <t xml:space="preserve">VRP 구조조정충당부채 GL 정리 (2026.01~09)</t>
  </si>
  <si>
    <t xml:space="preserve">출처: 010_General_ledger 2026 Q1~Q3 (금액 ×100 환산), BSPL2026. 충당부채 계정 38160000(VRP)·42910311(전직지원)은 정산표상 미지급비용, 전입/환입 70051000은 판관비-급여로 매핑. 금액 차변(+)/대변(-).</t>
  </si>
  <si>
    <t xml:space="preserve">1. 계정별 롤포워드 (GL 기준, BSPL과 대사)</t>
  </si>
  <si>
    <t xml:space="preserve">계정</t>
  </si>
  <si>
    <t xml:space="preserve">기초(2025.12)</t>
  </si>
  <si>
    <t xml:space="preserve">설정</t>
  </si>
  <si>
    <t xml:space="preserve">환입</t>
  </si>
  <si>
    <t xml:space="preserve">사용</t>
  </si>
  <si>
    <t xml:space="preserve">재분류</t>
  </si>
  <si>
    <t xml:space="preserve">역분개(순0)</t>
  </si>
  <si>
    <t xml:space="preserve">기말(GL)</t>
  </si>
  <si>
    <t xml:space="preserve">BSPL 9월말</t>
  </si>
  <si>
    <t xml:space="preserve">차이</t>
  </si>
  <si>
    <t xml:space="preserve">38160000 구조조정충당부채-VRP (미지급비용)</t>
  </si>
  <si>
    <t xml:space="preserve">42910311 구조조정충당부채-전직지원 (미지급비용)</t>
  </si>
  <si>
    <t xml:space="preserve">합계</t>
  </si>
  <si>
    <t xml:space="preserve">2. 프로그램별 롤포워드 (38160000 + 42910311, 대변(-) = 부채)</t>
  </si>
  <si>
    <t xml:space="preserve">프로그램</t>
  </si>
  <si>
    <t xml:space="preserve">비고</t>
  </si>
  <si>
    <t xml:space="preserve">'25 Drive 2 (commercial)</t>
  </si>
  <si>
    <t xml:space="preserve">기초 전액을 '25 Drive 2로 가정(전직지원 중 '24 Drive 3.5백만원, '26 Argos 3.5백만원 차감)</t>
  </si>
  <si>
    <t xml:space="preserve">'24 Drive</t>
  </si>
  <si>
    <t xml:space="preserve">전직지원 3월 재분류(68063200 → 42910311)</t>
  </si>
  <si>
    <t xml:space="preserve">'26 Fit for purpose</t>
  </si>
  <si>
    <t xml:space="preserve">4월 설정 → 9월 전액 환입</t>
  </si>
  <si>
    <t xml:space="preserve">'26 Key market</t>
  </si>
  <si>
    <t xml:space="preserve">'26 Argos</t>
  </si>
  <si>
    <t xml:space="preserve">전직지원 4월 환입(전기 설정분), VRP 4월 추가설정</t>
  </si>
  <si>
    <t xml:space="preserve">'26 Procurement transformation</t>
  </si>
  <si>
    <t xml:space="preserve">'26 DD&amp;O Footprint</t>
  </si>
  <si>
    <t xml:space="preserve">기초 재분류</t>
  </si>
  <si>
    <t xml:space="preserve">1/1 전기전표(10016118) 역분개, 계정 내 순액 0</t>
  </si>
  <si>
    <t xml:space="preserve">BSPL 9월말 (38160000+42910311)</t>
  </si>
  <si>
    <t xml:space="preserve">3. 손익 영향 (70051000 전입/환입, 판관비-급여)</t>
  </si>
  <si>
    <t xml:space="preserve">VRP 설정</t>
  </si>
  <si>
    <t xml:space="preserve">VRP 환입</t>
  </si>
  <si>
    <t xml:space="preserve">전직지원 설정</t>
  </si>
  <si>
    <t xml:space="preserve">전직지원 환입</t>
  </si>
  <si>
    <t xml:space="preserve">70051000 GL 합계 / BSPL 9월</t>
  </si>
  <si>
    <t xml:space="preserve">4. '25 Drive 2 VRP 사용액 vs 실제 지급(62100747 경유)</t>
  </si>
  <si>
    <t xml:space="preserve">월</t>
  </si>
  <si>
    <t xml:space="preserve">충당부채 사용(38160000 차변)</t>
  </si>
  <si>
    <t xml:space="preserve">실제 지급(62100747)</t>
  </si>
  <si>
    <t xml:space="preserve">1월</t>
  </si>
  <si>
    <t xml:space="preserve">급여대장 5,290.8백만 + 연금사업자 3,735.6백만</t>
  </si>
  <si>
    <t xml:space="preserve">2월</t>
  </si>
  <si>
    <t xml:space="preserve">급여대장 773.2백만 / 사용 773.2백만, 1월 과다사용 조정 -9.4백만 포함</t>
  </si>
  <si>
    <t xml:space="preserve">4월</t>
  </si>
  <si>
    <t xml:space="preserve">연금사업자 554.8백만 (중복기표 1건 역분개)</t>
  </si>
  <si>
    <t xml:space="preserve">7월</t>
  </si>
  <si>
    <t xml:space="preserve">급여대장 742.5백만</t>
  </si>
  <si>
    <t xml:space="preserve">5. GL 확인 결과 및 검토 포인트</t>
  </si>
  <si>
    <t xml:space="preserve">① 38160000 9월말 잔액 4,473,184,387원 = '25 Drive 2 잔액 3,513,650,452원 + '26 신규 4건 959,533,935원(Key market 386.2 / Argos 36.9 / Procurement 290.8 / DD&amp;O 245.6백만원). BSPL과 일치.</t>
  </si>
  <si>
    <t xml:space="preserve">② '25 Drive 2: 기초 16,873.6백만원 → 사용 11,088.6백만원(1월 9,029.9 / 2월 763.8 / 4월 552.4 / 7월 742.5), 3월 환입 2,271.4백만원, 9월말 잔액 3,513.7백만원. 전기말 설정액의 13.5%를 환입했고, 9개월 경과 후에도 20.8%가 미지급 → 대상자별 지급예정표 확인 필요.</t>
  </si>
  <si>
    <t xml:space="preserve">③ VRP 지급은 퇴직급여-DC(62100747)로 먼저 비용처리(급여대장 SE·연금사업자 KR)한 뒤 SB 전표로 충당부채와 상계. 4개월 사용액 합계와 지급액은 1월 3.5백만원, 2월 -9.4백만원, 4월 -2.4백만원 차이(시트 4).</t>
  </si>
  <si>
    <t xml:space="preserve">④ 3월 환입: 120000070(전직지원 80.5백만원 포함)을 기표 후 BL_JE_WS가 120000071로 역분개하고 120000074(전직지원 10.5백만원)로 재기표. VRP 환입 2,271,351,872원의 산정 근거(확정 대상자 수·금액) 확인 필요.</t>
  </si>
  <si>
    <t xml:space="preserve">⑤ '26 Fit for purpose: 4월 583.4백만원(+전직지원 3.5백만원) 설정 후 9월 전액 환입 → 계획 철회 여부, 4월 설정 시 인식요건 충족 여부 확인.</t>
  </si>
  <si>
    <t xml:space="preserve">⑥ '26 신규 4건 959.5백만원(Key market, Argos, Procurement, DD&amp;O): K-GAAP 인식요건(구체적 계획 수립·공표, 대상자 확정/수락) 충족 근거와 9월말까지 지급 0원인 사유, 지급 예정일 확인.</t>
  </si>
  <si>
    <t xml:space="preserve">⑦ 표시: 충당부채 계정이 미지급비용으로 표시되고 전입/환입(70051000)은 판관비-급여, 실제 지급은 퇴직급여(62100747) 경유. 금액·시기가 확정되지 않은 부분은 유동성충당부채 표시 검토, 손익은 순액 -1,371.3백만원(환입 초과)으로 급여 감소.</t>
  </si>
  <si>
    <t xml:space="preserve">⑧ 42910311 전직지원: 기초 122.5백만원 → 9월말 42.0백만원. 68063200(지급수수료-Outplacement) YTD 10.5백만원은 충당부채와 상계되지 않은 비용 → 이중 인식 여부 확인.</t>
  </si>
  <si>
    <t xml:space="preserve">⑨ 회사 VRP 정리자료(4.06_VRP_2026.xlsx)는 암호화(민감도 레이블/비밀번호)되어 열 수 없어 대사 미완료 → 암호 해제본 수령 후 본 시트 1~4와 대사 예정.</t>
  </si>
  <si>
    <t xml:space="preserve">전표번호</t>
  </si>
  <si>
    <t xml:space="preserve">기간</t>
  </si>
  <si>
    <t xml:space="preserve">전기일</t>
  </si>
  <si>
    <t xml:space="preserve">증빙일</t>
  </si>
  <si>
    <t xml:space="preserve">전표유형</t>
  </si>
  <si>
    <t xml:space="preserve">입력자</t>
  </si>
  <si>
    <t xml:space="preserve">헤더텍스트</t>
  </si>
  <si>
    <t xml:space="preserve">역분개전표</t>
  </si>
  <si>
    <t xml:space="preserve">G/L</t>
  </si>
  <si>
    <t xml:space="preserve">계정명</t>
  </si>
  <si>
    <t xml:space="preserve">적요</t>
  </si>
  <si>
    <t xml:space="preserve">구분</t>
  </si>
  <si>
    <t xml:space="preserve">금액(원, 차변+)</t>
  </si>
  <si>
    <t xml:space="preserve">AB</t>
  </si>
  <si>
    <t xml:space="preserve">U1096412</t>
  </si>
  <si>
    <t xml:space="preserve">구조조정충당부채-VRP (미지급비용)</t>
  </si>
  <si>
    <t xml:space="preserve">재분류(전기전표 역분개)</t>
  </si>
  <si>
    <t xml:space="preserve">SB</t>
  </si>
  <si>
    <t xml:space="preserve">Provision '25_Drive 2 VRP</t>
  </si>
  <si>
    <t xml:space="preserve">Prov.'25_Drive 2 VRP_commercial</t>
  </si>
  <si>
    <t xml:space="preserve">퇴직급여-DC (VRP 지급 경유)</t>
  </si>
  <si>
    <t xml:space="preserve">Prov.'25_Drive 2 VRP_commercial_adj</t>
  </si>
  <si>
    <t xml:space="preserve">Provision Pharma Restruct</t>
  </si>
  <si>
    <t xml:space="preserve">기표 후 역분개</t>
  </si>
  <si>
    <t xml:space="preserve">구조조정충당부채-전직지원 (미지급비용)</t>
  </si>
  <si>
    <t xml:space="preserve">Prov.'25_Drive 2 outplacement_commercial_adj</t>
  </si>
  <si>
    <t xml:space="preserve">구조조정충당부채 전입/환입 (판관비-급여)</t>
  </si>
  <si>
    <t xml:space="preserve">BL_JE_WS</t>
  </si>
  <si>
    <t xml:space="preserve">Prov.'24_Drive_noncommercial_reclass</t>
  </si>
  <si>
    <t xml:space="preserve">지급수수료-Outplacement</t>
  </si>
  <si>
    <t xml:space="preserve">Provision '26</t>
  </si>
  <si>
    <t xml:space="preserve">Prov.'26_fit for purpose VRP_noncommercial</t>
  </si>
  <si>
    <t xml:space="preserve">Prov.'26_key market VRP_noncommercial</t>
  </si>
  <si>
    <t xml:space="preserve">Prov.'26_Argos add'l VRP_noncommercial</t>
  </si>
  <si>
    <t xml:space="preserve">Prov.'26_fit for purpose outplacement_noncommercia</t>
  </si>
  <si>
    <t xml:space="preserve">Prov.'26_key market outplacement_noncommercial</t>
  </si>
  <si>
    <t xml:space="preserve">Prov.'26_Argos outplacement reversal_noncommercial</t>
  </si>
  <si>
    <t xml:space="preserve">Provision '25_Drive 25 2</t>
  </si>
  <si>
    <t xml:space="preserve">VRP '25_Drive 25  2_commercial</t>
  </si>
  <si>
    <t xml:space="preserve">Outplacement '25_Drive 25  2_commercial</t>
  </si>
  <si>
    <t xml:space="preserve">Prov.'26_Procurement transformation VRP_noncommerc</t>
  </si>
  <si>
    <t xml:space="preserve">Prov.'26_DD&amp;O Footprint Change VRP_noncommercial</t>
  </si>
  <si>
    <t xml:space="preserve">Prov.'26_Procurement transformation outplacement_n</t>
  </si>
  <si>
    <t xml:space="preserve">Prov.'26_DD&amp;O Footprint Change outplacement_noncom</t>
  </si>
  <si>
    <t xml:space="preserve">Outplacement '25_Drive 25  2_commercial_Reversal</t>
  </si>
  <si>
    <t xml:space="preserve">Outplacement '25_Drive 25  2_commercial_reversal</t>
  </si>
  <si>
    <t xml:space="preserve">VRP PROVISION'26</t>
  </si>
  <si>
    <t xml:space="preserve">Prov.;26_fit for purpose VRP_noncommercial</t>
  </si>
  <si>
    <t xml:space="preserve">Prov.;26_fit for purpose outplacement_noncommercia</t>
  </si>
  <si>
    <t xml:space="preserve">Prov.;26_fit for purpose</t>
  </si>
  <si>
    <t xml:space="preserve">상대계정</t>
  </si>
  <si>
    <t xml:space="preserve">금액(원)</t>
  </si>
  <si>
    <t xml:space="preserve">KR</t>
  </si>
  <si>
    <t xml:space="preserve">2026년 01월 퇴직연금</t>
  </si>
  <si>
    <t xml:space="preserve">퇴직충당금 사용주부담금</t>
  </si>
  <si>
    <t xml:space="preserve">40000012</t>
  </si>
  <si>
    <t xml:space="preserve">SE</t>
  </si>
  <si>
    <t xml:space="preserve">Payroll Journal 202601</t>
  </si>
  <si>
    <t xml:space="preserve">Pension DC costs-Defined contribution pl</t>
  </si>
  <si>
    <t xml:space="preserve">42400000</t>
  </si>
  <si>
    <t xml:space="preserve">Payroll Journal 202602_of</t>
  </si>
  <si>
    <t xml:space="preserve">KA</t>
  </si>
  <si>
    <t xml:space="preserve">2026년 04월 퇴직연금</t>
  </si>
  <si>
    <t xml:space="preserve">40000012,42910018</t>
  </si>
  <si>
    <t xml:space="preserve">Payroll Journal 202607_of</t>
  </si>
  <si>
    <t xml:space="preserve">26000810,42400000,66900000</t>
  </si>
  <si>
    <t xml:space="preserve">주) 연금사업자 KR 전표(퇴직충당금 사용주부담금) 중 1억원 초과 라인과 급여대장(SE) VRP 라인만 집계. 4월 190566871은 170018570으로 역분개(중복). 3월 42.6백만원(190566480), 7월 34.0백만원(190567822) 대형 라인은 VRP 여부 불명확하여 제외.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</si>
</sst>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맑은 고딕"/>
      <family val="0"/>
      <charset val="1"/>
    </font>
    <font>
      <b val="true"/>
      <sz val="12"/>
      <name val="맑은 고딕"/>
      <family val="3"/>
    </font>
    <font>
      <sz val="9"/>
      <name val="맑은 고딕"/>
      <family val="3"/>
    </font>
    <font>
      <sz val="9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9"/>
      <name val="맑은 고딕"/>
      <family val="3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6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5" t="s">
        <v>11</v>
      </c>
      <c r="J5" s="4" t="s">
        <v>12</v>
      </c>
    </row>
    <row r="6" customFormat="false" ht="15" hidden="false" customHeight="false" outlineLevel="0" collapsed="false">
      <c r="A6" s="6" t="s">
        <v>13</v>
      </c>
      <c r="B6" s="7" t="n">
        <v>-16873571611</v>
      </c>
      <c r="C6" s="7" t="n">
        <f aca="false">SUMIFS(분개상세!$N$2:$N$101,분개상세!$I$2:$I$101,38160000,분개상세!$M$2:$M$101,"설정")</f>
        <v>-1542939634</v>
      </c>
      <c r="D6" s="7" t="n">
        <f aca="false">SUMIFS(분개상세!$N$2:$N$101,분개상세!$I$2:$I$101,38160000,분개상세!$M$2:$M$101,"환입")</f>
        <v>2854753560</v>
      </c>
      <c r="E6" s="7" t="n">
        <f aca="false">SUMIFS(분개상세!$N$2:$N$101,분개상세!$I$2:$I$101,38160000,분개상세!$M$2:$M$101,"사용")</f>
        <v>11088573298</v>
      </c>
      <c r="F6" s="7" t="n">
        <f aca="false">SUMIFS(분개상세!$N$2:$N$101,분개상세!$I$2:$I$101,38160000,분개상세!$M$2:$M$101,"재분류(전기전표 역분개)")</f>
        <v>0</v>
      </c>
      <c r="G6" s="7" t="n">
        <f aca="false">SUMIFS(분개상세!$N$2:$N$101,분개상세!$I$2:$I$101,38160000,분개상세!$M$2:$M$101,"기표 후 역분개")</f>
        <v>0</v>
      </c>
      <c r="H6" s="7" t="n">
        <f aca="false">SUM(B6:G6)</f>
        <v>-4473184387</v>
      </c>
      <c r="I6" s="7" t="n">
        <v>-4473184387</v>
      </c>
      <c r="J6" s="7" t="n">
        <f aca="false">H6-I6</f>
        <v>0</v>
      </c>
    </row>
    <row r="7" customFormat="false" ht="15" hidden="false" customHeight="false" outlineLevel="0" collapsed="false">
      <c r="A7" s="6" t="s">
        <v>14</v>
      </c>
      <c r="B7" s="7" t="n">
        <v>-122500000</v>
      </c>
      <c r="C7" s="7" t="n">
        <f aca="false">SUMIFS(분개상세!$N$2:$N$101,분개상세!$I$2:$I$101,42910311,분개상세!$M$2:$M$101,"설정")</f>
        <v>-14000000</v>
      </c>
      <c r="D7" s="7" t="n">
        <f aca="false">SUMIFS(분개상세!$N$2:$N$101,분개상세!$I$2:$I$101,42910311,분개상세!$M$2:$M$101,"환입")</f>
        <v>84000000</v>
      </c>
      <c r="E7" s="7" t="n">
        <f aca="false">SUMIFS(분개상세!$N$2:$N$101,분개상세!$I$2:$I$101,42910311,분개상세!$M$2:$M$101,"사용")</f>
        <v>10500000</v>
      </c>
      <c r="F7" s="7" t="n">
        <f aca="false">SUMIFS(분개상세!$N$2:$N$101,분개상세!$I$2:$I$101,42910311,분개상세!$M$2:$M$101,"재분류(전기전표 역분개)")</f>
        <v>0</v>
      </c>
      <c r="G7" s="7" t="n">
        <f aca="false">SUMIFS(분개상세!$N$2:$N$101,분개상세!$I$2:$I$101,42910311,분개상세!$M$2:$M$101,"기표 후 역분개")</f>
        <v>0</v>
      </c>
      <c r="H7" s="7" t="n">
        <f aca="false">SUM(B7:G7)</f>
        <v>-42000000</v>
      </c>
      <c r="I7" s="7" t="n">
        <v>-42000000</v>
      </c>
      <c r="J7" s="7" t="n">
        <f aca="false">H7-I7</f>
        <v>0</v>
      </c>
    </row>
    <row r="8" customFormat="false" ht="15" hidden="false" customHeight="false" outlineLevel="0" collapsed="false">
      <c r="A8" s="8" t="s">
        <v>15</v>
      </c>
      <c r="B8" s="9" t="n">
        <f aca="false">B6+B7</f>
        <v>-16996071611</v>
      </c>
      <c r="C8" s="9" t="n">
        <f aca="false">C6+C7</f>
        <v>-1556939634</v>
      </c>
      <c r="D8" s="9" t="n">
        <f aca="false">D6+D7</f>
        <v>2938753560</v>
      </c>
      <c r="E8" s="9" t="n">
        <f aca="false">E6+E7</f>
        <v>11099073298</v>
      </c>
      <c r="F8" s="9" t="n">
        <f aca="false">F6+F7</f>
        <v>0</v>
      </c>
      <c r="G8" s="9" t="n">
        <f aca="false">G6+G7</f>
        <v>0</v>
      </c>
      <c r="H8" s="9" t="n">
        <f aca="false">H6+H7</f>
        <v>-4515184387</v>
      </c>
      <c r="I8" s="9" t="n">
        <f aca="false">I6+I7</f>
        <v>-4515184387</v>
      </c>
      <c r="J8" s="9" t="n">
        <f aca="false">J6+J7</f>
        <v>0</v>
      </c>
    </row>
    <row r="10" customFormat="false" ht="15" hidden="false" customHeight="false" outlineLevel="0" collapsed="false">
      <c r="A10" s="3" t="s">
        <v>16</v>
      </c>
    </row>
    <row r="11" customFormat="false" ht="15" hidden="false" customHeight="false" outlineLevel="0" collapsed="false">
      <c r="A11" s="4" t="s">
        <v>17</v>
      </c>
      <c r="B11" s="4" t="s">
        <v>4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10</v>
      </c>
      <c r="H11" s="4" t="s">
        <v>18</v>
      </c>
    </row>
    <row r="12" customFormat="false" ht="15" hidden="false" customHeight="false" outlineLevel="0" collapsed="false">
      <c r="A12" s="6" t="s">
        <v>19</v>
      </c>
      <c r="B12" s="7" t="n">
        <f aca="false">-16873571611-122500000+3500000+3500000</f>
        <v>-16989071611</v>
      </c>
      <c r="C12" s="7" t="n">
        <f aca="false">SUMIFS(분개상세!$N$2:$N$101,분개상세!$I$2:$I$101,38160000,분개상세!$L$2:$L$101,"'25 Drive 2 (commercial)",분개상세!$M$2:$M$101,"설정")+SUMIFS(분개상세!$N$2:$N$101,분개상세!$I$2:$I$101,42910311,분개상세!$L$2:$L$101,"'25 Drive 2 (commercial)",분개상세!$M$2:$M$101,"설정")</f>
        <v>0</v>
      </c>
      <c r="D12" s="7" t="n">
        <f aca="false">SUMIFS(분개상세!$N$2:$N$101,분개상세!$I$2:$I$101,38160000,분개상세!$L$2:$L$101,"'25 Drive 2 (commercial)",분개상세!$M$2:$M$101,"환입")+SUMIFS(분개상세!$N$2:$N$101,분개상세!$I$2:$I$101,42910311,분개상세!$L$2:$L$101,"'25 Drive 2 (commercial)",분개상세!$M$2:$M$101,"환입")</f>
        <v>2348351872</v>
      </c>
      <c r="E12" s="7" t="n">
        <f aca="false">SUMIFS(분개상세!$N$2:$N$101,분개상세!$I$2:$I$101,38160000,분개상세!$L$2:$L$101,"'25 Drive 2 (commercial)",분개상세!$M$2:$M$101,"사용")+SUMIFS(분개상세!$N$2:$N$101,분개상세!$I$2:$I$101,42910311,분개상세!$L$2:$L$101,"'25 Drive 2 (commercial)",분개상세!$M$2:$M$101,"사용")</f>
        <v>11095573298</v>
      </c>
      <c r="F12" s="7" t="n">
        <f aca="false">SUMIFS(분개상세!$N$2:$N$101,분개상세!$I$2:$I$101,38160000,분개상세!$L$2:$L$101,"'25 Drive 2 (commercial)",분개상세!$M$2:$M$101,"재분류(전기전표 역분개)")+SUMIFS(분개상세!$N$2:$N$101,분개상세!$I$2:$I$101,42910311,분개상세!$L$2:$L$101,"'25 Drive 2 (commercial)",분개상세!$M$2:$M$101,"재분류(전기전표 역분개)")</f>
        <v>0</v>
      </c>
      <c r="G12" s="7" t="n">
        <f aca="false">SUM(B12:F12)</f>
        <v>-3545146441</v>
      </c>
      <c r="H12" s="2" t="s">
        <v>20</v>
      </c>
    </row>
    <row r="13" customFormat="false" ht="15" hidden="false" customHeight="false" outlineLevel="0" collapsed="false">
      <c r="A13" s="6" t="s">
        <v>21</v>
      </c>
      <c r="B13" s="7" t="n">
        <v>-3500000</v>
      </c>
      <c r="C13" s="7" t="n">
        <f aca="false">SUMIFS(분개상세!$N$2:$N$101,분개상세!$I$2:$I$101,38160000,분개상세!$L$2:$L$101,"'24 Drive",분개상세!$M$2:$M$101,"설정")+SUMIFS(분개상세!$N$2:$N$101,분개상세!$I$2:$I$101,42910311,분개상세!$L$2:$L$101,"'24 Drive",분개상세!$M$2:$M$101,"설정")</f>
        <v>0</v>
      </c>
      <c r="D13" s="7" t="n">
        <f aca="false">SUMIFS(분개상세!$N$2:$N$101,분개상세!$I$2:$I$101,38160000,분개상세!$L$2:$L$101,"'24 Drive",분개상세!$M$2:$M$101,"환입")+SUMIFS(분개상세!$N$2:$N$101,분개상세!$I$2:$I$101,42910311,분개상세!$L$2:$L$101,"'24 Drive",분개상세!$M$2:$M$101,"환입")</f>
        <v>0</v>
      </c>
      <c r="E13" s="7" t="n">
        <f aca="false">SUMIFS(분개상세!$N$2:$N$101,분개상세!$I$2:$I$101,38160000,분개상세!$L$2:$L$101,"'24 Drive",분개상세!$M$2:$M$101,"사용")+SUMIFS(분개상세!$N$2:$N$101,분개상세!$I$2:$I$101,42910311,분개상세!$L$2:$L$101,"'24 Drive",분개상세!$M$2:$M$101,"사용")</f>
        <v>3500000</v>
      </c>
      <c r="F13" s="7" t="n">
        <f aca="false">SUMIFS(분개상세!$N$2:$N$101,분개상세!$I$2:$I$101,38160000,분개상세!$L$2:$L$101,"'24 Drive",분개상세!$M$2:$M$101,"재분류(전기전표 역분개)")+SUMIFS(분개상세!$N$2:$N$101,분개상세!$I$2:$I$101,42910311,분개상세!$L$2:$L$101,"'24 Drive",분개상세!$M$2:$M$101,"재분류(전기전표 역분개)")</f>
        <v>0</v>
      </c>
      <c r="G13" s="7" t="n">
        <f aca="false">SUM(B13:F13)</f>
        <v>0</v>
      </c>
      <c r="H13" s="2" t="s">
        <v>22</v>
      </c>
    </row>
    <row r="14" customFormat="false" ht="15" hidden="false" customHeight="false" outlineLevel="0" collapsed="false">
      <c r="A14" s="6" t="s">
        <v>23</v>
      </c>
      <c r="B14" s="7" t="n">
        <v>0</v>
      </c>
      <c r="C14" s="7" t="n">
        <f aca="false">SUMIFS(분개상세!$N$2:$N$101,분개상세!$I$2:$I$101,38160000,분개상세!$L$2:$L$101,"'26 Fit for purpose",분개상세!$M$2:$M$101,"설정")+SUMIFS(분개상세!$N$2:$N$101,분개상세!$I$2:$I$101,42910311,분개상세!$L$2:$L$101,"'26 Fit for purpose",분개상세!$M$2:$M$101,"설정")</f>
        <v>-586901688</v>
      </c>
      <c r="D14" s="7" t="n">
        <f aca="false">SUMIFS(분개상세!$N$2:$N$101,분개상세!$I$2:$I$101,38160000,분개상세!$L$2:$L$101,"'26 Fit for purpose",분개상세!$M$2:$M$101,"환입")+SUMIFS(분개상세!$N$2:$N$101,분개상세!$I$2:$I$101,42910311,분개상세!$L$2:$L$101,"'26 Fit for purpose",분개상세!$M$2:$M$101,"환입")</f>
        <v>586901688</v>
      </c>
      <c r="E14" s="7" t="n">
        <f aca="false">SUMIFS(분개상세!$N$2:$N$101,분개상세!$I$2:$I$101,38160000,분개상세!$L$2:$L$101,"'26 Fit for purpose",분개상세!$M$2:$M$101,"사용")+SUMIFS(분개상세!$N$2:$N$101,분개상세!$I$2:$I$101,42910311,분개상세!$L$2:$L$101,"'26 Fit for purpose",분개상세!$M$2:$M$101,"사용")</f>
        <v>0</v>
      </c>
      <c r="F14" s="7" t="n">
        <f aca="false">SUMIFS(분개상세!$N$2:$N$101,분개상세!$I$2:$I$101,38160000,분개상세!$L$2:$L$101,"'26 Fit for purpose",분개상세!$M$2:$M$101,"재분류(전기전표 역분개)")+SUMIFS(분개상세!$N$2:$N$101,분개상세!$I$2:$I$101,42910311,분개상세!$L$2:$L$101,"'26 Fit for purpose",분개상세!$M$2:$M$101,"재분류(전기전표 역분개)")</f>
        <v>0</v>
      </c>
      <c r="G14" s="7" t="n">
        <f aca="false">SUM(B14:F14)</f>
        <v>0</v>
      </c>
      <c r="H14" s="6" t="s">
        <v>24</v>
      </c>
    </row>
    <row r="15" customFormat="false" ht="15" hidden="false" customHeight="false" outlineLevel="0" collapsed="false">
      <c r="A15" s="6" t="s">
        <v>25</v>
      </c>
      <c r="B15" s="7" t="n">
        <v>0</v>
      </c>
      <c r="C15" s="7" t="n">
        <f aca="false">SUMIFS(분개상세!$N$2:$N$101,분개상세!$I$2:$I$101,38160000,분개상세!$L$2:$L$101,"'26 Key market",분개상세!$M$2:$M$101,"설정")+SUMIFS(분개상세!$N$2:$N$101,분개상세!$I$2:$I$101,42910311,분개상세!$L$2:$L$101,"'26 Key market",분개상세!$M$2:$M$101,"설정")</f>
        <v>-389693489</v>
      </c>
      <c r="D15" s="7" t="n">
        <f aca="false">SUMIFS(분개상세!$N$2:$N$101,분개상세!$I$2:$I$101,38160000,분개상세!$L$2:$L$101,"'26 Key market",분개상세!$M$2:$M$101,"환입")+SUMIFS(분개상세!$N$2:$N$101,분개상세!$I$2:$I$101,42910311,분개상세!$L$2:$L$101,"'26 Key market",분개상세!$M$2:$M$101,"환입")</f>
        <v>0</v>
      </c>
      <c r="E15" s="7" t="n">
        <f aca="false">SUMIFS(분개상세!$N$2:$N$101,분개상세!$I$2:$I$101,38160000,분개상세!$L$2:$L$101,"'26 Key market",분개상세!$M$2:$M$101,"사용")+SUMIFS(분개상세!$N$2:$N$101,분개상세!$I$2:$I$101,42910311,분개상세!$L$2:$L$101,"'26 Key market",분개상세!$M$2:$M$101,"사용")</f>
        <v>0</v>
      </c>
      <c r="F15" s="7" t="n">
        <f aca="false">SUMIFS(분개상세!$N$2:$N$101,분개상세!$I$2:$I$101,38160000,분개상세!$L$2:$L$101,"'26 Key market",분개상세!$M$2:$M$101,"재분류(전기전표 역분개)")+SUMIFS(분개상세!$N$2:$N$101,분개상세!$I$2:$I$101,42910311,분개상세!$L$2:$L$101,"'26 Key market",분개상세!$M$2:$M$101,"재분류(전기전표 역분개)")</f>
        <v>0</v>
      </c>
      <c r="G15" s="7" t="n">
        <f aca="false">SUM(B15:F15)</f>
        <v>-389693489</v>
      </c>
      <c r="H15" s="2"/>
    </row>
    <row r="16" customFormat="false" ht="15" hidden="false" customHeight="false" outlineLevel="0" collapsed="false">
      <c r="A16" s="6" t="s">
        <v>26</v>
      </c>
      <c r="B16" s="7" t="n">
        <v>-3500000</v>
      </c>
      <c r="C16" s="7" t="n">
        <f aca="false">SUMIFS(분개상세!$N$2:$N$101,분개상세!$I$2:$I$101,38160000,분개상세!$L$2:$L$101,"'26 Argos",분개상세!$M$2:$M$101,"설정")+SUMIFS(분개상세!$N$2:$N$101,분개상세!$I$2:$I$101,42910311,분개상세!$L$2:$L$101,"'26 Argos",분개상세!$M$2:$M$101,"설정")</f>
        <v>-36886531</v>
      </c>
      <c r="D16" s="7" t="n">
        <f aca="false">SUMIFS(분개상세!$N$2:$N$101,분개상세!$I$2:$I$101,38160000,분개상세!$L$2:$L$101,"'26 Argos",분개상세!$M$2:$M$101,"환입")+SUMIFS(분개상세!$N$2:$N$101,분개상세!$I$2:$I$101,42910311,분개상세!$L$2:$L$101,"'26 Argos",분개상세!$M$2:$M$101,"환입")</f>
        <v>3500000</v>
      </c>
      <c r="E16" s="7" t="n">
        <f aca="false">SUMIFS(분개상세!$N$2:$N$101,분개상세!$I$2:$I$101,38160000,분개상세!$L$2:$L$101,"'26 Argos",분개상세!$M$2:$M$101,"사용")+SUMIFS(분개상세!$N$2:$N$101,분개상세!$I$2:$I$101,42910311,분개상세!$L$2:$L$101,"'26 Argos",분개상세!$M$2:$M$101,"사용")</f>
        <v>0</v>
      </c>
      <c r="F16" s="7" t="n">
        <f aca="false">SUMIFS(분개상세!$N$2:$N$101,분개상세!$I$2:$I$101,38160000,분개상세!$L$2:$L$101,"'26 Argos",분개상세!$M$2:$M$101,"재분류(전기전표 역분개)")+SUMIFS(분개상세!$N$2:$N$101,분개상세!$I$2:$I$101,42910311,분개상세!$L$2:$L$101,"'26 Argos",분개상세!$M$2:$M$101,"재분류(전기전표 역분개)")</f>
        <v>0</v>
      </c>
      <c r="G16" s="7" t="n">
        <f aca="false">SUM(B16:F16)</f>
        <v>-36886531</v>
      </c>
      <c r="H16" s="2" t="s">
        <v>27</v>
      </c>
    </row>
    <row r="17" customFormat="false" ht="15" hidden="false" customHeight="false" outlineLevel="0" collapsed="false">
      <c r="A17" s="6" t="s">
        <v>28</v>
      </c>
      <c r="B17" s="7" t="n">
        <v>0</v>
      </c>
      <c r="C17" s="7" t="n">
        <f aca="false">SUMIFS(분개상세!$N$2:$N$101,분개상세!$I$2:$I$101,38160000,분개상세!$L$2:$L$101,"'26 Procurement transformation",분개상세!$M$2:$M$101,"설정")+SUMIFS(분개상세!$N$2:$N$101,분개상세!$I$2:$I$101,42910311,분개상세!$L$2:$L$101,"'26 Procurement transformation",분개상세!$M$2:$M$101,"설정")</f>
        <v>-294313854</v>
      </c>
      <c r="D17" s="7" t="n">
        <f aca="false">SUMIFS(분개상세!$N$2:$N$101,분개상세!$I$2:$I$101,38160000,분개상세!$L$2:$L$101,"'26 Procurement transformation",분개상세!$M$2:$M$101,"환입")+SUMIFS(분개상세!$N$2:$N$101,분개상세!$I$2:$I$101,42910311,분개상세!$L$2:$L$101,"'26 Procurement transformation",분개상세!$M$2:$M$101,"환입")</f>
        <v>0</v>
      </c>
      <c r="E17" s="7" t="n">
        <f aca="false">SUMIFS(분개상세!$N$2:$N$101,분개상세!$I$2:$I$101,38160000,분개상세!$L$2:$L$101,"'26 Procurement transformation",분개상세!$M$2:$M$101,"사용")+SUMIFS(분개상세!$N$2:$N$101,분개상세!$I$2:$I$101,42910311,분개상세!$L$2:$L$101,"'26 Procurement transformation",분개상세!$M$2:$M$101,"사용")</f>
        <v>0</v>
      </c>
      <c r="F17" s="7" t="n">
        <f aca="false">SUMIFS(분개상세!$N$2:$N$101,분개상세!$I$2:$I$101,38160000,분개상세!$L$2:$L$101,"'26 Procurement transformation",분개상세!$M$2:$M$101,"재분류(전기전표 역분개)")+SUMIFS(분개상세!$N$2:$N$101,분개상세!$I$2:$I$101,42910311,분개상세!$L$2:$L$101,"'26 Procurement transformation",분개상세!$M$2:$M$101,"재분류(전기전표 역분개)")</f>
        <v>0</v>
      </c>
      <c r="G17" s="7" t="n">
        <f aca="false">SUM(B17:F17)</f>
        <v>-294313854</v>
      </c>
      <c r="H17" s="2"/>
    </row>
    <row r="18" customFormat="false" ht="15" hidden="false" customHeight="false" outlineLevel="0" collapsed="false">
      <c r="A18" s="6" t="s">
        <v>29</v>
      </c>
      <c r="B18" s="7" t="n">
        <v>0</v>
      </c>
      <c r="C18" s="7" t="n">
        <f aca="false">SUMIFS(분개상세!$N$2:$N$101,분개상세!$I$2:$I$101,38160000,분개상세!$L$2:$L$101,"'26 DD&amp;O Footprint",분개상세!$M$2:$M$101,"설정")+SUMIFS(분개상세!$N$2:$N$101,분개상세!$I$2:$I$101,42910311,분개상세!$L$2:$L$101,"'26 DD&amp;O Footprint",분개상세!$M$2:$M$101,"설정")</f>
        <v>-249144072</v>
      </c>
      <c r="D18" s="7" t="n">
        <f aca="false">SUMIFS(분개상세!$N$2:$N$101,분개상세!$I$2:$I$101,38160000,분개상세!$L$2:$L$101,"'26 DD&amp;O Footprint",분개상세!$M$2:$M$101,"환입")+SUMIFS(분개상세!$N$2:$N$101,분개상세!$I$2:$I$101,42910311,분개상세!$L$2:$L$101,"'26 DD&amp;O Footprint",분개상세!$M$2:$M$101,"환입")</f>
        <v>0</v>
      </c>
      <c r="E18" s="7" t="n">
        <f aca="false">SUMIFS(분개상세!$N$2:$N$101,분개상세!$I$2:$I$101,38160000,분개상세!$L$2:$L$101,"'26 DD&amp;O Footprint",분개상세!$M$2:$M$101,"사용")+SUMIFS(분개상세!$N$2:$N$101,분개상세!$I$2:$I$101,42910311,분개상세!$L$2:$L$101,"'26 DD&amp;O Footprint",분개상세!$M$2:$M$101,"사용")</f>
        <v>0</v>
      </c>
      <c r="F18" s="7" t="n">
        <f aca="false">SUMIFS(분개상세!$N$2:$N$101,분개상세!$I$2:$I$101,38160000,분개상세!$L$2:$L$101,"'26 DD&amp;O Footprint",분개상세!$M$2:$M$101,"재분류(전기전표 역분개)")+SUMIFS(분개상세!$N$2:$N$101,분개상세!$I$2:$I$101,42910311,분개상세!$L$2:$L$101,"'26 DD&amp;O Footprint",분개상세!$M$2:$M$101,"재분류(전기전표 역분개)")</f>
        <v>0</v>
      </c>
      <c r="G18" s="7" t="n">
        <f aca="false">SUM(B18:F18)</f>
        <v>-249144072</v>
      </c>
      <c r="H18" s="2"/>
    </row>
    <row r="19" customFormat="false" ht="15" hidden="false" customHeight="false" outlineLevel="0" collapsed="false">
      <c r="A19" s="2" t="s">
        <v>30</v>
      </c>
      <c r="B19" s="7" t="n">
        <v>0</v>
      </c>
      <c r="C19" s="7" t="n">
        <f aca="false">SUMIFS(분개상세!$N$2:$N$101,분개상세!$I$2:$I$101,38160000,분개상세!$L$2:$L$101,"기초 재분류",분개상세!$M$2:$M$101,"설정")+SUMIFS(분개상세!$N$2:$N$101,분개상세!$I$2:$I$101,42910311,분개상세!$L$2:$L$101,"기초 재분류",분개상세!$M$2:$M$101,"설정")</f>
        <v>0</v>
      </c>
      <c r="D19" s="7" t="n">
        <f aca="false">SUMIFS(분개상세!$N$2:$N$101,분개상세!$I$2:$I$101,38160000,분개상세!$L$2:$L$101,"기초 재분류",분개상세!$M$2:$M$101,"환입")+SUMIFS(분개상세!$N$2:$N$101,분개상세!$I$2:$I$101,42910311,분개상세!$L$2:$L$101,"기초 재분류",분개상세!$M$2:$M$101,"환입")</f>
        <v>0</v>
      </c>
      <c r="E19" s="7" t="n">
        <f aca="false">SUMIFS(분개상세!$N$2:$N$101,분개상세!$I$2:$I$101,38160000,분개상세!$L$2:$L$101,"기초 재분류",분개상세!$M$2:$M$101,"사용")+SUMIFS(분개상세!$N$2:$N$101,분개상세!$I$2:$I$101,42910311,분개상세!$L$2:$L$101,"기초 재분류",분개상세!$M$2:$M$101,"사용")</f>
        <v>0</v>
      </c>
      <c r="F19" s="7" t="n">
        <f aca="false">SUMIFS(분개상세!$N$2:$N$101,분개상세!$I$2:$I$101,38160000,분개상세!$L$2:$L$101,"기초 재분류",분개상세!$M$2:$M$101,"재분류(전기전표 역분개)")+SUMIFS(분개상세!$N$2:$N$101,분개상세!$I$2:$I$101,42910311,분개상세!$L$2:$L$101,"기초 재분류",분개상세!$M$2:$M$101,"재분류(전기전표 역분개)")</f>
        <v>0</v>
      </c>
      <c r="G19" s="7" t="n">
        <f aca="false">SUM(B19:F19)</f>
        <v>0</v>
      </c>
      <c r="H19" s="6" t="s">
        <v>31</v>
      </c>
    </row>
    <row r="20" customFormat="false" ht="15" hidden="false" customHeight="false" outlineLevel="0" collapsed="false">
      <c r="A20" s="8" t="s">
        <v>15</v>
      </c>
      <c r="B20" s="9" t="n">
        <f aca="false">SUM(B12:B19)</f>
        <v>-16996071611</v>
      </c>
      <c r="C20" s="9" t="n">
        <f aca="false">SUM(C12:C19)</f>
        <v>-1556939634</v>
      </c>
      <c r="D20" s="9" t="n">
        <f aca="false">SUM(D12:D19)</f>
        <v>2938753560</v>
      </c>
      <c r="E20" s="9" t="n">
        <f aca="false">SUM(E12:E19)</f>
        <v>11099073298</v>
      </c>
      <c r="F20" s="9" t="n">
        <f aca="false">SUM(F12:F19)</f>
        <v>0</v>
      </c>
      <c r="G20" s="9" t="n">
        <f aca="false">SUM(G12:G19)</f>
        <v>-4515184387</v>
      </c>
    </row>
    <row r="21" customFormat="false" ht="15" hidden="false" customHeight="false" outlineLevel="0" collapsed="false">
      <c r="A21" s="6" t="s">
        <v>32</v>
      </c>
      <c r="B21" s="7"/>
      <c r="C21" s="7"/>
      <c r="D21" s="7"/>
      <c r="E21" s="7"/>
      <c r="F21" s="7"/>
      <c r="G21" s="7" t="n">
        <v>-4515184387</v>
      </c>
    </row>
    <row r="22" customFormat="false" ht="15" hidden="false" customHeight="false" outlineLevel="0" collapsed="false">
      <c r="A22" s="2" t="s">
        <v>12</v>
      </c>
      <c r="B22" s="7"/>
      <c r="C22" s="7"/>
      <c r="D22" s="7"/>
      <c r="E22" s="7"/>
      <c r="F22" s="7"/>
      <c r="G22" s="7" t="n">
        <f aca="false">G20-G21</f>
        <v>0</v>
      </c>
    </row>
    <row r="24" customFormat="false" ht="15" hidden="false" customHeight="false" outlineLevel="0" collapsed="false">
      <c r="A24" s="3" t="s">
        <v>33</v>
      </c>
    </row>
    <row r="25" customFormat="false" ht="15" hidden="false" customHeight="false" outlineLevel="0" collapsed="false">
      <c r="A25" s="4" t="s">
        <v>17</v>
      </c>
      <c r="B25" s="5" t="s">
        <v>34</v>
      </c>
      <c r="C25" s="5" t="s">
        <v>35</v>
      </c>
      <c r="D25" s="4" t="s">
        <v>36</v>
      </c>
      <c r="E25" s="4" t="s">
        <v>37</v>
      </c>
      <c r="F25" s="4" t="s">
        <v>15</v>
      </c>
      <c r="G25" s="4" t="s">
        <v>18</v>
      </c>
    </row>
    <row r="26" customFormat="false" ht="15" hidden="false" customHeight="false" outlineLevel="0" collapsed="false">
      <c r="A26" s="6" t="s">
        <v>19</v>
      </c>
      <c r="B26" s="7" t="n">
        <f aca="false">SUMIFS(분개상세!$N$2:$N$101,분개상세!$I$2:$I$101,70051000,분개상세!$L$2:$L$101,"'25 Drive 2 (commercial)",분개상세!$M$2:$M$101,"설정",분개상세!$K$2:$K$101,"&lt;&gt;*outplacement*")</f>
        <v>0</v>
      </c>
      <c r="C26" s="7" t="n">
        <f aca="false">SUMIFS(분개상세!$N$2:$N$101,분개상세!$I$2:$I$101,70051000,분개상세!$L$2:$L$101,"'25 Drive 2 (commercial)",분개상세!$M$2:$M$101,"환입",분개상세!$K$2:$K$101,"&lt;&gt;*outplacement*")</f>
        <v>-2271351872</v>
      </c>
      <c r="D26" s="7" t="n">
        <f aca="false">SUMIFS(분개상세!$N$2:$N$101,분개상세!$I$2:$I$101,70051000,분개상세!$L$2:$L$101,"'25 Drive 2 (commercial)",분개상세!$M$2:$M$101,"설정",분개상세!$K$2:$K$101,"*outplacement*")</f>
        <v>0</v>
      </c>
      <c r="E26" s="7" t="n">
        <f aca="false">SUMIFS(분개상세!$N$2:$N$101,분개상세!$I$2:$I$101,70051000,분개상세!$L$2:$L$101,"'25 Drive 2 (commercial)",분개상세!$M$2:$M$101,"환입",분개상세!$K$2:$K$101,"*outplacement*")</f>
        <v>-66500000</v>
      </c>
      <c r="F26" s="7" t="n">
        <f aca="false">SUM(B26:E26)</f>
        <v>-2337851872</v>
      </c>
    </row>
    <row r="27" customFormat="false" ht="15" hidden="false" customHeight="false" outlineLevel="0" collapsed="false">
      <c r="A27" s="6" t="s">
        <v>23</v>
      </c>
      <c r="B27" s="7" t="n">
        <f aca="false">SUMIFS(분개상세!$N$2:$N$101,분개상세!$I$2:$I$101,70051000,분개상세!$L$2:$L$101,"'26 Fit for purpose",분개상세!$M$2:$M$101,"설정",분개상세!$K$2:$K$101,"&lt;&gt;*outplacement*")</f>
        <v>583401688</v>
      </c>
      <c r="C27" s="7" t="n">
        <f aca="false">SUMIFS(분개상세!$N$2:$N$101,분개상세!$I$2:$I$101,70051000,분개상세!$L$2:$L$101,"'26 Fit for purpose",분개상세!$M$2:$M$101,"환입",분개상세!$K$2:$K$101,"&lt;&gt;*outplacement*")</f>
        <v>-583401688</v>
      </c>
      <c r="D27" s="7" t="n">
        <f aca="false">SUMIFS(분개상세!$N$2:$N$101,분개상세!$I$2:$I$101,70051000,분개상세!$L$2:$L$101,"'26 Fit for purpose",분개상세!$M$2:$M$101,"설정",분개상세!$K$2:$K$101,"*outplacement*")</f>
        <v>3500000</v>
      </c>
      <c r="E27" s="7" t="n">
        <f aca="false">SUMIFS(분개상세!$N$2:$N$101,분개상세!$I$2:$I$101,70051000,분개상세!$L$2:$L$101,"'26 Fit for purpose",분개상세!$M$2:$M$101,"환입",분개상세!$K$2:$K$101,"*outplacement*")</f>
        <v>-3500000</v>
      </c>
      <c r="F27" s="7" t="n">
        <f aca="false">SUM(B27:E27)</f>
        <v>0</v>
      </c>
    </row>
    <row r="28" customFormat="false" ht="15" hidden="false" customHeight="false" outlineLevel="0" collapsed="false">
      <c r="A28" s="6" t="s">
        <v>25</v>
      </c>
      <c r="B28" s="7" t="n">
        <f aca="false">SUMIFS(분개상세!$N$2:$N$101,분개상세!$I$2:$I$101,70051000,분개상세!$L$2:$L$101,"'26 Key market",분개상세!$M$2:$M$101,"설정",분개상세!$K$2:$K$101,"&lt;&gt;*outplacement*")</f>
        <v>386193489</v>
      </c>
      <c r="C28" s="7" t="n">
        <f aca="false">SUMIFS(분개상세!$N$2:$N$101,분개상세!$I$2:$I$101,70051000,분개상세!$L$2:$L$101,"'26 Key market",분개상세!$M$2:$M$101,"환입",분개상세!$K$2:$K$101,"&lt;&gt;*outplacement*")</f>
        <v>0</v>
      </c>
      <c r="D28" s="7" t="n">
        <f aca="false">SUMIFS(분개상세!$N$2:$N$101,분개상세!$I$2:$I$101,70051000,분개상세!$L$2:$L$101,"'26 Key market",분개상세!$M$2:$M$101,"설정",분개상세!$K$2:$K$101,"*outplacement*")</f>
        <v>3500000</v>
      </c>
      <c r="E28" s="7" t="n">
        <f aca="false">SUMIFS(분개상세!$N$2:$N$101,분개상세!$I$2:$I$101,70051000,분개상세!$L$2:$L$101,"'26 Key market",분개상세!$M$2:$M$101,"환입",분개상세!$K$2:$K$101,"*outplacement*")</f>
        <v>0</v>
      </c>
      <c r="F28" s="7" t="n">
        <f aca="false">SUM(B28:E28)</f>
        <v>389693489</v>
      </c>
    </row>
    <row r="29" customFormat="false" ht="15" hidden="false" customHeight="false" outlineLevel="0" collapsed="false">
      <c r="A29" s="6" t="s">
        <v>26</v>
      </c>
      <c r="B29" s="7" t="n">
        <f aca="false">SUMIFS(분개상세!$N$2:$N$101,분개상세!$I$2:$I$101,70051000,분개상세!$L$2:$L$101,"'26 Argos",분개상세!$M$2:$M$101,"설정",분개상세!$K$2:$K$101,"&lt;&gt;*outplacement*")</f>
        <v>36886531</v>
      </c>
      <c r="C29" s="7" t="n">
        <f aca="false">SUMIFS(분개상세!$N$2:$N$101,분개상세!$I$2:$I$101,70051000,분개상세!$L$2:$L$101,"'26 Argos",분개상세!$M$2:$M$101,"환입",분개상세!$K$2:$K$101,"&lt;&gt;*outplacement*")</f>
        <v>0</v>
      </c>
      <c r="D29" s="7" t="n">
        <f aca="false">SUMIFS(분개상세!$N$2:$N$101,분개상세!$I$2:$I$101,70051000,분개상세!$L$2:$L$101,"'26 Argos",분개상세!$M$2:$M$101,"설정",분개상세!$K$2:$K$101,"*outplacement*")</f>
        <v>0</v>
      </c>
      <c r="E29" s="7" t="n">
        <f aca="false">SUMIFS(분개상세!$N$2:$N$101,분개상세!$I$2:$I$101,70051000,분개상세!$L$2:$L$101,"'26 Argos",분개상세!$M$2:$M$101,"환입",분개상세!$K$2:$K$101,"*outplacement*")</f>
        <v>-3500000</v>
      </c>
      <c r="F29" s="7" t="n">
        <f aca="false">SUM(B29:E29)</f>
        <v>33386531</v>
      </c>
    </row>
    <row r="30" customFormat="false" ht="15" hidden="false" customHeight="false" outlineLevel="0" collapsed="false">
      <c r="A30" s="6" t="s">
        <v>28</v>
      </c>
      <c r="B30" s="7" t="n">
        <f aca="false">SUMIFS(분개상세!$N$2:$N$101,분개상세!$I$2:$I$101,70051000,분개상세!$L$2:$L$101,"'26 Procurement transformation",분개상세!$M$2:$M$101,"설정",분개상세!$K$2:$K$101,"&lt;&gt;*outplacement*")</f>
        <v>290813854</v>
      </c>
      <c r="C30" s="7" t="n">
        <f aca="false">SUMIFS(분개상세!$N$2:$N$101,분개상세!$I$2:$I$101,70051000,분개상세!$L$2:$L$101,"'26 Procurement transformation",분개상세!$M$2:$M$101,"환입",분개상세!$K$2:$K$101,"&lt;&gt;*outplacement*")</f>
        <v>0</v>
      </c>
      <c r="D30" s="7" t="n">
        <f aca="false">SUMIFS(분개상세!$N$2:$N$101,분개상세!$I$2:$I$101,70051000,분개상세!$L$2:$L$101,"'26 Procurement transformation",분개상세!$M$2:$M$101,"설정",분개상세!$K$2:$K$101,"*outplacement*")</f>
        <v>3500000</v>
      </c>
      <c r="E30" s="7" t="n">
        <f aca="false">SUMIFS(분개상세!$N$2:$N$101,분개상세!$I$2:$I$101,70051000,분개상세!$L$2:$L$101,"'26 Procurement transformation",분개상세!$M$2:$M$101,"환입",분개상세!$K$2:$K$101,"*outplacement*")</f>
        <v>0</v>
      </c>
      <c r="F30" s="7" t="n">
        <f aca="false">SUM(B30:E30)</f>
        <v>294313854</v>
      </c>
    </row>
    <row r="31" customFormat="false" ht="15" hidden="false" customHeight="false" outlineLevel="0" collapsed="false">
      <c r="A31" s="6" t="s">
        <v>29</v>
      </c>
      <c r="B31" s="7" t="n">
        <f aca="false">SUMIFS(분개상세!$N$2:$N$101,분개상세!$I$2:$I$101,70051000,분개상세!$L$2:$L$101,"'26 DD&amp;O Footprint",분개상세!$M$2:$M$101,"설정",분개상세!$K$2:$K$101,"&lt;&gt;*outplacement*")</f>
        <v>245644072</v>
      </c>
      <c r="C31" s="7" t="n">
        <f aca="false">SUMIFS(분개상세!$N$2:$N$101,분개상세!$I$2:$I$101,70051000,분개상세!$L$2:$L$101,"'26 DD&amp;O Footprint",분개상세!$M$2:$M$101,"환입",분개상세!$K$2:$K$101,"&lt;&gt;*outplacement*")</f>
        <v>0</v>
      </c>
      <c r="D31" s="7" t="n">
        <f aca="false">SUMIFS(분개상세!$N$2:$N$101,분개상세!$I$2:$I$101,70051000,분개상세!$L$2:$L$101,"'26 DD&amp;O Footprint",분개상세!$M$2:$M$101,"설정",분개상세!$K$2:$K$101,"*outplacement*")</f>
        <v>3500000</v>
      </c>
      <c r="E31" s="7" t="n">
        <f aca="false">SUMIFS(분개상세!$N$2:$N$101,분개상세!$I$2:$I$101,70051000,분개상세!$L$2:$L$101,"'26 DD&amp;O Footprint",분개상세!$M$2:$M$101,"환입",분개상세!$K$2:$K$101,"*outplacement*")</f>
        <v>0</v>
      </c>
      <c r="F31" s="7" t="n">
        <f aca="false">SUM(B31:E31)</f>
        <v>249144072</v>
      </c>
    </row>
    <row r="32" customFormat="false" ht="15" hidden="false" customHeight="false" outlineLevel="0" collapsed="false">
      <c r="A32" s="8" t="s">
        <v>15</v>
      </c>
      <c r="B32" s="9" t="n">
        <f aca="false">SUM(B26:B31)</f>
        <v>1542939634</v>
      </c>
      <c r="C32" s="9" t="n">
        <f aca="false">SUM(C26:C31)</f>
        <v>-2854753560</v>
      </c>
      <c r="D32" s="9" t="n">
        <f aca="false">SUM(D26:D31)</f>
        <v>14000000</v>
      </c>
      <c r="E32" s="9" t="n">
        <f aca="false">SUM(E26:E31)</f>
        <v>-73500000</v>
      </c>
      <c r="F32" s="9" t="n">
        <f aca="false">SUM(F26:F31)</f>
        <v>-1371313926</v>
      </c>
    </row>
    <row r="33" customFormat="false" ht="15" hidden="false" customHeight="false" outlineLevel="0" collapsed="false">
      <c r="A33" s="6" t="s">
        <v>38</v>
      </c>
      <c r="B33" s="7" t="n">
        <f aca="false">SUMIFS(분개상세!$N$2:$N$101,분개상세!$I$2:$I$101,70051000)</f>
        <v>-1371313926</v>
      </c>
      <c r="C33" s="7"/>
      <c r="D33" s="7"/>
      <c r="E33" s="7"/>
      <c r="F33" s="7" t="n">
        <v>-1371313926</v>
      </c>
    </row>
    <row r="34" customFormat="false" ht="15" hidden="false" customHeight="false" outlineLevel="0" collapsed="false">
      <c r="A34" s="2" t="s">
        <v>12</v>
      </c>
      <c r="B34" s="7"/>
      <c r="C34" s="7"/>
      <c r="D34" s="7"/>
      <c r="E34" s="7"/>
      <c r="F34" s="7" t="n">
        <f aca="false">B33-F33</f>
        <v>0</v>
      </c>
    </row>
    <row r="36" customFormat="false" ht="15" hidden="false" customHeight="false" outlineLevel="0" collapsed="false">
      <c r="A36" s="3" t="s">
        <v>39</v>
      </c>
    </row>
    <row r="37" customFormat="false" ht="25.35" hidden="false" customHeight="false" outlineLevel="0" collapsed="false">
      <c r="A37" s="4" t="s">
        <v>40</v>
      </c>
      <c r="B37" s="4" t="s">
        <v>41</v>
      </c>
      <c r="C37" s="4" t="s">
        <v>42</v>
      </c>
      <c r="D37" s="4" t="s">
        <v>12</v>
      </c>
      <c r="E37" s="4" t="s">
        <v>18</v>
      </c>
    </row>
    <row r="38" customFormat="false" ht="15" hidden="false" customHeight="false" outlineLevel="0" collapsed="false">
      <c r="A38" s="6" t="s">
        <v>43</v>
      </c>
      <c r="B38" s="7" t="n">
        <f aca="false">SUMIFS(분개상세!$N$2:$N$101,분개상세!$I$2:$I$101,38160000,분개상세!$M$2:$M$101,"사용",분개상세!$B$2:$B$101,1)</f>
        <v>9029878628</v>
      </c>
      <c r="C38" s="7" t="n">
        <f aca="false">SUMIFS('VRP 지급내역'!$H$2:$H$19,'VRP 지급내역'!$B$2:$B$19,1)</f>
        <v>9026382321</v>
      </c>
      <c r="D38" s="7" t="n">
        <f aca="false">B38-C38</f>
        <v>3496307</v>
      </c>
      <c r="E38" s="2" t="s">
        <v>44</v>
      </c>
    </row>
    <row r="39" customFormat="false" ht="15" hidden="false" customHeight="false" outlineLevel="0" collapsed="false">
      <c r="A39" s="6" t="s">
        <v>45</v>
      </c>
      <c r="B39" s="7" t="n">
        <f aca="false">SUMIFS(분개상세!$N$2:$N$101,분개상세!$I$2:$I$101,38160000,분개상세!$M$2:$M$101,"사용",분개상세!$B$2:$B$101,2)</f>
        <v>763810731</v>
      </c>
      <c r="C39" s="7" t="n">
        <f aca="false">SUMIFS('VRP 지급내역'!$H$2:$H$19,'VRP 지급내역'!$B$2:$B$19,2)</f>
        <v>773240036</v>
      </c>
      <c r="D39" s="7" t="n">
        <f aca="false">B39-C39</f>
        <v>-9429305</v>
      </c>
      <c r="E39" s="2" t="s">
        <v>46</v>
      </c>
    </row>
    <row r="40" customFormat="false" ht="15" hidden="false" customHeight="false" outlineLevel="0" collapsed="false">
      <c r="A40" s="6" t="s">
        <v>47</v>
      </c>
      <c r="B40" s="7" t="n">
        <f aca="false">SUMIFS(분개상세!$N$2:$N$101,분개상세!$I$2:$I$101,38160000,분개상세!$M$2:$M$101,"사용",분개상세!$B$2:$B$101,4)</f>
        <v>552383939</v>
      </c>
      <c r="C40" s="7" t="n">
        <f aca="false">SUMIFS('VRP 지급내역'!$H$2:$H$19,'VRP 지급내역'!$B$2:$B$19,4)</f>
        <v>554771272</v>
      </c>
      <c r="D40" s="7" t="n">
        <f aca="false">B40-C40</f>
        <v>-2387333</v>
      </c>
      <c r="E40" s="2" t="s">
        <v>48</v>
      </c>
    </row>
    <row r="41" customFormat="false" ht="15" hidden="false" customHeight="false" outlineLevel="0" collapsed="false">
      <c r="A41" s="6" t="s">
        <v>49</v>
      </c>
      <c r="B41" s="7" t="n">
        <f aca="false">SUMIFS(분개상세!$N$2:$N$101,분개상세!$I$2:$I$101,38160000,분개상세!$M$2:$M$101,"사용",분개상세!$B$2:$B$101,7)</f>
        <v>742500000</v>
      </c>
      <c r="C41" s="7" t="n">
        <f aca="false">SUMIFS('VRP 지급내역'!$H$2:$H$19,'VRP 지급내역'!$B$2:$B$19,7)</f>
        <v>742500000</v>
      </c>
      <c r="D41" s="7" t="n">
        <f aca="false">B41-C41</f>
        <v>0</v>
      </c>
      <c r="E41" s="2" t="s">
        <v>50</v>
      </c>
    </row>
    <row r="42" customFormat="false" ht="15" hidden="false" customHeight="false" outlineLevel="0" collapsed="false">
      <c r="A42" s="8" t="s">
        <v>15</v>
      </c>
      <c r="B42" s="9" t="n">
        <f aca="false">SUM(B38:B41)</f>
        <v>11088573298</v>
      </c>
      <c r="C42" s="9" t="n">
        <f aca="false">SUM(C38:C41)</f>
        <v>11096893629</v>
      </c>
      <c r="D42" s="9" t="n">
        <f aca="false">SUM(D38:D41)</f>
        <v>-8320331</v>
      </c>
    </row>
    <row r="44" customFormat="false" ht="15" hidden="false" customHeight="false" outlineLevel="0" collapsed="false">
      <c r="A44" s="10" t="s">
        <v>51</v>
      </c>
    </row>
    <row r="45" customFormat="false" ht="25.5" hidden="false" customHeight="true" outlineLevel="0" collapsed="false">
      <c r="A45" s="11" t="s">
        <v>52</v>
      </c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25.5" hidden="false" customHeight="true" outlineLevel="0" collapsed="false">
      <c r="A46" s="11" t="s">
        <v>53</v>
      </c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25.5" hidden="false" customHeight="true" outlineLevel="0" collapsed="false">
      <c r="A47" s="11" t="s">
        <v>54</v>
      </c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25.5" hidden="false" customHeight="true" outlineLevel="0" collapsed="false">
      <c r="A48" s="11" t="s">
        <v>55</v>
      </c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25.5" hidden="false" customHeight="true" outlineLevel="0" collapsed="false">
      <c r="A49" s="11" t="s">
        <v>56</v>
      </c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25.5" hidden="false" customHeight="true" outlineLevel="0" collapsed="false">
      <c r="A50" s="11" t="s">
        <v>57</v>
      </c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25.5" hidden="false" customHeight="true" outlineLevel="0" collapsed="false">
      <c r="A51" s="12" t="s">
        <v>58</v>
      </c>
      <c r="B51" s="12"/>
      <c r="C51" s="12"/>
      <c r="D51" s="12"/>
      <c r="E51" s="12"/>
      <c r="F51" s="12"/>
      <c r="G51" s="12"/>
      <c r="H51" s="12"/>
      <c r="I51" s="12"/>
      <c r="J51" s="12"/>
    </row>
    <row r="52" customFormat="false" ht="25.5" hidden="false" customHeight="true" outlineLevel="0" collapsed="false">
      <c r="A52" s="11" t="s">
        <v>59</v>
      </c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25.5" hidden="false" customHeight="true" outlineLevel="0" collapsed="false">
      <c r="A53" s="12" t="s">
        <v>60</v>
      </c>
      <c r="B53" s="12"/>
      <c r="C53" s="12"/>
      <c r="D53" s="12"/>
      <c r="E53" s="12"/>
      <c r="F53" s="12"/>
      <c r="G53" s="12"/>
      <c r="H53" s="12"/>
      <c r="I53" s="12"/>
      <c r="J53" s="12"/>
    </row>
  </sheetData>
  <mergeCells count="9"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4" min="3" style="0" width="11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5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3" t="s">
        <v>61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0" t="s">
        <v>69</v>
      </c>
      <c r="J1" s="13" t="s">
        <v>70</v>
      </c>
      <c r="K1" s="13" t="s">
        <v>71</v>
      </c>
      <c r="L1" s="13" t="s">
        <v>17</v>
      </c>
      <c r="M1" s="13" t="s">
        <v>72</v>
      </c>
      <c r="N1" s="13" t="s">
        <v>73</v>
      </c>
    </row>
    <row r="2" customFormat="false" ht="15" hidden="false" customHeight="false" outlineLevel="0" collapsed="false">
      <c r="A2" s="2" t="n">
        <v>10000143</v>
      </c>
      <c r="B2" s="2" t="n">
        <v>1</v>
      </c>
      <c r="C2" s="14" t="n">
        <v>46023</v>
      </c>
      <c r="D2" s="14" t="n">
        <v>46022</v>
      </c>
      <c r="E2" s="6" t="s">
        <v>74</v>
      </c>
      <c r="F2" s="6" t="s">
        <v>75</v>
      </c>
      <c r="G2" s="2"/>
      <c r="H2" s="2" t="n">
        <v>10016118</v>
      </c>
      <c r="I2" s="2" t="n">
        <v>38160000</v>
      </c>
      <c r="J2" s="2" t="s">
        <v>76</v>
      </c>
      <c r="K2" s="2"/>
      <c r="L2" s="2" t="s">
        <v>30</v>
      </c>
      <c r="M2" s="2" t="s">
        <v>77</v>
      </c>
      <c r="N2" s="7" t="n">
        <v>1228771976</v>
      </c>
    </row>
    <row r="3" customFormat="false" ht="15" hidden="false" customHeight="false" outlineLevel="0" collapsed="false">
      <c r="A3" s="2" t="n">
        <v>10000143</v>
      </c>
      <c r="B3" s="2" t="n">
        <v>1</v>
      </c>
      <c r="C3" s="14" t="n">
        <v>46023</v>
      </c>
      <c r="D3" s="14" t="n">
        <v>46022</v>
      </c>
      <c r="E3" s="6" t="s">
        <v>74</v>
      </c>
      <c r="F3" s="6" t="s">
        <v>75</v>
      </c>
      <c r="G3" s="2"/>
      <c r="H3" s="2" t="n">
        <v>10016118</v>
      </c>
      <c r="I3" s="2" t="n">
        <v>38160000</v>
      </c>
      <c r="J3" s="2" t="s">
        <v>76</v>
      </c>
      <c r="K3" s="2"/>
      <c r="L3" s="2" t="s">
        <v>30</v>
      </c>
      <c r="M3" s="2" t="s">
        <v>77</v>
      </c>
      <c r="N3" s="7" t="n">
        <v>-14455123</v>
      </c>
    </row>
    <row r="4" customFormat="false" ht="15" hidden="false" customHeight="false" outlineLevel="0" collapsed="false">
      <c r="A4" s="2" t="n">
        <v>10000143</v>
      </c>
      <c r="B4" s="2" t="n">
        <v>1</v>
      </c>
      <c r="C4" s="14" t="n">
        <v>46023</v>
      </c>
      <c r="D4" s="14" t="n">
        <v>46022</v>
      </c>
      <c r="E4" s="6" t="s">
        <v>74</v>
      </c>
      <c r="F4" s="6" t="s">
        <v>75</v>
      </c>
      <c r="G4" s="2"/>
      <c r="H4" s="2" t="n">
        <v>10016118</v>
      </c>
      <c r="I4" s="2" t="n">
        <v>38160000</v>
      </c>
      <c r="J4" s="2" t="s">
        <v>76</v>
      </c>
      <c r="K4" s="2"/>
      <c r="L4" s="2" t="s">
        <v>30</v>
      </c>
      <c r="M4" s="2" t="s">
        <v>77</v>
      </c>
      <c r="N4" s="7" t="n">
        <v>-954316853</v>
      </c>
    </row>
    <row r="5" customFormat="false" ht="15" hidden="false" customHeight="false" outlineLevel="0" collapsed="false">
      <c r="A5" s="2" t="n">
        <v>10000143</v>
      </c>
      <c r="B5" s="2" t="n">
        <v>1</v>
      </c>
      <c r="C5" s="14" t="n">
        <v>46023</v>
      </c>
      <c r="D5" s="14" t="n">
        <v>46022</v>
      </c>
      <c r="E5" s="6" t="s">
        <v>74</v>
      </c>
      <c r="F5" s="6" t="s">
        <v>75</v>
      </c>
      <c r="G5" s="2"/>
      <c r="H5" s="2" t="n">
        <v>10016118</v>
      </c>
      <c r="I5" s="2" t="n">
        <v>38160000</v>
      </c>
      <c r="J5" s="2" t="s">
        <v>76</v>
      </c>
      <c r="K5" s="2"/>
      <c r="L5" s="2" t="s">
        <v>30</v>
      </c>
      <c r="M5" s="2" t="s">
        <v>77</v>
      </c>
      <c r="N5" s="7" t="n">
        <v>-260000000</v>
      </c>
    </row>
    <row r="6" customFormat="false" ht="15" hidden="false" customHeight="false" outlineLevel="0" collapsed="false">
      <c r="A6" s="2" t="n">
        <v>120000018</v>
      </c>
      <c r="B6" s="2" t="n">
        <v>1</v>
      </c>
      <c r="C6" s="14" t="n">
        <v>46053</v>
      </c>
      <c r="D6" s="14" t="n">
        <v>46053</v>
      </c>
      <c r="E6" s="6" t="s">
        <v>78</v>
      </c>
      <c r="F6" s="6" t="s">
        <v>75</v>
      </c>
      <c r="G6" s="6" t="s">
        <v>79</v>
      </c>
      <c r="H6" s="2"/>
      <c r="I6" s="2" t="n">
        <v>38160000</v>
      </c>
      <c r="J6" s="2" t="s">
        <v>76</v>
      </c>
      <c r="K6" s="6" t="s">
        <v>80</v>
      </c>
      <c r="L6" s="6" t="s">
        <v>19</v>
      </c>
      <c r="M6" s="2" t="s">
        <v>7</v>
      </c>
      <c r="N6" s="7" t="n">
        <v>139366409</v>
      </c>
    </row>
    <row r="7" customFormat="false" ht="15" hidden="false" customHeight="false" outlineLevel="0" collapsed="false">
      <c r="A7" s="2" t="n">
        <v>120000018</v>
      </c>
      <c r="B7" s="2" t="n">
        <v>1</v>
      </c>
      <c r="C7" s="14" t="n">
        <v>46053</v>
      </c>
      <c r="D7" s="14" t="n">
        <v>46053</v>
      </c>
      <c r="E7" s="6" t="s">
        <v>78</v>
      </c>
      <c r="F7" s="6" t="s">
        <v>75</v>
      </c>
      <c r="G7" s="6" t="s">
        <v>79</v>
      </c>
      <c r="H7" s="2"/>
      <c r="I7" s="2" t="n">
        <v>38160000</v>
      </c>
      <c r="J7" s="2" t="s">
        <v>76</v>
      </c>
      <c r="K7" s="6" t="s">
        <v>80</v>
      </c>
      <c r="L7" s="6" t="s">
        <v>19</v>
      </c>
      <c r="M7" s="2" t="s">
        <v>7</v>
      </c>
      <c r="N7" s="7" t="n">
        <v>194499104</v>
      </c>
    </row>
    <row r="8" customFormat="false" ht="15" hidden="false" customHeight="false" outlineLevel="0" collapsed="false">
      <c r="A8" s="2" t="n">
        <v>120000018</v>
      </c>
      <c r="B8" s="2" t="n">
        <v>1</v>
      </c>
      <c r="C8" s="14" t="n">
        <v>46053</v>
      </c>
      <c r="D8" s="14" t="n">
        <v>46053</v>
      </c>
      <c r="E8" s="6" t="s">
        <v>78</v>
      </c>
      <c r="F8" s="6" t="s">
        <v>75</v>
      </c>
      <c r="G8" s="6" t="s">
        <v>79</v>
      </c>
      <c r="H8" s="2"/>
      <c r="I8" s="2" t="n">
        <v>38160000</v>
      </c>
      <c r="J8" s="2" t="s">
        <v>76</v>
      </c>
      <c r="K8" s="6" t="s">
        <v>80</v>
      </c>
      <c r="L8" s="6" t="s">
        <v>19</v>
      </c>
      <c r="M8" s="2" t="s">
        <v>7</v>
      </c>
      <c r="N8" s="7" t="n">
        <v>1314748766</v>
      </c>
    </row>
    <row r="9" customFormat="false" ht="15" hidden="false" customHeight="false" outlineLevel="0" collapsed="false">
      <c r="A9" s="2" t="n">
        <v>120000018</v>
      </c>
      <c r="B9" s="2" t="n">
        <v>1</v>
      </c>
      <c r="C9" s="14" t="n">
        <v>46053</v>
      </c>
      <c r="D9" s="14" t="n">
        <v>46053</v>
      </c>
      <c r="E9" s="6" t="s">
        <v>78</v>
      </c>
      <c r="F9" s="6" t="s">
        <v>75</v>
      </c>
      <c r="G9" s="6" t="s">
        <v>79</v>
      </c>
      <c r="H9" s="2"/>
      <c r="I9" s="2" t="n">
        <v>38160000</v>
      </c>
      <c r="J9" s="2" t="s">
        <v>76</v>
      </c>
      <c r="K9" s="6" t="s">
        <v>80</v>
      </c>
      <c r="L9" s="6" t="s">
        <v>19</v>
      </c>
      <c r="M9" s="2" t="s">
        <v>7</v>
      </c>
      <c r="N9" s="7" t="n">
        <v>732377864</v>
      </c>
    </row>
    <row r="10" customFormat="false" ht="15" hidden="false" customHeight="false" outlineLevel="0" collapsed="false">
      <c r="A10" s="2" t="n">
        <v>120000018</v>
      </c>
      <c r="B10" s="2" t="n">
        <v>1</v>
      </c>
      <c r="C10" s="14" t="n">
        <v>46053</v>
      </c>
      <c r="D10" s="14" t="n">
        <v>46053</v>
      </c>
      <c r="E10" s="6" t="s">
        <v>78</v>
      </c>
      <c r="F10" s="6" t="s">
        <v>75</v>
      </c>
      <c r="G10" s="6" t="s">
        <v>79</v>
      </c>
      <c r="H10" s="2"/>
      <c r="I10" s="2" t="n">
        <v>38160000</v>
      </c>
      <c r="J10" s="2" t="s">
        <v>76</v>
      </c>
      <c r="K10" s="6" t="s">
        <v>80</v>
      </c>
      <c r="L10" s="6" t="s">
        <v>19</v>
      </c>
      <c r="M10" s="2" t="s">
        <v>7</v>
      </c>
      <c r="N10" s="7" t="n">
        <v>292240228</v>
      </c>
    </row>
    <row r="11" customFormat="false" ht="15" hidden="false" customHeight="false" outlineLevel="0" collapsed="false">
      <c r="A11" s="2" t="n">
        <v>120000018</v>
      </c>
      <c r="B11" s="2" t="n">
        <v>1</v>
      </c>
      <c r="C11" s="14" t="n">
        <v>46053</v>
      </c>
      <c r="D11" s="14" t="n">
        <v>46053</v>
      </c>
      <c r="E11" s="6" t="s">
        <v>78</v>
      </c>
      <c r="F11" s="6" t="s">
        <v>75</v>
      </c>
      <c r="G11" s="6" t="s">
        <v>79</v>
      </c>
      <c r="H11" s="2"/>
      <c r="I11" s="2" t="n">
        <v>38160000</v>
      </c>
      <c r="J11" s="2" t="s">
        <v>76</v>
      </c>
      <c r="K11" s="6" t="s">
        <v>80</v>
      </c>
      <c r="L11" s="6" t="s">
        <v>19</v>
      </c>
      <c r="M11" s="2" t="s">
        <v>7</v>
      </c>
      <c r="N11" s="7" t="n">
        <v>637997113</v>
      </c>
    </row>
    <row r="12" customFormat="false" ht="15" hidden="false" customHeight="false" outlineLevel="0" collapsed="false">
      <c r="A12" s="2" t="n">
        <v>120000018</v>
      </c>
      <c r="B12" s="2" t="n">
        <v>1</v>
      </c>
      <c r="C12" s="14" t="n">
        <v>46053</v>
      </c>
      <c r="D12" s="14" t="n">
        <v>46053</v>
      </c>
      <c r="E12" s="6" t="s">
        <v>78</v>
      </c>
      <c r="F12" s="6" t="s">
        <v>75</v>
      </c>
      <c r="G12" s="6" t="s">
        <v>79</v>
      </c>
      <c r="H12" s="2"/>
      <c r="I12" s="2" t="n">
        <v>38160000</v>
      </c>
      <c r="J12" s="2" t="s">
        <v>76</v>
      </c>
      <c r="K12" s="6" t="s">
        <v>80</v>
      </c>
      <c r="L12" s="6" t="s">
        <v>19</v>
      </c>
      <c r="M12" s="2" t="s">
        <v>7</v>
      </c>
      <c r="N12" s="7" t="n">
        <v>1595518809</v>
      </c>
    </row>
    <row r="13" customFormat="false" ht="15" hidden="false" customHeight="false" outlineLevel="0" collapsed="false">
      <c r="A13" s="2" t="n">
        <v>120000018</v>
      </c>
      <c r="B13" s="2" t="n">
        <v>1</v>
      </c>
      <c r="C13" s="14" t="n">
        <v>46053</v>
      </c>
      <c r="D13" s="14" t="n">
        <v>46053</v>
      </c>
      <c r="E13" s="6" t="s">
        <v>78</v>
      </c>
      <c r="F13" s="6" t="s">
        <v>75</v>
      </c>
      <c r="G13" s="6" t="s">
        <v>79</v>
      </c>
      <c r="H13" s="2"/>
      <c r="I13" s="2" t="n">
        <v>38160000</v>
      </c>
      <c r="J13" s="2" t="s">
        <v>76</v>
      </c>
      <c r="K13" s="6" t="s">
        <v>80</v>
      </c>
      <c r="L13" s="6" t="s">
        <v>19</v>
      </c>
      <c r="M13" s="2" t="s">
        <v>7</v>
      </c>
      <c r="N13" s="7" t="n">
        <v>2521212015</v>
      </c>
    </row>
    <row r="14" customFormat="false" ht="15" hidden="false" customHeight="false" outlineLevel="0" collapsed="false">
      <c r="A14" s="2" t="n">
        <v>120000018</v>
      </c>
      <c r="B14" s="2" t="n">
        <v>1</v>
      </c>
      <c r="C14" s="14" t="n">
        <v>46053</v>
      </c>
      <c r="D14" s="14" t="n">
        <v>46053</v>
      </c>
      <c r="E14" s="6" t="s">
        <v>78</v>
      </c>
      <c r="F14" s="6" t="s">
        <v>75</v>
      </c>
      <c r="G14" s="6" t="s">
        <v>79</v>
      </c>
      <c r="H14" s="2"/>
      <c r="I14" s="2" t="n">
        <v>38160000</v>
      </c>
      <c r="J14" s="2" t="s">
        <v>76</v>
      </c>
      <c r="K14" s="6" t="s">
        <v>80</v>
      </c>
      <c r="L14" s="6" t="s">
        <v>19</v>
      </c>
      <c r="M14" s="2" t="s">
        <v>7</v>
      </c>
      <c r="N14" s="7" t="n">
        <v>201128684</v>
      </c>
    </row>
    <row r="15" customFormat="false" ht="15" hidden="false" customHeight="false" outlineLevel="0" collapsed="false">
      <c r="A15" s="2" t="n">
        <v>120000018</v>
      </c>
      <c r="B15" s="2" t="n">
        <v>1</v>
      </c>
      <c r="C15" s="14" t="n">
        <v>46053</v>
      </c>
      <c r="D15" s="14" t="n">
        <v>46053</v>
      </c>
      <c r="E15" s="6" t="s">
        <v>78</v>
      </c>
      <c r="F15" s="6" t="s">
        <v>75</v>
      </c>
      <c r="G15" s="6" t="s">
        <v>79</v>
      </c>
      <c r="H15" s="2"/>
      <c r="I15" s="2" t="n">
        <v>38160000</v>
      </c>
      <c r="J15" s="2" t="s">
        <v>76</v>
      </c>
      <c r="K15" s="6" t="s">
        <v>80</v>
      </c>
      <c r="L15" s="6" t="s">
        <v>19</v>
      </c>
      <c r="M15" s="2" t="s">
        <v>7</v>
      </c>
      <c r="N15" s="7" t="n">
        <v>768016582</v>
      </c>
    </row>
    <row r="16" customFormat="false" ht="15" hidden="false" customHeight="false" outlineLevel="0" collapsed="false">
      <c r="A16" s="2" t="n">
        <v>120000018</v>
      </c>
      <c r="B16" s="2" t="n">
        <v>1</v>
      </c>
      <c r="C16" s="14" t="n">
        <v>46053</v>
      </c>
      <c r="D16" s="14" t="n">
        <v>46053</v>
      </c>
      <c r="E16" s="6" t="s">
        <v>78</v>
      </c>
      <c r="F16" s="6" t="s">
        <v>75</v>
      </c>
      <c r="G16" s="6" t="s">
        <v>79</v>
      </c>
      <c r="H16" s="2"/>
      <c r="I16" s="2" t="n">
        <v>38160000</v>
      </c>
      <c r="J16" s="2" t="s">
        <v>76</v>
      </c>
      <c r="K16" s="6" t="s">
        <v>80</v>
      </c>
      <c r="L16" s="6" t="s">
        <v>19</v>
      </c>
      <c r="M16" s="2" t="s">
        <v>7</v>
      </c>
      <c r="N16" s="7" t="n">
        <v>632773054</v>
      </c>
    </row>
    <row r="17" customFormat="false" ht="15" hidden="false" customHeight="false" outlineLevel="0" collapsed="false">
      <c r="A17" s="2" t="n">
        <v>120000018</v>
      </c>
      <c r="B17" s="2" t="n">
        <v>1</v>
      </c>
      <c r="C17" s="14" t="n">
        <v>46053</v>
      </c>
      <c r="D17" s="14" t="n">
        <v>46053</v>
      </c>
      <c r="E17" s="6" t="s">
        <v>78</v>
      </c>
      <c r="F17" s="6" t="s">
        <v>75</v>
      </c>
      <c r="G17" s="6" t="s">
        <v>79</v>
      </c>
      <c r="H17" s="2"/>
      <c r="I17" s="2" t="n">
        <v>62100747</v>
      </c>
      <c r="J17" s="2" t="s">
        <v>81</v>
      </c>
      <c r="K17" s="6" t="s">
        <v>80</v>
      </c>
      <c r="L17" s="6" t="s">
        <v>19</v>
      </c>
      <c r="M17" s="2" t="s">
        <v>7</v>
      </c>
      <c r="N17" s="7" t="n">
        <v>-139366409</v>
      </c>
    </row>
    <row r="18" customFormat="false" ht="15" hidden="false" customHeight="false" outlineLevel="0" collapsed="false">
      <c r="A18" s="2" t="n">
        <v>120000018</v>
      </c>
      <c r="B18" s="2" t="n">
        <v>1</v>
      </c>
      <c r="C18" s="14" t="n">
        <v>46053</v>
      </c>
      <c r="D18" s="14" t="n">
        <v>46053</v>
      </c>
      <c r="E18" s="6" t="s">
        <v>78</v>
      </c>
      <c r="F18" s="6" t="s">
        <v>75</v>
      </c>
      <c r="G18" s="6" t="s">
        <v>79</v>
      </c>
      <c r="H18" s="2"/>
      <c r="I18" s="2" t="n">
        <v>62100747</v>
      </c>
      <c r="J18" s="2" t="s">
        <v>81</v>
      </c>
      <c r="K18" s="6" t="s">
        <v>80</v>
      </c>
      <c r="L18" s="6" t="s">
        <v>19</v>
      </c>
      <c r="M18" s="2" t="s">
        <v>7</v>
      </c>
      <c r="N18" s="7" t="n">
        <v>-194499104</v>
      </c>
    </row>
    <row r="19" customFormat="false" ht="15" hidden="false" customHeight="false" outlineLevel="0" collapsed="false">
      <c r="A19" s="2" t="n">
        <v>120000018</v>
      </c>
      <c r="B19" s="2" t="n">
        <v>1</v>
      </c>
      <c r="C19" s="14" t="n">
        <v>46053</v>
      </c>
      <c r="D19" s="14" t="n">
        <v>46053</v>
      </c>
      <c r="E19" s="6" t="s">
        <v>78</v>
      </c>
      <c r="F19" s="6" t="s">
        <v>75</v>
      </c>
      <c r="G19" s="6" t="s">
        <v>79</v>
      </c>
      <c r="H19" s="2"/>
      <c r="I19" s="2" t="n">
        <v>62100747</v>
      </c>
      <c r="J19" s="2" t="s">
        <v>81</v>
      </c>
      <c r="K19" s="6" t="s">
        <v>80</v>
      </c>
      <c r="L19" s="6" t="s">
        <v>19</v>
      </c>
      <c r="M19" s="2" t="s">
        <v>7</v>
      </c>
      <c r="N19" s="7" t="n">
        <v>-1314748766</v>
      </c>
    </row>
    <row r="20" customFormat="false" ht="15" hidden="false" customHeight="false" outlineLevel="0" collapsed="false">
      <c r="A20" s="2" t="n">
        <v>120000018</v>
      </c>
      <c r="B20" s="2" t="n">
        <v>1</v>
      </c>
      <c r="C20" s="14" t="n">
        <v>46053</v>
      </c>
      <c r="D20" s="14" t="n">
        <v>46053</v>
      </c>
      <c r="E20" s="6" t="s">
        <v>78</v>
      </c>
      <c r="F20" s="6" t="s">
        <v>75</v>
      </c>
      <c r="G20" s="6" t="s">
        <v>79</v>
      </c>
      <c r="H20" s="2"/>
      <c r="I20" s="2" t="n">
        <v>62100747</v>
      </c>
      <c r="J20" s="2" t="s">
        <v>81</v>
      </c>
      <c r="K20" s="6" t="s">
        <v>80</v>
      </c>
      <c r="L20" s="6" t="s">
        <v>19</v>
      </c>
      <c r="M20" s="2" t="s">
        <v>7</v>
      </c>
      <c r="N20" s="7" t="n">
        <v>-732377864</v>
      </c>
    </row>
    <row r="21" customFormat="false" ht="15" hidden="false" customHeight="false" outlineLevel="0" collapsed="false">
      <c r="A21" s="2" t="n">
        <v>120000018</v>
      </c>
      <c r="B21" s="2" t="n">
        <v>1</v>
      </c>
      <c r="C21" s="14" t="n">
        <v>46053</v>
      </c>
      <c r="D21" s="14" t="n">
        <v>46053</v>
      </c>
      <c r="E21" s="6" t="s">
        <v>78</v>
      </c>
      <c r="F21" s="6" t="s">
        <v>75</v>
      </c>
      <c r="G21" s="6" t="s">
        <v>79</v>
      </c>
      <c r="H21" s="2"/>
      <c r="I21" s="2" t="n">
        <v>62100747</v>
      </c>
      <c r="J21" s="2" t="s">
        <v>81</v>
      </c>
      <c r="K21" s="6" t="s">
        <v>80</v>
      </c>
      <c r="L21" s="6" t="s">
        <v>19</v>
      </c>
      <c r="M21" s="2" t="s">
        <v>7</v>
      </c>
      <c r="N21" s="7" t="n">
        <v>-292240228</v>
      </c>
    </row>
    <row r="22" customFormat="false" ht="15" hidden="false" customHeight="false" outlineLevel="0" collapsed="false">
      <c r="A22" s="2" t="n">
        <v>120000018</v>
      </c>
      <c r="B22" s="2" t="n">
        <v>1</v>
      </c>
      <c r="C22" s="14" t="n">
        <v>46053</v>
      </c>
      <c r="D22" s="14" t="n">
        <v>46053</v>
      </c>
      <c r="E22" s="6" t="s">
        <v>78</v>
      </c>
      <c r="F22" s="6" t="s">
        <v>75</v>
      </c>
      <c r="G22" s="6" t="s">
        <v>79</v>
      </c>
      <c r="H22" s="2"/>
      <c r="I22" s="2" t="n">
        <v>62100747</v>
      </c>
      <c r="J22" s="2" t="s">
        <v>81</v>
      </c>
      <c r="K22" s="6" t="s">
        <v>80</v>
      </c>
      <c r="L22" s="6" t="s">
        <v>19</v>
      </c>
      <c r="M22" s="2" t="s">
        <v>7</v>
      </c>
      <c r="N22" s="7" t="n">
        <v>-637997113</v>
      </c>
    </row>
    <row r="23" customFormat="false" ht="15" hidden="false" customHeight="false" outlineLevel="0" collapsed="false">
      <c r="A23" s="2" t="n">
        <v>120000018</v>
      </c>
      <c r="B23" s="2" t="n">
        <v>1</v>
      </c>
      <c r="C23" s="14" t="n">
        <v>46053</v>
      </c>
      <c r="D23" s="14" t="n">
        <v>46053</v>
      </c>
      <c r="E23" s="6" t="s">
        <v>78</v>
      </c>
      <c r="F23" s="6" t="s">
        <v>75</v>
      </c>
      <c r="G23" s="6" t="s">
        <v>79</v>
      </c>
      <c r="H23" s="2"/>
      <c r="I23" s="2" t="n">
        <v>62100747</v>
      </c>
      <c r="J23" s="2" t="s">
        <v>81</v>
      </c>
      <c r="K23" s="6" t="s">
        <v>80</v>
      </c>
      <c r="L23" s="6" t="s">
        <v>19</v>
      </c>
      <c r="M23" s="2" t="s">
        <v>7</v>
      </c>
      <c r="N23" s="7" t="n">
        <v>-1595518809</v>
      </c>
    </row>
    <row r="24" customFormat="false" ht="15" hidden="false" customHeight="false" outlineLevel="0" collapsed="false">
      <c r="A24" s="2" t="n">
        <v>120000018</v>
      </c>
      <c r="B24" s="2" t="n">
        <v>1</v>
      </c>
      <c r="C24" s="14" t="n">
        <v>46053</v>
      </c>
      <c r="D24" s="14" t="n">
        <v>46053</v>
      </c>
      <c r="E24" s="6" t="s">
        <v>78</v>
      </c>
      <c r="F24" s="6" t="s">
        <v>75</v>
      </c>
      <c r="G24" s="6" t="s">
        <v>79</v>
      </c>
      <c r="H24" s="2"/>
      <c r="I24" s="2" t="n">
        <v>62100747</v>
      </c>
      <c r="J24" s="2" t="s">
        <v>81</v>
      </c>
      <c r="K24" s="6" t="s">
        <v>80</v>
      </c>
      <c r="L24" s="6" t="s">
        <v>19</v>
      </c>
      <c r="M24" s="2" t="s">
        <v>7</v>
      </c>
      <c r="N24" s="7" t="n">
        <v>-2521212015</v>
      </c>
    </row>
    <row r="25" customFormat="false" ht="15" hidden="false" customHeight="false" outlineLevel="0" collapsed="false">
      <c r="A25" s="2" t="n">
        <v>120000018</v>
      </c>
      <c r="B25" s="2" t="n">
        <v>1</v>
      </c>
      <c r="C25" s="14" t="n">
        <v>46053</v>
      </c>
      <c r="D25" s="14" t="n">
        <v>46053</v>
      </c>
      <c r="E25" s="6" t="s">
        <v>78</v>
      </c>
      <c r="F25" s="6" t="s">
        <v>75</v>
      </c>
      <c r="G25" s="6" t="s">
        <v>79</v>
      </c>
      <c r="H25" s="2"/>
      <c r="I25" s="2" t="n">
        <v>62100747</v>
      </c>
      <c r="J25" s="2" t="s">
        <v>81</v>
      </c>
      <c r="K25" s="6" t="s">
        <v>80</v>
      </c>
      <c r="L25" s="6" t="s">
        <v>19</v>
      </c>
      <c r="M25" s="2" t="s">
        <v>7</v>
      </c>
      <c r="N25" s="7" t="n">
        <v>-201128684</v>
      </c>
    </row>
    <row r="26" customFormat="false" ht="15" hidden="false" customHeight="false" outlineLevel="0" collapsed="false">
      <c r="A26" s="2" t="n">
        <v>120000018</v>
      </c>
      <c r="B26" s="2" t="n">
        <v>1</v>
      </c>
      <c r="C26" s="14" t="n">
        <v>46053</v>
      </c>
      <c r="D26" s="14" t="n">
        <v>46053</v>
      </c>
      <c r="E26" s="6" t="s">
        <v>78</v>
      </c>
      <c r="F26" s="6" t="s">
        <v>75</v>
      </c>
      <c r="G26" s="6" t="s">
        <v>79</v>
      </c>
      <c r="H26" s="2"/>
      <c r="I26" s="2" t="n">
        <v>62100747</v>
      </c>
      <c r="J26" s="2" t="s">
        <v>81</v>
      </c>
      <c r="K26" s="6" t="s">
        <v>80</v>
      </c>
      <c r="L26" s="6" t="s">
        <v>19</v>
      </c>
      <c r="M26" s="2" t="s">
        <v>7</v>
      </c>
      <c r="N26" s="7" t="n">
        <v>-768016582</v>
      </c>
    </row>
    <row r="27" customFormat="false" ht="15" hidden="false" customHeight="false" outlineLevel="0" collapsed="false">
      <c r="A27" s="2" t="n">
        <v>120000018</v>
      </c>
      <c r="B27" s="2" t="n">
        <v>1</v>
      </c>
      <c r="C27" s="14" t="n">
        <v>46053</v>
      </c>
      <c r="D27" s="14" t="n">
        <v>46053</v>
      </c>
      <c r="E27" s="6" t="s">
        <v>78</v>
      </c>
      <c r="F27" s="6" t="s">
        <v>75</v>
      </c>
      <c r="G27" s="6" t="s">
        <v>79</v>
      </c>
      <c r="H27" s="2"/>
      <c r="I27" s="2" t="n">
        <v>62100747</v>
      </c>
      <c r="J27" s="2" t="s">
        <v>81</v>
      </c>
      <c r="K27" s="6" t="s">
        <v>80</v>
      </c>
      <c r="L27" s="6" t="s">
        <v>19</v>
      </c>
      <c r="M27" s="2" t="s">
        <v>7</v>
      </c>
      <c r="N27" s="7" t="n">
        <v>-632773054</v>
      </c>
    </row>
    <row r="28" customFormat="false" ht="15" hidden="false" customHeight="false" outlineLevel="0" collapsed="false">
      <c r="A28" s="2" t="n">
        <v>120000055</v>
      </c>
      <c r="B28" s="2" t="n">
        <v>2</v>
      </c>
      <c r="C28" s="14" t="n">
        <v>46081</v>
      </c>
      <c r="D28" s="14" t="n">
        <v>46081</v>
      </c>
      <c r="E28" s="6" t="s">
        <v>78</v>
      </c>
      <c r="F28" s="6" t="s">
        <v>75</v>
      </c>
      <c r="G28" s="6" t="s">
        <v>79</v>
      </c>
      <c r="H28" s="2"/>
      <c r="I28" s="2" t="n">
        <v>38160000</v>
      </c>
      <c r="J28" s="2" t="s">
        <v>76</v>
      </c>
      <c r="K28" s="6" t="s">
        <v>82</v>
      </c>
      <c r="L28" s="6" t="s">
        <v>19</v>
      </c>
      <c r="M28" s="2" t="s">
        <v>7</v>
      </c>
      <c r="N28" s="7" t="n">
        <v>792299</v>
      </c>
    </row>
    <row r="29" customFormat="false" ht="15" hidden="false" customHeight="false" outlineLevel="0" collapsed="false">
      <c r="A29" s="2" t="n">
        <v>120000055</v>
      </c>
      <c r="B29" s="2" t="n">
        <v>2</v>
      </c>
      <c r="C29" s="14" t="n">
        <v>46081</v>
      </c>
      <c r="D29" s="14" t="n">
        <v>46081</v>
      </c>
      <c r="E29" s="6" t="s">
        <v>78</v>
      </c>
      <c r="F29" s="6" t="s">
        <v>75</v>
      </c>
      <c r="G29" s="6" t="s">
        <v>79</v>
      </c>
      <c r="H29" s="2"/>
      <c r="I29" s="2" t="n">
        <v>38160000</v>
      </c>
      <c r="J29" s="2" t="s">
        <v>76</v>
      </c>
      <c r="K29" s="6" t="s">
        <v>82</v>
      </c>
      <c r="L29" s="6" t="s">
        <v>19</v>
      </c>
      <c r="M29" s="2" t="s">
        <v>7</v>
      </c>
      <c r="N29" s="7" t="n">
        <v>-399862</v>
      </c>
    </row>
    <row r="30" customFormat="false" ht="15" hidden="false" customHeight="false" outlineLevel="0" collapsed="false">
      <c r="A30" s="2" t="n">
        <v>120000055</v>
      </c>
      <c r="B30" s="2" t="n">
        <v>2</v>
      </c>
      <c r="C30" s="14" t="n">
        <v>46081</v>
      </c>
      <c r="D30" s="14" t="n">
        <v>46081</v>
      </c>
      <c r="E30" s="6" t="s">
        <v>78</v>
      </c>
      <c r="F30" s="6" t="s">
        <v>75</v>
      </c>
      <c r="G30" s="6" t="s">
        <v>79</v>
      </c>
      <c r="H30" s="2"/>
      <c r="I30" s="2" t="n">
        <v>38160000</v>
      </c>
      <c r="J30" s="2" t="s">
        <v>76</v>
      </c>
      <c r="K30" s="6" t="s">
        <v>82</v>
      </c>
      <c r="L30" s="6" t="s">
        <v>19</v>
      </c>
      <c r="M30" s="2" t="s">
        <v>7</v>
      </c>
      <c r="N30" s="7" t="n">
        <v>-1536228</v>
      </c>
    </row>
    <row r="31" customFormat="false" ht="15" hidden="false" customHeight="false" outlineLevel="0" collapsed="false">
      <c r="A31" s="2" t="n">
        <v>120000055</v>
      </c>
      <c r="B31" s="2" t="n">
        <v>2</v>
      </c>
      <c r="C31" s="14" t="n">
        <v>46081</v>
      </c>
      <c r="D31" s="14" t="n">
        <v>46081</v>
      </c>
      <c r="E31" s="6" t="s">
        <v>78</v>
      </c>
      <c r="F31" s="6" t="s">
        <v>75</v>
      </c>
      <c r="G31" s="6" t="s">
        <v>79</v>
      </c>
      <c r="H31" s="2"/>
      <c r="I31" s="2" t="n">
        <v>38160000</v>
      </c>
      <c r="J31" s="2" t="s">
        <v>76</v>
      </c>
      <c r="K31" s="6" t="s">
        <v>82</v>
      </c>
      <c r="L31" s="6" t="s">
        <v>19</v>
      </c>
      <c r="M31" s="2" t="s">
        <v>7</v>
      </c>
      <c r="N31" s="7" t="n">
        <v>-944038</v>
      </c>
    </row>
    <row r="32" customFormat="false" ht="15" hidden="false" customHeight="false" outlineLevel="0" collapsed="false">
      <c r="A32" s="2" t="n">
        <v>120000055</v>
      </c>
      <c r="B32" s="2" t="n">
        <v>2</v>
      </c>
      <c r="C32" s="14" t="n">
        <v>46081</v>
      </c>
      <c r="D32" s="14" t="n">
        <v>46081</v>
      </c>
      <c r="E32" s="6" t="s">
        <v>78</v>
      </c>
      <c r="F32" s="6" t="s">
        <v>75</v>
      </c>
      <c r="G32" s="6" t="s">
        <v>79</v>
      </c>
      <c r="H32" s="2"/>
      <c r="I32" s="2" t="n">
        <v>38160000</v>
      </c>
      <c r="J32" s="2" t="s">
        <v>76</v>
      </c>
      <c r="K32" s="6" t="s">
        <v>82</v>
      </c>
      <c r="L32" s="6" t="s">
        <v>19</v>
      </c>
      <c r="M32" s="2" t="s">
        <v>7</v>
      </c>
      <c r="N32" s="7" t="n">
        <v>-698840</v>
      </c>
    </row>
    <row r="33" customFormat="false" ht="15" hidden="false" customHeight="false" outlineLevel="0" collapsed="false">
      <c r="A33" s="2" t="n">
        <v>120000055</v>
      </c>
      <c r="B33" s="2" t="n">
        <v>2</v>
      </c>
      <c r="C33" s="14" t="n">
        <v>46081</v>
      </c>
      <c r="D33" s="14" t="n">
        <v>46081</v>
      </c>
      <c r="E33" s="6" t="s">
        <v>78</v>
      </c>
      <c r="F33" s="6" t="s">
        <v>75</v>
      </c>
      <c r="G33" s="6" t="s">
        <v>79</v>
      </c>
      <c r="H33" s="2"/>
      <c r="I33" s="2" t="n">
        <v>38160000</v>
      </c>
      <c r="J33" s="2" t="s">
        <v>76</v>
      </c>
      <c r="K33" s="6" t="s">
        <v>82</v>
      </c>
      <c r="L33" s="6" t="s">
        <v>19</v>
      </c>
      <c r="M33" s="2" t="s">
        <v>7</v>
      </c>
      <c r="N33" s="7" t="n">
        <v>-1974242</v>
      </c>
    </row>
    <row r="34" customFormat="false" ht="15" hidden="false" customHeight="false" outlineLevel="0" collapsed="false">
      <c r="A34" s="2" t="n">
        <v>120000055</v>
      </c>
      <c r="B34" s="2" t="n">
        <v>2</v>
      </c>
      <c r="C34" s="14" t="n">
        <v>46081</v>
      </c>
      <c r="D34" s="14" t="n">
        <v>46081</v>
      </c>
      <c r="E34" s="6" t="s">
        <v>78</v>
      </c>
      <c r="F34" s="6" t="s">
        <v>75</v>
      </c>
      <c r="G34" s="6" t="s">
        <v>79</v>
      </c>
      <c r="H34" s="2"/>
      <c r="I34" s="2" t="n">
        <v>38160000</v>
      </c>
      <c r="J34" s="2" t="s">
        <v>76</v>
      </c>
      <c r="K34" s="6" t="s">
        <v>82</v>
      </c>
      <c r="L34" s="6" t="s">
        <v>19</v>
      </c>
      <c r="M34" s="2" t="s">
        <v>7</v>
      </c>
      <c r="N34" s="7" t="n">
        <v>-2945943</v>
      </c>
    </row>
    <row r="35" customFormat="false" ht="15" hidden="false" customHeight="false" outlineLevel="0" collapsed="false">
      <c r="A35" s="2" t="n">
        <v>120000055</v>
      </c>
      <c r="B35" s="2" t="n">
        <v>2</v>
      </c>
      <c r="C35" s="14" t="n">
        <v>46081</v>
      </c>
      <c r="D35" s="14" t="n">
        <v>46081</v>
      </c>
      <c r="E35" s="6" t="s">
        <v>78</v>
      </c>
      <c r="F35" s="6" t="s">
        <v>75</v>
      </c>
      <c r="G35" s="6" t="s">
        <v>79</v>
      </c>
      <c r="H35" s="2"/>
      <c r="I35" s="2" t="n">
        <v>38160000</v>
      </c>
      <c r="J35" s="2" t="s">
        <v>76</v>
      </c>
      <c r="K35" s="6" t="s">
        <v>82</v>
      </c>
      <c r="L35" s="6" t="s">
        <v>19</v>
      </c>
      <c r="M35" s="2" t="s">
        <v>7</v>
      </c>
      <c r="N35" s="7" t="n">
        <v>-162234</v>
      </c>
    </row>
    <row r="36" customFormat="false" ht="15" hidden="false" customHeight="false" outlineLevel="0" collapsed="false">
      <c r="A36" s="2" t="n">
        <v>120000055</v>
      </c>
      <c r="B36" s="2" t="n">
        <v>2</v>
      </c>
      <c r="C36" s="14" t="n">
        <v>46081</v>
      </c>
      <c r="D36" s="14" t="n">
        <v>46081</v>
      </c>
      <c r="E36" s="6" t="s">
        <v>78</v>
      </c>
      <c r="F36" s="6" t="s">
        <v>75</v>
      </c>
      <c r="G36" s="6" t="s">
        <v>79</v>
      </c>
      <c r="H36" s="2"/>
      <c r="I36" s="2" t="n">
        <v>38160000</v>
      </c>
      <c r="J36" s="2" t="s">
        <v>76</v>
      </c>
      <c r="K36" s="6" t="s">
        <v>82</v>
      </c>
      <c r="L36" s="6" t="s">
        <v>19</v>
      </c>
      <c r="M36" s="2" t="s">
        <v>7</v>
      </c>
      <c r="N36" s="7" t="n">
        <v>-903171</v>
      </c>
    </row>
    <row r="37" customFormat="false" ht="15" hidden="false" customHeight="false" outlineLevel="0" collapsed="false">
      <c r="A37" s="2" t="n">
        <v>120000055</v>
      </c>
      <c r="B37" s="2" t="n">
        <v>2</v>
      </c>
      <c r="C37" s="14" t="n">
        <v>46081</v>
      </c>
      <c r="D37" s="14" t="n">
        <v>46081</v>
      </c>
      <c r="E37" s="6" t="s">
        <v>78</v>
      </c>
      <c r="F37" s="6" t="s">
        <v>75</v>
      </c>
      <c r="G37" s="6" t="s">
        <v>79</v>
      </c>
      <c r="H37" s="2"/>
      <c r="I37" s="2" t="n">
        <v>38160000</v>
      </c>
      <c r="J37" s="2" t="s">
        <v>76</v>
      </c>
      <c r="K37" s="6" t="s">
        <v>82</v>
      </c>
      <c r="L37" s="6" t="s">
        <v>19</v>
      </c>
      <c r="M37" s="2" t="s">
        <v>7</v>
      </c>
      <c r="N37" s="7" t="n">
        <v>-657046</v>
      </c>
    </row>
    <row r="38" customFormat="false" ht="15" hidden="false" customHeight="false" outlineLevel="0" collapsed="false">
      <c r="A38" s="2" t="n">
        <v>120000055</v>
      </c>
      <c r="B38" s="2" t="n">
        <v>2</v>
      </c>
      <c r="C38" s="14" t="n">
        <v>46081</v>
      </c>
      <c r="D38" s="14" t="n">
        <v>46081</v>
      </c>
      <c r="E38" s="6" t="s">
        <v>78</v>
      </c>
      <c r="F38" s="6" t="s">
        <v>75</v>
      </c>
      <c r="G38" s="6" t="s">
        <v>79</v>
      </c>
      <c r="H38" s="2"/>
      <c r="I38" s="2" t="n">
        <v>38160000</v>
      </c>
      <c r="J38" s="2" t="s">
        <v>76</v>
      </c>
      <c r="K38" s="6" t="s">
        <v>82</v>
      </c>
      <c r="L38" s="6" t="s">
        <v>19</v>
      </c>
      <c r="M38" s="2" t="s">
        <v>7</v>
      </c>
      <c r="N38" s="7" t="n">
        <v>773240036</v>
      </c>
    </row>
    <row r="39" customFormat="false" ht="15" hidden="false" customHeight="false" outlineLevel="0" collapsed="false">
      <c r="A39" s="2" t="n">
        <v>120000055</v>
      </c>
      <c r="B39" s="2" t="n">
        <v>2</v>
      </c>
      <c r="C39" s="14" t="n">
        <v>46081</v>
      </c>
      <c r="D39" s="14" t="n">
        <v>46081</v>
      </c>
      <c r="E39" s="6" t="s">
        <v>78</v>
      </c>
      <c r="F39" s="6" t="s">
        <v>75</v>
      </c>
      <c r="G39" s="6" t="s">
        <v>79</v>
      </c>
      <c r="H39" s="2"/>
      <c r="I39" s="2" t="n">
        <v>62100747</v>
      </c>
      <c r="J39" s="2" t="s">
        <v>81</v>
      </c>
      <c r="K39" s="6" t="s">
        <v>82</v>
      </c>
      <c r="L39" s="6" t="s">
        <v>19</v>
      </c>
      <c r="M39" s="2" t="s">
        <v>7</v>
      </c>
      <c r="N39" s="7" t="n">
        <v>-792299</v>
      </c>
    </row>
    <row r="40" customFormat="false" ht="15" hidden="false" customHeight="false" outlineLevel="0" collapsed="false">
      <c r="A40" s="2" t="n">
        <v>120000055</v>
      </c>
      <c r="B40" s="2" t="n">
        <v>2</v>
      </c>
      <c r="C40" s="14" t="n">
        <v>46081</v>
      </c>
      <c r="D40" s="14" t="n">
        <v>46081</v>
      </c>
      <c r="E40" s="6" t="s">
        <v>78</v>
      </c>
      <c r="F40" s="6" t="s">
        <v>75</v>
      </c>
      <c r="G40" s="6" t="s">
        <v>79</v>
      </c>
      <c r="H40" s="2"/>
      <c r="I40" s="2" t="n">
        <v>62100747</v>
      </c>
      <c r="J40" s="2" t="s">
        <v>81</v>
      </c>
      <c r="K40" s="6" t="s">
        <v>82</v>
      </c>
      <c r="L40" s="6" t="s">
        <v>19</v>
      </c>
      <c r="M40" s="2" t="s">
        <v>7</v>
      </c>
      <c r="N40" s="7" t="n">
        <v>399862</v>
      </c>
    </row>
    <row r="41" customFormat="false" ht="15" hidden="false" customHeight="false" outlineLevel="0" collapsed="false">
      <c r="A41" s="2" t="n">
        <v>120000055</v>
      </c>
      <c r="B41" s="2" t="n">
        <v>2</v>
      </c>
      <c r="C41" s="14" t="n">
        <v>46081</v>
      </c>
      <c r="D41" s="14" t="n">
        <v>46081</v>
      </c>
      <c r="E41" s="6" t="s">
        <v>78</v>
      </c>
      <c r="F41" s="6" t="s">
        <v>75</v>
      </c>
      <c r="G41" s="6" t="s">
        <v>79</v>
      </c>
      <c r="H41" s="2"/>
      <c r="I41" s="2" t="n">
        <v>62100747</v>
      </c>
      <c r="J41" s="2" t="s">
        <v>81</v>
      </c>
      <c r="K41" s="6" t="s">
        <v>82</v>
      </c>
      <c r="L41" s="6" t="s">
        <v>19</v>
      </c>
      <c r="M41" s="2" t="s">
        <v>7</v>
      </c>
      <c r="N41" s="7" t="n">
        <v>1536228</v>
      </c>
    </row>
    <row r="42" customFormat="false" ht="15" hidden="false" customHeight="false" outlineLevel="0" collapsed="false">
      <c r="A42" s="2" t="n">
        <v>120000055</v>
      </c>
      <c r="B42" s="2" t="n">
        <v>2</v>
      </c>
      <c r="C42" s="14" t="n">
        <v>46081</v>
      </c>
      <c r="D42" s="14" t="n">
        <v>46081</v>
      </c>
      <c r="E42" s="6" t="s">
        <v>78</v>
      </c>
      <c r="F42" s="6" t="s">
        <v>75</v>
      </c>
      <c r="G42" s="6" t="s">
        <v>79</v>
      </c>
      <c r="H42" s="2"/>
      <c r="I42" s="2" t="n">
        <v>62100747</v>
      </c>
      <c r="J42" s="2" t="s">
        <v>81</v>
      </c>
      <c r="K42" s="6" t="s">
        <v>82</v>
      </c>
      <c r="L42" s="6" t="s">
        <v>19</v>
      </c>
      <c r="M42" s="2" t="s">
        <v>7</v>
      </c>
      <c r="N42" s="7" t="n">
        <v>944038</v>
      </c>
    </row>
    <row r="43" customFormat="false" ht="15" hidden="false" customHeight="false" outlineLevel="0" collapsed="false">
      <c r="A43" s="2" t="n">
        <v>120000055</v>
      </c>
      <c r="B43" s="2" t="n">
        <v>2</v>
      </c>
      <c r="C43" s="14" t="n">
        <v>46081</v>
      </c>
      <c r="D43" s="14" t="n">
        <v>46081</v>
      </c>
      <c r="E43" s="6" t="s">
        <v>78</v>
      </c>
      <c r="F43" s="6" t="s">
        <v>75</v>
      </c>
      <c r="G43" s="6" t="s">
        <v>79</v>
      </c>
      <c r="H43" s="2"/>
      <c r="I43" s="2" t="n">
        <v>62100747</v>
      </c>
      <c r="J43" s="2" t="s">
        <v>81</v>
      </c>
      <c r="K43" s="6" t="s">
        <v>82</v>
      </c>
      <c r="L43" s="6" t="s">
        <v>19</v>
      </c>
      <c r="M43" s="2" t="s">
        <v>7</v>
      </c>
      <c r="N43" s="7" t="n">
        <v>698840</v>
      </c>
    </row>
    <row r="44" customFormat="false" ht="15" hidden="false" customHeight="false" outlineLevel="0" collapsed="false">
      <c r="A44" s="2" t="n">
        <v>120000055</v>
      </c>
      <c r="B44" s="2" t="n">
        <v>2</v>
      </c>
      <c r="C44" s="14" t="n">
        <v>46081</v>
      </c>
      <c r="D44" s="14" t="n">
        <v>46081</v>
      </c>
      <c r="E44" s="6" t="s">
        <v>78</v>
      </c>
      <c r="F44" s="6" t="s">
        <v>75</v>
      </c>
      <c r="G44" s="6" t="s">
        <v>79</v>
      </c>
      <c r="H44" s="2"/>
      <c r="I44" s="2" t="n">
        <v>62100747</v>
      </c>
      <c r="J44" s="2" t="s">
        <v>81</v>
      </c>
      <c r="K44" s="6" t="s">
        <v>82</v>
      </c>
      <c r="L44" s="6" t="s">
        <v>19</v>
      </c>
      <c r="M44" s="2" t="s">
        <v>7</v>
      </c>
      <c r="N44" s="7" t="n">
        <v>1974242</v>
      </c>
    </row>
    <row r="45" customFormat="false" ht="15" hidden="false" customHeight="false" outlineLevel="0" collapsed="false">
      <c r="A45" s="2" t="n">
        <v>120000055</v>
      </c>
      <c r="B45" s="2" t="n">
        <v>2</v>
      </c>
      <c r="C45" s="14" t="n">
        <v>46081</v>
      </c>
      <c r="D45" s="14" t="n">
        <v>46081</v>
      </c>
      <c r="E45" s="6" t="s">
        <v>78</v>
      </c>
      <c r="F45" s="6" t="s">
        <v>75</v>
      </c>
      <c r="G45" s="6" t="s">
        <v>79</v>
      </c>
      <c r="H45" s="2"/>
      <c r="I45" s="2" t="n">
        <v>62100747</v>
      </c>
      <c r="J45" s="2" t="s">
        <v>81</v>
      </c>
      <c r="K45" s="6" t="s">
        <v>82</v>
      </c>
      <c r="L45" s="6" t="s">
        <v>19</v>
      </c>
      <c r="M45" s="2" t="s">
        <v>7</v>
      </c>
      <c r="N45" s="7" t="n">
        <v>2945943</v>
      </c>
    </row>
    <row r="46" customFormat="false" ht="15" hidden="false" customHeight="false" outlineLevel="0" collapsed="false">
      <c r="A46" s="2" t="n">
        <v>120000055</v>
      </c>
      <c r="B46" s="2" t="n">
        <v>2</v>
      </c>
      <c r="C46" s="14" t="n">
        <v>46081</v>
      </c>
      <c r="D46" s="14" t="n">
        <v>46081</v>
      </c>
      <c r="E46" s="6" t="s">
        <v>78</v>
      </c>
      <c r="F46" s="6" t="s">
        <v>75</v>
      </c>
      <c r="G46" s="6" t="s">
        <v>79</v>
      </c>
      <c r="H46" s="2"/>
      <c r="I46" s="2" t="n">
        <v>62100747</v>
      </c>
      <c r="J46" s="2" t="s">
        <v>81</v>
      </c>
      <c r="K46" s="6" t="s">
        <v>82</v>
      </c>
      <c r="L46" s="6" t="s">
        <v>19</v>
      </c>
      <c r="M46" s="2" t="s">
        <v>7</v>
      </c>
      <c r="N46" s="7" t="n">
        <v>162234</v>
      </c>
    </row>
    <row r="47" customFormat="false" ht="15" hidden="false" customHeight="false" outlineLevel="0" collapsed="false">
      <c r="A47" s="2" t="n">
        <v>120000055</v>
      </c>
      <c r="B47" s="2" t="n">
        <v>2</v>
      </c>
      <c r="C47" s="14" t="n">
        <v>46081</v>
      </c>
      <c r="D47" s="14" t="n">
        <v>46081</v>
      </c>
      <c r="E47" s="6" t="s">
        <v>78</v>
      </c>
      <c r="F47" s="6" t="s">
        <v>75</v>
      </c>
      <c r="G47" s="6" t="s">
        <v>79</v>
      </c>
      <c r="H47" s="2"/>
      <c r="I47" s="2" t="n">
        <v>62100747</v>
      </c>
      <c r="J47" s="2" t="s">
        <v>81</v>
      </c>
      <c r="K47" s="6" t="s">
        <v>82</v>
      </c>
      <c r="L47" s="6" t="s">
        <v>19</v>
      </c>
      <c r="M47" s="2" t="s">
        <v>7</v>
      </c>
      <c r="N47" s="7" t="n">
        <v>903171</v>
      </c>
    </row>
    <row r="48" customFormat="false" ht="15" hidden="false" customHeight="false" outlineLevel="0" collapsed="false">
      <c r="A48" s="2" t="n">
        <v>120000055</v>
      </c>
      <c r="B48" s="2" t="n">
        <v>2</v>
      </c>
      <c r="C48" s="14" t="n">
        <v>46081</v>
      </c>
      <c r="D48" s="14" t="n">
        <v>46081</v>
      </c>
      <c r="E48" s="6" t="s">
        <v>78</v>
      </c>
      <c r="F48" s="6" t="s">
        <v>75</v>
      </c>
      <c r="G48" s="6" t="s">
        <v>79</v>
      </c>
      <c r="H48" s="2"/>
      <c r="I48" s="2" t="n">
        <v>62100747</v>
      </c>
      <c r="J48" s="2" t="s">
        <v>81</v>
      </c>
      <c r="K48" s="6" t="s">
        <v>82</v>
      </c>
      <c r="L48" s="6" t="s">
        <v>19</v>
      </c>
      <c r="M48" s="2" t="s">
        <v>7</v>
      </c>
      <c r="N48" s="7" t="n">
        <v>657046</v>
      </c>
    </row>
    <row r="49" customFormat="false" ht="15" hidden="false" customHeight="false" outlineLevel="0" collapsed="false">
      <c r="A49" s="2" t="n">
        <v>120000055</v>
      </c>
      <c r="B49" s="2" t="n">
        <v>2</v>
      </c>
      <c r="C49" s="14" t="n">
        <v>46081</v>
      </c>
      <c r="D49" s="14" t="n">
        <v>46081</v>
      </c>
      <c r="E49" s="6" t="s">
        <v>78</v>
      </c>
      <c r="F49" s="6" t="s">
        <v>75</v>
      </c>
      <c r="G49" s="6" t="s">
        <v>79</v>
      </c>
      <c r="H49" s="2"/>
      <c r="I49" s="2" t="n">
        <v>62100747</v>
      </c>
      <c r="J49" s="2" t="s">
        <v>81</v>
      </c>
      <c r="K49" s="6" t="s">
        <v>82</v>
      </c>
      <c r="L49" s="6" t="s">
        <v>19</v>
      </c>
      <c r="M49" s="2" t="s">
        <v>7</v>
      </c>
      <c r="N49" s="7" t="n">
        <v>-773240036</v>
      </c>
    </row>
    <row r="50" customFormat="false" ht="15" hidden="false" customHeight="false" outlineLevel="0" collapsed="false">
      <c r="A50" s="2" t="n">
        <v>120000070</v>
      </c>
      <c r="B50" s="2" t="n">
        <v>3</v>
      </c>
      <c r="C50" s="14" t="n">
        <v>46112</v>
      </c>
      <c r="D50" s="14" t="n">
        <v>46112</v>
      </c>
      <c r="E50" s="6" t="s">
        <v>78</v>
      </c>
      <c r="F50" s="6" t="s">
        <v>75</v>
      </c>
      <c r="G50" s="6" t="s">
        <v>83</v>
      </c>
      <c r="H50" s="2" t="n">
        <v>120000071</v>
      </c>
      <c r="I50" s="2" t="n">
        <v>38160000</v>
      </c>
      <c r="J50" s="2" t="s">
        <v>76</v>
      </c>
      <c r="K50" s="6" t="s">
        <v>82</v>
      </c>
      <c r="L50" s="6" t="s">
        <v>19</v>
      </c>
      <c r="M50" s="2" t="s">
        <v>84</v>
      </c>
      <c r="N50" s="7" t="n">
        <v>2271351872</v>
      </c>
    </row>
    <row r="51" customFormat="false" ht="15" hidden="false" customHeight="false" outlineLevel="0" collapsed="false">
      <c r="A51" s="2" t="n">
        <v>120000070</v>
      </c>
      <c r="B51" s="2" t="n">
        <v>3</v>
      </c>
      <c r="C51" s="14" t="n">
        <v>46112</v>
      </c>
      <c r="D51" s="14" t="n">
        <v>46112</v>
      </c>
      <c r="E51" s="6" t="s">
        <v>78</v>
      </c>
      <c r="F51" s="6" t="s">
        <v>75</v>
      </c>
      <c r="G51" s="6" t="s">
        <v>83</v>
      </c>
      <c r="H51" s="2" t="n">
        <v>120000071</v>
      </c>
      <c r="I51" s="2" t="n">
        <v>42910311</v>
      </c>
      <c r="J51" s="2" t="s">
        <v>85</v>
      </c>
      <c r="K51" s="6" t="s">
        <v>86</v>
      </c>
      <c r="L51" s="6" t="s">
        <v>19</v>
      </c>
      <c r="M51" s="2" t="s">
        <v>84</v>
      </c>
      <c r="N51" s="7" t="n">
        <v>80500000</v>
      </c>
    </row>
    <row r="52" customFormat="false" ht="15" hidden="false" customHeight="false" outlineLevel="0" collapsed="false">
      <c r="A52" s="2" t="n">
        <v>120000070</v>
      </c>
      <c r="B52" s="2" t="n">
        <v>3</v>
      </c>
      <c r="C52" s="14" t="n">
        <v>46112</v>
      </c>
      <c r="D52" s="14" t="n">
        <v>46112</v>
      </c>
      <c r="E52" s="6" t="s">
        <v>78</v>
      </c>
      <c r="F52" s="6" t="s">
        <v>75</v>
      </c>
      <c r="G52" s="6" t="s">
        <v>83</v>
      </c>
      <c r="H52" s="2" t="n">
        <v>120000071</v>
      </c>
      <c r="I52" s="2" t="n">
        <v>70051000</v>
      </c>
      <c r="J52" s="2" t="s">
        <v>87</v>
      </c>
      <c r="K52" s="6" t="s">
        <v>82</v>
      </c>
      <c r="L52" s="6" t="s">
        <v>19</v>
      </c>
      <c r="M52" s="2" t="s">
        <v>84</v>
      </c>
      <c r="N52" s="7" t="n">
        <v>-2271351872</v>
      </c>
    </row>
    <row r="53" customFormat="false" ht="15" hidden="false" customHeight="false" outlineLevel="0" collapsed="false">
      <c r="A53" s="2" t="n">
        <v>120000070</v>
      </c>
      <c r="B53" s="2" t="n">
        <v>3</v>
      </c>
      <c r="C53" s="14" t="n">
        <v>46112</v>
      </c>
      <c r="D53" s="14" t="n">
        <v>46112</v>
      </c>
      <c r="E53" s="6" t="s">
        <v>78</v>
      </c>
      <c r="F53" s="6" t="s">
        <v>75</v>
      </c>
      <c r="G53" s="6" t="s">
        <v>83</v>
      </c>
      <c r="H53" s="2" t="n">
        <v>120000071</v>
      </c>
      <c r="I53" s="2" t="n">
        <v>70051000</v>
      </c>
      <c r="J53" s="2" t="s">
        <v>87</v>
      </c>
      <c r="K53" s="6" t="s">
        <v>86</v>
      </c>
      <c r="L53" s="6" t="s">
        <v>19</v>
      </c>
      <c r="M53" s="2" t="s">
        <v>84</v>
      </c>
      <c r="N53" s="7" t="n">
        <v>-80500000</v>
      </c>
    </row>
    <row r="54" customFormat="false" ht="15" hidden="false" customHeight="false" outlineLevel="0" collapsed="false">
      <c r="A54" s="2" t="n">
        <v>120000071</v>
      </c>
      <c r="B54" s="2" t="n">
        <v>3</v>
      </c>
      <c r="C54" s="14" t="n">
        <v>46112</v>
      </c>
      <c r="D54" s="14" t="n">
        <v>46112</v>
      </c>
      <c r="E54" s="6" t="s">
        <v>78</v>
      </c>
      <c r="F54" s="6" t="s">
        <v>88</v>
      </c>
      <c r="G54" s="6" t="s">
        <v>83</v>
      </c>
      <c r="H54" s="2" t="n">
        <v>120000070</v>
      </c>
      <c r="I54" s="2" t="n">
        <v>38160000</v>
      </c>
      <c r="J54" s="2" t="s">
        <v>76</v>
      </c>
      <c r="K54" s="6" t="s">
        <v>82</v>
      </c>
      <c r="L54" s="6" t="s">
        <v>19</v>
      </c>
      <c r="M54" s="2" t="s">
        <v>84</v>
      </c>
      <c r="N54" s="7" t="n">
        <v>-2271351872</v>
      </c>
    </row>
    <row r="55" customFormat="false" ht="15" hidden="false" customHeight="false" outlineLevel="0" collapsed="false">
      <c r="A55" s="2" t="n">
        <v>120000071</v>
      </c>
      <c r="B55" s="2" t="n">
        <v>3</v>
      </c>
      <c r="C55" s="14" t="n">
        <v>46112</v>
      </c>
      <c r="D55" s="14" t="n">
        <v>46112</v>
      </c>
      <c r="E55" s="6" t="s">
        <v>78</v>
      </c>
      <c r="F55" s="6" t="s">
        <v>88</v>
      </c>
      <c r="G55" s="6" t="s">
        <v>83</v>
      </c>
      <c r="H55" s="2" t="n">
        <v>120000070</v>
      </c>
      <c r="I55" s="2" t="n">
        <v>42910311</v>
      </c>
      <c r="J55" s="2" t="s">
        <v>85</v>
      </c>
      <c r="K55" s="6" t="s">
        <v>86</v>
      </c>
      <c r="L55" s="6" t="s">
        <v>19</v>
      </c>
      <c r="M55" s="2" t="s">
        <v>84</v>
      </c>
      <c r="N55" s="7" t="n">
        <v>-80500000</v>
      </c>
    </row>
    <row r="56" customFormat="false" ht="15" hidden="false" customHeight="false" outlineLevel="0" collapsed="false">
      <c r="A56" s="2" t="n">
        <v>120000071</v>
      </c>
      <c r="B56" s="2" t="n">
        <v>3</v>
      </c>
      <c r="C56" s="14" t="n">
        <v>46112</v>
      </c>
      <c r="D56" s="14" t="n">
        <v>46112</v>
      </c>
      <c r="E56" s="6" t="s">
        <v>78</v>
      </c>
      <c r="F56" s="6" t="s">
        <v>88</v>
      </c>
      <c r="G56" s="6" t="s">
        <v>83</v>
      </c>
      <c r="H56" s="2" t="n">
        <v>120000070</v>
      </c>
      <c r="I56" s="2" t="n">
        <v>70051000</v>
      </c>
      <c r="J56" s="2" t="s">
        <v>87</v>
      </c>
      <c r="K56" s="6" t="s">
        <v>82</v>
      </c>
      <c r="L56" s="6" t="s">
        <v>19</v>
      </c>
      <c r="M56" s="2" t="s">
        <v>84</v>
      </c>
      <c r="N56" s="7" t="n">
        <v>2271351872</v>
      </c>
    </row>
    <row r="57" customFormat="false" ht="15" hidden="false" customHeight="false" outlineLevel="0" collapsed="false">
      <c r="A57" s="2" t="n">
        <v>120000071</v>
      </c>
      <c r="B57" s="2" t="n">
        <v>3</v>
      </c>
      <c r="C57" s="14" t="n">
        <v>46112</v>
      </c>
      <c r="D57" s="14" t="n">
        <v>46112</v>
      </c>
      <c r="E57" s="6" t="s">
        <v>78</v>
      </c>
      <c r="F57" s="6" t="s">
        <v>88</v>
      </c>
      <c r="G57" s="6" t="s">
        <v>83</v>
      </c>
      <c r="H57" s="2" t="n">
        <v>120000070</v>
      </c>
      <c r="I57" s="2" t="n">
        <v>70051000</v>
      </c>
      <c r="J57" s="2" t="s">
        <v>87</v>
      </c>
      <c r="K57" s="6" t="s">
        <v>86</v>
      </c>
      <c r="L57" s="6" t="s">
        <v>19</v>
      </c>
      <c r="M57" s="2" t="s">
        <v>84</v>
      </c>
      <c r="N57" s="7" t="n">
        <v>80500000</v>
      </c>
    </row>
    <row r="58" customFormat="false" ht="15" hidden="false" customHeight="false" outlineLevel="0" collapsed="false">
      <c r="A58" s="2" t="n">
        <v>120000074</v>
      </c>
      <c r="B58" s="2" t="n">
        <v>3</v>
      </c>
      <c r="C58" s="14" t="n">
        <v>46112</v>
      </c>
      <c r="D58" s="14" t="n">
        <v>46112</v>
      </c>
      <c r="E58" s="6" t="s">
        <v>78</v>
      </c>
      <c r="F58" s="6" t="s">
        <v>75</v>
      </c>
      <c r="G58" s="6" t="s">
        <v>79</v>
      </c>
      <c r="H58" s="2"/>
      <c r="I58" s="2" t="n">
        <v>38160000</v>
      </c>
      <c r="J58" s="2" t="s">
        <v>76</v>
      </c>
      <c r="K58" s="6" t="s">
        <v>82</v>
      </c>
      <c r="L58" s="6" t="s">
        <v>19</v>
      </c>
      <c r="M58" s="2" t="s">
        <v>6</v>
      </c>
      <c r="N58" s="7" t="n">
        <v>2271351872</v>
      </c>
    </row>
    <row r="59" customFormat="false" ht="15" hidden="false" customHeight="false" outlineLevel="0" collapsed="false">
      <c r="A59" s="2" t="n">
        <v>120000074</v>
      </c>
      <c r="B59" s="2" t="n">
        <v>3</v>
      </c>
      <c r="C59" s="14" t="n">
        <v>46112</v>
      </c>
      <c r="D59" s="14" t="n">
        <v>46112</v>
      </c>
      <c r="E59" s="6" t="s">
        <v>78</v>
      </c>
      <c r="F59" s="6" t="s">
        <v>75</v>
      </c>
      <c r="G59" s="6" t="s">
        <v>79</v>
      </c>
      <c r="H59" s="2"/>
      <c r="I59" s="2" t="n">
        <v>42910311</v>
      </c>
      <c r="J59" s="2" t="s">
        <v>85</v>
      </c>
      <c r="K59" s="6" t="s">
        <v>86</v>
      </c>
      <c r="L59" s="6" t="s">
        <v>19</v>
      </c>
      <c r="M59" s="2" t="s">
        <v>6</v>
      </c>
      <c r="N59" s="7" t="n">
        <v>10500000</v>
      </c>
    </row>
    <row r="60" customFormat="false" ht="15" hidden="false" customHeight="false" outlineLevel="0" collapsed="false">
      <c r="A60" s="2" t="n">
        <v>120000074</v>
      </c>
      <c r="B60" s="2" t="n">
        <v>3</v>
      </c>
      <c r="C60" s="14" t="n">
        <v>46112</v>
      </c>
      <c r="D60" s="14" t="n">
        <v>46112</v>
      </c>
      <c r="E60" s="6" t="s">
        <v>78</v>
      </c>
      <c r="F60" s="6" t="s">
        <v>75</v>
      </c>
      <c r="G60" s="6" t="s">
        <v>79</v>
      </c>
      <c r="H60" s="2"/>
      <c r="I60" s="2" t="n">
        <v>42910311</v>
      </c>
      <c r="J60" s="2" t="s">
        <v>85</v>
      </c>
      <c r="K60" s="6" t="s">
        <v>89</v>
      </c>
      <c r="L60" s="6" t="s">
        <v>21</v>
      </c>
      <c r="M60" s="2" t="s">
        <v>7</v>
      </c>
      <c r="N60" s="7" t="n">
        <v>3500000</v>
      </c>
    </row>
    <row r="61" customFormat="false" ht="15" hidden="false" customHeight="false" outlineLevel="0" collapsed="false">
      <c r="A61" s="2" t="n">
        <v>120000074</v>
      </c>
      <c r="B61" s="2" t="n">
        <v>3</v>
      </c>
      <c r="C61" s="14" t="n">
        <v>46112</v>
      </c>
      <c r="D61" s="14" t="n">
        <v>46112</v>
      </c>
      <c r="E61" s="6" t="s">
        <v>78</v>
      </c>
      <c r="F61" s="6" t="s">
        <v>75</v>
      </c>
      <c r="G61" s="6" t="s">
        <v>79</v>
      </c>
      <c r="H61" s="2"/>
      <c r="I61" s="2" t="n">
        <v>68063200</v>
      </c>
      <c r="J61" s="2" t="s">
        <v>90</v>
      </c>
      <c r="K61" s="6" t="s">
        <v>89</v>
      </c>
      <c r="L61" s="6" t="s">
        <v>21</v>
      </c>
      <c r="M61" s="2" t="s">
        <v>7</v>
      </c>
      <c r="N61" s="7" t="n">
        <v>-3500000</v>
      </c>
    </row>
    <row r="62" customFormat="false" ht="15" hidden="false" customHeight="false" outlineLevel="0" collapsed="false">
      <c r="A62" s="2" t="n">
        <v>120000074</v>
      </c>
      <c r="B62" s="2" t="n">
        <v>3</v>
      </c>
      <c r="C62" s="14" t="n">
        <v>46112</v>
      </c>
      <c r="D62" s="14" t="n">
        <v>46112</v>
      </c>
      <c r="E62" s="6" t="s">
        <v>78</v>
      </c>
      <c r="F62" s="6" t="s">
        <v>75</v>
      </c>
      <c r="G62" s="6" t="s">
        <v>79</v>
      </c>
      <c r="H62" s="2"/>
      <c r="I62" s="2" t="n">
        <v>70051000</v>
      </c>
      <c r="J62" s="2" t="s">
        <v>87</v>
      </c>
      <c r="K62" s="6" t="s">
        <v>82</v>
      </c>
      <c r="L62" s="6" t="s">
        <v>19</v>
      </c>
      <c r="M62" s="2" t="s">
        <v>6</v>
      </c>
      <c r="N62" s="7" t="n">
        <v>-2271351872</v>
      </c>
    </row>
    <row r="63" customFormat="false" ht="15" hidden="false" customHeight="false" outlineLevel="0" collapsed="false">
      <c r="A63" s="2" t="n">
        <v>120000074</v>
      </c>
      <c r="B63" s="2" t="n">
        <v>3</v>
      </c>
      <c r="C63" s="14" t="n">
        <v>46112</v>
      </c>
      <c r="D63" s="14" t="n">
        <v>46112</v>
      </c>
      <c r="E63" s="6" t="s">
        <v>78</v>
      </c>
      <c r="F63" s="6" t="s">
        <v>75</v>
      </c>
      <c r="G63" s="6" t="s">
        <v>79</v>
      </c>
      <c r="H63" s="2"/>
      <c r="I63" s="2" t="n">
        <v>70051000</v>
      </c>
      <c r="J63" s="2" t="s">
        <v>87</v>
      </c>
      <c r="K63" s="6" t="s">
        <v>86</v>
      </c>
      <c r="L63" s="6" t="s">
        <v>19</v>
      </c>
      <c r="M63" s="2" t="s">
        <v>6</v>
      </c>
      <c r="N63" s="7" t="n">
        <v>-10500000</v>
      </c>
    </row>
    <row r="64" customFormat="false" ht="15" hidden="false" customHeight="false" outlineLevel="0" collapsed="false">
      <c r="A64" s="2" t="n">
        <v>120000092</v>
      </c>
      <c r="B64" s="2" t="n">
        <v>4</v>
      </c>
      <c r="C64" s="14" t="n">
        <v>46142</v>
      </c>
      <c r="D64" s="14" t="n">
        <v>46142</v>
      </c>
      <c r="E64" s="6" t="s">
        <v>78</v>
      </c>
      <c r="F64" s="6" t="s">
        <v>75</v>
      </c>
      <c r="G64" s="6" t="s">
        <v>91</v>
      </c>
      <c r="H64" s="2"/>
      <c r="I64" s="2" t="n">
        <v>38160000</v>
      </c>
      <c r="J64" s="2" t="s">
        <v>76</v>
      </c>
      <c r="K64" s="6" t="s">
        <v>92</v>
      </c>
      <c r="L64" s="6" t="s">
        <v>23</v>
      </c>
      <c r="M64" s="2" t="s">
        <v>5</v>
      </c>
      <c r="N64" s="7" t="n">
        <v>-583401688</v>
      </c>
    </row>
    <row r="65" customFormat="false" ht="15" hidden="false" customHeight="false" outlineLevel="0" collapsed="false">
      <c r="A65" s="2" t="n">
        <v>120000092</v>
      </c>
      <c r="B65" s="2" t="n">
        <v>4</v>
      </c>
      <c r="C65" s="14" t="n">
        <v>46142</v>
      </c>
      <c r="D65" s="14" t="n">
        <v>46142</v>
      </c>
      <c r="E65" s="6" t="s">
        <v>78</v>
      </c>
      <c r="F65" s="6" t="s">
        <v>75</v>
      </c>
      <c r="G65" s="6" t="s">
        <v>91</v>
      </c>
      <c r="H65" s="2"/>
      <c r="I65" s="2" t="n">
        <v>38160000</v>
      </c>
      <c r="J65" s="2" t="s">
        <v>76</v>
      </c>
      <c r="K65" s="6" t="s">
        <v>93</v>
      </c>
      <c r="L65" s="6" t="s">
        <v>25</v>
      </c>
      <c r="M65" s="2" t="s">
        <v>5</v>
      </c>
      <c r="N65" s="7" t="n">
        <v>-386193489</v>
      </c>
    </row>
    <row r="66" customFormat="false" ht="15" hidden="false" customHeight="false" outlineLevel="0" collapsed="false">
      <c r="A66" s="2" t="n">
        <v>120000092</v>
      </c>
      <c r="B66" s="2" t="n">
        <v>4</v>
      </c>
      <c r="C66" s="14" t="n">
        <v>46142</v>
      </c>
      <c r="D66" s="14" t="n">
        <v>46142</v>
      </c>
      <c r="E66" s="6" t="s">
        <v>78</v>
      </c>
      <c r="F66" s="6" t="s">
        <v>75</v>
      </c>
      <c r="G66" s="6" t="s">
        <v>91</v>
      </c>
      <c r="H66" s="2"/>
      <c r="I66" s="2" t="n">
        <v>38160000</v>
      </c>
      <c r="J66" s="2" t="s">
        <v>76</v>
      </c>
      <c r="K66" s="6" t="s">
        <v>94</v>
      </c>
      <c r="L66" s="6" t="s">
        <v>26</v>
      </c>
      <c r="M66" s="2" t="s">
        <v>5</v>
      </c>
      <c r="N66" s="7" t="n">
        <v>-36886531</v>
      </c>
    </row>
    <row r="67" customFormat="false" ht="15" hidden="false" customHeight="false" outlineLevel="0" collapsed="false">
      <c r="A67" s="2" t="n">
        <v>120000092</v>
      </c>
      <c r="B67" s="2" t="n">
        <v>4</v>
      </c>
      <c r="C67" s="14" t="n">
        <v>46142</v>
      </c>
      <c r="D67" s="14" t="n">
        <v>46142</v>
      </c>
      <c r="E67" s="6" t="s">
        <v>78</v>
      </c>
      <c r="F67" s="6" t="s">
        <v>75</v>
      </c>
      <c r="G67" s="6" t="s">
        <v>91</v>
      </c>
      <c r="H67" s="2"/>
      <c r="I67" s="2" t="n">
        <v>42910311</v>
      </c>
      <c r="J67" s="2" t="s">
        <v>85</v>
      </c>
      <c r="K67" s="6" t="s">
        <v>95</v>
      </c>
      <c r="L67" s="6" t="s">
        <v>23</v>
      </c>
      <c r="M67" s="2" t="s">
        <v>5</v>
      </c>
      <c r="N67" s="7" t="n">
        <v>-3500000</v>
      </c>
    </row>
    <row r="68" customFormat="false" ht="15" hidden="false" customHeight="false" outlineLevel="0" collapsed="false">
      <c r="A68" s="2" t="n">
        <v>120000092</v>
      </c>
      <c r="B68" s="2" t="n">
        <v>4</v>
      </c>
      <c r="C68" s="14" t="n">
        <v>46142</v>
      </c>
      <c r="D68" s="14" t="n">
        <v>46142</v>
      </c>
      <c r="E68" s="6" t="s">
        <v>78</v>
      </c>
      <c r="F68" s="6" t="s">
        <v>75</v>
      </c>
      <c r="G68" s="6" t="s">
        <v>91</v>
      </c>
      <c r="H68" s="2"/>
      <c r="I68" s="2" t="n">
        <v>42910311</v>
      </c>
      <c r="J68" s="2" t="s">
        <v>85</v>
      </c>
      <c r="K68" s="6" t="s">
        <v>96</v>
      </c>
      <c r="L68" s="6" t="s">
        <v>25</v>
      </c>
      <c r="M68" s="2" t="s">
        <v>5</v>
      </c>
      <c r="N68" s="7" t="n">
        <v>-3500000</v>
      </c>
    </row>
    <row r="69" customFormat="false" ht="15" hidden="false" customHeight="false" outlineLevel="0" collapsed="false">
      <c r="A69" s="2" t="n">
        <v>120000092</v>
      </c>
      <c r="B69" s="2" t="n">
        <v>4</v>
      </c>
      <c r="C69" s="14" t="n">
        <v>46142</v>
      </c>
      <c r="D69" s="14" t="n">
        <v>46142</v>
      </c>
      <c r="E69" s="6" t="s">
        <v>78</v>
      </c>
      <c r="F69" s="6" t="s">
        <v>75</v>
      </c>
      <c r="G69" s="6" t="s">
        <v>91</v>
      </c>
      <c r="H69" s="2"/>
      <c r="I69" s="2" t="n">
        <v>42910311</v>
      </c>
      <c r="J69" s="2" t="s">
        <v>85</v>
      </c>
      <c r="K69" s="6" t="s">
        <v>97</v>
      </c>
      <c r="L69" s="6" t="s">
        <v>26</v>
      </c>
      <c r="M69" s="2" t="s">
        <v>6</v>
      </c>
      <c r="N69" s="7" t="n">
        <v>3500000</v>
      </c>
    </row>
    <row r="70" customFormat="false" ht="15" hidden="false" customHeight="false" outlineLevel="0" collapsed="false">
      <c r="A70" s="2" t="n">
        <v>120000092</v>
      </c>
      <c r="B70" s="2" t="n">
        <v>4</v>
      </c>
      <c r="C70" s="14" t="n">
        <v>46142</v>
      </c>
      <c r="D70" s="14" t="n">
        <v>46142</v>
      </c>
      <c r="E70" s="6" t="s">
        <v>78</v>
      </c>
      <c r="F70" s="6" t="s">
        <v>75</v>
      </c>
      <c r="G70" s="6" t="s">
        <v>91</v>
      </c>
      <c r="H70" s="2"/>
      <c r="I70" s="2" t="n">
        <v>70051000</v>
      </c>
      <c r="J70" s="2" t="s">
        <v>87</v>
      </c>
      <c r="K70" s="6" t="s">
        <v>92</v>
      </c>
      <c r="L70" s="6" t="s">
        <v>23</v>
      </c>
      <c r="M70" s="2" t="s">
        <v>5</v>
      </c>
      <c r="N70" s="7" t="n">
        <v>583401688</v>
      </c>
    </row>
    <row r="71" customFormat="false" ht="15" hidden="false" customHeight="false" outlineLevel="0" collapsed="false">
      <c r="A71" s="2" t="n">
        <v>120000092</v>
      </c>
      <c r="B71" s="2" t="n">
        <v>4</v>
      </c>
      <c r="C71" s="14" t="n">
        <v>46142</v>
      </c>
      <c r="D71" s="14" t="n">
        <v>46142</v>
      </c>
      <c r="E71" s="6" t="s">
        <v>78</v>
      </c>
      <c r="F71" s="6" t="s">
        <v>75</v>
      </c>
      <c r="G71" s="6" t="s">
        <v>91</v>
      </c>
      <c r="H71" s="2"/>
      <c r="I71" s="2" t="n">
        <v>70051000</v>
      </c>
      <c r="J71" s="2" t="s">
        <v>87</v>
      </c>
      <c r="K71" s="6" t="s">
        <v>95</v>
      </c>
      <c r="L71" s="6" t="s">
        <v>23</v>
      </c>
      <c r="M71" s="2" t="s">
        <v>5</v>
      </c>
      <c r="N71" s="7" t="n">
        <v>3500000</v>
      </c>
    </row>
    <row r="72" customFormat="false" ht="15" hidden="false" customHeight="false" outlineLevel="0" collapsed="false">
      <c r="A72" s="2" t="n">
        <v>120000092</v>
      </c>
      <c r="B72" s="2" t="n">
        <v>4</v>
      </c>
      <c r="C72" s="14" t="n">
        <v>46142</v>
      </c>
      <c r="D72" s="14" t="n">
        <v>46142</v>
      </c>
      <c r="E72" s="6" t="s">
        <v>78</v>
      </c>
      <c r="F72" s="6" t="s">
        <v>75</v>
      </c>
      <c r="G72" s="6" t="s">
        <v>91</v>
      </c>
      <c r="H72" s="2"/>
      <c r="I72" s="2" t="n">
        <v>70051000</v>
      </c>
      <c r="J72" s="2" t="s">
        <v>87</v>
      </c>
      <c r="K72" s="6" t="s">
        <v>93</v>
      </c>
      <c r="L72" s="6" t="s">
        <v>25</v>
      </c>
      <c r="M72" s="2" t="s">
        <v>5</v>
      </c>
      <c r="N72" s="7" t="n">
        <v>386193489</v>
      </c>
    </row>
    <row r="73" customFormat="false" ht="15" hidden="false" customHeight="false" outlineLevel="0" collapsed="false">
      <c r="A73" s="2" t="n">
        <v>120000092</v>
      </c>
      <c r="B73" s="2" t="n">
        <v>4</v>
      </c>
      <c r="C73" s="14" t="n">
        <v>46142</v>
      </c>
      <c r="D73" s="14" t="n">
        <v>46142</v>
      </c>
      <c r="E73" s="6" t="s">
        <v>78</v>
      </c>
      <c r="F73" s="6" t="s">
        <v>75</v>
      </c>
      <c r="G73" s="6" t="s">
        <v>91</v>
      </c>
      <c r="H73" s="2"/>
      <c r="I73" s="2" t="n">
        <v>70051000</v>
      </c>
      <c r="J73" s="2" t="s">
        <v>87</v>
      </c>
      <c r="K73" s="6" t="s">
        <v>96</v>
      </c>
      <c r="L73" s="6" t="s">
        <v>25</v>
      </c>
      <c r="M73" s="2" t="s">
        <v>5</v>
      </c>
      <c r="N73" s="7" t="n">
        <v>3500000</v>
      </c>
    </row>
    <row r="74" customFormat="false" ht="15" hidden="false" customHeight="false" outlineLevel="0" collapsed="false">
      <c r="A74" s="2" t="n">
        <v>120000092</v>
      </c>
      <c r="B74" s="2" t="n">
        <v>4</v>
      </c>
      <c r="C74" s="14" t="n">
        <v>46142</v>
      </c>
      <c r="D74" s="14" t="n">
        <v>46142</v>
      </c>
      <c r="E74" s="6" t="s">
        <v>78</v>
      </c>
      <c r="F74" s="6" t="s">
        <v>75</v>
      </c>
      <c r="G74" s="6" t="s">
        <v>91</v>
      </c>
      <c r="H74" s="2"/>
      <c r="I74" s="2" t="n">
        <v>70051000</v>
      </c>
      <c r="J74" s="2" t="s">
        <v>87</v>
      </c>
      <c r="K74" s="6" t="s">
        <v>94</v>
      </c>
      <c r="L74" s="6" t="s">
        <v>26</v>
      </c>
      <c r="M74" s="2" t="s">
        <v>5</v>
      </c>
      <c r="N74" s="7" t="n">
        <v>36886531</v>
      </c>
    </row>
    <row r="75" customFormat="false" ht="15" hidden="false" customHeight="false" outlineLevel="0" collapsed="false">
      <c r="A75" s="2" t="n">
        <v>120000092</v>
      </c>
      <c r="B75" s="2" t="n">
        <v>4</v>
      </c>
      <c r="C75" s="14" t="n">
        <v>46142</v>
      </c>
      <c r="D75" s="14" t="n">
        <v>46142</v>
      </c>
      <c r="E75" s="6" t="s">
        <v>78</v>
      </c>
      <c r="F75" s="6" t="s">
        <v>75</v>
      </c>
      <c r="G75" s="6" t="s">
        <v>91</v>
      </c>
      <c r="H75" s="2"/>
      <c r="I75" s="2" t="n">
        <v>70051000</v>
      </c>
      <c r="J75" s="2" t="s">
        <v>87</v>
      </c>
      <c r="K75" s="6" t="s">
        <v>97</v>
      </c>
      <c r="L75" s="6" t="s">
        <v>26</v>
      </c>
      <c r="M75" s="2" t="s">
        <v>6</v>
      </c>
      <c r="N75" s="7" t="n">
        <v>-3500000</v>
      </c>
    </row>
    <row r="76" customFormat="false" ht="15" hidden="false" customHeight="false" outlineLevel="0" collapsed="false">
      <c r="A76" s="2" t="n">
        <v>120000097</v>
      </c>
      <c r="B76" s="2" t="n">
        <v>4</v>
      </c>
      <c r="C76" s="14" t="n">
        <v>46142</v>
      </c>
      <c r="D76" s="14" t="n">
        <v>46142</v>
      </c>
      <c r="E76" s="6" t="s">
        <v>78</v>
      </c>
      <c r="F76" s="6" t="s">
        <v>75</v>
      </c>
      <c r="G76" s="6" t="s">
        <v>98</v>
      </c>
      <c r="H76" s="2"/>
      <c r="I76" s="2" t="n">
        <v>38160000</v>
      </c>
      <c r="J76" s="2" t="s">
        <v>76</v>
      </c>
      <c r="K76" s="6" t="s">
        <v>99</v>
      </c>
      <c r="L76" s="6" t="s">
        <v>19</v>
      </c>
      <c r="M76" s="2" t="s">
        <v>7</v>
      </c>
      <c r="N76" s="7" t="n">
        <v>552383939</v>
      </c>
    </row>
    <row r="77" customFormat="false" ht="15" hidden="false" customHeight="false" outlineLevel="0" collapsed="false">
      <c r="A77" s="2" t="n">
        <v>120000097</v>
      </c>
      <c r="B77" s="2" t="n">
        <v>4</v>
      </c>
      <c r="C77" s="14" t="n">
        <v>46142</v>
      </c>
      <c r="D77" s="14" t="n">
        <v>46142</v>
      </c>
      <c r="E77" s="6" t="s">
        <v>78</v>
      </c>
      <c r="F77" s="6" t="s">
        <v>75</v>
      </c>
      <c r="G77" s="6" t="s">
        <v>98</v>
      </c>
      <c r="H77" s="2"/>
      <c r="I77" s="2" t="n">
        <v>42910311</v>
      </c>
      <c r="J77" s="2" t="s">
        <v>85</v>
      </c>
      <c r="K77" s="6" t="s">
        <v>100</v>
      </c>
      <c r="L77" s="6" t="s">
        <v>19</v>
      </c>
      <c r="M77" s="2" t="s">
        <v>6</v>
      </c>
      <c r="N77" s="7" t="n">
        <v>10500000</v>
      </c>
    </row>
    <row r="78" customFormat="false" ht="15" hidden="false" customHeight="false" outlineLevel="0" collapsed="false">
      <c r="A78" s="2" t="n">
        <v>120000097</v>
      </c>
      <c r="B78" s="2" t="n">
        <v>4</v>
      </c>
      <c r="C78" s="14" t="n">
        <v>46142</v>
      </c>
      <c r="D78" s="14" t="n">
        <v>46142</v>
      </c>
      <c r="E78" s="6" t="s">
        <v>78</v>
      </c>
      <c r="F78" s="6" t="s">
        <v>75</v>
      </c>
      <c r="G78" s="6" t="s">
        <v>98</v>
      </c>
      <c r="H78" s="2"/>
      <c r="I78" s="2" t="n">
        <v>62100747</v>
      </c>
      <c r="J78" s="2" t="s">
        <v>81</v>
      </c>
      <c r="K78" s="6" t="s">
        <v>99</v>
      </c>
      <c r="L78" s="6" t="s">
        <v>19</v>
      </c>
      <c r="M78" s="2" t="s">
        <v>7</v>
      </c>
      <c r="N78" s="7" t="n">
        <v>-552383939</v>
      </c>
    </row>
    <row r="79" customFormat="false" ht="15" hidden="false" customHeight="false" outlineLevel="0" collapsed="false">
      <c r="A79" s="2" t="n">
        <v>120000097</v>
      </c>
      <c r="B79" s="2" t="n">
        <v>4</v>
      </c>
      <c r="C79" s="14" t="n">
        <v>46142</v>
      </c>
      <c r="D79" s="14" t="n">
        <v>46142</v>
      </c>
      <c r="E79" s="6" t="s">
        <v>78</v>
      </c>
      <c r="F79" s="6" t="s">
        <v>75</v>
      </c>
      <c r="G79" s="6" t="s">
        <v>98</v>
      </c>
      <c r="H79" s="2"/>
      <c r="I79" s="2" t="n">
        <v>68063200</v>
      </c>
      <c r="J79" s="2" t="s">
        <v>90</v>
      </c>
      <c r="K79" s="6" t="s">
        <v>100</v>
      </c>
      <c r="L79" s="6" t="s">
        <v>19</v>
      </c>
      <c r="M79" s="2" t="s">
        <v>7</v>
      </c>
      <c r="N79" s="7" t="n">
        <v>-3500000</v>
      </c>
    </row>
    <row r="80" customFormat="false" ht="15" hidden="false" customHeight="false" outlineLevel="0" collapsed="false">
      <c r="A80" s="2" t="n">
        <v>120000097</v>
      </c>
      <c r="B80" s="2" t="n">
        <v>4</v>
      </c>
      <c r="C80" s="14" t="n">
        <v>46142</v>
      </c>
      <c r="D80" s="14" t="n">
        <v>46142</v>
      </c>
      <c r="E80" s="6" t="s">
        <v>78</v>
      </c>
      <c r="F80" s="6" t="s">
        <v>75</v>
      </c>
      <c r="G80" s="6" t="s">
        <v>98</v>
      </c>
      <c r="H80" s="2"/>
      <c r="I80" s="2" t="n">
        <v>68063200</v>
      </c>
      <c r="J80" s="2" t="s">
        <v>90</v>
      </c>
      <c r="K80" s="6" t="s">
        <v>100</v>
      </c>
      <c r="L80" s="6" t="s">
        <v>19</v>
      </c>
      <c r="M80" s="2" t="s">
        <v>7</v>
      </c>
      <c r="N80" s="7" t="n">
        <v>-3500000</v>
      </c>
    </row>
    <row r="81" customFormat="false" ht="15" hidden="false" customHeight="false" outlineLevel="0" collapsed="false">
      <c r="A81" s="2" t="n">
        <v>120000097</v>
      </c>
      <c r="B81" s="2" t="n">
        <v>4</v>
      </c>
      <c r="C81" s="14" t="n">
        <v>46142</v>
      </c>
      <c r="D81" s="14" t="n">
        <v>46142</v>
      </c>
      <c r="E81" s="6" t="s">
        <v>78</v>
      </c>
      <c r="F81" s="6" t="s">
        <v>75</v>
      </c>
      <c r="G81" s="6" t="s">
        <v>98</v>
      </c>
      <c r="H81" s="2"/>
      <c r="I81" s="2" t="n">
        <v>68063200</v>
      </c>
      <c r="J81" s="2" t="s">
        <v>90</v>
      </c>
      <c r="K81" s="6" t="s">
        <v>100</v>
      </c>
      <c r="L81" s="6" t="s">
        <v>19</v>
      </c>
      <c r="M81" s="2" t="s">
        <v>7</v>
      </c>
      <c r="N81" s="7" t="n">
        <v>-3500000</v>
      </c>
    </row>
    <row r="82" customFormat="false" ht="15" hidden="false" customHeight="false" outlineLevel="0" collapsed="false">
      <c r="A82" s="2" t="n">
        <v>120000122</v>
      </c>
      <c r="B82" s="2" t="n">
        <v>5</v>
      </c>
      <c r="C82" s="14" t="n">
        <v>46173</v>
      </c>
      <c r="D82" s="14" t="n">
        <v>46173</v>
      </c>
      <c r="E82" s="6" t="s">
        <v>78</v>
      </c>
      <c r="F82" s="6" t="s">
        <v>75</v>
      </c>
      <c r="G82" s="6" t="s">
        <v>91</v>
      </c>
      <c r="H82" s="2"/>
      <c r="I82" s="2" t="n">
        <v>38160000</v>
      </c>
      <c r="J82" s="2" t="s">
        <v>76</v>
      </c>
      <c r="K82" s="6" t="s">
        <v>101</v>
      </c>
      <c r="L82" s="6" t="s">
        <v>28</v>
      </c>
      <c r="M82" s="2" t="s">
        <v>5</v>
      </c>
      <c r="N82" s="7" t="n">
        <v>-290813854</v>
      </c>
    </row>
    <row r="83" customFormat="false" ht="15" hidden="false" customHeight="false" outlineLevel="0" collapsed="false">
      <c r="A83" s="2" t="n">
        <v>120000122</v>
      </c>
      <c r="B83" s="2" t="n">
        <v>5</v>
      </c>
      <c r="C83" s="14" t="n">
        <v>46173</v>
      </c>
      <c r="D83" s="14" t="n">
        <v>46173</v>
      </c>
      <c r="E83" s="6" t="s">
        <v>78</v>
      </c>
      <c r="F83" s="6" t="s">
        <v>75</v>
      </c>
      <c r="G83" s="6" t="s">
        <v>91</v>
      </c>
      <c r="H83" s="2"/>
      <c r="I83" s="2" t="n">
        <v>38160000</v>
      </c>
      <c r="J83" s="2" t="s">
        <v>76</v>
      </c>
      <c r="K83" s="6" t="s">
        <v>102</v>
      </c>
      <c r="L83" s="6" t="s">
        <v>29</v>
      </c>
      <c r="M83" s="2" t="s">
        <v>5</v>
      </c>
      <c r="N83" s="7" t="n">
        <v>-245644072</v>
      </c>
    </row>
    <row r="84" customFormat="false" ht="15" hidden="false" customHeight="false" outlineLevel="0" collapsed="false">
      <c r="A84" s="2" t="n">
        <v>120000122</v>
      </c>
      <c r="B84" s="2" t="n">
        <v>5</v>
      </c>
      <c r="C84" s="14" t="n">
        <v>46173</v>
      </c>
      <c r="D84" s="14" t="n">
        <v>46173</v>
      </c>
      <c r="E84" s="6" t="s">
        <v>78</v>
      </c>
      <c r="F84" s="6" t="s">
        <v>75</v>
      </c>
      <c r="G84" s="6" t="s">
        <v>91</v>
      </c>
      <c r="H84" s="2"/>
      <c r="I84" s="2" t="n">
        <v>42910311</v>
      </c>
      <c r="J84" s="2" t="s">
        <v>85</v>
      </c>
      <c r="K84" s="6" t="s">
        <v>103</v>
      </c>
      <c r="L84" s="6" t="s">
        <v>28</v>
      </c>
      <c r="M84" s="2" t="s">
        <v>5</v>
      </c>
      <c r="N84" s="7" t="n">
        <v>-3500000</v>
      </c>
    </row>
    <row r="85" customFormat="false" ht="15" hidden="false" customHeight="false" outlineLevel="0" collapsed="false">
      <c r="A85" s="2" t="n">
        <v>120000122</v>
      </c>
      <c r="B85" s="2" t="n">
        <v>5</v>
      </c>
      <c r="C85" s="14" t="n">
        <v>46173</v>
      </c>
      <c r="D85" s="14" t="n">
        <v>46173</v>
      </c>
      <c r="E85" s="6" t="s">
        <v>78</v>
      </c>
      <c r="F85" s="6" t="s">
        <v>75</v>
      </c>
      <c r="G85" s="6" t="s">
        <v>91</v>
      </c>
      <c r="H85" s="2"/>
      <c r="I85" s="2" t="n">
        <v>42910311</v>
      </c>
      <c r="J85" s="2" t="s">
        <v>85</v>
      </c>
      <c r="K85" s="6" t="s">
        <v>104</v>
      </c>
      <c r="L85" s="6" t="s">
        <v>29</v>
      </c>
      <c r="M85" s="2" t="s">
        <v>5</v>
      </c>
      <c r="N85" s="7" t="n">
        <v>-3500000</v>
      </c>
    </row>
    <row r="86" customFormat="false" ht="15" hidden="false" customHeight="false" outlineLevel="0" collapsed="false">
      <c r="A86" s="2" t="n">
        <v>120000122</v>
      </c>
      <c r="B86" s="2" t="n">
        <v>5</v>
      </c>
      <c r="C86" s="14" t="n">
        <v>46173</v>
      </c>
      <c r="D86" s="14" t="n">
        <v>46173</v>
      </c>
      <c r="E86" s="6" t="s">
        <v>78</v>
      </c>
      <c r="F86" s="6" t="s">
        <v>75</v>
      </c>
      <c r="G86" s="6" t="s">
        <v>91</v>
      </c>
      <c r="H86" s="2"/>
      <c r="I86" s="2" t="n">
        <v>70051000</v>
      </c>
      <c r="J86" s="2" t="s">
        <v>87</v>
      </c>
      <c r="K86" s="6" t="s">
        <v>101</v>
      </c>
      <c r="L86" s="6" t="s">
        <v>28</v>
      </c>
      <c r="M86" s="2" t="s">
        <v>5</v>
      </c>
      <c r="N86" s="7" t="n">
        <v>290813854</v>
      </c>
    </row>
    <row r="87" customFormat="false" ht="15" hidden="false" customHeight="false" outlineLevel="0" collapsed="false">
      <c r="A87" s="2" t="n">
        <v>120000122</v>
      </c>
      <c r="B87" s="2" t="n">
        <v>5</v>
      </c>
      <c r="C87" s="14" t="n">
        <v>46173</v>
      </c>
      <c r="D87" s="14" t="n">
        <v>46173</v>
      </c>
      <c r="E87" s="6" t="s">
        <v>78</v>
      </c>
      <c r="F87" s="6" t="s">
        <v>75</v>
      </c>
      <c r="G87" s="6" t="s">
        <v>91</v>
      </c>
      <c r="H87" s="2"/>
      <c r="I87" s="2" t="n">
        <v>70051000</v>
      </c>
      <c r="J87" s="2" t="s">
        <v>87</v>
      </c>
      <c r="K87" s="6" t="s">
        <v>103</v>
      </c>
      <c r="L87" s="6" t="s">
        <v>28</v>
      </c>
      <c r="M87" s="2" t="s">
        <v>5</v>
      </c>
      <c r="N87" s="7" t="n">
        <v>3500000</v>
      </c>
    </row>
    <row r="88" customFormat="false" ht="15" hidden="false" customHeight="false" outlineLevel="0" collapsed="false">
      <c r="A88" s="2" t="n">
        <v>120000122</v>
      </c>
      <c r="B88" s="2" t="n">
        <v>5</v>
      </c>
      <c r="C88" s="14" t="n">
        <v>46173</v>
      </c>
      <c r="D88" s="14" t="n">
        <v>46173</v>
      </c>
      <c r="E88" s="6" t="s">
        <v>78</v>
      </c>
      <c r="F88" s="6" t="s">
        <v>75</v>
      </c>
      <c r="G88" s="6" t="s">
        <v>91</v>
      </c>
      <c r="H88" s="2"/>
      <c r="I88" s="2" t="n">
        <v>70051000</v>
      </c>
      <c r="J88" s="2" t="s">
        <v>87</v>
      </c>
      <c r="K88" s="6" t="s">
        <v>102</v>
      </c>
      <c r="L88" s="6" t="s">
        <v>29</v>
      </c>
      <c r="M88" s="2" t="s">
        <v>5</v>
      </c>
      <c r="N88" s="7" t="n">
        <v>245644072</v>
      </c>
    </row>
    <row r="89" customFormat="false" ht="15" hidden="false" customHeight="false" outlineLevel="0" collapsed="false">
      <c r="A89" s="2" t="n">
        <v>120000122</v>
      </c>
      <c r="B89" s="2" t="n">
        <v>5</v>
      </c>
      <c r="C89" s="14" t="n">
        <v>46173</v>
      </c>
      <c r="D89" s="14" t="n">
        <v>46173</v>
      </c>
      <c r="E89" s="6" t="s">
        <v>78</v>
      </c>
      <c r="F89" s="6" t="s">
        <v>75</v>
      </c>
      <c r="G89" s="6" t="s">
        <v>91</v>
      </c>
      <c r="H89" s="2"/>
      <c r="I89" s="2" t="n">
        <v>70051000</v>
      </c>
      <c r="J89" s="2" t="s">
        <v>87</v>
      </c>
      <c r="K89" s="6" t="s">
        <v>104</v>
      </c>
      <c r="L89" s="6" t="s">
        <v>29</v>
      </c>
      <c r="M89" s="2" t="s">
        <v>5</v>
      </c>
      <c r="N89" s="7" t="n">
        <v>3500000</v>
      </c>
    </row>
    <row r="90" customFormat="false" ht="15" hidden="false" customHeight="false" outlineLevel="0" collapsed="false">
      <c r="A90" s="2" t="n">
        <v>120000139</v>
      </c>
      <c r="B90" s="2" t="n">
        <v>6</v>
      </c>
      <c r="C90" s="14" t="n">
        <v>46203</v>
      </c>
      <c r="D90" s="14" t="n">
        <v>46203</v>
      </c>
      <c r="E90" s="6" t="s">
        <v>78</v>
      </c>
      <c r="F90" s="6" t="s">
        <v>75</v>
      </c>
      <c r="G90" s="6" t="s">
        <v>91</v>
      </c>
      <c r="H90" s="2"/>
      <c r="I90" s="2" t="n">
        <v>42910311</v>
      </c>
      <c r="J90" s="2" t="s">
        <v>85</v>
      </c>
      <c r="K90" s="6" t="s">
        <v>105</v>
      </c>
      <c r="L90" s="6" t="s">
        <v>19</v>
      </c>
      <c r="M90" s="2" t="s">
        <v>7</v>
      </c>
      <c r="N90" s="7" t="n">
        <v>7000000</v>
      </c>
    </row>
    <row r="91" customFormat="false" ht="15" hidden="false" customHeight="false" outlineLevel="0" collapsed="false">
      <c r="A91" s="2" t="n">
        <v>120000139</v>
      </c>
      <c r="B91" s="2" t="n">
        <v>6</v>
      </c>
      <c r="C91" s="14" t="n">
        <v>46203</v>
      </c>
      <c r="D91" s="14" t="n">
        <v>46203</v>
      </c>
      <c r="E91" s="6" t="s">
        <v>78</v>
      </c>
      <c r="F91" s="6" t="s">
        <v>75</v>
      </c>
      <c r="G91" s="6" t="s">
        <v>91</v>
      </c>
      <c r="H91" s="2"/>
      <c r="I91" s="2" t="n">
        <v>42910311</v>
      </c>
      <c r="J91" s="2" t="s">
        <v>85</v>
      </c>
      <c r="K91" s="6" t="s">
        <v>106</v>
      </c>
      <c r="L91" s="6" t="s">
        <v>19</v>
      </c>
      <c r="M91" s="2" t="s">
        <v>6</v>
      </c>
      <c r="N91" s="7" t="n">
        <v>52500000</v>
      </c>
    </row>
    <row r="92" customFormat="false" ht="15" hidden="false" customHeight="false" outlineLevel="0" collapsed="false">
      <c r="A92" s="2" t="n">
        <v>120000139</v>
      </c>
      <c r="B92" s="2" t="n">
        <v>6</v>
      </c>
      <c r="C92" s="14" t="n">
        <v>46203</v>
      </c>
      <c r="D92" s="14" t="n">
        <v>46203</v>
      </c>
      <c r="E92" s="6" t="s">
        <v>78</v>
      </c>
      <c r="F92" s="6" t="s">
        <v>75</v>
      </c>
      <c r="G92" s="6" t="s">
        <v>91</v>
      </c>
      <c r="H92" s="2"/>
      <c r="I92" s="2" t="n">
        <v>68063200</v>
      </c>
      <c r="J92" s="2" t="s">
        <v>90</v>
      </c>
      <c r="K92" s="6" t="s">
        <v>105</v>
      </c>
      <c r="L92" s="6" t="s">
        <v>19</v>
      </c>
      <c r="M92" s="2" t="s">
        <v>7</v>
      </c>
      <c r="N92" s="7" t="n">
        <v>-7000000</v>
      </c>
    </row>
    <row r="93" customFormat="false" ht="15" hidden="false" customHeight="false" outlineLevel="0" collapsed="false">
      <c r="A93" s="2" t="n">
        <v>120000139</v>
      </c>
      <c r="B93" s="2" t="n">
        <v>6</v>
      </c>
      <c r="C93" s="14" t="n">
        <v>46203</v>
      </c>
      <c r="D93" s="14" t="n">
        <v>46203</v>
      </c>
      <c r="E93" s="6" t="s">
        <v>78</v>
      </c>
      <c r="F93" s="6" t="s">
        <v>75</v>
      </c>
      <c r="G93" s="6" t="s">
        <v>91</v>
      </c>
      <c r="H93" s="2"/>
      <c r="I93" s="2" t="n">
        <v>70051000</v>
      </c>
      <c r="J93" s="2" t="s">
        <v>87</v>
      </c>
      <c r="K93" s="6" t="s">
        <v>106</v>
      </c>
      <c r="L93" s="6" t="s">
        <v>19</v>
      </c>
      <c r="M93" s="2" t="s">
        <v>6</v>
      </c>
      <c r="N93" s="7" t="n">
        <v>-52500000</v>
      </c>
    </row>
    <row r="94" customFormat="false" ht="15" hidden="false" customHeight="false" outlineLevel="0" collapsed="false">
      <c r="A94" s="2" t="n">
        <v>120000165</v>
      </c>
      <c r="B94" s="2" t="n">
        <v>7</v>
      </c>
      <c r="C94" s="14" t="n">
        <v>46234</v>
      </c>
      <c r="D94" s="14" t="n">
        <v>46234</v>
      </c>
      <c r="E94" s="6" t="s">
        <v>78</v>
      </c>
      <c r="F94" s="6" t="s">
        <v>75</v>
      </c>
      <c r="G94" s="6" t="s">
        <v>79</v>
      </c>
      <c r="H94" s="2"/>
      <c r="I94" s="2" t="n">
        <v>38160000</v>
      </c>
      <c r="J94" s="2" t="s">
        <v>76</v>
      </c>
      <c r="K94" s="6" t="s">
        <v>99</v>
      </c>
      <c r="L94" s="6" t="s">
        <v>19</v>
      </c>
      <c r="M94" s="2" t="s">
        <v>7</v>
      </c>
      <c r="N94" s="7" t="n">
        <v>742500000</v>
      </c>
    </row>
    <row r="95" customFormat="false" ht="15" hidden="false" customHeight="false" outlineLevel="0" collapsed="false">
      <c r="A95" s="2" t="n">
        <v>120000165</v>
      </c>
      <c r="B95" s="2" t="n">
        <v>7</v>
      </c>
      <c r="C95" s="14" t="n">
        <v>46234</v>
      </c>
      <c r="D95" s="14" t="n">
        <v>46234</v>
      </c>
      <c r="E95" s="6" t="s">
        <v>78</v>
      </c>
      <c r="F95" s="6" t="s">
        <v>75</v>
      </c>
      <c r="G95" s="6" t="s">
        <v>79</v>
      </c>
      <c r="H95" s="2"/>
      <c r="I95" s="2" t="n">
        <v>62100747</v>
      </c>
      <c r="J95" s="2" t="s">
        <v>81</v>
      </c>
      <c r="K95" s="6" t="s">
        <v>99</v>
      </c>
      <c r="L95" s="6" t="s">
        <v>19</v>
      </c>
      <c r="M95" s="2" t="s">
        <v>7</v>
      </c>
      <c r="N95" s="7" t="n">
        <v>-742500000</v>
      </c>
    </row>
    <row r="96" customFormat="false" ht="15" hidden="false" customHeight="false" outlineLevel="0" collapsed="false">
      <c r="A96" s="2" t="n">
        <v>120000190</v>
      </c>
      <c r="B96" s="2" t="n">
        <v>9</v>
      </c>
      <c r="C96" s="14" t="n">
        <v>46295</v>
      </c>
      <c r="D96" s="14" t="n">
        <v>46295</v>
      </c>
      <c r="E96" s="6" t="s">
        <v>78</v>
      </c>
      <c r="F96" s="6" t="s">
        <v>75</v>
      </c>
      <c r="G96" s="6" t="s">
        <v>107</v>
      </c>
      <c r="H96" s="2"/>
      <c r="I96" s="2" t="n">
        <v>38160000</v>
      </c>
      <c r="J96" s="2" t="s">
        <v>76</v>
      </c>
      <c r="K96" s="6" t="s">
        <v>108</v>
      </c>
      <c r="L96" s="6" t="s">
        <v>23</v>
      </c>
      <c r="M96" s="2" t="s">
        <v>6</v>
      </c>
      <c r="N96" s="7" t="n">
        <v>583401688</v>
      </c>
    </row>
    <row r="97" customFormat="false" ht="15" hidden="false" customHeight="false" outlineLevel="0" collapsed="false">
      <c r="A97" s="2" t="n">
        <v>120000190</v>
      </c>
      <c r="B97" s="2" t="n">
        <v>9</v>
      </c>
      <c r="C97" s="14" t="n">
        <v>46295</v>
      </c>
      <c r="D97" s="14" t="n">
        <v>46295</v>
      </c>
      <c r="E97" s="6" t="s">
        <v>78</v>
      </c>
      <c r="F97" s="6" t="s">
        <v>75</v>
      </c>
      <c r="G97" s="6" t="s">
        <v>107</v>
      </c>
      <c r="H97" s="2"/>
      <c r="I97" s="2" t="n">
        <v>42910311</v>
      </c>
      <c r="J97" s="2" t="s">
        <v>85</v>
      </c>
      <c r="K97" s="6" t="s">
        <v>109</v>
      </c>
      <c r="L97" s="6" t="s">
        <v>23</v>
      </c>
      <c r="M97" s="2" t="s">
        <v>6</v>
      </c>
      <c r="N97" s="7" t="n">
        <v>3500000</v>
      </c>
    </row>
    <row r="98" customFormat="false" ht="15" hidden="false" customHeight="false" outlineLevel="0" collapsed="false">
      <c r="A98" s="2" t="n">
        <v>120000190</v>
      </c>
      <c r="B98" s="2" t="n">
        <v>9</v>
      </c>
      <c r="C98" s="14" t="n">
        <v>46295</v>
      </c>
      <c r="D98" s="14" t="n">
        <v>46295</v>
      </c>
      <c r="E98" s="6" t="s">
        <v>78</v>
      </c>
      <c r="F98" s="6" t="s">
        <v>75</v>
      </c>
      <c r="G98" s="6" t="s">
        <v>107</v>
      </c>
      <c r="H98" s="2"/>
      <c r="I98" s="2" t="n">
        <v>42910311</v>
      </c>
      <c r="J98" s="2" t="s">
        <v>85</v>
      </c>
      <c r="K98" s="6" t="s">
        <v>106</v>
      </c>
      <c r="L98" s="6" t="s">
        <v>19</v>
      </c>
      <c r="M98" s="2" t="s">
        <v>6</v>
      </c>
      <c r="N98" s="7" t="n">
        <v>3500000</v>
      </c>
    </row>
    <row r="99" customFormat="false" ht="15" hidden="false" customHeight="false" outlineLevel="0" collapsed="false">
      <c r="A99" s="2" t="n">
        <v>120000190</v>
      </c>
      <c r="B99" s="2" t="n">
        <v>9</v>
      </c>
      <c r="C99" s="14" t="n">
        <v>46295</v>
      </c>
      <c r="D99" s="14" t="n">
        <v>46295</v>
      </c>
      <c r="E99" s="6" t="s">
        <v>78</v>
      </c>
      <c r="F99" s="6" t="s">
        <v>75</v>
      </c>
      <c r="G99" s="6" t="s">
        <v>107</v>
      </c>
      <c r="H99" s="2"/>
      <c r="I99" s="2" t="n">
        <v>70051000</v>
      </c>
      <c r="J99" s="2" t="s">
        <v>87</v>
      </c>
      <c r="K99" s="6" t="s">
        <v>110</v>
      </c>
      <c r="L99" s="6" t="s">
        <v>23</v>
      </c>
      <c r="M99" s="2" t="s">
        <v>6</v>
      </c>
      <c r="N99" s="7" t="n">
        <v>-583401688</v>
      </c>
    </row>
    <row r="100" customFormat="false" ht="15" hidden="false" customHeight="false" outlineLevel="0" collapsed="false">
      <c r="A100" s="2" t="n">
        <v>120000190</v>
      </c>
      <c r="B100" s="2" t="n">
        <v>9</v>
      </c>
      <c r="C100" s="14" t="n">
        <v>46295</v>
      </c>
      <c r="D100" s="14" t="n">
        <v>46295</v>
      </c>
      <c r="E100" s="6" t="s">
        <v>78</v>
      </c>
      <c r="F100" s="6" t="s">
        <v>75</v>
      </c>
      <c r="G100" s="6" t="s">
        <v>107</v>
      </c>
      <c r="H100" s="2"/>
      <c r="I100" s="2" t="n">
        <v>70051000</v>
      </c>
      <c r="J100" s="2" t="s">
        <v>87</v>
      </c>
      <c r="K100" s="6" t="s">
        <v>109</v>
      </c>
      <c r="L100" s="6" t="s">
        <v>23</v>
      </c>
      <c r="M100" s="2" t="s">
        <v>6</v>
      </c>
      <c r="N100" s="7" t="n">
        <v>-3500000</v>
      </c>
    </row>
    <row r="101" customFormat="false" ht="15" hidden="false" customHeight="false" outlineLevel="0" collapsed="false">
      <c r="A101" s="2" t="n">
        <v>120000190</v>
      </c>
      <c r="B101" s="2" t="n">
        <v>9</v>
      </c>
      <c r="C101" s="14" t="n">
        <v>46295</v>
      </c>
      <c r="D101" s="14" t="n">
        <v>46295</v>
      </c>
      <c r="E101" s="6" t="s">
        <v>78</v>
      </c>
      <c r="F101" s="6" t="s">
        <v>75</v>
      </c>
      <c r="G101" s="6" t="s">
        <v>107</v>
      </c>
      <c r="H101" s="2"/>
      <c r="I101" s="2" t="n">
        <v>70051000</v>
      </c>
      <c r="J101" s="2" t="s">
        <v>87</v>
      </c>
      <c r="K101" s="6" t="s">
        <v>106</v>
      </c>
      <c r="L101" s="6" t="s">
        <v>19</v>
      </c>
      <c r="M101" s="2" t="s">
        <v>6</v>
      </c>
      <c r="N101" s="7" t="n">
        <v>-3500000</v>
      </c>
    </row>
  </sheetData>
  <autoFilter ref="A1:N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3" t="s">
        <v>61</v>
      </c>
      <c r="B1" s="13" t="s">
        <v>62</v>
      </c>
      <c r="C1" s="13" t="s">
        <v>63</v>
      </c>
      <c r="D1" s="13" t="s">
        <v>65</v>
      </c>
      <c r="E1" s="13" t="s">
        <v>67</v>
      </c>
      <c r="F1" s="13" t="s">
        <v>71</v>
      </c>
      <c r="G1" s="13" t="s">
        <v>111</v>
      </c>
      <c r="H1" s="13" t="s">
        <v>112</v>
      </c>
    </row>
    <row r="2" customFormat="false" ht="15" hidden="false" customHeight="false" outlineLevel="0" collapsed="false">
      <c r="A2" s="2" t="n">
        <v>190565614</v>
      </c>
      <c r="B2" s="2" t="n">
        <v>1</v>
      </c>
      <c r="C2" s="14" t="n">
        <v>46031</v>
      </c>
      <c r="D2" s="6" t="s">
        <v>113</v>
      </c>
      <c r="E2" s="6" t="s">
        <v>114</v>
      </c>
      <c r="F2" s="2" t="s">
        <v>115</v>
      </c>
      <c r="G2" s="6" t="s">
        <v>116</v>
      </c>
      <c r="H2" s="7" t="n">
        <v>669656093</v>
      </c>
    </row>
    <row r="3" customFormat="false" ht="15" hidden="false" customHeight="false" outlineLevel="0" collapsed="false">
      <c r="A3" s="2" t="n">
        <v>190565615</v>
      </c>
      <c r="B3" s="2" t="n">
        <v>1</v>
      </c>
      <c r="C3" s="14" t="n">
        <v>46031</v>
      </c>
      <c r="D3" s="6" t="s">
        <v>113</v>
      </c>
      <c r="E3" s="6" t="s">
        <v>114</v>
      </c>
      <c r="F3" s="2" t="s">
        <v>115</v>
      </c>
      <c r="G3" s="6" t="s">
        <v>116</v>
      </c>
      <c r="H3" s="7" t="n">
        <v>201128684</v>
      </c>
    </row>
    <row r="4" customFormat="false" ht="15" hidden="false" customHeight="false" outlineLevel="0" collapsed="false">
      <c r="A4" s="2" t="n">
        <v>190565615</v>
      </c>
      <c r="B4" s="2" t="n">
        <v>1</v>
      </c>
      <c r="C4" s="14" t="n">
        <v>46031</v>
      </c>
      <c r="D4" s="6" t="s">
        <v>113</v>
      </c>
      <c r="E4" s="6" t="s">
        <v>114</v>
      </c>
      <c r="F4" s="2" t="s">
        <v>115</v>
      </c>
      <c r="G4" s="6" t="s">
        <v>116</v>
      </c>
      <c r="H4" s="7" t="n">
        <v>1355026284</v>
      </c>
    </row>
    <row r="5" customFormat="false" ht="15" hidden="false" customHeight="false" outlineLevel="0" collapsed="false">
      <c r="A5" s="2" t="n">
        <v>190565615</v>
      </c>
      <c r="B5" s="2" t="n">
        <v>1</v>
      </c>
      <c r="C5" s="14" t="n">
        <v>46031</v>
      </c>
      <c r="D5" s="6" t="s">
        <v>113</v>
      </c>
      <c r="E5" s="6" t="s">
        <v>114</v>
      </c>
      <c r="F5" s="2" t="s">
        <v>115</v>
      </c>
      <c r="G5" s="6" t="s">
        <v>116</v>
      </c>
      <c r="H5" s="7" t="n">
        <v>139366409</v>
      </c>
    </row>
    <row r="6" customFormat="false" ht="15" hidden="false" customHeight="false" outlineLevel="0" collapsed="false">
      <c r="A6" s="2" t="n">
        <v>190565615</v>
      </c>
      <c r="B6" s="2" t="n">
        <v>1</v>
      </c>
      <c r="C6" s="14" t="n">
        <v>46031</v>
      </c>
      <c r="D6" s="6" t="s">
        <v>113</v>
      </c>
      <c r="E6" s="6" t="s">
        <v>114</v>
      </c>
      <c r="F6" s="2" t="s">
        <v>115</v>
      </c>
      <c r="G6" s="6" t="s">
        <v>116</v>
      </c>
      <c r="H6" s="7" t="n">
        <v>732377864</v>
      </c>
    </row>
    <row r="7" customFormat="false" ht="15" hidden="false" customHeight="false" outlineLevel="0" collapsed="false">
      <c r="A7" s="2" t="n">
        <v>190565615</v>
      </c>
      <c r="B7" s="2" t="n">
        <v>1</v>
      </c>
      <c r="C7" s="14" t="n">
        <v>46031</v>
      </c>
      <c r="D7" s="6" t="s">
        <v>113</v>
      </c>
      <c r="E7" s="6" t="s">
        <v>114</v>
      </c>
      <c r="F7" s="2" t="s">
        <v>115</v>
      </c>
      <c r="G7" s="6" t="s">
        <v>116</v>
      </c>
      <c r="H7" s="7" t="n">
        <v>637997113</v>
      </c>
    </row>
    <row r="8" customFormat="false" ht="15" hidden="false" customHeight="false" outlineLevel="0" collapsed="false">
      <c r="A8" s="2" t="n">
        <v>830000001</v>
      </c>
      <c r="B8" s="2" t="n">
        <v>1</v>
      </c>
      <c r="C8" s="14" t="n">
        <v>46034</v>
      </c>
      <c r="D8" s="6" t="s">
        <v>117</v>
      </c>
      <c r="E8" s="6" t="s">
        <v>118</v>
      </c>
      <c r="F8" s="6" t="s">
        <v>119</v>
      </c>
      <c r="G8" s="6" t="s">
        <v>120</v>
      </c>
      <c r="H8" s="7" t="n">
        <v>194099242</v>
      </c>
    </row>
    <row r="9" customFormat="false" ht="15" hidden="false" customHeight="false" outlineLevel="0" collapsed="false">
      <c r="A9" s="2" t="n">
        <v>830000001</v>
      </c>
      <c r="B9" s="2" t="n">
        <v>1</v>
      </c>
      <c r="C9" s="14" t="n">
        <v>46034</v>
      </c>
      <c r="D9" s="6" t="s">
        <v>117</v>
      </c>
      <c r="E9" s="6" t="s">
        <v>118</v>
      </c>
      <c r="F9" s="6" t="s">
        <v>119</v>
      </c>
      <c r="G9" s="6" t="s">
        <v>120</v>
      </c>
      <c r="H9" s="7" t="n">
        <v>1313212538</v>
      </c>
    </row>
    <row r="10" customFormat="false" ht="15" hidden="false" customHeight="false" outlineLevel="0" collapsed="false">
      <c r="A10" s="2" t="n">
        <v>830000001</v>
      </c>
      <c r="B10" s="2" t="n">
        <v>1</v>
      </c>
      <c r="C10" s="14" t="n">
        <v>46034</v>
      </c>
      <c r="D10" s="6" t="s">
        <v>117</v>
      </c>
      <c r="E10" s="6" t="s">
        <v>118</v>
      </c>
      <c r="F10" s="6" t="s">
        <v>119</v>
      </c>
      <c r="G10" s="6" t="s">
        <v>120</v>
      </c>
      <c r="H10" s="7" t="n">
        <v>292240228</v>
      </c>
    </row>
    <row r="11" customFormat="false" ht="15" hidden="false" customHeight="false" outlineLevel="0" collapsed="false">
      <c r="A11" s="2" t="n">
        <v>830000001</v>
      </c>
      <c r="B11" s="2" t="n">
        <v>1</v>
      </c>
      <c r="C11" s="14" t="n">
        <v>46034</v>
      </c>
      <c r="D11" s="6" t="s">
        <v>117</v>
      </c>
      <c r="E11" s="6" t="s">
        <v>118</v>
      </c>
      <c r="F11" s="6" t="s">
        <v>119</v>
      </c>
      <c r="G11" s="6" t="s">
        <v>120</v>
      </c>
      <c r="H11" s="7" t="n">
        <v>240492525</v>
      </c>
    </row>
    <row r="12" customFormat="false" ht="15" hidden="false" customHeight="false" outlineLevel="0" collapsed="false">
      <c r="A12" s="2" t="n">
        <v>830000001</v>
      </c>
      <c r="B12" s="2" t="n">
        <v>1</v>
      </c>
      <c r="C12" s="14" t="n">
        <v>46034</v>
      </c>
      <c r="D12" s="6" t="s">
        <v>117</v>
      </c>
      <c r="E12" s="6" t="s">
        <v>118</v>
      </c>
      <c r="F12" s="6" t="s">
        <v>119</v>
      </c>
      <c r="G12" s="6" t="s">
        <v>120</v>
      </c>
      <c r="H12" s="7" t="n">
        <v>1851555922</v>
      </c>
    </row>
    <row r="13" customFormat="false" ht="15" hidden="false" customHeight="false" outlineLevel="0" collapsed="false">
      <c r="A13" s="2" t="n">
        <v>830000001</v>
      </c>
      <c r="B13" s="2" t="n">
        <v>1</v>
      </c>
      <c r="C13" s="14" t="n">
        <v>46034</v>
      </c>
      <c r="D13" s="6" t="s">
        <v>117</v>
      </c>
      <c r="E13" s="6" t="s">
        <v>118</v>
      </c>
      <c r="F13" s="6" t="s">
        <v>119</v>
      </c>
      <c r="G13" s="6" t="s">
        <v>120</v>
      </c>
      <c r="H13" s="7" t="n">
        <v>767113411</v>
      </c>
    </row>
    <row r="14" customFormat="false" ht="15" hidden="false" customHeight="false" outlineLevel="0" collapsed="false">
      <c r="A14" s="2" t="n">
        <v>830000001</v>
      </c>
      <c r="B14" s="2" t="n">
        <v>1</v>
      </c>
      <c r="C14" s="14" t="n">
        <v>46034</v>
      </c>
      <c r="D14" s="6" t="s">
        <v>117</v>
      </c>
      <c r="E14" s="6" t="s">
        <v>118</v>
      </c>
      <c r="F14" s="6" t="s">
        <v>119</v>
      </c>
      <c r="G14" s="6" t="s">
        <v>120</v>
      </c>
      <c r="H14" s="7" t="n">
        <v>632116008</v>
      </c>
    </row>
    <row r="15" customFormat="false" ht="15" hidden="false" customHeight="false" outlineLevel="0" collapsed="false">
      <c r="A15" s="2" t="n">
        <v>830000028</v>
      </c>
      <c r="B15" s="2" t="n">
        <v>2</v>
      </c>
      <c r="C15" s="14" t="n">
        <v>46058</v>
      </c>
      <c r="D15" s="6" t="s">
        <v>117</v>
      </c>
      <c r="E15" s="6" t="s">
        <v>121</v>
      </c>
      <c r="F15" s="6" t="s">
        <v>119</v>
      </c>
      <c r="G15" s="6" t="s">
        <v>120</v>
      </c>
      <c r="H15" s="7" t="n">
        <v>773240036</v>
      </c>
    </row>
    <row r="16" customFormat="false" ht="15" hidden="false" customHeight="false" outlineLevel="0" collapsed="false">
      <c r="A16" s="2" t="n">
        <v>170018570</v>
      </c>
      <c r="B16" s="2" t="n">
        <v>4</v>
      </c>
      <c r="C16" s="14" t="n">
        <v>46140</v>
      </c>
      <c r="D16" s="6" t="s">
        <v>122</v>
      </c>
      <c r="E16" s="6" t="s">
        <v>123</v>
      </c>
      <c r="F16" s="2" t="s">
        <v>115</v>
      </c>
      <c r="G16" s="6" t="s">
        <v>124</v>
      </c>
      <c r="H16" s="7" t="n">
        <v>-554771272</v>
      </c>
    </row>
    <row r="17" customFormat="false" ht="15" hidden="false" customHeight="false" outlineLevel="0" collapsed="false">
      <c r="A17" s="2" t="n">
        <v>190566871</v>
      </c>
      <c r="B17" s="2" t="n">
        <v>4</v>
      </c>
      <c r="C17" s="14" t="n">
        <v>46140</v>
      </c>
      <c r="D17" s="6" t="s">
        <v>113</v>
      </c>
      <c r="E17" s="6" t="s">
        <v>123</v>
      </c>
      <c r="F17" s="2" t="s">
        <v>115</v>
      </c>
      <c r="G17" s="6" t="s">
        <v>124</v>
      </c>
      <c r="H17" s="7" t="n">
        <v>554771272</v>
      </c>
    </row>
    <row r="18" customFormat="false" ht="15" hidden="false" customHeight="false" outlineLevel="0" collapsed="false">
      <c r="A18" s="2" t="n">
        <v>190566873</v>
      </c>
      <c r="B18" s="2" t="n">
        <v>4</v>
      </c>
      <c r="C18" s="14" t="n">
        <v>46140</v>
      </c>
      <c r="D18" s="6" t="s">
        <v>113</v>
      </c>
      <c r="E18" s="6" t="s">
        <v>123</v>
      </c>
      <c r="F18" s="2" t="s">
        <v>115</v>
      </c>
      <c r="G18" s="6" t="s">
        <v>124</v>
      </c>
      <c r="H18" s="7" t="n">
        <v>554771272</v>
      </c>
    </row>
    <row r="19" customFormat="false" ht="15" hidden="false" customHeight="false" outlineLevel="0" collapsed="false">
      <c r="A19" s="2" t="n">
        <v>830000157</v>
      </c>
      <c r="B19" s="2" t="n">
        <v>7</v>
      </c>
      <c r="C19" s="14" t="n">
        <v>46212</v>
      </c>
      <c r="D19" s="6" t="s">
        <v>117</v>
      </c>
      <c r="E19" s="6" t="s">
        <v>125</v>
      </c>
      <c r="F19" s="6" t="s">
        <v>119</v>
      </c>
      <c r="G19" s="6" t="s">
        <v>126</v>
      </c>
      <c r="H19" s="7" t="n">
        <v>742500000</v>
      </c>
    </row>
    <row r="21" customFormat="false" ht="15" hidden="false" customHeight="false" outlineLevel="0" collapsed="false">
      <c r="F21" s="8" t="s">
        <v>15</v>
      </c>
      <c r="H21" s="9" t="n">
        <f aca="false">SUM(H2:H19)</f>
        <v>11096893629</v>
      </c>
    </row>
    <row r="23" customFormat="false" ht="15" hidden="false" customHeight="false" outlineLevel="0" collapsed="false">
      <c r="A23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2026-10-20T05:03:34Z</dcterms:created>
  <dc:creator>openpyxl</dc:creator>
  <dc:description/>
  <dc:language>en-US</dc:language>
  <cp:lastModifiedBy/>
  <dcterms:modified xsi:type="dcterms:W3CDTF">2026-10-20T05:03:34Z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